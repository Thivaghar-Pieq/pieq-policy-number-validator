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lth Alliance MAPD\2025\04-25-25\"/>
    </mc:Choice>
  </mc:AlternateContent>
  <xr:revisionPtr revIDLastSave="0" documentId="13_ncr:1_{7B22874E-297E-4D2B-8D9E-EC557C514A13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Agent Report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3" i="2"/>
  <c r="B2" i="2"/>
  <c r="B11" i="2"/>
  <c r="B12" i="2"/>
  <c r="B13" i="2"/>
  <c r="B10" i="2"/>
</calcChain>
</file>

<file path=xl/sharedStrings.xml><?xml version="1.0" encoding="utf-8"?>
<sst xmlns="http://schemas.openxmlformats.org/spreadsheetml/2006/main" count="250" uniqueCount="56">
  <si>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</si>
  <si>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</si>
  <si>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</si>
  <si>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</si>
  <si>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</si>
  <si>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</si>
  <si>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</si>
  <si>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</si>
  <si>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</si>
  <si>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</si>
  <si>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</si>
  <si>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</si>
  <si>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</si>
  <si>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</si>
  <si>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</si>
  <si>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</si>
  <si>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</si>
  <si>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</si>
  <si>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</si>
  <si>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</si>
  <si>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</si>
  <si>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</si>
  <si>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8244481</t>
  </si>
  <si>
    <t>Health Alliance Medicare</t>
  </si>
  <si>
    <t>First Medicare Direct</t>
  </si>
  <si>
    <t>95009868201</t>
  </si>
  <si>
    <t>JONES,JOYCE I</t>
  </si>
  <si>
    <t>First Year</t>
  </si>
  <si>
    <t>DEATON, PAMELA S</t>
  </si>
  <si>
    <t>Commission</t>
  </si>
  <si>
    <t>No</t>
  </si>
  <si>
    <t>95009864901</t>
  </si>
  <si>
    <t>JONES,LOREN L</t>
  </si>
  <si>
    <t>94111538901</t>
  </si>
  <si>
    <t>JOLY,CHARLES</t>
  </si>
  <si>
    <t>15278437</t>
  </si>
  <si>
    <t>Override</t>
  </si>
  <si>
    <t>18828278</t>
  </si>
  <si>
    <t>DUNAVANT, MICHAEL</t>
  </si>
  <si>
    <t>95009227201</t>
  </si>
  <si>
    <t>FISHEL,KAREN</t>
  </si>
  <si>
    <t>94042218001</t>
  </si>
  <si>
    <t>ZINDARS,CHARLES</t>
  </si>
  <si>
    <t>94114172801</t>
  </si>
  <si>
    <t>PINSON,SHEILA</t>
  </si>
  <si>
    <t>95009259201</t>
  </si>
  <si>
    <t>MAUSCHBAUGH,LAURIE</t>
  </si>
  <si>
    <t>Total Amount:</t>
  </si>
  <si>
    <t>Payment Amount:</t>
  </si>
  <si>
    <t>Health Alliance MAPD 2025*</t>
  </si>
  <si>
    <t>Health Alliance MAPD 2025</t>
  </si>
  <si>
    <t>Health Alliance OVR</t>
  </si>
  <si>
    <t>Main Line Benefits</t>
  </si>
  <si>
    <t>18828278Sub2</t>
  </si>
  <si>
    <t>JONES,JOYCE</t>
  </si>
  <si>
    <t>JONES,LOREN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</si>
</sst>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1" fillId="0" borderId="1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left" vertical="center" wrapText="1"/>
    </xf>
    <xf numFmtId="14" fontId="1" fillId="0" borderId="1" xfId="0" applyNumberFormat="1" applyFont="1" applyFill="1" applyBorder="1" applyAlignment="1">
      <alignment horizontal="right" vertical="center" wrapText="1"/>
    </xf>
    <xf numFmtId="164" fontId="1" fillId="0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"/>
  <sheetViews>
    <sheetView showGridLines="0" topLeftCell="E1" workbookViewId="0">
      <selection activeCell="E1" sqref="A1:XFD1048576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21.28515625" style="1" customWidth="1"/>
    <col min="7" max="7" width="18.140625" style="1" customWidth="1"/>
    <col min="8" max="8" width="12.5703125" style="1" customWidth="1"/>
    <col min="9" max="9" width="20.710937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9.1406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14.28515625" style="1" customWidth="1"/>
    <col min="20" max="20" width="9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45772</v>
      </c>
      <c r="C2" s="3" t="s">
        <v>21</v>
      </c>
      <c r="D2" s="5" t="s">
        <v>22</v>
      </c>
      <c r="E2" s="4">
        <v>45736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45658</v>
      </c>
      <c r="L2" s="5" t="s">
        <v>27</v>
      </c>
      <c r="M2" s="3" t="s">
        <v>28</v>
      </c>
      <c r="N2" s="3" t="s">
        <v>22</v>
      </c>
      <c r="O2" s="3" t="s">
        <v>29</v>
      </c>
      <c r="P2" s="3" t="s">
        <v>30</v>
      </c>
      <c r="Q2" s="3" t="s">
        <v>29</v>
      </c>
      <c r="R2" s="3"/>
      <c r="S2" s="5"/>
      <c r="T2" s="6">
        <v>-313</v>
      </c>
    </row>
    <row r="3" spans="1:20" x14ac:dyDescent="0.25">
      <c r="A3" s="3" t="s">
        <v>20</v>
      </c>
      <c r="B3" s="4">
        <v>45772</v>
      </c>
      <c r="C3" s="3" t="s">
        <v>21</v>
      </c>
      <c r="D3" s="5" t="s">
        <v>22</v>
      </c>
      <c r="E3" s="4">
        <v>45736</v>
      </c>
      <c r="F3" s="3" t="s">
        <v>23</v>
      </c>
      <c r="G3" s="3" t="s">
        <v>24</v>
      </c>
      <c r="H3" s="5" t="s">
        <v>31</v>
      </c>
      <c r="I3" s="3" t="s">
        <v>32</v>
      </c>
      <c r="J3" s="5"/>
      <c r="K3" s="4">
        <v>45658</v>
      </c>
      <c r="L3" s="5" t="s">
        <v>27</v>
      </c>
      <c r="M3" s="3" t="s">
        <v>28</v>
      </c>
      <c r="N3" s="3" t="s">
        <v>22</v>
      </c>
      <c r="O3" s="3" t="s">
        <v>29</v>
      </c>
      <c r="P3" s="3" t="s">
        <v>30</v>
      </c>
      <c r="Q3" s="3" t="s">
        <v>29</v>
      </c>
      <c r="R3" s="3"/>
      <c r="S3" s="5"/>
      <c r="T3" s="6">
        <v>-313</v>
      </c>
    </row>
    <row r="4" spans="1:20" x14ac:dyDescent="0.25">
      <c r="A4" s="3" t="s">
        <v>20</v>
      </c>
      <c r="B4" s="4">
        <v>45772</v>
      </c>
      <c r="C4" s="3" t="s">
        <v>21</v>
      </c>
      <c r="D4" s="5" t="s">
        <v>22</v>
      </c>
      <c r="E4" s="4">
        <v>45708</v>
      </c>
      <c r="F4" s="3" t="s">
        <v>23</v>
      </c>
      <c r="G4" s="3" t="s">
        <v>24</v>
      </c>
      <c r="H4" s="5" t="s">
        <v>33</v>
      </c>
      <c r="I4" s="3" t="s">
        <v>34</v>
      </c>
      <c r="J4" s="5"/>
      <c r="K4" s="4">
        <v>45658</v>
      </c>
      <c r="L4" s="5" t="s">
        <v>27</v>
      </c>
      <c r="M4" s="3" t="s">
        <v>28</v>
      </c>
      <c r="N4" s="3" t="s">
        <v>22</v>
      </c>
      <c r="O4" s="3" t="s">
        <v>29</v>
      </c>
      <c r="P4" s="3" t="s">
        <v>30</v>
      </c>
      <c r="Q4" s="3" t="s">
        <v>29</v>
      </c>
      <c r="R4" s="3"/>
      <c r="S4" s="5"/>
      <c r="T4" s="6">
        <v>-313</v>
      </c>
    </row>
    <row r="5" spans="1:20" x14ac:dyDescent="0.25">
      <c r="A5" s="3" t="s">
        <v>20</v>
      </c>
      <c r="B5" s="4">
        <v>45772</v>
      </c>
      <c r="C5" s="3" t="s">
        <v>21</v>
      </c>
      <c r="D5" s="5" t="s">
        <v>35</v>
      </c>
      <c r="E5" s="4">
        <v>45708</v>
      </c>
      <c r="F5" s="3" t="s">
        <v>23</v>
      </c>
      <c r="G5" s="3" t="s">
        <v>24</v>
      </c>
      <c r="H5" s="5" t="s">
        <v>33</v>
      </c>
      <c r="I5" s="3" t="s">
        <v>34</v>
      </c>
      <c r="J5" s="5"/>
      <c r="K5" s="4">
        <v>45658</v>
      </c>
      <c r="L5" s="5" t="s">
        <v>27</v>
      </c>
      <c r="M5" s="3" t="s">
        <v>28</v>
      </c>
      <c r="N5" s="3" t="s">
        <v>22</v>
      </c>
      <c r="O5" s="3" t="s">
        <v>29</v>
      </c>
      <c r="P5" s="3" t="s">
        <v>30</v>
      </c>
      <c r="Q5" s="3" t="s">
        <v>36</v>
      </c>
      <c r="R5" s="3"/>
      <c r="S5" s="5"/>
      <c r="T5" s="6">
        <v>-125</v>
      </c>
    </row>
    <row r="6" spans="1:20" x14ac:dyDescent="0.25">
      <c r="A6" s="3" t="s">
        <v>20</v>
      </c>
      <c r="B6" s="4">
        <v>45772</v>
      </c>
      <c r="C6" s="3" t="s">
        <v>21</v>
      </c>
      <c r="D6" s="5" t="s">
        <v>37</v>
      </c>
      <c r="E6" s="4">
        <v>45708</v>
      </c>
      <c r="F6" s="3" t="s">
        <v>23</v>
      </c>
      <c r="G6" s="3" t="s">
        <v>24</v>
      </c>
      <c r="H6" s="5" t="s">
        <v>33</v>
      </c>
      <c r="I6" s="3" t="s">
        <v>34</v>
      </c>
      <c r="J6" s="5"/>
      <c r="K6" s="4">
        <v>45658</v>
      </c>
      <c r="L6" s="5" t="s">
        <v>27</v>
      </c>
      <c r="M6" s="3" t="s">
        <v>38</v>
      </c>
      <c r="N6" s="3" t="s">
        <v>37</v>
      </c>
      <c r="O6" s="3" t="s">
        <v>29</v>
      </c>
      <c r="P6" s="3" t="s">
        <v>30</v>
      </c>
      <c r="Q6" s="3" t="s">
        <v>29</v>
      </c>
      <c r="R6" s="3"/>
      <c r="S6" s="5"/>
      <c r="T6" s="6">
        <v>313</v>
      </c>
    </row>
    <row r="7" spans="1:20" x14ac:dyDescent="0.25">
      <c r="A7" s="3" t="s">
        <v>20</v>
      </c>
      <c r="B7" s="4">
        <v>45772</v>
      </c>
      <c r="C7" s="3" t="s">
        <v>21</v>
      </c>
      <c r="D7" s="5" t="s">
        <v>37</v>
      </c>
      <c r="E7" s="4">
        <v>45736</v>
      </c>
      <c r="F7" s="3" t="s">
        <v>23</v>
      </c>
      <c r="G7" s="3" t="s">
        <v>24</v>
      </c>
      <c r="H7" s="5" t="s">
        <v>39</v>
      </c>
      <c r="I7" s="3" t="s">
        <v>40</v>
      </c>
      <c r="J7" s="5"/>
      <c r="K7" s="4">
        <v>45658</v>
      </c>
      <c r="L7" s="5" t="s">
        <v>27</v>
      </c>
      <c r="M7" s="3" t="s">
        <v>38</v>
      </c>
      <c r="N7" s="3" t="s">
        <v>37</v>
      </c>
      <c r="O7" s="3" t="s">
        <v>29</v>
      </c>
      <c r="P7" s="3" t="s">
        <v>30</v>
      </c>
      <c r="Q7" s="3" t="s">
        <v>29</v>
      </c>
      <c r="R7" s="3"/>
      <c r="S7" s="5"/>
      <c r="T7" s="6">
        <v>-313</v>
      </c>
    </row>
    <row r="8" spans="1:20" x14ac:dyDescent="0.25">
      <c r="A8" s="3" t="s">
        <v>20</v>
      </c>
      <c r="B8" s="4">
        <v>45772</v>
      </c>
      <c r="C8" s="3" t="s">
        <v>21</v>
      </c>
      <c r="D8" s="5" t="s">
        <v>35</v>
      </c>
      <c r="E8" s="4">
        <v>45708</v>
      </c>
      <c r="F8" s="3" t="s">
        <v>23</v>
      </c>
      <c r="G8" s="3" t="s">
        <v>24</v>
      </c>
      <c r="H8" s="5" t="s">
        <v>33</v>
      </c>
      <c r="I8" s="3" t="s">
        <v>34</v>
      </c>
      <c r="J8" s="5"/>
      <c r="K8" s="4">
        <v>45658</v>
      </c>
      <c r="L8" s="5" t="s">
        <v>27</v>
      </c>
      <c r="M8" s="3" t="s">
        <v>38</v>
      </c>
      <c r="N8" s="3" t="s">
        <v>37</v>
      </c>
      <c r="O8" s="3" t="s">
        <v>29</v>
      </c>
      <c r="P8" s="3" t="s">
        <v>30</v>
      </c>
      <c r="Q8" s="3" t="s">
        <v>36</v>
      </c>
      <c r="R8" s="3"/>
      <c r="S8" s="5"/>
      <c r="T8" s="6">
        <v>125</v>
      </c>
    </row>
    <row r="9" spans="1:20" x14ac:dyDescent="0.25">
      <c r="A9" s="3" t="s">
        <v>20</v>
      </c>
      <c r="B9" s="4">
        <v>45772</v>
      </c>
      <c r="C9" s="3" t="s">
        <v>21</v>
      </c>
      <c r="D9" s="5" t="s">
        <v>35</v>
      </c>
      <c r="E9" s="4">
        <v>45736</v>
      </c>
      <c r="F9" s="3" t="s">
        <v>23</v>
      </c>
      <c r="G9" s="3" t="s">
        <v>24</v>
      </c>
      <c r="H9" s="5" t="s">
        <v>41</v>
      </c>
      <c r="I9" s="3" t="s">
        <v>42</v>
      </c>
      <c r="J9" s="5"/>
      <c r="K9" s="4">
        <v>45689</v>
      </c>
      <c r="L9" s="5" t="s">
        <v>27</v>
      </c>
      <c r="M9" s="3" t="s">
        <v>28</v>
      </c>
      <c r="N9" s="3" t="s">
        <v>22</v>
      </c>
      <c r="O9" s="3" t="s">
        <v>29</v>
      </c>
      <c r="P9" s="3" t="s">
        <v>30</v>
      </c>
      <c r="Q9" s="3" t="s">
        <v>36</v>
      </c>
      <c r="R9" s="3"/>
      <c r="S9" s="5"/>
      <c r="T9" s="6">
        <v>125</v>
      </c>
    </row>
    <row r="10" spans="1:20" x14ac:dyDescent="0.25">
      <c r="A10" s="3" t="s">
        <v>20</v>
      </c>
      <c r="B10" s="4">
        <v>45772</v>
      </c>
      <c r="C10" s="3" t="s">
        <v>21</v>
      </c>
      <c r="D10" s="5" t="s">
        <v>35</v>
      </c>
      <c r="E10" s="4">
        <v>45736</v>
      </c>
      <c r="F10" s="3" t="s">
        <v>23</v>
      </c>
      <c r="G10" s="3" t="s">
        <v>24</v>
      </c>
      <c r="H10" s="5" t="s">
        <v>43</v>
      </c>
      <c r="I10" s="3" t="s">
        <v>44</v>
      </c>
      <c r="J10" s="5"/>
      <c r="K10" s="4">
        <v>45689</v>
      </c>
      <c r="L10" s="5" t="s">
        <v>27</v>
      </c>
      <c r="M10" s="3" t="s">
        <v>38</v>
      </c>
      <c r="N10" s="3" t="s">
        <v>37</v>
      </c>
      <c r="O10" s="3" t="s">
        <v>29</v>
      </c>
      <c r="P10" s="3" t="s">
        <v>30</v>
      </c>
      <c r="Q10" s="3" t="s">
        <v>36</v>
      </c>
      <c r="R10" s="3"/>
      <c r="S10" s="5"/>
      <c r="T10" s="6">
        <v>125</v>
      </c>
    </row>
    <row r="11" spans="1:20" x14ac:dyDescent="0.25">
      <c r="A11" s="3" t="s">
        <v>20</v>
      </c>
      <c r="B11" s="4">
        <v>45772</v>
      </c>
      <c r="C11" s="3" t="s">
        <v>21</v>
      </c>
      <c r="D11" s="5" t="s">
        <v>37</v>
      </c>
      <c r="E11" s="4">
        <v>45736</v>
      </c>
      <c r="F11" s="3" t="s">
        <v>23</v>
      </c>
      <c r="G11" s="3" t="s">
        <v>24</v>
      </c>
      <c r="H11" s="5" t="s">
        <v>45</v>
      </c>
      <c r="I11" s="3" t="s">
        <v>46</v>
      </c>
      <c r="J11" s="5"/>
      <c r="K11" s="4">
        <v>45658</v>
      </c>
      <c r="L11" s="5" t="s">
        <v>27</v>
      </c>
      <c r="M11" s="3" t="s">
        <v>38</v>
      </c>
      <c r="N11" s="3" t="s">
        <v>37</v>
      </c>
      <c r="O11" s="3" t="s">
        <v>29</v>
      </c>
      <c r="P11" s="3" t="s">
        <v>30</v>
      </c>
      <c r="Q11" s="3" t="s">
        <v>29</v>
      </c>
      <c r="R11" s="3"/>
      <c r="S11" s="5"/>
      <c r="T11" s="6">
        <v>-313</v>
      </c>
    </row>
    <row r="12" spans="1:20" x14ac:dyDescent="0.25">
      <c r="A12" s="3" t="s">
        <v>20</v>
      </c>
      <c r="B12" s="4">
        <v>45772</v>
      </c>
      <c r="C12" s="3" t="s">
        <v>21</v>
      </c>
      <c r="D12" s="5" t="s">
        <v>22</v>
      </c>
      <c r="E12" s="4">
        <v>45736</v>
      </c>
      <c r="F12" s="3" t="s">
        <v>23</v>
      </c>
      <c r="G12" s="3" t="s">
        <v>24</v>
      </c>
      <c r="H12" s="5" t="s">
        <v>41</v>
      </c>
      <c r="I12" s="3" t="s">
        <v>42</v>
      </c>
      <c r="J12" s="5"/>
      <c r="K12" s="4">
        <v>45689</v>
      </c>
      <c r="L12" s="5" t="s">
        <v>27</v>
      </c>
      <c r="M12" s="3" t="s">
        <v>28</v>
      </c>
      <c r="N12" s="3" t="s">
        <v>22</v>
      </c>
      <c r="O12" s="3" t="s">
        <v>29</v>
      </c>
      <c r="P12" s="3" t="s">
        <v>30</v>
      </c>
      <c r="Q12" s="3" t="s">
        <v>29</v>
      </c>
      <c r="R12" s="3"/>
      <c r="S12" s="5"/>
      <c r="T12" s="6">
        <v>626</v>
      </c>
    </row>
    <row r="13" spans="1:20" x14ac:dyDescent="0.25">
      <c r="A13" s="3" t="s">
        <v>20</v>
      </c>
      <c r="B13" s="4">
        <v>45772</v>
      </c>
      <c r="C13" s="3" t="s">
        <v>21</v>
      </c>
      <c r="D13" s="5" t="s">
        <v>37</v>
      </c>
      <c r="E13" s="4">
        <v>45736</v>
      </c>
      <c r="F13" s="3" t="s">
        <v>23</v>
      </c>
      <c r="G13" s="3" t="s">
        <v>24</v>
      </c>
      <c r="H13" s="5" t="s">
        <v>43</v>
      </c>
      <c r="I13" s="3" t="s">
        <v>44</v>
      </c>
      <c r="J13" s="5"/>
      <c r="K13" s="4">
        <v>45689</v>
      </c>
      <c r="L13" s="5" t="s">
        <v>27</v>
      </c>
      <c r="M13" s="3" t="s">
        <v>38</v>
      </c>
      <c r="N13" s="3" t="s">
        <v>37</v>
      </c>
      <c r="O13" s="3" t="s">
        <v>29</v>
      </c>
      <c r="P13" s="3" t="s">
        <v>30</v>
      </c>
      <c r="Q13" s="3" t="s">
        <v>29</v>
      </c>
      <c r="R13" s="3"/>
      <c r="S13" s="5"/>
      <c r="T13" s="6">
        <v>313</v>
      </c>
    </row>
    <row r="14" spans="1:20" ht="15" x14ac:dyDescent="0.25">
      <c r="S14" s="7" t="s">
        <v>47</v>
      </c>
      <c r="T14" s="8">
        <v>-63</v>
      </c>
    </row>
    <row r="15" spans="1:20" ht="30" x14ac:dyDescent="0.25">
      <c r="S15" s="7" t="s">
        <v>48</v>
      </c>
      <c r="T15" s="8">
        <v>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32A3-9286-49BE-8188-73823A935945}">
  <dimension ref="A1:J13"/>
  <sheetViews>
    <sheetView tabSelected="1" workbookViewId="0">
      <selection activeCell="G16" sqref="G16"/>
    </sheetView>
  </sheetViews>
  <sheetFormatPr defaultRowHeight="15" customHeight="1" x14ac:dyDescent="0.25"/>
  <cols>
    <col min="1" max="1" width="12.5703125" style="10" customWidth="1"/>
    <col min="2" max="2" width="13.140625" style="10" bestFit="1" customWidth="1"/>
    <col min="3" max="3" width="20.7109375" style="10" customWidth="1"/>
    <col min="4" max="4" width="12.7109375" style="10" customWidth="1"/>
    <col min="5" max="5" width="11.5703125" style="10" customWidth="1"/>
    <col min="6" max="6" width="19.140625" style="10" customWidth="1"/>
    <col min="7" max="7" width="20.140625" style="10" customWidth="1"/>
    <col min="8" max="8" width="21.7109375" style="10" customWidth="1"/>
    <col min="9" max="9" width="9.28515625" style="10" customWidth="1"/>
    <col min="10" max="10" width="21.5703125" style="10" customWidth="1"/>
    <col min="11" max="16384" width="9.140625" style="10"/>
  </cols>
  <sheetData>
    <row r="1" spans="1:10" ht="15" customHeight="1" x14ac:dyDescent="0.25">
      <c r="A1" s="9" t="s">
        <v>7</v>
      </c>
      <c r="B1" s="9"/>
      <c r="C1" s="9" t="s">
        <v>8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16</v>
      </c>
      <c r="I1" s="9" t="s">
        <v>19</v>
      </c>
    </row>
    <row r="2" spans="1:10" ht="15" customHeight="1" x14ac:dyDescent="0.25">
      <c r="A2" s="11">
        <v>94042218001</v>
      </c>
      <c r="B2" s="11" t="str">
        <f>CONCATENATE(A2,4)</f>
        <v>940422180014</v>
      </c>
      <c r="C2" s="12" t="s">
        <v>42</v>
      </c>
      <c r="D2" s="13">
        <v>45689</v>
      </c>
      <c r="E2" s="11" t="s">
        <v>27</v>
      </c>
      <c r="F2" s="12" t="s">
        <v>28</v>
      </c>
      <c r="G2" s="12">
        <v>8244481</v>
      </c>
      <c r="H2" s="12" t="s">
        <v>29</v>
      </c>
      <c r="I2" s="14">
        <v>626</v>
      </c>
      <c r="J2" s="10" t="s">
        <v>50</v>
      </c>
    </row>
    <row r="3" spans="1:10" ht="15" customHeight="1" x14ac:dyDescent="0.25">
      <c r="A3" s="11">
        <v>95009868201</v>
      </c>
      <c r="B3" s="11" t="str">
        <f>CONCATENATE(A3,5)</f>
        <v>950098682015</v>
      </c>
      <c r="C3" s="12" t="s">
        <v>54</v>
      </c>
      <c r="D3" s="13">
        <v>45658</v>
      </c>
      <c r="E3" s="11" t="s">
        <v>27</v>
      </c>
      <c r="F3" s="12" t="s">
        <v>28</v>
      </c>
      <c r="G3" s="12">
        <v>8244481</v>
      </c>
      <c r="H3" s="12" t="s">
        <v>29</v>
      </c>
      <c r="I3" s="14">
        <v>-313</v>
      </c>
      <c r="J3" s="10" t="s">
        <v>49</v>
      </c>
    </row>
    <row r="4" spans="1:10" ht="15" customHeight="1" x14ac:dyDescent="0.25">
      <c r="A4" s="11">
        <v>95009864901</v>
      </c>
      <c r="B4" s="11" t="str">
        <f t="shared" ref="B4:B9" si="0">CONCATENATE(A4,5)</f>
        <v>950098649015</v>
      </c>
      <c r="C4" s="12" t="s">
        <v>55</v>
      </c>
      <c r="D4" s="13">
        <v>45658</v>
      </c>
      <c r="E4" s="11" t="s">
        <v>27</v>
      </c>
      <c r="F4" s="12" t="s">
        <v>28</v>
      </c>
      <c r="G4" s="12">
        <v>8244481</v>
      </c>
      <c r="H4" s="12" t="s">
        <v>29</v>
      </c>
      <c r="I4" s="14">
        <v>-313</v>
      </c>
      <c r="J4" s="10" t="s">
        <v>49</v>
      </c>
    </row>
    <row r="5" spans="1:10" ht="15" customHeight="1" x14ac:dyDescent="0.25">
      <c r="A5" s="11">
        <v>94111538901</v>
      </c>
      <c r="B5" s="11" t="str">
        <f t="shared" si="0"/>
        <v>941115389015</v>
      </c>
      <c r="C5" s="12" t="s">
        <v>34</v>
      </c>
      <c r="D5" s="13">
        <v>45658</v>
      </c>
      <c r="E5" s="11" t="s">
        <v>27</v>
      </c>
      <c r="F5" s="12" t="s">
        <v>28</v>
      </c>
      <c r="G5" s="12">
        <v>8244481</v>
      </c>
      <c r="H5" s="12" t="s">
        <v>29</v>
      </c>
      <c r="I5" s="14">
        <v>-313</v>
      </c>
      <c r="J5" s="10" t="s">
        <v>49</v>
      </c>
    </row>
    <row r="6" spans="1:10" ht="15" customHeight="1" x14ac:dyDescent="0.25">
      <c r="A6" s="11">
        <v>94111538901</v>
      </c>
      <c r="B6" s="11" t="str">
        <f t="shared" si="0"/>
        <v>941115389015</v>
      </c>
      <c r="C6" s="12" t="s">
        <v>34</v>
      </c>
      <c r="D6" s="13">
        <v>45658</v>
      </c>
      <c r="E6" s="11" t="s">
        <v>27</v>
      </c>
      <c r="F6" s="12" t="s">
        <v>38</v>
      </c>
      <c r="G6" s="12" t="s">
        <v>53</v>
      </c>
      <c r="H6" s="12" t="s">
        <v>29</v>
      </c>
      <c r="I6" s="14">
        <v>313</v>
      </c>
      <c r="J6" s="10" t="s">
        <v>49</v>
      </c>
    </row>
    <row r="7" spans="1:10" ht="15" customHeight="1" x14ac:dyDescent="0.25">
      <c r="A7" s="11">
        <v>95009227201</v>
      </c>
      <c r="B7" s="11" t="str">
        <f t="shared" si="0"/>
        <v>950092272015</v>
      </c>
      <c r="C7" s="12" t="s">
        <v>40</v>
      </c>
      <c r="D7" s="13">
        <v>45658</v>
      </c>
      <c r="E7" s="11" t="s">
        <v>27</v>
      </c>
      <c r="F7" s="12" t="s">
        <v>38</v>
      </c>
      <c r="G7" s="12" t="s">
        <v>53</v>
      </c>
      <c r="H7" s="12" t="s">
        <v>29</v>
      </c>
      <c r="I7" s="14">
        <v>-313</v>
      </c>
      <c r="J7" s="10" t="s">
        <v>49</v>
      </c>
    </row>
    <row r="8" spans="1:10" ht="15" customHeight="1" x14ac:dyDescent="0.25">
      <c r="A8" s="11">
        <v>95009259201</v>
      </c>
      <c r="B8" s="11" t="str">
        <f t="shared" si="0"/>
        <v>950092592015</v>
      </c>
      <c r="C8" s="12" t="s">
        <v>46</v>
      </c>
      <c r="D8" s="13">
        <v>45658</v>
      </c>
      <c r="E8" s="11" t="s">
        <v>27</v>
      </c>
      <c r="F8" s="12" t="s">
        <v>38</v>
      </c>
      <c r="G8" s="12" t="s">
        <v>53</v>
      </c>
      <c r="H8" s="12" t="s">
        <v>29</v>
      </c>
      <c r="I8" s="14">
        <v>-313</v>
      </c>
      <c r="J8" s="10" t="s">
        <v>49</v>
      </c>
    </row>
    <row r="9" spans="1:10" ht="15" customHeight="1" x14ac:dyDescent="0.25">
      <c r="A9" s="11">
        <v>94114172801</v>
      </c>
      <c r="B9" s="11" t="str">
        <f t="shared" si="0"/>
        <v>941141728015</v>
      </c>
      <c r="C9" s="12" t="s">
        <v>44</v>
      </c>
      <c r="D9" s="13">
        <v>45689</v>
      </c>
      <c r="E9" s="11" t="s">
        <v>27</v>
      </c>
      <c r="F9" s="12" t="s">
        <v>38</v>
      </c>
      <c r="G9" s="12" t="s">
        <v>53</v>
      </c>
      <c r="H9" s="12" t="s">
        <v>29</v>
      </c>
      <c r="I9" s="14">
        <v>313</v>
      </c>
      <c r="J9" s="10" t="s">
        <v>49</v>
      </c>
    </row>
    <row r="10" spans="1:10" ht="15" customHeight="1" x14ac:dyDescent="0.25">
      <c r="A10" s="11">
        <v>94111538901</v>
      </c>
      <c r="B10" s="11" t="str">
        <f>CONCATENATE(A10,7)</f>
        <v>941115389017</v>
      </c>
      <c r="C10" s="12" t="s">
        <v>34</v>
      </c>
      <c r="D10" s="13">
        <v>45658</v>
      </c>
      <c r="E10" s="11" t="s">
        <v>27</v>
      </c>
      <c r="F10" s="12" t="s">
        <v>52</v>
      </c>
      <c r="G10" s="12">
        <v>20411454</v>
      </c>
      <c r="H10" s="12" t="s">
        <v>36</v>
      </c>
      <c r="I10" s="14">
        <v>-125</v>
      </c>
      <c r="J10" s="10" t="s">
        <v>51</v>
      </c>
    </row>
    <row r="11" spans="1:10" ht="15" customHeight="1" x14ac:dyDescent="0.25">
      <c r="A11" s="11">
        <v>94111538901</v>
      </c>
      <c r="B11" s="11" t="str">
        <f t="shared" ref="B11:B13" si="1">CONCATENATE(A11,7)</f>
        <v>941115389017</v>
      </c>
      <c r="C11" s="12" t="s">
        <v>34</v>
      </c>
      <c r="D11" s="13">
        <v>45658</v>
      </c>
      <c r="E11" s="11" t="s">
        <v>27</v>
      </c>
      <c r="F11" s="12" t="s">
        <v>52</v>
      </c>
      <c r="G11" s="12">
        <v>20411454</v>
      </c>
      <c r="H11" s="12" t="s">
        <v>36</v>
      </c>
      <c r="I11" s="14">
        <v>125</v>
      </c>
      <c r="J11" s="10" t="s">
        <v>51</v>
      </c>
    </row>
    <row r="12" spans="1:10" ht="15" customHeight="1" x14ac:dyDescent="0.25">
      <c r="A12" s="11">
        <v>94042218001</v>
      </c>
      <c r="B12" s="11" t="str">
        <f t="shared" si="1"/>
        <v>940422180017</v>
      </c>
      <c r="C12" s="12" t="s">
        <v>42</v>
      </c>
      <c r="D12" s="13">
        <v>45689</v>
      </c>
      <c r="E12" s="11" t="s">
        <v>27</v>
      </c>
      <c r="F12" s="12" t="s">
        <v>52</v>
      </c>
      <c r="G12" s="12">
        <v>20411454</v>
      </c>
      <c r="H12" s="12" t="s">
        <v>36</v>
      </c>
      <c r="I12" s="14">
        <v>125</v>
      </c>
      <c r="J12" s="10" t="s">
        <v>51</v>
      </c>
    </row>
    <row r="13" spans="1:10" ht="15" customHeight="1" x14ac:dyDescent="0.25">
      <c r="A13" s="11">
        <v>94114172801</v>
      </c>
      <c r="B13" s="11" t="str">
        <f t="shared" si="1"/>
        <v>941141728017</v>
      </c>
      <c r="C13" s="12" t="s">
        <v>44</v>
      </c>
      <c r="D13" s="13">
        <v>45689</v>
      </c>
      <c r="E13" s="11" t="s">
        <v>27</v>
      </c>
      <c r="F13" s="12" t="s">
        <v>52</v>
      </c>
      <c r="G13" s="12">
        <v>20411454</v>
      </c>
      <c r="H13" s="12" t="s">
        <v>36</v>
      </c>
      <c r="I13" s="14">
        <v>125</v>
      </c>
      <c r="J13" s="10" t="s">
        <v>51</v>
      </c>
    </row>
  </sheetData>
  <sortState xmlns:xlrd2="http://schemas.microsoft.com/office/spreadsheetml/2017/richdata2" ref="A2:U13">
    <sortCondition ref="J2:J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2025-04-23T16:41:48Z</dcterms:created>
  <dcterms:modified xsi:type="dcterms:W3CDTF">2025-07-25T13:28:05Z</dcterms:modified>
</cp:coreProperties>
</file>