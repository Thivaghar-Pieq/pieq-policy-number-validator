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Details by Producer_Sub Produc" sheetId="1" r:id="rId4"/>
    <sheet state="visible" name="Sheet2" sheetId="2" r:id="rId5"/>
    <sheet state="visible" name="Bonus" sheetId="3" r:id="rId6"/>
    <sheet state="visible" name="Sheet1" sheetId="4" r:id="rId7"/>
  </sheets>
  <definedNames>
    <definedName hidden="1" localSheetId="1" name="_xlnm._FilterDatabase">Sheet2!$A$1:$M$1000</definedName>
  </definedNames>
  <calcPr/>
  <extLst>
    <ext uri="GoogleSheetsCustomDataVersion2">
      <go:sheetsCustomData xmlns:go="http://customooxmlschemas.google.com/" r:id="rId8" roundtripDataChecksum="d2uMRW/iVVj8ZCa9aI0z9pZTxLdcOpPlCDfMIYsw4n4="/>
    </ext>
  </extLst>
</workbook>
</file>

<file path=xl/sharedStrings.xml><?xml version="1.0" encoding="utf-8"?>
<sst xmlns="http://schemas.openxmlformats.org/spreadsheetml/2006/main" count="2612" uniqueCount="179">
  <si>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</si>
  <si>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</si>
  <si>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</si>
  <si>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</si>
  <si>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</si>
  <si>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</si>
  <si>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</si>
  <si>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</si>
  <si>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</si>
  <si>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</si>
  <si>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</si>
  <si>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</si>
  <si>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</si>
  <si>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</si>
  <si>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Contracts/ Members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</si>
  <si>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</si>
  <si>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</si>
  <si>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</si>
  <si>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</si>
  <si>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</si>
  <si>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</si>
  <si>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</si>
  <si>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CTD Compensated Premium</t>
  </si>
  <si>
    <t>CTD  Override/  Commission</t>
  </si>
  <si>
    <t>YTD Premium</t>
  </si>
  <si>
    <t>YTD Commission</t>
  </si>
  <si>
    <t>Billing Mode Dim</t>
  </si>
  <si>
    <t>COMMISSIONS</t>
  </si>
  <si>
    <t>INDIVIDUAL</t>
  </si>
  <si>
    <t>INDIVIDUAL NEW BUSINESS</t>
  </si>
  <si>
    <t>107866948-SU-GREGORY K TEIPEL</t>
  </si>
  <si>
    <t xml:space="preserve">Source ID: </t>
  </si>
  <si>
    <t>MB1302</t>
  </si>
  <si>
    <t>BRASTRUP, KAREN</t>
  </si>
  <si>
    <t xml:space="preserve"> </t>
  </si>
  <si>
    <t>BLUEFOCUSPOS^</t>
  </si>
  <si>
    <t>PREM</t>
  </si>
  <si>
    <t>$/Member</t>
  </si>
  <si>
    <t>MB1903</t>
  </si>
  <si>
    <t>JOHNSON, BRET</t>
  </si>
  <si>
    <t>MS1301</t>
  </si>
  <si>
    <t>COVERDELL, RYAN</t>
  </si>
  <si>
    <t>CERRETO, MELISSA</t>
  </si>
  <si>
    <t>BARNETT, ALEXANDER</t>
  </si>
  <si>
    <t>SWANSON, RENAE</t>
  </si>
  <si>
    <t>MOGANNAM, MAURICE</t>
  </si>
  <si>
    <t>MB1900</t>
  </si>
  <si>
    <t>STAHL, TIMOTHY</t>
  </si>
  <si>
    <t>PPO</t>
  </si>
  <si>
    <t>BATTANY, KATHY</t>
  </si>
  <si>
    <t>COURVILLE, SHAILEE</t>
  </si>
  <si>
    <t>BOSTICK, JOSEPH</t>
  </si>
  <si>
    <t>MOORE, CHRISTOPHER</t>
  </si>
  <si>
    <t>ADKINS, BRADLEY</t>
  </si>
  <si>
    <t>107952427-SU-THOMAS PARDUE</t>
  </si>
  <si>
    <t>SHOULDERBLADE, SHANON</t>
  </si>
  <si>
    <t>DAVIS, LEO</t>
  </si>
  <si>
    <t>MB1303</t>
  </si>
  <si>
    <t>YELLOWTAIL, IVAN</t>
  </si>
  <si>
    <t>MB1301</t>
  </si>
  <si>
    <t>BIERLE, TINA</t>
  </si>
  <si>
    <t>SILIEZAR, NATASHA</t>
  </si>
  <si>
    <t>CURLEY, KEVIN</t>
  </si>
  <si>
    <t>KEENE, JOSEPH</t>
  </si>
  <si>
    <t>SCHEAFFER, RODERICK</t>
  </si>
  <si>
    <t>HAMMER, ANNIE</t>
  </si>
  <si>
    <t>JOHNSON, DEBRA</t>
  </si>
  <si>
    <t>FLAGEN, KRYSTAL</t>
  </si>
  <si>
    <t>CUTFINGER, TIFFANY</t>
  </si>
  <si>
    <t>SCOTT, JANA</t>
  </si>
  <si>
    <t>CLARK, THERESA</t>
  </si>
  <si>
    <t>MB1901</t>
  </si>
  <si>
    <t>BAUER, AUDREY</t>
  </si>
  <si>
    <t>DUST, PATRICIA</t>
  </si>
  <si>
    <t>JOHNSON, KRIS</t>
  </si>
  <si>
    <t>DEVEREAUX, PHILIP</t>
  </si>
  <si>
    <t>EAGLE-SPEAKER, CLIFFORD</t>
  </si>
  <si>
    <t>BIGLAKE, TODD</t>
  </si>
  <si>
    <t>STOPS, WESLEY</t>
  </si>
  <si>
    <t>LAROCHE, JAMMIE</t>
  </si>
  <si>
    <t>FILESTEEL, CONNIE</t>
  </si>
  <si>
    <t>BIGLAKE, KODI</t>
  </si>
  <si>
    <t>BACKBONE, KITTI</t>
  </si>
  <si>
    <t>ENICK, JOHN</t>
  </si>
  <si>
    <t>HASTHEEAGLE, JAEDA</t>
  </si>
  <si>
    <t>GOODSON, RAFAEL</t>
  </si>
  <si>
    <t>KENNERLY, KITTY</t>
  </si>
  <si>
    <t>PIGEON, CONNIE</t>
  </si>
  <si>
    <t>RIDES HORSE, LENA</t>
  </si>
  <si>
    <t>FREDERICKS, VIDA</t>
  </si>
  <si>
    <t>BLACK, GERALD</t>
  </si>
  <si>
    <t>MORRISON, DANIELLE</t>
  </si>
  <si>
    <t>CLIFF, CRYSTAL</t>
  </si>
  <si>
    <t>JEFFERSON, WESLEY</t>
  </si>
  <si>
    <t>STOPS, WILLIAM</t>
  </si>
  <si>
    <t>MG1301</t>
  </si>
  <si>
    <t>ETHRIDGE, STEPHEN</t>
  </si>
  <si>
    <t>JANIS, LASHAUNA</t>
  </si>
  <si>
    <t>DECRANE, MARCELEAN</t>
  </si>
  <si>
    <t>FAST HORSE, RAIN</t>
  </si>
  <si>
    <t>CICHOSZ, TEVIN</t>
  </si>
  <si>
    <t>GRANT NEZ PERCE, ANESSA</t>
  </si>
  <si>
    <t>CHANDLER, CYNTHIA</t>
  </si>
  <si>
    <t>BRIAN, BRANDI</t>
  </si>
  <si>
    <t>MITCHELL, JASPER</t>
  </si>
  <si>
    <t>POITRA, JOYLYNN</t>
  </si>
  <si>
    <t>DURAN, ASCENCIO</t>
  </si>
  <si>
    <t>BIG DAY, TENNISON</t>
  </si>
  <si>
    <t>RUNS THROUGH, DOUGLAS</t>
  </si>
  <si>
    <t>LAMERE, RICK</t>
  </si>
  <si>
    <t>COSTA, DORA</t>
  </si>
  <si>
    <t>LIME, MARK</t>
  </si>
  <si>
    <t>BUZZARD, BUDDY</t>
  </si>
  <si>
    <t>ARCHAMBAULT, DOUG</t>
  </si>
  <si>
    <t>GERMAINE, ALLAN</t>
  </si>
  <si>
    <t>DOYLE, DAWN</t>
  </si>
  <si>
    <t>PRONTEAU, DANIEL</t>
  </si>
  <si>
    <t>MAILBOY, CARMELYNN</t>
  </si>
  <si>
    <t>ANDERSON, SHONTRELL</t>
  </si>
  <si>
    <t>BLACKCROW, TRISHA</t>
  </si>
  <si>
    <t>MCCONNELL-HEALY, JAYDACYN</t>
  </si>
  <si>
    <t>SANGREY, KAIALANI</t>
  </si>
  <si>
    <t>INDIVIDUAL RETENTION</t>
  </si>
  <si>
    <t>MS1901</t>
  </si>
  <si>
    <t>OSBORNE, DAVID</t>
  </si>
  <si>
    <t>SMITH, JASON</t>
  </si>
  <si>
    <t>BARTRAM, DONALD</t>
  </si>
  <si>
    <t>BARTRAM, BRIDGER</t>
  </si>
  <si>
    <t>OBERG, RYAN</t>
  </si>
  <si>
    <t>OBERG, ALEXIS</t>
  </si>
  <si>
    <t>PRETTY ON TOP, SAMSON</t>
  </si>
  <si>
    <t>ATKINSON, DENVER</t>
  </si>
  <si>
    <t>FISHER, TAWNY</t>
  </si>
  <si>
    <t>WALKS, RANDALL</t>
  </si>
  <si>
    <t>OVERBERG, FIDELIA</t>
  </si>
  <si>
    <t>CALF-LOOKING, ANNA</t>
  </si>
  <si>
    <t>KING, LEONA</t>
  </si>
  <si>
    <t>MATTER, SUZANNE</t>
  </si>
  <si>
    <t>MCCOLLUM, BOWEN LEE</t>
  </si>
  <si>
    <t>DECOCK, RICKY</t>
  </si>
  <si>
    <t>SPOTTEDBEAR, JESSEY</t>
  </si>
  <si>
    <t>PLAINFEATHER, BENITA</t>
  </si>
  <si>
    <t>RUNNING CRANE, STEPHEN</t>
  </si>
  <si>
    <t>BUCKLES, DENISE</t>
  </si>
  <si>
    <t>PLAINFEATHER, LEVI</t>
  </si>
  <si>
    <t>JEFFERSON, RYAN</t>
  </si>
  <si>
    <t>BUCK, KELLEY</t>
  </si>
  <si>
    <t>HUNTER, TINA</t>
  </si>
  <si>
    <t>LAFORGE DUST, LILLY</t>
  </si>
  <si>
    <t>ALEXANDER, MILTON</t>
  </si>
  <si>
    <t>GREATWALKER, CRYSTAL</t>
  </si>
  <si>
    <t>HALL, STACY</t>
  </si>
  <si>
    <t>HEALY, KELLY</t>
  </si>
  <si>
    <t>WALKS, DELBERT</t>
  </si>
  <si>
    <t>[PMPM=3]</t>
  </si>
  <si>
    <t>[PMPM=2]</t>
  </si>
  <si>
    <t>[PMPM=4]</t>
  </si>
  <si>
    <t>[PMPM=5]</t>
  </si>
  <si>
    <t>BONUS</t>
  </si>
  <si>
    <t>ANDERSON, WENDY</t>
  </si>
  <si>
    <t>New Bus Hth</t>
  </si>
  <si>
    <t>NISWANGER, GRACE</t>
  </si>
  <si>
    <t>107949125-SU-JONATHAN ALOFF</t>
  </si>
  <si>
    <t>WINDER, AMY</t>
  </si>
  <si>
    <t>BERGER, TIFANNY</t>
  </si>
  <si>
    <t>BRADLEY, SHANNON</t>
  </si>
  <si>
    <t>MS1500</t>
  </si>
  <si>
    <t>WOLFCHILD, CHARLOTTE</t>
  </si>
  <si>
    <t>LAFORGE DUST, JOSIAH</t>
  </si>
  <si>
    <t>MAHKUK-MALATARE, VICKIE</t>
  </si>
  <si>
    <t>KAULEY, JOSEPH</t>
  </si>
  <si>
    <t>EAGLEFEATHERS, MYCHAL</t>
  </si>
  <si>
    <t>SMART ENEMY, DARIAN</t>
  </si>
  <si>
    <t>DAY CHILD, JUSTIN</t>
  </si>
  <si>
    <t>WALKSNICE, SEPTEMBER</t>
  </si>
  <si>
    <t>GREGORY K TEIPEL</t>
  </si>
  <si>
    <t>BCBS of MT</t>
  </si>
  <si>
    <t>JONATHAN ALOFF</t>
  </si>
  <si>
    <t>THOMAS PARDUE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</si>
</sst>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0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2" numFmtId="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3.57"/>
    <col customWidth="1" min="3" max="3" width="25.57"/>
    <col customWidth="1" min="4" max="4" width="30.29"/>
    <col customWidth="1" min="5" max="5" width="10.29"/>
    <col customWidth="1" min="6" max="6" width="22.0"/>
    <col customWidth="1" min="7" max="7" width="14.29"/>
    <col customWidth="1" min="8" max="8" width="28.86"/>
    <col customWidth="1" min="9" max="9" width="15.0"/>
    <col customWidth="1" min="10" max="10" width="16.57"/>
    <col customWidth="1" min="11" max="11" width="11.43"/>
    <col customWidth="1" min="12" max="12" width="15.86"/>
    <col customWidth="1" min="13" max="13" width="12.86"/>
    <col customWidth="1" min="14" max="14" width="18.57"/>
    <col customWidth="1" min="15" max="15" width="19.29"/>
    <col customWidth="1" min="16" max="16" width="8.14"/>
    <col customWidth="1" min="17" max="17" width="10.43"/>
    <col customWidth="1" min="18" max="18" width="14.57"/>
    <col customWidth="1" min="19" max="19" width="12.0"/>
    <col customWidth="1" min="20" max="20" width="22.29"/>
    <col customWidth="1" min="21" max="21" width="26.0"/>
    <col customWidth="1" min="22" max="22" width="29.14"/>
    <col customWidth="1" min="23" max="24" width="26.29"/>
    <col customWidth="1" min="25" max="25" width="12.86"/>
    <col customWidth="1" min="26" max="26" width="15.71"/>
    <col customWidth="1" min="27" max="27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>
        <v>9.28105439E8</v>
      </c>
      <c r="G2" s="1" t="s">
        <v>32</v>
      </c>
      <c r="H2" s="1" t="s">
        <v>33</v>
      </c>
      <c r="I2" s="2">
        <v>46054.0</v>
      </c>
      <c r="J2" s="2">
        <v>46054.0</v>
      </c>
      <c r="K2" s="1" t="s">
        <v>34</v>
      </c>
      <c r="L2" s="1" t="s">
        <v>35</v>
      </c>
      <c r="M2" s="1" t="s">
        <v>36</v>
      </c>
      <c r="N2" s="1" t="s">
        <v>37</v>
      </c>
      <c r="O2" s="1">
        <v>1.0</v>
      </c>
      <c r="P2" s="3">
        <v>1.0</v>
      </c>
      <c r="Q2" s="1">
        <v>4.0</v>
      </c>
      <c r="R2" s="2">
        <v>46143.0</v>
      </c>
      <c r="S2" s="2">
        <v>46174.0</v>
      </c>
      <c r="T2" s="4">
        <v>955.6</v>
      </c>
      <c r="U2" s="4">
        <v>20.0</v>
      </c>
      <c r="V2" s="4">
        <v>20.0</v>
      </c>
      <c r="W2" s="4">
        <v>0.0</v>
      </c>
      <c r="X2" s="4">
        <v>0.0</v>
      </c>
      <c r="Y2" s="4">
        <v>3822.4</v>
      </c>
      <c r="Z2" s="4">
        <v>80.0</v>
      </c>
      <c r="AA2" s="1">
        <v>1.0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>
        <v>9.28115975E8</v>
      </c>
      <c r="G3" s="1" t="s">
        <v>38</v>
      </c>
      <c r="H3" s="1" t="s">
        <v>39</v>
      </c>
      <c r="I3" s="2">
        <v>46023.0</v>
      </c>
      <c r="J3" s="2">
        <v>46023.0</v>
      </c>
      <c r="K3" s="1" t="s">
        <v>34</v>
      </c>
      <c r="L3" s="1" t="s">
        <v>35</v>
      </c>
      <c r="M3" s="1" t="s">
        <v>36</v>
      </c>
      <c r="N3" s="1" t="s">
        <v>37</v>
      </c>
      <c r="O3" s="1">
        <v>1.0</v>
      </c>
      <c r="P3" s="3">
        <v>1.0</v>
      </c>
      <c r="Q3" s="1">
        <v>5.0</v>
      </c>
      <c r="R3" s="2">
        <v>46143.0</v>
      </c>
      <c r="S3" s="2">
        <v>46174.0</v>
      </c>
      <c r="T3" s="4">
        <v>1293.33</v>
      </c>
      <c r="U3" s="4">
        <v>20.0</v>
      </c>
      <c r="V3" s="4">
        <v>20.0</v>
      </c>
      <c r="W3" s="4">
        <v>0.0</v>
      </c>
      <c r="X3" s="4">
        <v>0.0</v>
      </c>
      <c r="Y3" s="4">
        <v>6466.65</v>
      </c>
      <c r="Z3" s="4">
        <v>100.0</v>
      </c>
      <c r="AA3" s="1">
        <v>1.0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9.28152107E8</v>
      </c>
      <c r="G4" s="1" t="s">
        <v>40</v>
      </c>
      <c r="H4" s="1" t="s">
        <v>41</v>
      </c>
      <c r="I4" s="2">
        <v>45809.0</v>
      </c>
      <c r="J4" s="2">
        <v>46023.0</v>
      </c>
      <c r="K4" s="1" t="s">
        <v>34</v>
      </c>
      <c r="L4" s="1" t="s">
        <v>35</v>
      </c>
      <c r="M4" s="1" t="s">
        <v>36</v>
      </c>
      <c r="N4" s="1" t="s">
        <v>37</v>
      </c>
      <c r="O4" s="1">
        <v>1.0</v>
      </c>
      <c r="P4" s="3">
        <v>1.0</v>
      </c>
      <c r="Q4" s="1">
        <v>12.0</v>
      </c>
      <c r="R4" s="2">
        <v>46143.0</v>
      </c>
      <c r="S4" s="2">
        <v>46174.0</v>
      </c>
      <c r="T4" s="4">
        <v>957.17</v>
      </c>
      <c r="U4" s="4">
        <v>20.0</v>
      </c>
      <c r="V4" s="4">
        <v>20.0</v>
      </c>
      <c r="W4" s="4">
        <v>0.0</v>
      </c>
      <c r="X4" s="4">
        <v>0.0</v>
      </c>
      <c r="Y4" s="4">
        <v>4785.85</v>
      </c>
      <c r="Z4" s="4">
        <v>100.0</v>
      </c>
      <c r="AA4" s="1">
        <v>1.0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>
        <v>9.28156603E8</v>
      </c>
      <c r="G5" s="1" t="s">
        <v>40</v>
      </c>
      <c r="H5" s="1" t="s">
        <v>42</v>
      </c>
      <c r="I5" s="2">
        <v>46023.0</v>
      </c>
      <c r="J5" s="2">
        <v>46023.0</v>
      </c>
      <c r="K5" s="2">
        <v>46120.0</v>
      </c>
      <c r="L5" s="1" t="s">
        <v>35</v>
      </c>
      <c r="M5" s="1" t="s">
        <v>36</v>
      </c>
      <c r="N5" s="1" t="s">
        <v>37</v>
      </c>
      <c r="O5" s="1">
        <v>-3.0</v>
      </c>
      <c r="P5" s="3">
        <v>1.0</v>
      </c>
      <c r="Q5" s="1">
        <v>4.0</v>
      </c>
      <c r="R5" s="2">
        <v>46113.0</v>
      </c>
      <c r="S5" s="2">
        <v>46143.0</v>
      </c>
      <c r="T5" s="4">
        <v>-2569.83</v>
      </c>
      <c r="U5" s="4">
        <v>20.0</v>
      </c>
      <c r="V5" s="4">
        <v>-60.0</v>
      </c>
      <c r="W5" s="4">
        <v>0.0</v>
      </c>
      <c r="X5" s="4">
        <v>0.0</v>
      </c>
      <c r="Y5" s="4">
        <v>7486.02</v>
      </c>
      <c r="Z5" s="4">
        <v>120.0</v>
      </c>
      <c r="AA5" s="1">
        <v>1.0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>
        <v>9.28156653E8</v>
      </c>
      <c r="G6" s="1" t="s">
        <v>32</v>
      </c>
      <c r="H6" s="1" t="s">
        <v>43</v>
      </c>
      <c r="I6" s="2">
        <v>46023.0</v>
      </c>
      <c r="J6" s="2">
        <v>46023.0</v>
      </c>
      <c r="K6" s="1" t="s">
        <v>34</v>
      </c>
      <c r="L6" s="1" t="s">
        <v>35</v>
      </c>
      <c r="M6" s="1" t="s">
        <v>36</v>
      </c>
      <c r="N6" s="1" t="s">
        <v>37</v>
      </c>
      <c r="O6" s="1">
        <v>1.0</v>
      </c>
      <c r="P6" s="3">
        <v>1.0</v>
      </c>
      <c r="Q6" s="1">
        <v>5.0</v>
      </c>
      <c r="R6" s="2">
        <v>46143.0</v>
      </c>
      <c r="S6" s="2">
        <v>46174.0</v>
      </c>
      <c r="T6" s="4">
        <v>376.9</v>
      </c>
      <c r="U6" s="4">
        <v>20.0</v>
      </c>
      <c r="V6" s="4">
        <v>20.0</v>
      </c>
      <c r="W6" s="4">
        <v>0.0</v>
      </c>
      <c r="X6" s="4">
        <v>0.0</v>
      </c>
      <c r="Y6" s="4">
        <v>1507.6</v>
      </c>
      <c r="Z6" s="4">
        <v>80.0</v>
      </c>
      <c r="AA6" s="1">
        <v>1.0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>
        <v>9.28156995E8</v>
      </c>
      <c r="G7" s="1" t="s">
        <v>40</v>
      </c>
      <c r="H7" s="1" t="s">
        <v>44</v>
      </c>
      <c r="I7" s="2">
        <v>46023.0</v>
      </c>
      <c r="J7" s="2">
        <v>46023.0</v>
      </c>
      <c r="K7" s="1" t="s">
        <v>34</v>
      </c>
      <c r="L7" s="1" t="s">
        <v>35</v>
      </c>
      <c r="M7" s="1" t="s">
        <v>36</v>
      </c>
      <c r="N7" s="1" t="s">
        <v>37</v>
      </c>
      <c r="O7" s="1">
        <v>1.0</v>
      </c>
      <c r="P7" s="3">
        <v>1.0</v>
      </c>
      <c r="Q7" s="1">
        <v>5.0</v>
      </c>
      <c r="R7" s="2">
        <v>46143.0</v>
      </c>
      <c r="S7" s="2">
        <v>46174.0</v>
      </c>
      <c r="T7" s="4">
        <v>1237.8</v>
      </c>
      <c r="U7" s="4">
        <v>20.0</v>
      </c>
      <c r="V7" s="4">
        <v>20.0</v>
      </c>
      <c r="W7" s="4">
        <v>0.0</v>
      </c>
      <c r="X7" s="4">
        <v>0.0</v>
      </c>
      <c r="Y7" s="4">
        <v>6189.0</v>
      </c>
      <c r="Z7" s="4">
        <v>100.0</v>
      </c>
      <c r="AA7" s="1">
        <v>1.0</v>
      </c>
    </row>
    <row r="8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9.28159206E8</v>
      </c>
      <c r="G8" s="1" t="s">
        <v>40</v>
      </c>
      <c r="H8" s="1" t="s">
        <v>45</v>
      </c>
      <c r="I8" s="2">
        <v>46023.0</v>
      </c>
      <c r="J8" s="2">
        <v>46023.0</v>
      </c>
      <c r="K8" s="1" t="s">
        <v>34</v>
      </c>
      <c r="L8" s="1" t="s">
        <v>35</v>
      </c>
      <c r="M8" s="1" t="s">
        <v>36</v>
      </c>
      <c r="N8" s="1" t="s">
        <v>37</v>
      </c>
      <c r="O8" s="1">
        <v>1.0</v>
      </c>
      <c r="P8" s="3">
        <v>1.0</v>
      </c>
      <c r="Q8" s="1">
        <v>5.0</v>
      </c>
      <c r="R8" s="2">
        <v>46143.0</v>
      </c>
      <c r="S8" s="2">
        <v>46174.0</v>
      </c>
      <c r="T8" s="4">
        <v>1292.52</v>
      </c>
      <c r="U8" s="4">
        <v>20.0</v>
      </c>
      <c r="V8" s="4">
        <v>20.0</v>
      </c>
      <c r="W8" s="4">
        <v>0.0</v>
      </c>
      <c r="X8" s="4">
        <v>0.0</v>
      </c>
      <c r="Y8" s="4">
        <v>6462.6</v>
      </c>
      <c r="Z8" s="4">
        <v>100.0</v>
      </c>
      <c r="AA8" s="1">
        <v>1.0</v>
      </c>
    </row>
    <row r="9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>
        <v>9.28161115E8</v>
      </c>
      <c r="G9" s="1" t="s">
        <v>46</v>
      </c>
      <c r="H9" s="1" t="s">
        <v>47</v>
      </c>
      <c r="I9" s="2">
        <v>46054.0</v>
      </c>
      <c r="J9" s="2">
        <v>46054.0</v>
      </c>
      <c r="K9" s="1" t="s">
        <v>34</v>
      </c>
      <c r="L9" s="1" t="s">
        <v>48</v>
      </c>
      <c r="M9" s="1" t="s">
        <v>36</v>
      </c>
      <c r="N9" s="1" t="s">
        <v>37</v>
      </c>
      <c r="O9" s="1">
        <v>1.0</v>
      </c>
      <c r="P9" s="3">
        <v>1.0</v>
      </c>
      <c r="Q9" s="1">
        <v>4.0</v>
      </c>
      <c r="R9" s="2">
        <v>46143.0</v>
      </c>
      <c r="S9" s="2">
        <v>46174.0</v>
      </c>
      <c r="T9" s="4">
        <v>1176.52</v>
      </c>
      <c r="U9" s="4">
        <v>20.0</v>
      </c>
      <c r="V9" s="4">
        <v>20.0</v>
      </c>
      <c r="W9" s="4">
        <v>0.0</v>
      </c>
      <c r="X9" s="4">
        <v>0.0</v>
      </c>
      <c r="Y9" s="4">
        <v>4706.08</v>
      </c>
      <c r="Z9" s="4">
        <v>80.0</v>
      </c>
      <c r="AA9" s="1">
        <v>1.0</v>
      </c>
    </row>
    <row r="10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1">
        <v>9.2816165E8</v>
      </c>
      <c r="G10" s="1" t="s">
        <v>40</v>
      </c>
      <c r="H10" s="1" t="s">
        <v>49</v>
      </c>
      <c r="I10" s="2">
        <v>46082.0</v>
      </c>
      <c r="J10" s="2">
        <v>46082.0</v>
      </c>
      <c r="K10" s="1" t="s">
        <v>34</v>
      </c>
      <c r="L10" s="1" t="s">
        <v>35</v>
      </c>
      <c r="M10" s="1" t="s">
        <v>36</v>
      </c>
      <c r="N10" s="1" t="s">
        <v>37</v>
      </c>
      <c r="O10" s="1">
        <v>1.0</v>
      </c>
      <c r="P10" s="3">
        <v>1.0</v>
      </c>
      <c r="Q10" s="1">
        <v>1.0</v>
      </c>
      <c r="R10" s="2">
        <v>46082.0</v>
      </c>
      <c r="S10" s="2">
        <v>46113.0</v>
      </c>
      <c r="T10" s="4">
        <v>1169.3</v>
      </c>
      <c r="U10" s="4">
        <v>20.0</v>
      </c>
      <c r="V10" s="4">
        <v>20.0</v>
      </c>
      <c r="W10" s="4">
        <v>0.0</v>
      </c>
      <c r="X10" s="4">
        <v>0.0</v>
      </c>
      <c r="Y10" s="4">
        <v>1169.3</v>
      </c>
      <c r="Z10" s="4">
        <v>20.0</v>
      </c>
      <c r="AA10" s="1">
        <v>1.0</v>
      </c>
    </row>
    <row r="11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>
        <v>9.2816165E8</v>
      </c>
      <c r="G11" s="1" t="s">
        <v>40</v>
      </c>
      <c r="H11" s="1" t="s">
        <v>49</v>
      </c>
      <c r="I11" s="2">
        <v>46082.0</v>
      </c>
      <c r="J11" s="2">
        <v>46082.0</v>
      </c>
      <c r="K11" s="1" t="s">
        <v>34</v>
      </c>
      <c r="L11" s="1" t="s">
        <v>35</v>
      </c>
      <c r="M11" s="1" t="s">
        <v>36</v>
      </c>
      <c r="N11" s="1" t="s">
        <v>37</v>
      </c>
      <c r="O11" s="1">
        <v>1.0</v>
      </c>
      <c r="P11" s="3">
        <v>1.0</v>
      </c>
      <c r="Q11" s="1">
        <v>2.0</v>
      </c>
      <c r="R11" s="2">
        <v>46113.0</v>
      </c>
      <c r="S11" s="2">
        <v>46143.0</v>
      </c>
      <c r="T11" s="4">
        <v>1169.3</v>
      </c>
      <c r="U11" s="4">
        <v>20.0</v>
      </c>
      <c r="V11" s="4">
        <v>20.0</v>
      </c>
      <c r="W11" s="4">
        <v>0.0</v>
      </c>
      <c r="X11" s="4">
        <v>0.0</v>
      </c>
      <c r="Y11" s="4">
        <v>2338.6</v>
      </c>
      <c r="Z11" s="4">
        <v>40.0</v>
      </c>
      <c r="AA11" s="1">
        <v>1.0</v>
      </c>
    </row>
    <row r="12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1">
        <v>9.2816165E8</v>
      </c>
      <c r="G12" s="1" t="s">
        <v>40</v>
      </c>
      <c r="H12" s="1" t="s">
        <v>49</v>
      </c>
      <c r="I12" s="2">
        <v>46082.0</v>
      </c>
      <c r="J12" s="2">
        <v>46082.0</v>
      </c>
      <c r="K12" s="1" t="s">
        <v>34</v>
      </c>
      <c r="L12" s="1" t="s">
        <v>35</v>
      </c>
      <c r="M12" s="1" t="s">
        <v>36</v>
      </c>
      <c r="N12" s="1" t="s">
        <v>37</v>
      </c>
      <c r="O12" s="1">
        <v>1.0</v>
      </c>
      <c r="P12" s="3">
        <v>1.0</v>
      </c>
      <c r="Q12" s="1">
        <v>3.0</v>
      </c>
      <c r="R12" s="2">
        <v>46143.0</v>
      </c>
      <c r="S12" s="2">
        <v>46174.0</v>
      </c>
      <c r="T12" s="4">
        <v>1169.3</v>
      </c>
      <c r="U12" s="4">
        <v>20.0</v>
      </c>
      <c r="V12" s="4">
        <v>20.0</v>
      </c>
      <c r="W12" s="4">
        <v>0.0</v>
      </c>
      <c r="X12" s="4">
        <v>0.0</v>
      </c>
      <c r="Y12" s="4">
        <v>3507.9</v>
      </c>
      <c r="Z12" s="4">
        <v>60.0</v>
      </c>
      <c r="AA12" s="1">
        <v>1.0</v>
      </c>
    </row>
    <row r="13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1">
        <v>9.28161711E8</v>
      </c>
      <c r="G13" s="1" t="s">
        <v>46</v>
      </c>
      <c r="H13" s="1" t="s">
        <v>50</v>
      </c>
      <c r="I13" s="2">
        <v>46082.0</v>
      </c>
      <c r="J13" s="2">
        <v>46082.0</v>
      </c>
      <c r="K13" s="1" t="s">
        <v>34</v>
      </c>
      <c r="L13" s="1" t="s">
        <v>48</v>
      </c>
      <c r="M13" s="1" t="s">
        <v>36</v>
      </c>
      <c r="N13" s="1" t="s">
        <v>37</v>
      </c>
      <c r="O13" s="1">
        <v>1.0</v>
      </c>
      <c r="P13" s="3">
        <v>1.0</v>
      </c>
      <c r="Q13" s="1">
        <v>3.0</v>
      </c>
      <c r="R13" s="2">
        <v>46143.0</v>
      </c>
      <c r="S13" s="2">
        <v>46174.0</v>
      </c>
      <c r="T13" s="4">
        <v>471.08</v>
      </c>
      <c r="U13" s="4">
        <v>20.0</v>
      </c>
      <c r="V13" s="4">
        <v>20.0</v>
      </c>
      <c r="W13" s="4">
        <v>0.0</v>
      </c>
      <c r="X13" s="4">
        <v>0.0</v>
      </c>
      <c r="Y13" s="4">
        <v>895.05</v>
      </c>
      <c r="Z13" s="4">
        <v>20.0</v>
      </c>
      <c r="AA13" s="1">
        <v>1.0</v>
      </c>
    </row>
    <row r="14">
      <c r="A14" s="1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>
        <v>9.28161711E8</v>
      </c>
      <c r="G14" s="1" t="s">
        <v>46</v>
      </c>
      <c r="H14" s="1" t="s">
        <v>50</v>
      </c>
      <c r="I14" s="2">
        <v>46082.0</v>
      </c>
      <c r="J14" s="2">
        <v>46082.0</v>
      </c>
      <c r="K14" s="2">
        <v>46140.0</v>
      </c>
      <c r="L14" s="1" t="s">
        <v>48</v>
      </c>
      <c r="M14" s="1" t="s">
        <v>36</v>
      </c>
      <c r="N14" s="1" t="s">
        <v>37</v>
      </c>
      <c r="O14" s="1">
        <v>-1.0</v>
      </c>
      <c r="P14" s="3">
        <v>1.0</v>
      </c>
      <c r="Q14" s="1">
        <v>2.0</v>
      </c>
      <c r="R14" s="2">
        <v>46113.0</v>
      </c>
      <c r="S14" s="2">
        <v>46143.0</v>
      </c>
      <c r="T14" s="4">
        <v>-47.11</v>
      </c>
      <c r="U14" s="4">
        <v>20.0</v>
      </c>
      <c r="V14" s="4">
        <v>-20.0</v>
      </c>
      <c r="W14" s="4">
        <v>0.0</v>
      </c>
      <c r="X14" s="4">
        <v>0.0</v>
      </c>
      <c r="Y14" s="4">
        <v>895.05</v>
      </c>
      <c r="Z14" s="4">
        <v>20.0</v>
      </c>
      <c r="AA14" s="1">
        <v>1.0</v>
      </c>
    </row>
    <row r="15">
      <c r="A15" s="1" t="s">
        <v>27</v>
      </c>
      <c r="B15" s="1" t="s">
        <v>28</v>
      </c>
      <c r="C15" s="1" t="s">
        <v>29</v>
      </c>
      <c r="D15" s="1" t="s">
        <v>30</v>
      </c>
      <c r="E15" s="1" t="s">
        <v>31</v>
      </c>
      <c r="F15" s="1">
        <v>9.28161711E8</v>
      </c>
      <c r="G15" s="1" t="s">
        <v>46</v>
      </c>
      <c r="H15" s="1" t="s">
        <v>50</v>
      </c>
      <c r="I15" s="2">
        <v>46082.0</v>
      </c>
      <c r="J15" s="2">
        <v>46082.0</v>
      </c>
      <c r="K15" s="2">
        <v>46140.0</v>
      </c>
      <c r="L15" s="1" t="s">
        <v>48</v>
      </c>
      <c r="M15" s="1" t="s">
        <v>36</v>
      </c>
      <c r="N15" s="1" t="s">
        <v>37</v>
      </c>
      <c r="O15" s="1">
        <v>-1.0</v>
      </c>
      <c r="P15" s="3">
        <v>1.0</v>
      </c>
      <c r="Q15" s="1">
        <v>3.0</v>
      </c>
      <c r="R15" s="2">
        <v>46143.0</v>
      </c>
      <c r="S15" s="2">
        <v>46174.0</v>
      </c>
      <c r="T15" s="4">
        <v>-471.08</v>
      </c>
      <c r="U15" s="4">
        <v>20.0</v>
      </c>
      <c r="V15" s="4">
        <v>-20.0</v>
      </c>
      <c r="W15" s="4">
        <v>0.0</v>
      </c>
      <c r="X15" s="4">
        <v>0.0</v>
      </c>
      <c r="Y15" s="4">
        <v>895.05</v>
      </c>
      <c r="Z15" s="4">
        <v>20.0</v>
      </c>
      <c r="AA15" s="1">
        <v>1.0</v>
      </c>
    </row>
    <row r="16">
      <c r="A16" s="1" t="s">
        <v>27</v>
      </c>
      <c r="B16" s="1" t="s">
        <v>28</v>
      </c>
      <c r="C16" s="1" t="s">
        <v>29</v>
      </c>
      <c r="D16" s="1" t="s">
        <v>30</v>
      </c>
      <c r="E16" s="1" t="s">
        <v>31</v>
      </c>
      <c r="F16" s="1">
        <v>9.28161819E8</v>
      </c>
      <c r="G16" s="1" t="s">
        <v>40</v>
      </c>
      <c r="H16" s="1" t="s">
        <v>51</v>
      </c>
      <c r="I16" s="2">
        <v>46082.0</v>
      </c>
      <c r="J16" s="2">
        <v>46082.0</v>
      </c>
      <c r="K16" s="1" t="s">
        <v>34</v>
      </c>
      <c r="L16" s="1" t="s">
        <v>35</v>
      </c>
      <c r="M16" s="1" t="s">
        <v>36</v>
      </c>
      <c r="N16" s="1" t="s">
        <v>37</v>
      </c>
      <c r="O16" s="1">
        <v>1.0</v>
      </c>
      <c r="P16" s="3">
        <v>1.0</v>
      </c>
      <c r="Q16" s="1">
        <v>3.0</v>
      </c>
      <c r="R16" s="2">
        <v>46143.0</v>
      </c>
      <c r="S16" s="2">
        <v>46174.0</v>
      </c>
      <c r="T16" s="4">
        <v>1292.52</v>
      </c>
      <c r="U16" s="4">
        <v>20.0</v>
      </c>
      <c r="V16" s="4">
        <v>20.0</v>
      </c>
      <c r="W16" s="4">
        <v>0.0</v>
      </c>
      <c r="X16" s="4">
        <v>0.0</v>
      </c>
      <c r="Y16" s="4">
        <v>3877.56</v>
      </c>
      <c r="Z16" s="4">
        <v>60.0</v>
      </c>
      <c r="AA16" s="1">
        <v>1.0</v>
      </c>
    </row>
    <row r="17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1">
        <v>9.2816195E8</v>
      </c>
      <c r="G17" s="1" t="s">
        <v>40</v>
      </c>
      <c r="H17" s="1" t="s">
        <v>52</v>
      </c>
      <c r="I17" s="2">
        <v>46113.0</v>
      </c>
      <c r="J17" s="2">
        <v>46113.0</v>
      </c>
      <c r="K17" s="1" t="s">
        <v>34</v>
      </c>
      <c r="L17" s="1" t="s">
        <v>35</v>
      </c>
      <c r="M17" s="1" t="s">
        <v>36</v>
      </c>
      <c r="N17" s="1" t="s">
        <v>37</v>
      </c>
      <c r="O17" s="1">
        <v>1.0</v>
      </c>
      <c r="P17" s="3">
        <v>1.0</v>
      </c>
      <c r="Q17" s="1">
        <v>2.0</v>
      </c>
      <c r="R17" s="2">
        <v>46143.0</v>
      </c>
      <c r="S17" s="2">
        <v>46174.0</v>
      </c>
      <c r="T17" s="4">
        <v>601.88</v>
      </c>
      <c r="U17" s="4">
        <v>20.0</v>
      </c>
      <c r="V17" s="4">
        <v>20.0</v>
      </c>
      <c r="W17" s="4">
        <v>0.0</v>
      </c>
      <c r="X17" s="4">
        <v>0.0</v>
      </c>
      <c r="Y17" s="4">
        <v>1203.76</v>
      </c>
      <c r="Z17" s="4">
        <v>40.0</v>
      </c>
      <c r="AA17" s="1">
        <v>1.0</v>
      </c>
    </row>
    <row r="18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1">
        <v>9.2816199E8</v>
      </c>
      <c r="G18" s="1" t="s">
        <v>40</v>
      </c>
      <c r="H18" s="1" t="s">
        <v>53</v>
      </c>
      <c r="I18" s="2">
        <v>46113.0</v>
      </c>
      <c r="J18" s="2">
        <v>46113.0</v>
      </c>
      <c r="K18" s="1" t="s">
        <v>34</v>
      </c>
      <c r="L18" s="1" t="s">
        <v>35</v>
      </c>
      <c r="M18" s="1" t="s">
        <v>36</v>
      </c>
      <c r="N18" s="1" t="s">
        <v>37</v>
      </c>
      <c r="O18" s="1">
        <v>2.0</v>
      </c>
      <c r="P18" s="3">
        <v>1.0</v>
      </c>
      <c r="Q18" s="1">
        <v>2.0</v>
      </c>
      <c r="R18" s="2">
        <v>46143.0</v>
      </c>
      <c r="S18" s="2">
        <v>46174.0</v>
      </c>
      <c r="T18" s="4">
        <v>1209.68</v>
      </c>
      <c r="U18" s="4">
        <v>20.0</v>
      </c>
      <c r="V18" s="4">
        <v>40.0</v>
      </c>
      <c r="W18" s="4">
        <v>0.0</v>
      </c>
      <c r="X18" s="4">
        <v>0.0</v>
      </c>
      <c r="Y18" s="4">
        <v>2419.36</v>
      </c>
      <c r="Z18" s="4">
        <v>80.0</v>
      </c>
      <c r="AA18" s="1">
        <v>1.0</v>
      </c>
    </row>
    <row r="19">
      <c r="A19" s="1" t="s">
        <v>27</v>
      </c>
      <c r="B19" s="1" t="s">
        <v>28</v>
      </c>
      <c r="C19" s="1" t="s">
        <v>29</v>
      </c>
      <c r="D19" s="1" t="s">
        <v>54</v>
      </c>
      <c r="E19" s="1" t="s">
        <v>31</v>
      </c>
      <c r="F19" s="1">
        <v>9.26789246E8</v>
      </c>
      <c r="G19" s="1" t="s">
        <v>32</v>
      </c>
      <c r="H19" s="1" t="s">
        <v>55</v>
      </c>
      <c r="I19" s="2">
        <v>45992.0</v>
      </c>
      <c r="J19" s="2">
        <v>46023.0</v>
      </c>
      <c r="K19" s="1" t="s">
        <v>34</v>
      </c>
      <c r="L19" s="1" t="s">
        <v>35</v>
      </c>
      <c r="M19" s="1" t="s">
        <v>36</v>
      </c>
      <c r="N19" s="1" t="s">
        <v>37</v>
      </c>
      <c r="O19" s="1">
        <v>1.0</v>
      </c>
      <c r="P19" s="3">
        <v>1.0</v>
      </c>
      <c r="Q19" s="1">
        <v>2.0</v>
      </c>
      <c r="R19" s="2">
        <v>46023.0</v>
      </c>
      <c r="S19" s="2">
        <v>46054.0</v>
      </c>
      <c r="T19" s="4">
        <v>540.29</v>
      </c>
      <c r="U19" s="4">
        <v>20.0</v>
      </c>
      <c r="V19" s="4">
        <v>20.0</v>
      </c>
      <c r="W19" s="4">
        <v>0.0</v>
      </c>
      <c r="X19" s="4">
        <v>0.0</v>
      </c>
      <c r="Y19" s="4">
        <v>1080.58</v>
      </c>
      <c r="Z19" s="4">
        <v>40.0</v>
      </c>
      <c r="AA19" s="1">
        <v>1.0</v>
      </c>
    </row>
    <row r="20">
      <c r="A20" s="1" t="s">
        <v>27</v>
      </c>
      <c r="B20" s="1" t="s">
        <v>28</v>
      </c>
      <c r="C20" s="1" t="s">
        <v>29</v>
      </c>
      <c r="D20" s="1" t="s">
        <v>54</v>
      </c>
      <c r="E20" s="1" t="s">
        <v>31</v>
      </c>
      <c r="F20" s="1">
        <v>9.26789246E8</v>
      </c>
      <c r="G20" s="1" t="s">
        <v>32</v>
      </c>
      <c r="H20" s="1" t="s">
        <v>55</v>
      </c>
      <c r="I20" s="2">
        <v>45992.0</v>
      </c>
      <c r="J20" s="2">
        <v>46023.0</v>
      </c>
      <c r="K20" s="1" t="s">
        <v>34</v>
      </c>
      <c r="L20" s="1" t="s">
        <v>35</v>
      </c>
      <c r="M20" s="1" t="s">
        <v>36</v>
      </c>
      <c r="N20" s="1" t="s">
        <v>37</v>
      </c>
      <c r="O20" s="1">
        <v>1.0</v>
      </c>
      <c r="P20" s="3">
        <v>1.0</v>
      </c>
      <c r="Q20" s="1">
        <v>3.0</v>
      </c>
      <c r="R20" s="2">
        <v>46054.0</v>
      </c>
      <c r="S20" s="2">
        <v>46082.0</v>
      </c>
      <c r="T20" s="4">
        <v>540.29</v>
      </c>
      <c r="U20" s="4">
        <v>20.0</v>
      </c>
      <c r="V20" s="4">
        <v>20.0</v>
      </c>
      <c r="W20" s="4">
        <v>0.0</v>
      </c>
      <c r="X20" s="4">
        <v>0.0</v>
      </c>
      <c r="Y20" s="4">
        <v>2161.16</v>
      </c>
      <c r="Z20" s="4">
        <v>80.0</v>
      </c>
      <c r="AA20" s="1">
        <v>1.0</v>
      </c>
    </row>
    <row r="21" ht="15.75" customHeight="1">
      <c r="A21" s="1" t="s">
        <v>27</v>
      </c>
      <c r="B21" s="1" t="s">
        <v>28</v>
      </c>
      <c r="C21" s="1" t="s">
        <v>29</v>
      </c>
      <c r="D21" s="1" t="s">
        <v>54</v>
      </c>
      <c r="E21" s="1" t="s">
        <v>31</v>
      </c>
      <c r="F21" s="1">
        <v>9.26789246E8</v>
      </c>
      <c r="G21" s="1" t="s">
        <v>32</v>
      </c>
      <c r="H21" s="1" t="s">
        <v>55</v>
      </c>
      <c r="I21" s="2">
        <v>45992.0</v>
      </c>
      <c r="J21" s="2">
        <v>46023.0</v>
      </c>
      <c r="K21" s="1" t="s">
        <v>34</v>
      </c>
      <c r="L21" s="1" t="s">
        <v>35</v>
      </c>
      <c r="M21" s="1" t="s">
        <v>36</v>
      </c>
      <c r="N21" s="1" t="s">
        <v>37</v>
      </c>
      <c r="O21" s="1">
        <v>1.0</v>
      </c>
      <c r="P21" s="3">
        <v>1.0</v>
      </c>
      <c r="Q21" s="1">
        <v>4.0</v>
      </c>
      <c r="R21" s="2">
        <v>46082.0</v>
      </c>
      <c r="S21" s="2">
        <v>46113.0</v>
      </c>
      <c r="T21" s="4">
        <v>540.29</v>
      </c>
      <c r="U21" s="4">
        <v>20.0</v>
      </c>
      <c r="V21" s="4">
        <v>20.0</v>
      </c>
      <c r="W21" s="4">
        <v>0.0</v>
      </c>
      <c r="X21" s="4">
        <v>0.0</v>
      </c>
      <c r="Y21" s="4">
        <v>3241.74</v>
      </c>
      <c r="Z21" s="4">
        <v>120.0</v>
      </c>
      <c r="AA21" s="1">
        <v>1.0</v>
      </c>
    </row>
    <row r="22" ht="15.75" customHeight="1">
      <c r="A22" s="1" t="s">
        <v>27</v>
      </c>
      <c r="B22" s="1" t="s">
        <v>28</v>
      </c>
      <c r="C22" s="1" t="s">
        <v>29</v>
      </c>
      <c r="D22" s="1" t="s">
        <v>54</v>
      </c>
      <c r="E22" s="1" t="s">
        <v>31</v>
      </c>
      <c r="F22" s="1">
        <v>9.28055228E8</v>
      </c>
      <c r="G22" s="1" t="s">
        <v>46</v>
      </c>
      <c r="H22" s="1" t="s">
        <v>56</v>
      </c>
      <c r="I22" s="2">
        <v>45870.0</v>
      </c>
      <c r="J22" s="2">
        <v>46113.0</v>
      </c>
      <c r="K22" s="1" t="s">
        <v>34</v>
      </c>
      <c r="L22" s="1" t="s">
        <v>48</v>
      </c>
      <c r="M22" s="1" t="s">
        <v>36</v>
      </c>
      <c r="N22" s="1" t="s">
        <v>37</v>
      </c>
      <c r="O22" s="1">
        <v>4.0</v>
      </c>
      <c r="P22" s="3">
        <v>1.0</v>
      </c>
      <c r="Q22" s="1">
        <v>10.0</v>
      </c>
      <c r="R22" s="2">
        <v>46143.0</v>
      </c>
      <c r="S22" s="2">
        <v>46174.0</v>
      </c>
      <c r="T22" s="4">
        <v>1372.84</v>
      </c>
      <c r="U22" s="4">
        <v>20.0</v>
      </c>
      <c r="V22" s="4">
        <v>80.0</v>
      </c>
      <c r="W22" s="4">
        <v>0.0</v>
      </c>
      <c r="X22" s="4">
        <v>0.0</v>
      </c>
      <c r="Y22" s="4">
        <v>6864.2</v>
      </c>
      <c r="Z22" s="4">
        <v>400.0</v>
      </c>
      <c r="AA22" s="1">
        <v>1.0</v>
      </c>
    </row>
    <row r="23" ht="15.75" customHeight="1">
      <c r="A23" s="1" t="s">
        <v>27</v>
      </c>
      <c r="B23" s="1" t="s">
        <v>28</v>
      </c>
      <c r="C23" s="1" t="s">
        <v>29</v>
      </c>
      <c r="D23" s="1" t="s">
        <v>54</v>
      </c>
      <c r="E23" s="1" t="s">
        <v>31</v>
      </c>
      <c r="F23" s="1">
        <v>9.2806003E8</v>
      </c>
      <c r="G23" s="1" t="s">
        <v>57</v>
      </c>
      <c r="H23" s="1" t="s">
        <v>58</v>
      </c>
      <c r="I23" s="2">
        <v>45931.0</v>
      </c>
      <c r="J23" s="2">
        <v>46023.0</v>
      </c>
      <c r="K23" s="1" t="s">
        <v>34</v>
      </c>
      <c r="L23" s="1" t="s">
        <v>35</v>
      </c>
      <c r="M23" s="1" t="s">
        <v>36</v>
      </c>
      <c r="N23" s="1" t="s">
        <v>37</v>
      </c>
      <c r="O23" s="1">
        <v>1.0</v>
      </c>
      <c r="P23" s="3">
        <v>1.0</v>
      </c>
      <c r="Q23" s="1">
        <v>5.0</v>
      </c>
      <c r="R23" s="2">
        <v>46054.0</v>
      </c>
      <c r="S23" s="2">
        <v>46082.0</v>
      </c>
      <c r="T23" s="4">
        <v>359.83</v>
      </c>
      <c r="U23" s="4">
        <v>20.0</v>
      </c>
      <c r="V23" s="4">
        <v>20.0</v>
      </c>
      <c r="W23" s="4">
        <v>0.0</v>
      </c>
      <c r="X23" s="4">
        <v>0.0</v>
      </c>
      <c r="Y23" s="4">
        <v>719.66</v>
      </c>
      <c r="Z23" s="4">
        <v>40.0</v>
      </c>
      <c r="AA23" s="1">
        <v>1.0</v>
      </c>
    </row>
    <row r="24" ht="15.75" customHeight="1">
      <c r="A24" s="1" t="s">
        <v>27</v>
      </c>
      <c r="B24" s="1" t="s">
        <v>28</v>
      </c>
      <c r="C24" s="1" t="s">
        <v>29</v>
      </c>
      <c r="D24" s="1" t="s">
        <v>54</v>
      </c>
      <c r="E24" s="1" t="s">
        <v>31</v>
      </c>
      <c r="F24" s="1">
        <v>9.28092285E8</v>
      </c>
      <c r="G24" s="1" t="s">
        <v>59</v>
      </c>
      <c r="H24" s="1" t="s">
        <v>60</v>
      </c>
      <c r="I24" s="2">
        <v>45931.0</v>
      </c>
      <c r="J24" s="2">
        <v>46023.0</v>
      </c>
      <c r="K24" s="1" t="s">
        <v>34</v>
      </c>
      <c r="L24" s="1" t="s">
        <v>48</v>
      </c>
      <c r="M24" s="1" t="s">
        <v>36</v>
      </c>
      <c r="N24" s="1" t="s">
        <v>37</v>
      </c>
      <c r="O24" s="1">
        <v>1.0</v>
      </c>
      <c r="P24" s="3">
        <v>1.0</v>
      </c>
      <c r="Q24" s="1">
        <v>8.0</v>
      </c>
      <c r="R24" s="2">
        <v>46143.0</v>
      </c>
      <c r="S24" s="2">
        <v>46174.0</v>
      </c>
      <c r="T24" s="4">
        <v>1234.27</v>
      </c>
      <c r="U24" s="4">
        <v>20.0</v>
      </c>
      <c r="V24" s="4">
        <v>20.0</v>
      </c>
      <c r="W24" s="4">
        <v>0.0</v>
      </c>
      <c r="X24" s="4">
        <v>0.0</v>
      </c>
      <c r="Y24" s="4">
        <v>6171.35</v>
      </c>
      <c r="Z24" s="4">
        <v>100.0</v>
      </c>
      <c r="AA24" s="1">
        <v>1.0</v>
      </c>
    </row>
    <row r="25" ht="15.75" customHeight="1">
      <c r="A25" s="1" t="s">
        <v>27</v>
      </c>
      <c r="B25" s="1" t="s">
        <v>28</v>
      </c>
      <c r="C25" s="1" t="s">
        <v>29</v>
      </c>
      <c r="D25" s="1" t="s">
        <v>54</v>
      </c>
      <c r="E25" s="1" t="s">
        <v>31</v>
      </c>
      <c r="F25" s="1">
        <v>9.28106264E8</v>
      </c>
      <c r="G25" s="1" t="s">
        <v>46</v>
      </c>
      <c r="H25" s="1" t="s">
        <v>61</v>
      </c>
      <c r="I25" s="2">
        <v>45962.0</v>
      </c>
      <c r="J25" s="2">
        <v>46143.0</v>
      </c>
      <c r="K25" s="1" t="s">
        <v>34</v>
      </c>
      <c r="L25" s="1" t="s">
        <v>48</v>
      </c>
      <c r="M25" s="1" t="s">
        <v>36</v>
      </c>
      <c r="N25" s="1" t="s">
        <v>37</v>
      </c>
      <c r="O25" s="1">
        <v>1.0</v>
      </c>
      <c r="P25" s="3">
        <v>1.0</v>
      </c>
      <c r="Q25" s="1">
        <v>7.0</v>
      </c>
      <c r="R25" s="2">
        <v>46143.0</v>
      </c>
      <c r="S25" s="2">
        <v>46174.0</v>
      </c>
      <c r="T25" s="4">
        <v>650.25</v>
      </c>
      <c r="U25" s="4">
        <v>20.0</v>
      </c>
      <c r="V25" s="4">
        <v>20.0</v>
      </c>
      <c r="W25" s="4">
        <v>0.0</v>
      </c>
      <c r="X25" s="4">
        <v>0.0</v>
      </c>
      <c r="Y25" s="4">
        <v>650.25</v>
      </c>
      <c r="Z25" s="4">
        <v>20.0</v>
      </c>
      <c r="AA25" s="1">
        <v>1.0</v>
      </c>
    </row>
    <row r="26" ht="15.75" customHeight="1">
      <c r="A26" s="1" t="s">
        <v>27</v>
      </c>
      <c r="B26" s="1" t="s">
        <v>28</v>
      </c>
      <c r="C26" s="1" t="s">
        <v>29</v>
      </c>
      <c r="D26" s="1" t="s">
        <v>54</v>
      </c>
      <c r="E26" s="1" t="s">
        <v>31</v>
      </c>
      <c r="F26" s="1">
        <v>9.28114172E8</v>
      </c>
      <c r="G26" s="1" t="s">
        <v>46</v>
      </c>
      <c r="H26" s="1" t="s">
        <v>62</v>
      </c>
      <c r="I26" s="2">
        <v>46143.0</v>
      </c>
      <c r="J26" s="2">
        <v>46143.0</v>
      </c>
      <c r="K26" s="1" t="s">
        <v>34</v>
      </c>
      <c r="L26" s="1" t="s">
        <v>48</v>
      </c>
      <c r="M26" s="1" t="s">
        <v>36</v>
      </c>
      <c r="N26" s="1" t="s">
        <v>37</v>
      </c>
      <c r="O26" s="1">
        <v>1.0</v>
      </c>
      <c r="P26" s="3">
        <v>1.0</v>
      </c>
      <c r="Q26" s="1">
        <v>1.0</v>
      </c>
      <c r="R26" s="2">
        <v>46143.0</v>
      </c>
      <c r="S26" s="2">
        <v>46174.0</v>
      </c>
      <c r="T26" s="4">
        <v>1011.36</v>
      </c>
      <c r="U26" s="4">
        <v>20.0</v>
      </c>
      <c r="V26" s="4">
        <v>20.0</v>
      </c>
      <c r="W26" s="4">
        <v>0.0</v>
      </c>
      <c r="X26" s="4">
        <v>0.0</v>
      </c>
      <c r="Y26" s="4">
        <v>1011.36</v>
      </c>
      <c r="Z26" s="4">
        <v>20.0</v>
      </c>
      <c r="AA26" s="1">
        <v>1.0</v>
      </c>
    </row>
    <row r="27" ht="15.75" customHeight="1">
      <c r="A27" s="1" t="s">
        <v>27</v>
      </c>
      <c r="B27" s="1" t="s">
        <v>28</v>
      </c>
      <c r="C27" s="1" t="s">
        <v>29</v>
      </c>
      <c r="D27" s="1" t="s">
        <v>54</v>
      </c>
      <c r="E27" s="1" t="s">
        <v>31</v>
      </c>
      <c r="F27" s="1">
        <v>9.2811741E8</v>
      </c>
      <c r="G27" s="1" t="s">
        <v>46</v>
      </c>
      <c r="H27" s="1" t="s">
        <v>63</v>
      </c>
      <c r="I27" s="2">
        <v>46054.0</v>
      </c>
      <c r="J27" s="2">
        <v>46054.0</v>
      </c>
      <c r="K27" s="1" t="s">
        <v>34</v>
      </c>
      <c r="L27" s="1" t="s">
        <v>48</v>
      </c>
      <c r="M27" s="1" t="s">
        <v>36</v>
      </c>
      <c r="N27" s="1" t="s">
        <v>37</v>
      </c>
      <c r="O27" s="1">
        <v>3.0</v>
      </c>
      <c r="P27" s="3">
        <v>1.0</v>
      </c>
      <c r="Q27" s="1">
        <v>4.0</v>
      </c>
      <c r="R27" s="2">
        <v>46143.0</v>
      </c>
      <c r="S27" s="2">
        <v>46174.0</v>
      </c>
      <c r="T27" s="4">
        <v>1466.97</v>
      </c>
      <c r="U27" s="4">
        <v>20.0</v>
      </c>
      <c r="V27" s="4">
        <v>60.0</v>
      </c>
      <c r="W27" s="4">
        <v>0.0</v>
      </c>
      <c r="X27" s="4">
        <v>0.0</v>
      </c>
      <c r="Y27" s="4">
        <v>5867.88</v>
      </c>
      <c r="Z27" s="4">
        <v>240.0</v>
      </c>
      <c r="AA27" s="1">
        <v>1.0</v>
      </c>
    </row>
    <row r="28" ht="15.75" customHeight="1">
      <c r="A28" s="1" t="s">
        <v>27</v>
      </c>
      <c r="B28" s="1" t="s">
        <v>28</v>
      </c>
      <c r="C28" s="1" t="s">
        <v>29</v>
      </c>
      <c r="D28" s="1" t="s">
        <v>54</v>
      </c>
      <c r="E28" s="1" t="s">
        <v>31</v>
      </c>
      <c r="F28" s="1">
        <v>9.28132596E8</v>
      </c>
      <c r="G28" s="1" t="s">
        <v>57</v>
      </c>
      <c r="H28" s="1" t="s">
        <v>64</v>
      </c>
      <c r="I28" s="2">
        <v>45901.0</v>
      </c>
      <c r="J28" s="2">
        <v>46023.0</v>
      </c>
      <c r="K28" s="1" t="s">
        <v>34</v>
      </c>
      <c r="L28" s="1" t="s">
        <v>35</v>
      </c>
      <c r="M28" s="1" t="s">
        <v>36</v>
      </c>
      <c r="N28" s="1" t="s">
        <v>37</v>
      </c>
      <c r="O28" s="1">
        <v>1.0</v>
      </c>
      <c r="P28" s="3">
        <v>1.0</v>
      </c>
      <c r="Q28" s="1">
        <v>9.0</v>
      </c>
      <c r="R28" s="2">
        <v>46143.0</v>
      </c>
      <c r="S28" s="2">
        <v>46174.0</v>
      </c>
      <c r="T28" s="4">
        <v>565.46</v>
      </c>
      <c r="U28" s="4">
        <v>20.0</v>
      </c>
      <c r="V28" s="4">
        <v>20.0</v>
      </c>
      <c r="W28" s="4">
        <v>0.0</v>
      </c>
      <c r="X28" s="4">
        <v>0.0</v>
      </c>
      <c r="Y28" s="4">
        <v>2827.3</v>
      </c>
      <c r="Z28" s="4">
        <v>100.0</v>
      </c>
      <c r="AA28" s="1">
        <v>1.0</v>
      </c>
    </row>
    <row r="29" ht="15.75" customHeight="1">
      <c r="A29" s="1" t="s">
        <v>27</v>
      </c>
      <c r="B29" s="1" t="s">
        <v>28</v>
      </c>
      <c r="C29" s="1" t="s">
        <v>29</v>
      </c>
      <c r="D29" s="1" t="s">
        <v>54</v>
      </c>
      <c r="E29" s="1" t="s">
        <v>31</v>
      </c>
      <c r="F29" s="1">
        <v>9.28134465E8</v>
      </c>
      <c r="G29" s="1" t="s">
        <v>57</v>
      </c>
      <c r="H29" s="1" t="s">
        <v>65</v>
      </c>
      <c r="I29" s="2">
        <v>45809.0</v>
      </c>
      <c r="J29" s="2">
        <v>46023.0</v>
      </c>
      <c r="K29" s="1" t="s">
        <v>34</v>
      </c>
      <c r="L29" s="1" t="s">
        <v>35</v>
      </c>
      <c r="M29" s="1" t="s">
        <v>36</v>
      </c>
      <c r="N29" s="1" t="s">
        <v>37</v>
      </c>
      <c r="O29" s="1">
        <v>1.0</v>
      </c>
      <c r="P29" s="3">
        <v>1.0</v>
      </c>
      <c r="Q29" s="1">
        <v>12.0</v>
      </c>
      <c r="R29" s="2">
        <v>46143.0</v>
      </c>
      <c r="S29" s="2">
        <v>46174.0</v>
      </c>
      <c r="T29" s="4">
        <v>764.52</v>
      </c>
      <c r="U29" s="4">
        <v>20.0</v>
      </c>
      <c r="V29" s="4">
        <v>20.0</v>
      </c>
      <c r="W29" s="4">
        <v>0.0</v>
      </c>
      <c r="X29" s="4">
        <v>0.0</v>
      </c>
      <c r="Y29" s="4">
        <v>3822.6</v>
      </c>
      <c r="Z29" s="4">
        <v>100.0</v>
      </c>
      <c r="AA29" s="1">
        <v>1.0</v>
      </c>
    </row>
    <row r="30" ht="15.75" customHeight="1">
      <c r="A30" s="1" t="s">
        <v>27</v>
      </c>
      <c r="B30" s="1" t="s">
        <v>28</v>
      </c>
      <c r="C30" s="1" t="s">
        <v>29</v>
      </c>
      <c r="D30" s="1" t="s">
        <v>54</v>
      </c>
      <c r="E30" s="1" t="s">
        <v>31</v>
      </c>
      <c r="F30" s="1">
        <v>9.28136679E8</v>
      </c>
      <c r="G30" s="1" t="s">
        <v>59</v>
      </c>
      <c r="H30" s="1" t="s">
        <v>66</v>
      </c>
      <c r="I30" s="2">
        <v>45839.0</v>
      </c>
      <c r="J30" s="2">
        <v>46113.0</v>
      </c>
      <c r="K30" s="1" t="s">
        <v>34</v>
      </c>
      <c r="L30" s="1" t="s">
        <v>48</v>
      </c>
      <c r="M30" s="1" t="s">
        <v>36</v>
      </c>
      <c r="N30" s="1" t="s">
        <v>37</v>
      </c>
      <c r="O30" s="1">
        <v>1.0</v>
      </c>
      <c r="P30" s="3">
        <v>1.0</v>
      </c>
      <c r="Q30" s="1">
        <v>11.0</v>
      </c>
      <c r="R30" s="2">
        <v>46143.0</v>
      </c>
      <c r="S30" s="2">
        <v>46174.0</v>
      </c>
      <c r="T30" s="4">
        <v>581.21</v>
      </c>
      <c r="U30" s="4">
        <v>20.0</v>
      </c>
      <c r="V30" s="4">
        <v>20.0</v>
      </c>
      <c r="W30" s="4">
        <v>0.0</v>
      </c>
      <c r="X30" s="4">
        <v>0.0</v>
      </c>
      <c r="Y30" s="4">
        <v>2906.05</v>
      </c>
      <c r="Z30" s="4">
        <v>100.0</v>
      </c>
      <c r="AA30" s="1">
        <v>1.0</v>
      </c>
    </row>
    <row r="31" ht="15.75" customHeight="1">
      <c r="A31" s="1" t="s">
        <v>27</v>
      </c>
      <c r="B31" s="1" t="s">
        <v>28</v>
      </c>
      <c r="C31" s="1" t="s">
        <v>29</v>
      </c>
      <c r="D31" s="1" t="s">
        <v>54</v>
      </c>
      <c r="E31" s="1" t="s">
        <v>31</v>
      </c>
      <c r="F31" s="1">
        <v>9.28137811E8</v>
      </c>
      <c r="G31" s="1" t="s">
        <v>57</v>
      </c>
      <c r="H31" s="1" t="s">
        <v>67</v>
      </c>
      <c r="I31" s="2">
        <v>46143.0</v>
      </c>
      <c r="J31" s="2">
        <v>46143.0</v>
      </c>
      <c r="K31" s="1" t="s">
        <v>34</v>
      </c>
      <c r="L31" s="1" t="s">
        <v>35</v>
      </c>
      <c r="M31" s="1" t="s">
        <v>36</v>
      </c>
      <c r="N31" s="1" t="s">
        <v>37</v>
      </c>
      <c r="O31" s="1">
        <v>1.0</v>
      </c>
      <c r="P31" s="3">
        <v>1.0</v>
      </c>
      <c r="Q31" s="1">
        <v>1.0</v>
      </c>
      <c r="R31" s="2">
        <v>46143.0</v>
      </c>
      <c r="S31" s="2">
        <v>46174.0</v>
      </c>
      <c r="T31" s="4">
        <v>397.98</v>
      </c>
      <c r="U31" s="4">
        <v>20.0</v>
      </c>
      <c r="V31" s="4">
        <v>20.0</v>
      </c>
      <c r="W31" s="4">
        <v>0.0</v>
      </c>
      <c r="X31" s="4">
        <v>0.0</v>
      </c>
      <c r="Y31" s="4">
        <v>397.98</v>
      </c>
      <c r="Z31" s="4">
        <v>20.0</v>
      </c>
      <c r="AA31" s="1">
        <v>1.0</v>
      </c>
    </row>
    <row r="32" ht="15.75" customHeight="1">
      <c r="A32" s="1" t="s">
        <v>27</v>
      </c>
      <c r="B32" s="1" t="s">
        <v>28</v>
      </c>
      <c r="C32" s="1" t="s">
        <v>29</v>
      </c>
      <c r="D32" s="1" t="s">
        <v>54</v>
      </c>
      <c r="E32" s="1" t="s">
        <v>31</v>
      </c>
      <c r="F32" s="1">
        <v>9.28137898E8</v>
      </c>
      <c r="G32" s="1" t="s">
        <v>57</v>
      </c>
      <c r="H32" s="1" t="s">
        <v>68</v>
      </c>
      <c r="I32" s="2">
        <v>45962.0</v>
      </c>
      <c r="J32" s="2">
        <v>46023.0</v>
      </c>
      <c r="K32" s="1" t="s">
        <v>34</v>
      </c>
      <c r="L32" s="1" t="s">
        <v>35</v>
      </c>
      <c r="M32" s="1" t="s">
        <v>36</v>
      </c>
      <c r="N32" s="1" t="s">
        <v>37</v>
      </c>
      <c r="O32" s="1">
        <v>1.0</v>
      </c>
      <c r="P32" s="3">
        <v>1.0</v>
      </c>
      <c r="Q32" s="1">
        <v>7.0</v>
      </c>
      <c r="R32" s="2">
        <v>46143.0</v>
      </c>
      <c r="S32" s="2">
        <v>46174.0</v>
      </c>
      <c r="T32" s="4">
        <v>440.45</v>
      </c>
      <c r="U32" s="4">
        <v>20.0</v>
      </c>
      <c r="V32" s="4">
        <v>20.0</v>
      </c>
      <c r="W32" s="4">
        <v>0.0</v>
      </c>
      <c r="X32" s="4">
        <v>0.0</v>
      </c>
      <c r="Y32" s="4">
        <v>2202.25</v>
      </c>
      <c r="Z32" s="4">
        <v>100.0</v>
      </c>
      <c r="AA32" s="1">
        <v>1.0</v>
      </c>
    </row>
    <row r="33" ht="15.75" customHeight="1">
      <c r="A33" s="1" t="s">
        <v>27</v>
      </c>
      <c r="B33" s="1" t="s">
        <v>28</v>
      </c>
      <c r="C33" s="1" t="s">
        <v>29</v>
      </c>
      <c r="D33" s="1" t="s">
        <v>54</v>
      </c>
      <c r="E33" s="1" t="s">
        <v>31</v>
      </c>
      <c r="F33" s="1">
        <v>9.28138829E8</v>
      </c>
      <c r="G33" s="1" t="s">
        <v>59</v>
      </c>
      <c r="H33" s="1" t="s">
        <v>69</v>
      </c>
      <c r="I33" s="2">
        <v>46023.0</v>
      </c>
      <c r="J33" s="2">
        <v>46023.0</v>
      </c>
      <c r="K33" s="1" t="s">
        <v>34</v>
      </c>
      <c r="L33" s="1" t="s">
        <v>48</v>
      </c>
      <c r="M33" s="1" t="s">
        <v>36</v>
      </c>
      <c r="N33" s="1" t="s">
        <v>37</v>
      </c>
      <c r="O33" s="1">
        <v>1.0</v>
      </c>
      <c r="P33" s="3">
        <v>1.0</v>
      </c>
      <c r="Q33" s="1">
        <v>5.0</v>
      </c>
      <c r="R33" s="2">
        <v>46143.0</v>
      </c>
      <c r="S33" s="2">
        <v>46174.0</v>
      </c>
      <c r="T33" s="4">
        <v>1040.63</v>
      </c>
      <c r="U33" s="4">
        <v>20.0</v>
      </c>
      <c r="V33" s="4">
        <v>20.0</v>
      </c>
      <c r="W33" s="4">
        <v>0.0</v>
      </c>
      <c r="X33" s="4">
        <v>0.0</v>
      </c>
      <c r="Y33" s="4">
        <v>5203.15</v>
      </c>
      <c r="Z33" s="4">
        <v>100.0</v>
      </c>
      <c r="AA33" s="1">
        <v>1.0</v>
      </c>
    </row>
    <row r="34" ht="15.75" customHeight="1">
      <c r="A34" s="1" t="s">
        <v>27</v>
      </c>
      <c r="B34" s="1" t="s">
        <v>28</v>
      </c>
      <c r="C34" s="1" t="s">
        <v>29</v>
      </c>
      <c r="D34" s="1" t="s">
        <v>54</v>
      </c>
      <c r="E34" s="1" t="s">
        <v>31</v>
      </c>
      <c r="F34" s="1">
        <v>9.28146307E8</v>
      </c>
      <c r="G34" s="1" t="s">
        <v>46</v>
      </c>
      <c r="H34" s="1" t="s">
        <v>70</v>
      </c>
      <c r="I34" s="2">
        <v>45992.0</v>
      </c>
      <c r="J34" s="2">
        <v>46023.0</v>
      </c>
      <c r="K34" s="1" t="s">
        <v>34</v>
      </c>
      <c r="L34" s="1" t="s">
        <v>48</v>
      </c>
      <c r="M34" s="1" t="s">
        <v>36</v>
      </c>
      <c r="N34" s="1" t="s">
        <v>37</v>
      </c>
      <c r="O34" s="1">
        <v>1.0</v>
      </c>
      <c r="P34" s="3">
        <v>1.0</v>
      </c>
      <c r="Q34" s="1">
        <v>6.0</v>
      </c>
      <c r="R34" s="2">
        <v>46143.0</v>
      </c>
      <c r="S34" s="2">
        <v>46174.0</v>
      </c>
      <c r="T34" s="4">
        <v>1272.57</v>
      </c>
      <c r="U34" s="4">
        <v>20.0</v>
      </c>
      <c r="V34" s="4">
        <v>20.0</v>
      </c>
      <c r="W34" s="4">
        <v>0.0</v>
      </c>
      <c r="X34" s="4">
        <v>0.0</v>
      </c>
      <c r="Y34" s="4">
        <v>6362.85</v>
      </c>
      <c r="Z34" s="4">
        <v>100.0</v>
      </c>
      <c r="AA34" s="1">
        <v>1.0</v>
      </c>
    </row>
    <row r="35" ht="15.75" customHeight="1">
      <c r="A35" s="1" t="s">
        <v>27</v>
      </c>
      <c r="B35" s="1" t="s">
        <v>28</v>
      </c>
      <c r="C35" s="1" t="s">
        <v>29</v>
      </c>
      <c r="D35" s="1" t="s">
        <v>54</v>
      </c>
      <c r="E35" s="1" t="s">
        <v>31</v>
      </c>
      <c r="F35" s="1">
        <v>9.28151239E8</v>
      </c>
      <c r="G35" s="1" t="s">
        <v>71</v>
      </c>
      <c r="H35" s="1" t="s">
        <v>72</v>
      </c>
      <c r="I35" s="2">
        <v>46023.0</v>
      </c>
      <c r="J35" s="2">
        <v>46023.0</v>
      </c>
      <c r="K35" s="1" t="s">
        <v>34</v>
      </c>
      <c r="L35" s="1" t="s">
        <v>48</v>
      </c>
      <c r="M35" s="1" t="s">
        <v>36</v>
      </c>
      <c r="N35" s="1" t="s">
        <v>37</v>
      </c>
      <c r="O35" s="1">
        <v>1.0</v>
      </c>
      <c r="P35" s="3">
        <v>1.0</v>
      </c>
      <c r="Q35" s="1">
        <v>5.0</v>
      </c>
      <c r="R35" s="2">
        <v>46143.0</v>
      </c>
      <c r="S35" s="2">
        <v>46174.0</v>
      </c>
      <c r="T35" s="4">
        <v>1037.46</v>
      </c>
      <c r="U35" s="4">
        <v>20.0</v>
      </c>
      <c r="V35" s="4">
        <v>20.0</v>
      </c>
      <c r="W35" s="4">
        <v>0.0</v>
      </c>
      <c r="X35" s="4">
        <v>0.0</v>
      </c>
      <c r="Y35" s="4">
        <v>5187.3</v>
      </c>
      <c r="Z35" s="4">
        <v>100.0</v>
      </c>
      <c r="AA35" s="1">
        <v>1.0</v>
      </c>
    </row>
    <row r="36" ht="15.75" customHeight="1">
      <c r="A36" s="1" t="s">
        <v>27</v>
      </c>
      <c r="B36" s="1" t="s">
        <v>28</v>
      </c>
      <c r="C36" s="1" t="s">
        <v>29</v>
      </c>
      <c r="D36" s="1" t="s">
        <v>54</v>
      </c>
      <c r="E36" s="1" t="s">
        <v>31</v>
      </c>
      <c r="F36" s="1">
        <v>9.28152292E8</v>
      </c>
      <c r="G36" s="1" t="s">
        <v>38</v>
      </c>
      <c r="H36" s="1" t="s">
        <v>73</v>
      </c>
      <c r="I36" s="2">
        <v>46023.0</v>
      </c>
      <c r="J36" s="2">
        <v>46023.0</v>
      </c>
      <c r="K36" s="1" t="s">
        <v>34</v>
      </c>
      <c r="L36" s="1" t="s">
        <v>35</v>
      </c>
      <c r="M36" s="1" t="s">
        <v>36</v>
      </c>
      <c r="N36" s="1" t="s">
        <v>37</v>
      </c>
      <c r="O36" s="1">
        <v>1.0</v>
      </c>
      <c r="P36" s="3">
        <v>1.0</v>
      </c>
      <c r="Q36" s="1">
        <v>5.0</v>
      </c>
      <c r="R36" s="2">
        <v>46143.0</v>
      </c>
      <c r="S36" s="2">
        <v>46174.0</v>
      </c>
      <c r="T36" s="4">
        <v>918.33</v>
      </c>
      <c r="U36" s="4">
        <v>20.0</v>
      </c>
      <c r="V36" s="4">
        <v>20.0</v>
      </c>
      <c r="W36" s="4">
        <v>0.0</v>
      </c>
      <c r="X36" s="4">
        <v>0.0</v>
      </c>
      <c r="Y36" s="4">
        <v>4591.65</v>
      </c>
      <c r="Z36" s="4">
        <v>100.0</v>
      </c>
      <c r="AA36" s="1">
        <v>1.0</v>
      </c>
    </row>
    <row r="37" ht="15.75" customHeight="1">
      <c r="A37" s="1" t="s">
        <v>27</v>
      </c>
      <c r="B37" s="1" t="s">
        <v>28</v>
      </c>
      <c r="C37" s="1" t="s">
        <v>29</v>
      </c>
      <c r="D37" s="1" t="s">
        <v>54</v>
      </c>
      <c r="E37" s="1" t="s">
        <v>31</v>
      </c>
      <c r="F37" s="1">
        <v>9.28152407E8</v>
      </c>
      <c r="G37" s="1" t="s">
        <v>38</v>
      </c>
      <c r="H37" s="1" t="s">
        <v>74</v>
      </c>
      <c r="I37" s="2">
        <v>45809.0</v>
      </c>
      <c r="J37" s="2">
        <v>46023.0</v>
      </c>
      <c r="K37" s="1" t="s">
        <v>34</v>
      </c>
      <c r="L37" s="1" t="s">
        <v>35</v>
      </c>
      <c r="M37" s="1" t="s">
        <v>36</v>
      </c>
      <c r="N37" s="1" t="s">
        <v>37</v>
      </c>
      <c r="O37" s="1">
        <v>1.0</v>
      </c>
      <c r="P37" s="3">
        <v>1.0</v>
      </c>
      <c r="Q37" s="1">
        <v>12.0</v>
      </c>
      <c r="R37" s="2">
        <v>46143.0</v>
      </c>
      <c r="S37" s="2">
        <v>46174.0</v>
      </c>
      <c r="T37" s="4">
        <v>898.19</v>
      </c>
      <c r="U37" s="4">
        <v>20.0</v>
      </c>
      <c r="V37" s="4">
        <v>20.0</v>
      </c>
      <c r="W37" s="4">
        <v>0.0</v>
      </c>
      <c r="X37" s="4">
        <v>0.0</v>
      </c>
      <c r="Y37" s="4">
        <v>4490.95</v>
      </c>
      <c r="Z37" s="4">
        <v>100.0</v>
      </c>
      <c r="AA37" s="1">
        <v>1.0</v>
      </c>
    </row>
    <row r="38" ht="15.75" customHeight="1">
      <c r="A38" s="1" t="s">
        <v>27</v>
      </c>
      <c r="B38" s="1" t="s">
        <v>28</v>
      </c>
      <c r="C38" s="1" t="s">
        <v>29</v>
      </c>
      <c r="D38" s="1" t="s">
        <v>54</v>
      </c>
      <c r="E38" s="1" t="s">
        <v>31</v>
      </c>
      <c r="F38" s="1">
        <v>9.28152417E8</v>
      </c>
      <c r="G38" s="1" t="s">
        <v>57</v>
      </c>
      <c r="H38" s="1" t="s">
        <v>75</v>
      </c>
      <c r="I38" s="2">
        <v>45809.0</v>
      </c>
      <c r="J38" s="2">
        <v>46023.0</v>
      </c>
      <c r="K38" s="1" t="s">
        <v>34</v>
      </c>
      <c r="L38" s="1" t="s">
        <v>35</v>
      </c>
      <c r="M38" s="1" t="s">
        <v>36</v>
      </c>
      <c r="N38" s="1" t="s">
        <v>37</v>
      </c>
      <c r="O38" s="1">
        <v>3.0</v>
      </c>
      <c r="P38" s="3">
        <v>1.0</v>
      </c>
      <c r="Q38" s="1">
        <v>12.0</v>
      </c>
      <c r="R38" s="2">
        <v>46143.0</v>
      </c>
      <c r="S38" s="2">
        <v>46174.0</v>
      </c>
      <c r="T38" s="4">
        <v>1075.35</v>
      </c>
      <c r="U38" s="4">
        <v>20.0</v>
      </c>
      <c r="V38" s="4">
        <v>60.0</v>
      </c>
      <c r="W38" s="4">
        <v>0.0</v>
      </c>
      <c r="X38" s="4">
        <v>0.0</v>
      </c>
      <c r="Y38" s="4">
        <v>5376.75</v>
      </c>
      <c r="Z38" s="4">
        <v>300.0</v>
      </c>
      <c r="AA38" s="1">
        <v>1.0</v>
      </c>
    </row>
    <row r="39" ht="15.75" customHeight="1">
      <c r="A39" s="1" t="s">
        <v>27</v>
      </c>
      <c r="B39" s="1" t="s">
        <v>28</v>
      </c>
      <c r="C39" s="1" t="s">
        <v>29</v>
      </c>
      <c r="D39" s="1" t="s">
        <v>54</v>
      </c>
      <c r="E39" s="1" t="s">
        <v>31</v>
      </c>
      <c r="F39" s="1">
        <v>9.28153376E8</v>
      </c>
      <c r="G39" s="1" t="s">
        <v>46</v>
      </c>
      <c r="H39" s="1" t="s">
        <v>76</v>
      </c>
      <c r="I39" s="2">
        <v>45870.0</v>
      </c>
      <c r="J39" s="2">
        <v>46143.0</v>
      </c>
      <c r="K39" s="1" t="s">
        <v>34</v>
      </c>
      <c r="L39" s="1" t="s">
        <v>48</v>
      </c>
      <c r="M39" s="1" t="s">
        <v>36</v>
      </c>
      <c r="N39" s="1" t="s">
        <v>37</v>
      </c>
      <c r="O39" s="1">
        <v>2.0</v>
      </c>
      <c r="P39" s="3">
        <v>1.0</v>
      </c>
      <c r="Q39" s="1">
        <v>10.0</v>
      </c>
      <c r="R39" s="2">
        <v>46143.0</v>
      </c>
      <c r="S39" s="2">
        <v>46174.0</v>
      </c>
      <c r="T39" s="4">
        <v>984.92</v>
      </c>
      <c r="U39" s="4">
        <v>20.0</v>
      </c>
      <c r="V39" s="4">
        <v>40.0</v>
      </c>
      <c r="W39" s="4">
        <v>0.0</v>
      </c>
      <c r="X39" s="4">
        <v>0.0</v>
      </c>
      <c r="Y39" s="4">
        <v>4924.6</v>
      </c>
      <c r="Z39" s="4">
        <v>200.0</v>
      </c>
      <c r="AA39" s="1">
        <v>1.0</v>
      </c>
    </row>
    <row r="40" ht="15.75" customHeight="1">
      <c r="A40" s="1" t="s">
        <v>27</v>
      </c>
      <c r="B40" s="1" t="s">
        <v>28</v>
      </c>
      <c r="C40" s="1" t="s">
        <v>29</v>
      </c>
      <c r="D40" s="1" t="s">
        <v>54</v>
      </c>
      <c r="E40" s="1" t="s">
        <v>31</v>
      </c>
      <c r="F40" s="1">
        <v>9.28153462E8</v>
      </c>
      <c r="G40" s="1" t="s">
        <v>71</v>
      </c>
      <c r="H40" s="1" t="s">
        <v>77</v>
      </c>
      <c r="I40" s="2">
        <v>45870.0</v>
      </c>
      <c r="J40" s="2">
        <v>46023.0</v>
      </c>
      <c r="K40" s="1" t="s">
        <v>34</v>
      </c>
      <c r="L40" s="1" t="s">
        <v>48</v>
      </c>
      <c r="M40" s="1" t="s">
        <v>36</v>
      </c>
      <c r="N40" s="1" t="s">
        <v>37</v>
      </c>
      <c r="O40" s="1">
        <v>1.0</v>
      </c>
      <c r="P40" s="3">
        <v>1.0</v>
      </c>
      <c r="Q40" s="1">
        <v>10.0</v>
      </c>
      <c r="R40" s="2">
        <v>46143.0</v>
      </c>
      <c r="S40" s="2">
        <v>46174.0</v>
      </c>
      <c r="T40" s="4">
        <v>643.86</v>
      </c>
      <c r="U40" s="4">
        <v>20.0</v>
      </c>
      <c r="V40" s="4">
        <v>20.0</v>
      </c>
      <c r="W40" s="4">
        <v>0.0</v>
      </c>
      <c r="X40" s="4">
        <v>0.0</v>
      </c>
      <c r="Y40" s="4">
        <v>3219.3</v>
      </c>
      <c r="Z40" s="4">
        <v>100.0</v>
      </c>
      <c r="AA40" s="1">
        <v>1.0</v>
      </c>
    </row>
    <row r="41" ht="15.75" customHeight="1">
      <c r="A41" s="1" t="s">
        <v>27</v>
      </c>
      <c r="B41" s="1" t="s">
        <v>28</v>
      </c>
      <c r="C41" s="1" t="s">
        <v>29</v>
      </c>
      <c r="D41" s="1" t="s">
        <v>54</v>
      </c>
      <c r="E41" s="1" t="s">
        <v>31</v>
      </c>
      <c r="F41" s="1">
        <v>9.28153567E8</v>
      </c>
      <c r="G41" s="1" t="s">
        <v>46</v>
      </c>
      <c r="H41" s="1" t="s">
        <v>78</v>
      </c>
      <c r="I41" s="2">
        <v>45870.0</v>
      </c>
      <c r="J41" s="2">
        <v>46113.0</v>
      </c>
      <c r="K41" s="1" t="s">
        <v>34</v>
      </c>
      <c r="L41" s="1" t="s">
        <v>48</v>
      </c>
      <c r="M41" s="1" t="s">
        <v>36</v>
      </c>
      <c r="N41" s="1" t="s">
        <v>37</v>
      </c>
      <c r="O41" s="1">
        <v>3.0</v>
      </c>
      <c r="P41" s="3">
        <v>1.0</v>
      </c>
      <c r="Q41" s="1">
        <v>10.0</v>
      </c>
      <c r="R41" s="2">
        <v>46143.0</v>
      </c>
      <c r="S41" s="2">
        <v>46174.0</v>
      </c>
      <c r="T41" s="4">
        <v>1401.51</v>
      </c>
      <c r="U41" s="4">
        <v>20.0</v>
      </c>
      <c r="V41" s="4">
        <v>60.0</v>
      </c>
      <c r="W41" s="4">
        <v>0.0</v>
      </c>
      <c r="X41" s="4">
        <v>0.0</v>
      </c>
      <c r="Y41" s="4">
        <v>7007.55</v>
      </c>
      <c r="Z41" s="4">
        <v>300.0</v>
      </c>
      <c r="AA41" s="1">
        <v>1.0</v>
      </c>
    </row>
    <row r="42" ht="15.75" customHeight="1">
      <c r="A42" s="1" t="s">
        <v>27</v>
      </c>
      <c r="B42" s="1" t="s">
        <v>28</v>
      </c>
      <c r="C42" s="1" t="s">
        <v>29</v>
      </c>
      <c r="D42" s="1" t="s">
        <v>54</v>
      </c>
      <c r="E42" s="1" t="s">
        <v>31</v>
      </c>
      <c r="F42" s="1">
        <v>9.28153609E8</v>
      </c>
      <c r="G42" s="1" t="s">
        <v>38</v>
      </c>
      <c r="H42" s="1" t="s">
        <v>79</v>
      </c>
      <c r="I42" s="2">
        <v>45870.0</v>
      </c>
      <c r="J42" s="2">
        <v>46023.0</v>
      </c>
      <c r="K42" s="1" t="s">
        <v>34</v>
      </c>
      <c r="L42" s="1" t="s">
        <v>35</v>
      </c>
      <c r="M42" s="1" t="s">
        <v>36</v>
      </c>
      <c r="N42" s="1" t="s">
        <v>37</v>
      </c>
      <c r="O42" s="1">
        <v>1.0</v>
      </c>
      <c r="P42" s="3">
        <v>1.0</v>
      </c>
      <c r="Q42" s="1">
        <v>10.0</v>
      </c>
      <c r="R42" s="2">
        <v>46143.0</v>
      </c>
      <c r="S42" s="2">
        <v>46174.0</v>
      </c>
      <c r="T42" s="4">
        <v>416.17</v>
      </c>
      <c r="U42" s="4">
        <v>20.0</v>
      </c>
      <c r="V42" s="4">
        <v>20.0</v>
      </c>
      <c r="W42" s="4">
        <v>0.0</v>
      </c>
      <c r="X42" s="4">
        <v>0.0</v>
      </c>
      <c r="Y42" s="4">
        <v>2080.85</v>
      </c>
      <c r="Z42" s="4">
        <v>100.0</v>
      </c>
      <c r="AA42" s="1">
        <v>1.0</v>
      </c>
    </row>
    <row r="43" ht="15.75" customHeight="1">
      <c r="A43" s="1" t="s">
        <v>27</v>
      </c>
      <c r="B43" s="1" t="s">
        <v>28</v>
      </c>
      <c r="C43" s="1" t="s">
        <v>29</v>
      </c>
      <c r="D43" s="1" t="s">
        <v>54</v>
      </c>
      <c r="E43" s="1" t="s">
        <v>31</v>
      </c>
      <c r="F43" s="1">
        <v>9.28153709E8</v>
      </c>
      <c r="G43" s="1" t="s">
        <v>46</v>
      </c>
      <c r="H43" s="1" t="s">
        <v>80</v>
      </c>
      <c r="I43" s="2">
        <v>45870.0</v>
      </c>
      <c r="J43" s="2">
        <v>46023.0</v>
      </c>
      <c r="K43" s="1" t="s">
        <v>34</v>
      </c>
      <c r="L43" s="1" t="s">
        <v>48</v>
      </c>
      <c r="M43" s="1" t="s">
        <v>36</v>
      </c>
      <c r="N43" s="1" t="s">
        <v>37</v>
      </c>
      <c r="O43" s="1">
        <v>1.0</v>
      </c>
      <c r="P43" s="3">
        <v>1.0</v>
      </c>
      <c r="Q43" s="1">
        <v>10.0</v>
      </c>
      <c r="R43" s="2">
        <v>46143.0</v>
      </c>
      <c r="S43" s="2">
        <v>46174.0</v>
      </c>
      <c r="T43" s="4">
        <v>808.48</v>
      </c>
      <c r="U43" s="4">
        <v>20.0</v>
      </c>
      <c r="V43" s="4">
        <v>20.0</v>
      </c>
      <c r="W43" s="4">
        <v>0.0</v>
      </c>
      <c r="X43" s="4">
        <v>0.0</v>
      </c>
      <c r="Y43" s="4">
        <v>4042.4</v>
      </c>
      <c r="Z43" s="4">
        <v>100.0</v>
      </c>
      <c r="AA43" s="1">
        <v>1.0</v>
      </c>
    </row>
    <row r="44" ht="15.75" customHeight="1">
      <c r="A44" s="1" t="s">
        <v>27</v>
      </c>
      <c r="B44" s="1" t="s">
        <v>28</v>
      </c>
      <c r="C44" s="1" t="s">
        <v>29</v>
      </c>
      <c r="D44" s="1" t="s">
        <v>54</v>
      </c>
      <c r="E44" s="1" t="s">
        <v>31</v>
      </c>
      <c r="F44" s="1">
        <v>9.2815397E8</v>
      </c>
      <c r="G44" s="1" t="s">
        <v>38</v>
      </c>
      <c r="H44" s="1" t="s">
        <v>81</v>
      </c>
      <c r="I44" s="2">
        <v>45901.0</v>
      </c>
      <c r="J44" s="2">
        <v>46023.0</v>
      </c>
      <c r="K44" s="1" t="s">
        <v>34</v>
      </c>
      <c r="L44" s="1" t="s">
        <v>35</v>
      </c>
      <c r="M44" s="1" t="s">
        <v>36</v>
      </c>
      <c r="N44" s="1" t="s">
        <v>37</v>
      </c>
      <c r="O44" s="1">
        <v>2.0</v>
      </c>
      <c r="P44" s="3">
        <v>1.0</v>
      </c>
      <c r="Q44" s="1">
        <v>9.0</v>
      </c>
      <c r="R44" s="2">
        <v>46143.0</v>
      </c>
      <c r="S44" s="2">
        <v>46174.0</v>
      </c>
      <c r="T44" s="4">
        <v>564.16</v>
      </c>
      <c r="U44" s="4">
        <v>20.0</v>
      </c>
      <c r="V44" s="4">
        <v>40.0</v>
      </c>
      <c r="W44" s="4">
        <v>0.0</v>
      </c>
      <c r="X44" s="4">
        <v>0.0</v>
      </c>
      <c r="Y44" s="4">
        <v>2820.8</v>
      </c>
      <c r="Z44" s="4">
        <v>200.0</v>
      </c>
      <c r="AA44" s="1">
        <v>1.0</v>
      </c>
    </row>
    <row r="45" ht="15.75" customHeight="1">
      <c r="A45" s="1" t="s">
        <v>27</v>
      </c>
      <c r="B45" s="1" t="s">
        <v>28</v>
      </c>
      <c r="C45" s="1" t="s">
        <v>29</v>
      </c>
      <c r="D45" s="1" t="s">
        <v>54</v>
      </c>
      <c r="E45" s="1" t="s">
        <v>31</v>
      </c>
      <c r="F45" s="1">
        <v>9.28154049E8</v>
      </c>
      <c r="G45" s="1" t="s">
        <v>38</v>
      </c>
      <c r="H45" s="1" t="s">
        <v>82</v>
      </c>
      <c r="I45" s="2">
        <v>45901.0</v>
      </c>
      <c r="J45" s="2">
        <v>46023.0</v>
      </c>
      <c r="K45" s="1" t="s">
        <v>34</v>
      </c>
      <c r="L45" s="1" t="s">
        <v>35</v>
      </c>
      <c r="M45" s="1" t="s">
        <v>36</v>
      </c>
      <c r="N45" s="1" t="s">
        <v>37</v>
      </c>
      <c r="O45" s="1">
        <v>1.0</v>
      </c>
      <c r="P45" s="3">
        <v>1.0</v>
      </c>
      <c r="Q45" s="1">
        <v>9.0</v>
      </c>
      <c r="R45" s="2">
        <v>46143.0</v>
      </c>
      <c r="S45" s="2">
        <v>46174.0</v>
      </c>
      <c r="T45" s="4">
        <v>682.43</v>
      </c>
      <c r="U45" s="4">
        <v>20.0</v>
      </c>
      <c r="V45" s="4">
        <v>20.0</v>
      </c>
      <c r="W45" s="4">
        <v>0.0</v>
      </c>
      <c r="X45" s="4">
        <v>0.0</v>
      </c>
      <c r="Y45" s="4">
        <v>3412.15</v>
      </c>
      <c r="Z45" s="4">
        <v>100.0</v>
      </c>
      <c r="AA45" s="1">
        <v>1.0</v>
      </c>
    </row>
    <row r="46" ht="15.75" customHeight="1">
      <c r="A46" s="1" t="s">
        <v>27</v>
      </c>
      <c r="B46" s="1" t="s">
        <v>28</v>
      </c>
      <c r="C46" s="1" t="s">
        <v>29</v>
      </c>
      <c r="D46" s="1" t="s">
        <v>54</v>
      </c>
      <c r="E46" s="1" t="s">
        <v>31</v>
      </c>
      <c r="F46" s="1">
        <v>9.28154536E8</v>
      </c>
      <c r="G46" s="1" t="s">
        <v>57</v>
      </c>
      <c r="H46" s="1" t="s">
        <v>83</v>
      </c>
      <c r="I46" s="2">
        <v>45931.0</v>
      </c>
      <c r="J46" s="2">
        <v>46023.0</v>
      </c>
      <c r="K46" s="1" t="s">
        <v>34</v>
      </c>
      <c r="L46" s="1" t="s">
        <v>35</v>
      </c>
      <c r="M46" s="1" t="s">
        <v>36</v>
      </c>
      <c r="N46" s="1" t="s">
        <v>37</v>
      </c>
      <c r="O46" s="1">
        <v>1.0</v>
      </c>
      <c r="P46" s="3">
        <v>1.0</v>
      </c>
      <c r="Q46" s="1">
        <v>8.0</v>
      </c>
      <c r="R46" s="2">
        <v>46143.0</v>
      </c>
      <c r="S46" s="2">
        <v>46174.0</v>
      </c>
      <c r="T46" s="4">
        <v>371.85</v>
      </c>
      <c r="U46" s="4">
        <v>20.0</v>
      </c>
      <c r="V46" s="4">
        <v>20.0</v>
      </c>
      <c r="W46" s="4">
        <v>0.0</v>
      </c>
      <c r="X46" s="4">
        <v>0.0</v>
      </c>
      <c r="Y46" s="4">
        <v>1859.25</v>
      </c>
      <c r="Z46" s="4">
        <v>100.0</v>
      </c>
      <c r="AA46" s="1">
        <v>1.0</v>
      </c>
    </row>
    <row r="47" ht="15.75" customHeight="1">
      <c r="A47" s="1" t="s">
        <v>27</v>
      </c>
      <c r="B47" s="1" t="s">
        <v>28</v>
      </c>
      <c r="C47" s="1" t="s">
        <v>29</v>
      </c>
      <c r="D47" s="1" t="s">
        <v>54</v>
      </c>
      <c r="E47" s="1" t="s">
        <v>31</v>
      </c>
      <c r="F47" s="1">
        <v>9.28154571E8</v>
      </c>
      <c r="G47" s="1" t="s">
        <v>59</v>
      </c>
      <c r="H47" s="1" t="s">
        <v>84</v>
      </c>
      <c r="I47" s="2">
        <v>45931.0</v>
      </c>
      <c r="J47" s="2">
        <v>46023.0</v>
      </c>
      <c r="K47" s="1" t="s">
        <v>34</v>
      </c>
      <c r="L47" s="1" t="s">
        <v>48</v>
      </c>
      <c r="M47" s="1" t="s">
        <v>36</v>
      </c>
      <c r="N47" s="1" t="s">
        <v>37</v>
      </c>
      <c r="O47" s="1">
        <v>1.0</v>
      </c>
      <c r="P47" s="3">
        <v>1.0</v>
      </c>
      <c r="Q47" s="1">
        <v>8.0</v>
      </c>
      <c r="R47" s="2">
        <v>46143.0</v>
      </c>
      <c r="S47" s="2">
        <v>46174.0</v>
      </c>
      <c r="T47" s="4">
        <v>527.09</v>
      </c>
      <c r="U47" s="4">
        <v>20.0</v>
      </c>
      <c r="V47" s="4">
        <v>20.0</v>
      </c>
      <c r="W47" s="4">
        <v>0.0</v>
      </c>
      <c r="X47" s="4">
        <v>0.0</v>
      </c>
      <c r="Y47" s="4">
        <v>2635.45</v>
      </c>
      <c r="Z47" s="4">
        <v>100.0</v>
      </c>
      <c r="AA47" s="1">
        <v>1.0</v>
      </c>
    </row>
    <row r="48" ht="15.75" customHeight="1">
      <c r="A48" s="1" t="s">
        <v>27</v>
      </c>
      <c r="B48" s="1" t="s">
        <v>28</v>
      </c>
      <c r="C48" s="1" t="s">
        <v>29</v>
      </c>
      <c r="D48" s="1" t="s">
        <v>54</v>
      </c>
      <c r="E48" s="1" t="s">
        <v>31</v>
      </c>
      <c r="F48" s="1">
        <v>9.28154572E8</v>
      </c>
      <c r="G48" s="1" t="s">
        <v>59</v>
      </c>
      <c r="H48" s="1" t="s">
        <v>85</v>
      </c>
      <c r="I48" s="2">
        <v>45931.0</v>
      </c>
      <c r="J48" s="2">
        <v>46023.0</v>
      </c>
      <c r="K48" s="1" t="s">
        <v>34</v>
      </c>
      <c r="L48" s="1" t="s">
        <v>48</v>
      </c>
      <c r="M48" s="1" t="s">
        <v>36</v>
      </c>
      <c r="N48" s="1" t="s">
        <v>37</v>
      </c>
      <c r="O48" s="1">
        <v>1.0</v>
      </c>
      <c r="P48" s="3">
        <v>1.0</v>
      </c>
      <c r="Q48" s="1">
        <v>8.0</v>
      </c>
      <c r="R48" s="2">
        <v>46143.0</v>
      </c>
      <c r="S48" s="2">
        <v>46174.0</v>
      </c>
      <c r="T48" s="4">
        <v>538.0</v>
      </c>
      <c r="U48" s="4">
        <v>20.0</v>
      </c>
      <c r="V48" s="4">
        <v>20.0</v>
      </c>
      <c r="W48" s="4">
        <v>0.0</v>
      </c>
      <c r="X48" s="4">
        <v>0.0</v>
      </c>
      <c r="Y48" s="4">
        <v>2690.0</v>
      </c>
      <c r="Z48" s="4">
        <v>100.0</v>
      </c>
      <c r="AA48" s="1">
        <v>1.0</v>
      </c>
    </row>
    <row r="49" ht="15.75" customHeight="1">
      <c r="A49" s="1" t="s">
        <v>27</v>
      </c>
      <c r="B49" s="1" t="s">
        <v>28</v>
      </c>
      <c r="C49" s="1" t="s">
        <v>29</v>
      </c>
      <c r="D49" s="1" t="s">
        <v>54</v>
      </c>
      <c r="E49" s="1" t="s">
        <v>31</v>
      </c>
      <c r="F49" s="1">
        <v>9.28155344E8</v>
      </c>
      <c r="G49" s="1" t="s">
        <v>32</v>
      </c>
      <c r="H49" s="1" t="s">
        <v>86</v>
      </c>
      <c r="I49" s="2">
        <v>45962.0</v>
      </c>
      <c r="J49" s="2">
        <v>46113.0</v>
      </c>
      <c r="K49" s="1" t="s">
        <v>34</v>
      </c>
      <c r="L49" s="1" t="s">
        <v>35</v>
      </c>
      <c r="M49" s="1" t="s">
        <v>36</v>
      </c>
      <c r="N49" s="1" t="s">
        <v>37</v>
      </c>
      <c r="O49" s="1">
        <v>4.0</v>
      </c>
      <c r="P49" s="3">
        <v>1.0</v>
      </c>
      <c r="Q49" s="1">
        <v>7.0</v>
      </c>
      <c r="R49" s="2">
        <v>46143.0</v>
      </c>
      <c r="S49" s="2">
        <v>46174.0</v>
      </c>
      <c r="T49" s="4">
        <v>1592.81</v>
      </c>
      <c r="U49" s="4">
        <v>20.0</v>
      </c>
      <c r="V49" s="4">
        <v>80.0</v>
      </c>
      <c r="W49" s="4">
        <v>0.0</v>
      </c>
      <c r="X49" s="4">
        <v>0.0</v>
      </c>
      <c r="Y49" s="4">
        <v>5381.86</v>
      </c>
      <c r="Z49" s="4">
        <v>220.0</v>
      </c>
      <c r="AA49" s="1">
        <v>1.0</v>
      </c>
    </row>
    <row r="50" ht="15.75" customHeight="1">
      <c r="A50" s="1" t="s">
        <v>27</v>
      </c>
      <c r="B50" s="1" t="s">
        <v>28</v>
      </c>
      <c r="C50" s="1" t="s">
        <v>29</v>
      </c>
      <c r="D50" s="1" t="s">
        <v>54</v>
      </c>
      <c r="E50" s="1" t="s">
        <v>31</v>
      </c>
      <c r="F50" s="1">
        <v>9.28155394E8</v>
      </c>
      <c r="G50" s="1" t="s">
        <v>59</v>
      </c>
      <c r="H50" s="1" t="s">
        <v>87</v>
      </c>
      <c r="I50" s="2">
        <v>45962.0</v>
      </c>
      <c r="J50" s="2">
        <v>46023.0</v>
      </c>
      <c r="K50" s="1" t="s">
        <v>34</v>
      </c>
      <c r="L50" s="1" t="s">
        <v>48</v>
      </c>
      <c r="M50" s="1" t="s">
        <v>36</v>
      </c>
      <c r="N50" s="1" t="s">
        <v>37</v>
      </c>
      <c r="O50" s="1">
        <v>1.0</v>
      </c>
      <c r="P50" s="3">
        <v>1.0</v>
      </c>
      <c r="Q50" s="1">
        <v>7.0</v>
      </c>
      <c r="R50" s="2">
        <v>46143.0</v>
      </c>
      <c r="S50" s="2">
        <v>46174.0</v>
      </c>
      <c r="T50" s="4">
        <v>1474.38</v>
      </c>
      <c r="U50" s="4">
        <v>20.0</v>
      </c>
      <c r="V50" s="4">
        <v>20.0</v>
      </c>
      <c r="W50" s="4">
        <v>0.0</v>
      </c>
      <c r="X50" s="4">
        <v>0.0</v>
      </c>
      <c r="Y50" s="4">
        <v>7371.9</v>
      </c>
      <c r="Z50" s="4">
        <v>100.0</v>
      </c>
      <c r="AA50" s="1">
        <v>1.0</v>
      </c>
    </row>
    <row r="51" ht="15.75" customHeight="1">
      <c r="A51" s="1" t="s">
        <v>27</v>
      </c>
      <c r="B51" s="1" t="s">
        <v>28</v>
      </c>
      <c r="C51" s="1" t="s">
        <v>29</v>
      </c>
      <c r="D51" s="1" t="s">
        <v>54</v>
      </c>
      <c r="E51" s="1" t="s">
        <v>31</v>
      </c>
      <c r="F51" s="1">
        <v>9.28155435E8</v>
      </c>
      <c r="G51" s="1" t="s">
        <v>38</v>
      </c>
      <c r="H51" s="1" t="s">
        <v>88</v>
      </c>
      <c r="I51" s="2">
        <v>45962.0</v>
      </c>
      <c r="J51" s="2">
        <v>46113.0</v>
      </c>
      <c r="K51" s="1" t="s">
        <v>34</v>
      </c>
      <c r="L51" s="1" t="s">
        <v>35</v>
      </c>
      <c r="M51" s="1" t="s">
        <v>36</v>
      </c>
      <c r="N51" s="1" t="s">
        <v>37</v>
      </c>
      <c r="O51" s="1">
        <v>1.0</v>
      </c>
      <c r="P51" s="3">
        <v>1.0</v>
      </c>
      <c r="Q51" s="1">
        <v>7.0</v>
      </c>
      <c r="R51" s="2">
        <v>46143.0</v>
      </c>
      <c r="S51" s="2">
        <v>46174.0</v>
      </c>
      <c r="T51" s="4">
        <v>918.33</v>
      </c>
      <c r="U51" s="4">
        <v>20.0</v>
      </c>
      <c r="V51" s="4">
        <v>20.0</v>
      </c>
      <c r="W51" s="4">
        <v>0.0</v>
      </c>
      <c r="X51" s="4">
        <v>0.0</v>
      </c>
      <c r="Y51" s="4">
        <v>4591.65</v>
      </c>
      <c r="Z51" s="4">
        <v>100.0</v>
      </c>
      <c r="AA51" s="1">
        <v>1.0</v>
      </c>
    </row>
    <row r="52" ht="15.75" customHeight="1">
      <c r="A52" s="1" t="s">
        <v>27</v>
      </c>
      <c r="B52" s="1" t="s">
        <v>28</v>
      </c>
      <c r="C52" s="1" t="s">
        <v>29</v>
      </c>
      <c r="D52" s="1" t="s">
        <v>54</v>
      </c>
      <c r="E52" s="1" t="s">
        <v>31</v>
      </c>
      <c r="F52" s="1">
        <v>9.28155437E8</v>
      </c>
      <c r="G52" s="1" t="s">
        <v>38</v>
      </c>
      <c r="H52" s="1" t="s">
        <v>89</v>
      </c>
      <c r="I52" s="2">
        <v>45962.0</v>
      </c>
      <c r="J52" s="2">
        <v>46023.0</v>
      </c>
      <c r="K52" s="1" t="s">
        <v>34</v>
      </c>
      <c r="L52" s="1" t="s">
        <v>35</v>
      </c>
      <c r="M52" s="1" t="s">
        <v>36</v>
      </c>
      <c r="N52" s="1" t="s">
        <v>37</v>
      </c>
      <c r="O52" s="1">
        <v>1.0</v>
      </c>
      <c r="P52" s="3">
        <v>1.0</v>
      </c>
      <c r="Q52" s="1">
        <v>7.0</v>
      </c>
      <c r="R52" s="2">
        <v>46143.0</v>
      </c>
      <c r="S52" s="2">
        <v>46174.0</v>
      </c>
      <c r="T52" s="4">
        <v>403.39</v>
      </c>
      <c r="U52" s="4">
        <v>20.0</v>
      </c>
      <c r="V52" s="4">
        <v>20.0</v>
      </c>
      <c r="W52" s="4">
        <v>0.0</v>
      </c>
      <c r="X52" s="4">
        <v>0.0</v>
      </c>
      <c r="Y52" s="4">
        <v>2016.95</v>
      </c>
      <c r="Z52" s="4">
        <v>100.0</v>
      </c>
      <c r="AA52" s="1">
        <v>1.0</v>
      </c>
    </row>
    <row r="53" ht="15.75" customHeight="1">
      <c r="A53" s="1" t="s">
        <v>27</v>
      </c>
      <c r="B53" s="1" t="s">
        <v>28</v>
      </c>
      <c r="C53" s="1" t="s">
        <v>29</v>
      </c>
      <c r="D53" s="1" t="s">
        <v>54</v>
      </c>
      <c r="E53" s="1" t="s">
        <v>31</v>
      </c>
      <c r="F53" s="1">
        <v>9.28155642E8</v>
      </c>
      <c r="G53" s="1" t="s">
        <v>46</v>
      </c>
      <c r="H53" s="1" t="s">
        <v>90</v>
      </c>
      <c r="I53" s="2">
        <v>45992.0</v>
      </c>
      <c r="J53" s="2">
        <v>46023.0</v>
      </c>
      <c r="K53" s="1" t="s">
        <v>34</v>
      </c>
      <c r="L53" s="1" t="s">
        <v>48</v>
      </c>
      <c r="M53" s="1" t="s">
        <v>36</v>
      </c>
      <c r="N53" s="1" t="s">
        <v>37</v>
      </c>
      <c r="O53" s="1">
        <v>1.0</v>
      </c>
      <c r="P53" s="3">
        <v>1.0</v>
      </c>
      <c r="Q53" s="1">
        <v>6.0</v>
      </c>
      <c r="R53" s="2">
        <v>46143.0</v>
      </c>
      <c r="S53" s="2">
        <v>46174.0</v>
      </c>
      <c r="T53" s="4">
        <v>884.34</v>
      </c>
      <c r="U53" s="4">
        <v>20.0</v>
      </c>
      <c r="V53" s="4">
        <v>20.0</v>
      </c>
      <c r="W53" s="4">
        <v>0.0</v>
      </c>
      <c r="X53" s="4">
        <v>0.0</v>
      </c>
      <c r="Y53" s="4">
        <v>4421.7</v>
      </c>
      <c r="Z53" s="4">
        <v>100.0</v>
      </c>
      <c r="AA53" s="1">
        <v>1.0</v>
      </c>
    </row>
    <row r="54" ht="15.75" customHeight="1">
      <c r="A54" s="1" t="s">
        <v>27</v>
      </c>
      <c r="B54" s="1" t="s">
        <v>28</v>
      </c>
      <c r="C54" s="1" t="s">
        <v>29</v>
      </c>
      <c r="D54" s="1" t="s">
        <v>54</v>
      </c>
      <c r="E54" s="1" t="s">
        <v>31</v>
      </c>
      <c r="F54" s="1">
        <v>9.28155644E8</v>
      </c>
      <c r="G54" s="1" t="s">
        <v>71</v>
      </c>
      <c r="H54" s="1" t="s">
        <v>91</v>
      </c>
      <c r="I54" s="2">
        <v>45992.0</v>
      </c>
      <c r="J54" s="2">
        <v>46023.0</v>
      </c>
      <c r="K54" s="1" t="s">
        <v>34</v>
      </c>
      <c r="L54" s="1" t="s">
        <v>48</v>
      </c>
      <c r="M54" s="1" t="s">
        <v>36</v>
      </c>
      <c r="N54" s="1" t="s">
        <v>37</v>
      </c>
      <c r="O54" s="1">
        <v>3.0</v>
      </c>
      <c r="P54" s="3">
        <v>1.0</v>
      </c>
      <c r="Q54" s="1">
        <v>6.0</v>
      </c>
      <c r="R54" s="2">
        <v>46143.0</v>
      </c>
      <c r="S54" s="2">
        <v>46174.0</v>
      </c>
      <c r="T54" s="4">
        <v>1466.33</v>
      </c>
      <c r="U54" s="4">
        <v>20.0</v>
      </c>
      <c r="V54" s="4">
        <v>60.0</v>
      </c>
      <c r="W54" s="4">
        <v>0.0</v>
      </c>
      <c r="X54" s="4">
        <v>0.0</v>
      </c>
      <c r="Y54" s="4">
        <v>7331.65</v>
      </c>
      <c r="Z54" s="4">
        <v>300.0</v>
      </c>
      <c r="AA54" s="1">
        <v>1.0</v>
      </c>
    </row>
    <row r="55" ht="15.75" customHeight="1">
      <c r="A55" s="1" t="s">
        <v>27</v>
      </c>
      <c r="B55" s="1" t="s">
        <v>28</v>
      </c>
      <c r="C55" s="1" t="s">
        <v>29</v>
      </c>
      <c r="D55" s="1" t="s">
        <v>54</v>
      </c>
      <c r="E55" s="1" t="s">
        <v>31</v>
      </c>
      <c r="F55" s="1">
        <v>9.28156116E8</v>
      </c>
      <c r="G55" s="1" t="s">
        <v>59</v>
      </c>
      <c r="H55" s="1" t="s">
        <v>92</v>
      </c>
      <c r="I55" s="2">
        <v>45992.0</v>
      </c>
      <c r="J55" s="2">
        <v>46023.0</v>
      </c>
      <c r="K55" s="1" t="s">
        <v>34</v>
      </c>
      <c r="L55" s="1" t="s">
        <v>48</v>
      </c>
      <c r="M55" s="1" t="s">
        <v>36</v>
      </c>
      <c r="N55" s="1" t="s">
        <v>37</v>
      </c>
      <c r="O55" s="1">
        <v>1.0</v>
      </c>
      <c r="P55" s="3">
        <v>1.0</v>
      </c>
      <c r="Q55" s="1">
        <v>6.0</v>
      </c>
      <c r="R55" s="2">
        <v>46143.0</v>
      </c>
      <c r="S55" s="2">
        <v>46174.0</v>
      </c>
      <c r="T55" s="4">
        <v>887.73</v>
      </c>
      <c r="U55" s="4">
        <v>20.0</v>
      </c>
      <c r="V55" s="4">
        <v>20.0</v>
      </c>
      <c r="W55" s="4">
        <v>0.0</v>
      </c>
      <c r="X55" s="4">
        <v>0.0</v>
      </c>
      <c r="Y55" s="4">
        <v>4438.65</v>
      </c>
      <c r="Z55" s="4">
        <v>100.0</v>
      </c>
      <c r="AA55" s="1">
        <v>1.0</v>
      </c>
    </row>
    <row r="56" ht="15.75" customHeight="1">
      <c r="A56" s="1" t="s">
        <v>27</v>
      </c>
      <c r="B56" s="1" t="s">
        <v>28</v>
      </c>
      <c r="C56" s="1" t="s">
        <v>29</v>
      </c>
      <c r="D56" s="1" t="s">
        <v>54</v>
      </c>
      <c r="E56" s="1" t="s">
        <v>31</v>
      </c>
      <c r="F56" s="1">
        <v>9.28156415E8</v>
      </c>
      <c r="G56" s="1" t="s">
        <v>46</v>
      </c>
      <c r="H56" s="1" t="s">
        <v>93</v>
      </c>
      <c r="I56" s="2">
        <v>46143.0</v>
      </c>
      <c r="J56" s="2">
        <v>46143.0</v>
      </c>
      <c r="K56" s="1" t="s">
        <v>34</v>
      </c>
      <c r="L56" s="1" t="s">
        <v>48</v>
      </c>
      <c r="M56" s="1" t="s">
        <v>36</v>
      </c>
      <c r="N56" s="1" t="s">
        <v>37</v>
      </c>
      <c r="O56" s="1">
        <v>1.0</v>
      </c>
      <c r="P56" s="3">
        <v>1.0</v>
      </c>
      <c r="Q56" s="1">
        <v>1.0</v>
      </c>
      <c r="R56" s="2">
        <v>46143.0</v>
      </c>
      <c r="S56" s="2">
        <v>46174.0</v>
      </c>
      <c r="T56" s="4">
        <v>677.56</v>
      </c>
      <c r="U56" s="4">
        <v>20.0</v>
      </c>
      <c r="V56" s="4">
        <v>20.0</v>
      </c>
      <c r="W56" s="4">
        <v>0.0</v>
      </c>
      <c r="X56" s="4">
        <v>0.0</v>
      </c>
      <c r="Y56" s="4">
        <v>677.56</v>
      </c>
      <c r="Z56" s="4">
        <v>20.0</v>
      </c>
      <c r="AA56" s="1">
        <v>1.0</v>
      </c>
    </row>
    <row r="57" ht="15.75" customHeight="1">
      <c r="A57" s="1" t="s">
        <v>27</v>
      </c>
      <c r="B57" s="1" t="s">
        <v>28</v>
      </c>
      <c r="C57" s="1" t="s">
        <v>29</v>
      </c>
      <c r="D57" s="1" t="s">
        <v>54</v>
      </c>
      <c r="E57" s="1" t="s">
        <v>31</v>
      </c>
      <c r="F57" s="1">
        <v>9.281565E8</v>
      </c>
      <c r="G57" s="1" t="s">
        <v>71</v>
      </c>
      <c r="H57" s="1" t="s">
        <v>94</v>
      </c>
      <c r="I57" s="2">
        <v>45992.0</v>
      </c>
      <c r="J57" s="2">
        <v>46023.0</v>
      </c>
      <c r="K57" s="1" t="s">
        <v>34</v>
      </c>
      <c r="L57" s="1" t="s">
        <v>48</v>
      </c>
      <c r="M57" s="1" t="s">
        <v>36</v>
      </c>
      <c r="N57" s="1" t="s">
        <v>37</v>
      </c>
      <c r="O57" s="1">
        <v>1.0</v>
      </c>
      <c r="P57" s="3">
        <v>1.0</v>
      </c>
      <c r="Q57" s="1">
        <v>6.0</v>
      </c>
      <c r="R57" s="2">
        <v>46143.0</v>
      </c>
      <c r="S57" s="2">
        <v>46174.0</v>
      </c>
      <c r="T57" s="4">
        <v>1264.88</v>
      </c>
      <c r="U57" s="4">
        <v>20.0</v>
      </c>
      <c r="V57" s="4">
        <v>20.0</v>
      </c>
      <c r="W57" s="4">
        <v>0.0</v>
      </c>
      <c r="X57" s="4">
        <v>0.0</v>
      </c>
      <c r="Y57" s="4">
        <v>6324.4</v>
      </c>
      <c r="Z57" s="4">
        <v>100.0</v>
      </c>
      <c r="AA57" s="1">
        <v>1.0</v>
      </c>
    </row>
    <row r="58" ht="15.75" customHeight="1">
      <c r="A58" s="1" t="s">
        <v>27</v>
      </c>
      <c r="B58" s="1" t="s">
        <v>28</v>
      </c>
      <c r="C58" s="1" t="s">
        <v>29</v>
      </c>
      <c r="D58" s="1" t="s">
        <v>54</v>
      </c>
      <c r="E58" s="1" t="s">
        <v>31</v>
      </c>
      <c r="F58" s="1">
        <v>9.28158305E8</v>
      </c>
      <c r="G58" s="1" t="s">
        <v>95</v>
      </c>
      <c r="H58" s="1" t="s">
        <v>96</v>
      </c>
      <c r="I58" s="2">
        <v>46023.0</v>
      </c>
      <c r="J58" s="2">
        <v>46023.0</v>
      </c>
      <c r="K58" s="1" t="s">
        <v>34</v>
      </c>
      <c r="L58" s="1" t="s">
        <v>35</v>
      </c>
      <c r="M58" s="1" t="s">
        <v>36</v>
      </c>
      <c r="N58" s="1" t="s">
        <v>37</v>
      </c>
      <c r="O58" s="1">
        <v>3.0</v>
      </c>
      <c r="P58" s="3">
        <v>1.0</v>
      </c>
      <c r="Q58" s="1">
        <v>5.0</v>
      </c>
      <c r="R58" s="2">
        <v>46143.0</v>
      </c>
      <c r="S58" s="2">
        <v>46174.0</v>
      </c>
      <c r="T58" s="4">
        <v>1711.77</v>
      </c>
      <c r="U58" s="4">
        <v>20.0</v>
      </c>
      <c r="V58" s="4">
        <v>60.0</v>
      </c>
      <c r="W58" s="4">
        <v>0.0</v>
      </c>
      <c r="X58" s="4">
        <v>0.0</v>
      </c>
      <c r="Y58" s="4">
        <v>8558.85</v>
      </c>
      <c r="Z58" s="4">
        <v>300.0</v>
      </c>
      <c r="AA58" s="1">
        <v>1.0</v>
      </c>
    </row>
    <row r="59" ht="15.75" customHeight="1">
      <c r="A59" s="1" t="s">
        <v>27</v>
      </c>
      <c r="B59" s="1" t="s">
        <v>28</v>
      </c>
      <c r="C59" s="1" t="s">
        <v>29</v>
      </c>
      <c r="D59" s="1" t="s">
        <v>54</v>
      </c>
      <c r="E59" s="1" t="s">
        <v>31</v>
      </c>
      <c r="F59" s="1">
        <v>9.28158807E8</v>
      </c>
      <c r="G59" s="1" t="s">
        <v>46</v>
      </c>
      <c r="H59" s="1" t="s">
        <v>97</v>
      </c>
      <c r="I59" s="2">
        <v>46023.0</v>
      </c>
      <c r="J59" s="2">
        <v>46023.0</v>
      </c>
      <c r="K59" s="1" t="s">
        <v>34</v>
      </c>
      <c r="L59" s="1" t="s">
        <v>48</v>
      </c>
      <c r="M59" s="1" t="s">
        <v>36</v>
      </c>
      <c r="N59" s="1" t="s">
        <v>37</v>
      </c>
      <c r="O59" s="1">
        <v>1.0</v>
      </c>
      <c r="P59" s="3">
        <v>1.0</v>
      </c>
      <c r="Q59" s="1">
        <v>5.0</v>
      </c>
      <c r="R59" s="2">
        <v>46143.0</v>
      </c>
      <c r="S59" s="2">
        <v>46174.0</v>
      </c>
      <c r="T59" s="4">
        <v>485.09</v>
      </c>
      <c r="U59" s="4">
        <v>20.0</v>
      </c>
      <c r="V59" s="4">
        <v>20.0</v>
      </c>
      <c r="W59" s="4">
        <v>0.0</v>
      </c>
      <c r="X59" s="4">
        <v>0.0</v>
      </c>
      <c r="Y59" s="4">
        <v>2425.45</v>
      </c>
      <c r="Z59" s="4">
        <v>100.0</v>
      </c>
      <c r="AA59" s="1">
        <v>1.0</v>
      </c>
    </row>
    <row r="60" ht="15.75" customHeight="1">
      <c r="A60" s="1" t="s">
        <v>27</v>
      </c>
      <c r="B60" s="1" t="s">
        <v>28</v>
      </c>
      <c r="C60" s="1" t="s">
        <v>29</v>
      </c>
      <c r="D60" s="1" t="s">
        <v>54</v>
      </c>
      <c r="E60" s="1" t="s">
        <v>31</v>
      </c>
      <c r="F60" s="1">
        <v>9.28159084E8</v>
      </c>
      <c r="G60" s="1" t="s">
        <v>46</v>
      </c>
      <c r="H60" s="1" t="s">
        <v>98</v>
      </c>
      <c r="I60" s="2">
        <v>46023.0</v>
      </c>
      <c r="J60" s="2">
        <v>46023.0</v>
      </c>
      <c r="K60" s="1" t="s">
        <v>34</v>
      </c>
      <c r="L60" s="1" t="s">
        <v>48</v>
      </c>
      <c r="M60" s="1" t="s">
        <v>36</v>
      </c>
      <c r="N60" s="1" t="s">
        <v>37</v>
      </c>
      <c r="O60" s="1">
        <v>3.0</v>
      </c>
      <c r="P60" s="3">
        <v>1.0</v>
      </c>
      <c r="Q60" s="1">
        <v>5.0</v>
      </c>
      <c r="R60" s="2">
        <v>46143.0</v>
      </c>
      <c r="S60" s="2">
        <v>46174.0</v>
      </c>
      <c r="T60" s="4">
        <v>2024.01</v>
      </c>
      <c r="U60" s="4">
        <v>20.0</v>
      </c>
      <c r="V60" s="4">
        <v>60.0</v>
      </c>
      <c r="W60" s="4">
        <v>0.0</v>
      </c>
      <c r="X60" s="4">
        <v>0.0</v>
      </c>
      <c r="Y60" s="4">
        <v>10120.05</v>
      </c>
      <c r="Z60" s="4">
        <v>300.0</v>
      </c>
      <c r="AA60" s="1">
        <v>1.0</v>
      </c>
    </row>
    <row r="61" ht="15.75" customHeight="1">
      <c r="A61" s="1" t="s">
        <v>27</v>
      </c>
      <c r="B61" s="1" t="s">
        <v>28</v>
      </c>
      <c r="C61" s="1" t="s">
        <v>29</v>
      </c>
      <c r="D61" s="1" t="s">
        <v>54</v>
      </c>
      <c r="E61" s="1" t="s">
        <v>31</v>
      </c>
      <c r="F61" s="1">
        <v>9.2815915E8</v>
      </c>
      <c r="G61" s="1" t="s">
        <v>57</v>
      </c>
      <c r="H61" s="1" t="s">
        <v>99</v>
      </c>
      <c r="I61" s="2">
        <v>46023.0</v>
      </c>
      <c r="J61" s="2">
        <v>46082.0</v>
      </c>
      <c r="K61" s="1" t="s">
        <v>34</v>
      </c>
      <c r="L61" s="1" t="s">
        <v>35</v>
      </c>
      <c r="M61" s="1" t="s">
        <v>36</v>
      </c>
      <c r="N61" s="1" t="s">
        <v>37</v>
      </c>
      <c r="O61" s="1">
        <v>1.0</v>
      </c>
      <c r="P61" s="3">
        <v>1.0</v>
      </c>
      <c r="Q61" s="1">
        <v>5.0</v>
      </c>
      <c r="R61" s="2">
        <v>46143.0</v>
      </c>
      <c r="S61" s="2">
        <v>46174.0</v>
      </c>
      <c r="T61" s="4">
        <v>307.57</v>
      </c>
      <c r="U61" s="4">
        <v>20.0</v>
      </c>
      <c r="V61" s="4">
        <v>20.0</v>
      </c>
      <c r="W61" s="4">
        <v>0.0</v>
      </c>
      <c r="X61" s="4">
        <v>0.0</v>
      </c>
      <c r="Y61" s="4">
        <v>1718.53</v>
      </c>
      <c r="Z61" s="4">
        <v>100.0</v>
      </c>
      <c r="AA61" s="1">
        <v>1.0</v>
      </c>
    </row>
    <row r="62" ht="15.75" customHeight="1">
      <c r="A62" s="1" t="s">
        <v>27</v>
      </c>
      <c r="B62" s="1" t="s">
        <v>28</v>
      </c>
      <c r="C62" s="1" t="s">
        <v>29</v>
      </c>
      <c r="D62" s="1" t="s">
        <v>54</v>
      </c>
      <c r="E62" s="1" t="s">
        <v>31</v>
      </c>
      <c r="F62" s="1">
        <v>9.28159161E8</v>
      </c>
      <c r="G62" s="1" t="s">
        <v>59</v>
      </c>
      <c r="H62" s="1" t="s">
        <v>100</v>
      </c>
      <c r="I62" s="2">
        <v>46023.0</v>
      </c>
      <c r="J62" s="2">
        <v>46023.0</v>
      </c>
      <c r="K62" s="1" t="s">
        <v>34</v>
      </c>
      <c r="L62" s="1" t="s">
        <v>48</v>
      </c>
      <c r="M62" s="1" t="s">
        <v>36</v>
      </c>
      <c r="N62" s="1" t="s">
        <v>37</v>
      </c>
      <c r="O62" s="1">
        <v>1.0</v>
      </c>
      <c r="P62" s="3">
        <v>1.0</v>
      </c>
      <c r="Q62" s="1">
        <v>5.0</v>
      </c>
      <c r="R62" s="2">
        <v>46143.0</v>
      </c>
      <c r="S62" s="2">
        <v>46174.0</v>
      </c>
      <c r="T62" s="4">
        <v>516.18</v>
      </c>
      <c r="U62" s="4">
        <v>20.0</v>
      </c>
      <c r="V62" s="4">
        <v>20.0</v>
      </c>
      <c r="W62" s="4">
        <v>0.0</v>
      </c>
      <c r="X62" s="4">
        <v>0.0</v>
      </c>
      <c r="Y62" s="4">
        <v>2580.9</v>
      </c>
      <c r="Z62" s="4">
        <v>100.0</v>
      </c>
      <c r="AA62" s="1">
        <v>1.0</v>
      </c>
    </row>
    <row r="63" ht="15.75" customHeight="1">
      <c r="A63" s="1" t="s">
        <v>27</v>
      </c>
      <c r="B63" s="1" t="s">
        <v>28</v>
      </c>
      <c r="C63" s="1" t="s">
        <v>29</v>
      </c>
      <c r="D63" s="1" t="s">
        <v>54</v>
      </c>
      <c r="E63" s="1" t="s">
        <v>31</v>
      </c>
      <c r="F63" s="1">
        <v>9.28159479E8</v>
      </c>
      <c r="G63" s="1" t="s">
        <v>38</v>
      </c>
      <c r="H63" s="1" t="s">
        <v>101</v>
      </c>
      <c r="I63" s="2">
        <v>46023.0</v>
      </c>
      <c r="J63" s="2">
        <v>46023.0</v>
      </c>
      <c r="K63" s="1" t="s">
        <v>34</v>
      </c>
      <c r="L63" s="1" t="s">
        <v>35</v>
      </c>
      <c r="M63" s="1" t="s">
        <v>36</v>
      </c>
      <c r="N63" s="1" t="s">
        <v>37</v>
      </c>
      <c r="O63" s="1">
        <v>1.0</v>
      </c>
      <c r="P63" s="3">
        <v>1.0</v>
      </c>
      <c r="Q63" s="1">
        <v>5.0</v>
      </c>
      <c r="R63" s="2">
        <v>46143.0</v>
      </c>
      <c r="S63" s="2">
        <v>46174.0</v>
      </c>
      <c r="T63" s="4">
        <v>300.78</v>
      </c>
      <c r="U63" s="4">
        <v>20.0</v>
      </c>
      <c r="V63" s="4">
        <v>20.0</v>
      </c>
      <c r="W63" s="4">
        <v>0.0</v>
      </c>
      <c r="X63" s="4">
        <v>0.0</v>
      </c>
      <c r="Y63" s="4">
        <v>1503.9</v>
      </c>
      <c r="Z63" s="4">
        <v>100.0</v>
      </c>
      <c r="AA63" s="1">
        <v>1.0</v>
      </c>
    </row>
    <row r="64" ht="15.75" customHeight="1">
      <c r="A64" s="1" t="s">
        <v>27</v>
      </c>
      <c r="B64" s="1" t="s">
        <v>28</v>
      </c>
      <c r="C64" s="1" t="s">
        <v>29</v>
      </c>
      <c r="D64" s="1" t="s">
        <v>54</v>
      </c>
      <c r="E64" s="1" t="s">
        <v>31</v>
      </c>
      <c r="F64" s="1">
        <v>9.28159587E8</v>
      </c>
      <c r="G64" s="1" t="s">
        <v>46</v>
      </c>
      <c r="H64" s="1" t="s">
        <v>102</v>
      </c>
      <c r="I64" s="2">
        <v>46023.0</v>
      </c>
      <c r="J64" s="2">
        <v>46023.0</v>
      </c>
      <c r="K64" s="1" t="s">
        <v>34</v>
      </c>
      <c r="L64" s="1" t="s">
        <v>48</v>
      </c>
      <c r="M64" s="1" t="s">
        <v>36</v>
      </c>
      <c r="N64" s="1" t="s">
        <v>37</v>
      </c>
      <c r="O64" s="1">
        <v>1.0</v>
      </c>
      <c r="P64" s="3">
        <v>1.0</v>
      </c>
      <c r="Q64" s="1">
        <v>5.0</v>
      </c>
      <c r="R64" s="2">
        <v>46143.0</v>
      </c>
      <c r="S64" s="2">
        <v>46174.0</v>
      </c>
      <c r="T64" s="4">
        <v>1104.56</v>
      </c>
      <c r="U64" s="4">
        <v>20.0</v>
      </c>
      <c r="V64" s="4">
        <v>20.0</v>
      </c>
      <c r="W64" s="4">
        <v>0.0</v>
      </c>
      <c r="X64" s="4">
        <v>0.0</v>
      </c>
      <c r="Y64" s="4">
        <v>5522.8</v>
      </c>
      <c r="Z64" s="4">
        <v>100.0</v>
      </c>
      <c r="AA64" s="1">
        <v>1.0</v>
      </c>
    </row>
    <row r="65" ht="15.75" customHeight="1">
      <c r="A65" s="1" t="s">
        <v>27</v>
      </c>
      <c r="B65" s="1" t="s">
        <v>28</v>
      </c>
      <c r="C65" s="1" t="s">
        <v>29</v>
      </c>
      <c r="D65" s="1" t="s">
        <v>54</v>
      </c>
      <c r="E65" s="1" t="s">
        <v>31</v>
      </c>
      <c r="F65" s="1">
        <v>9.28160357E8</v>
      </c>
      <c r="G65" s="1" t="s">
        <v>71</v>
      </c>
      <c r="H65" s="1" t="s">
        <v>103</v>
      </c>
      <c r="I65" s="2">
        <v>46054.0</v>
      </c>
      <c r="J65" s="2">
        <v>46054.0</v>
      </c>
      <c r="K65" s="1" t="s">
        <v>34</v>
      </c>
      <c r="L65" s="1" t="s">
        <v>48</v>
      </c>
      <c r="M65" s="1" t="s">
        <v>36</v>
      </c>
      <c r="N65" s="1" t="s">
        <v>37</v>
      </c>
      <c r="O65" s="1">
        <v>1.0</v>
      </c>
      <c r="P65" s="3">
        <v>1.0</v>
      </c>
      <c r="Q65" s="1">
        <v>4.0</v>
      </c>
      <c r="R65" s="2">
        <v>46143.0</v>
      </c>
      <c r="S65" s="2">
        <v>46174.0</v>
      </c>
      <c r="T65" s="4">
        <v>820.87</v>
      </c>
      <c r="U65" s="4">
        <v>20.0</v>
      </c>
      <c r="V65" s="4">
        <v>20.0</v>
      </c>
      <c r="W65" s="4">
        <v>0.0</v>
      </c>
      <c r="X65" s="4">
        <v>0.0</v>
      </c>
      <c r="Y65" s="4">
        <v>3283.48</v>
      </c>
      <c r="Z65" s="4">
        <v>80.0</v>
      </c>
      <c r="AA65" s="1">
        <v>1.0</v>
      </c>
    </row>
    <row r="66" ht="15.75" customHeight="1">
      <c r="A66" s="1" t="s">
        <v>27</v>
      </c>
      <c r="B66" s="1" t="s">
        <v>28</v>
      </c>
      <c r="C66" s="1" t="s">
        <v>29</v>
      </c>
      <c r="D66" s="1" t="s">
        <v>54</v>
      </c>
      <c r="E66" s="1" t="s">
        <v>31</v>
      </c>
      <c r="F66" s="1">
        <v>9.28160944E8</v>
      </c>
      <c r="G66" s="1" t="s">
        <v>71</v>
      </c>
      <c r="H66" s="1" t="s">
        <v>104</v>
      </c>
      <c r="I66" s="2">
        <v>46054.0</v>
      </c>
      <c r="J66" s="2">
        <v>46054.0</v>
      </c>
      <c r="K66" s="1" t="s">
        <v>34</v>
      </c>
      <c r="L66" s="1" t="s">
        <v>48</v>
      </c>
      <c r="M66" s="1" t="s">
        <v>36</v>
      </c>
      <c r="N66" s="1" t="s">
        <v>37</v>
      </c>
      <c r="O66" s="1">
        <v>1.0</v>
      </c>
      <c r="P66" s="3">
        <v>1.0</v>
      </c>
      <c r="Q66" s="1">
        <v>4.0</v>
      </c>
      <c r="R66" s="2">
        <v>46143.0</v>
      </c>
      <c r="S66" s="2">
        <v>46174.0</v>
      </c>
      <c r="T66" s="4">
        <v>525.19</v>
      </c>
      <c r="U66" s="4">
        <v>20.0</v>
      </c>
      <c r="V66" s="4">
        <v>20.0</v>
      </c>
      <c r="W66" s="4">
        <v>0.0</v>
      </c>
      <c r="X66" s="4">
        <v>0.0</v>
      </c>
      <c r="Y66" s="4">
        <v>2100.76</v>
      </c>
      <c r="Z66" s="4">
        <v>80.0</v>
      </c>
      <c r="AA66" s="1">
        <v>1.0</v>
      </c>
    </row>
    <row r="67" ht="15.75" customHeight="1">
      <c r="A67" s="1" t="s">
        <v>27</v>
      </c>
      <c r="B67" s="1" t="s">
        <v>28</v>
      </c>
      <c r="C67" s="1" t="s">
        <v>29</v>
      </c>
      <c r="D67" s="1" t="s">
        <v>54</v>
      </c>
      <c r="E67" s="1" t="s">
        <v>31</v>
      </c>
      <c r="F67" s="1">
        <v>9.28160969E8</v>
      </c>
      <c r="G67" s="1" t="s">
        <v>46</v>
      </c>
      <c r="H67" s="1" t="s">
        <v>105</v>
      </c>
      <c r="I67" s="2">
        <v>46054.0</v>
      </c>
      <c r="J67" s="2">
        <v>46054.0</v>
      </c>
      <c r="K67" s="1" t="s">
        <v>34</v>
      </c>
      <c r="L67" s="1" t="s">
        <v>48</v>
      </c>
      <c r="M67" s="1" t="s">
        <v>36</v>
      </c>
      <c r="N67" s="1" t="s">
        <v>37</v>
      </c>
      <c r="O67" s="1">
        <v>1.0</v>
      </c>
      <c r="P67" s="3">
        <v>1.0</v>
      </c>
      <c r="Q67" s="1">
        <v>4.0</v>
      </c>
      <c r="R67" s="2">
        <v>46143.0</v>
      </c>
      <c r="S67" s="2">
        <v>46174.0</v>
      </c>
      <c r="T67" s="4">
        <v>636.28</v>
      </c>
      <c r="U67" s="4">
        <v>20.0</v>
      </c>
      <c r="V67" s="4">
        <v>20.0</v>
      </c>
      <c r="W67" s="4">
        <v>0.0</v>
      </c>
      <c r="X67" s="4">
        <v>0.0</v>
      </c>
      <c r="Y67" s="4">
        <v>2545.12</v>
      </c>
      <c r="Z67" s="4">
        <v>80.0</v>
      </c>
      <c r="AA67" s="1">
        <v>1.0</v>
      </c>
    </row>
    <row r="68" ht="15.75" customHeight="1">
      <c r="A68" s="1" t="s">
        <v>27</v>
      </c>
      <c r="B68" s="1" t="s">
        <v>28</v>
      </c>
      <c r="C68" s="1" t="s">
        <v>29</v>
      </c>
      <c r="D68" s="1" t="s">
        <v>54</v>
      </c>
      <c r="E68" s="1" t="s">
        <v>31</v>
      </c>
      <c r="F68" s="1">
        <v>9.28161227E8</v>
      </c>
      <c r="G68" s="1" t="s">
        <v>57</v>
      </c>
      <c r="H68" s="1" t="s">
        <v>106</v>
      </c>
      <c r="I68" s="2">
        <v>46054.0</v>
      </c>
      <c r="J68" s="2">
        <v>46054.0</v>
      </c>
      <c r="K68" s="1" t="s">
        <v>34</v>
      </c>
      <c r="L68" s="1" t="s">
        <v>35</v>
      </c>
      <c r="M68" s="1" t="s">
        <v>36</v>
      </c>
      <c r="N68" s="1" t="s">
        <v>37</v>
      </c>
      <c r="O68" s="1">
        <v>1.0</v>
      </c>
      <c r="P68" s="3">
        <v>1.0</v>
      </c>
      <c r="Q68" s="1">
        <v>4.0</v>
      </c>
      <c r="R68" s="2">
        <v>46143.0</v>
      </c>
      <c r="S68" s="2">
        <v>46174.0</v>
      </c>
      <c r="T68" s="4">
        <v>300.36</v>
      </c>
      <c r="U68" s="4">
        <v>20.0</v>
      </c>
      <c r="V68" s="4">
        <v>20.0</v>
      </c>
      <c r="W68" s="4">
        <v>0.0</v>
      </c>
      <c r="X68" s="4">
        <v>0.0</v>
      </c>
      <c r="Y68" s="4">
        <v>1201.44</v>
      </c>
      <c r="Z68" s="4">
        <v>80.0</v>
      </c>
      <c r="AA68" s="1">
        <v>1.0</v>
      </c>
    </row>
    <row r="69" ht="15.75" customHeight="1">
      <c r="A69" s="1" t="s">
        <v>27</v>
      </c>
      <c r="B69" s="1" t="s">
        <v>28</v>
      </c>
      <c r="C69" s="1" t="s">
        <v>29</v>
      </c>
      <c r="D69" s="1" t="s">
        <v>54</v>
      </c>
      <c r="E69" s="1" t="s">
        <v>31</v>
      </c>
      <c r="F69" s="1">
        <v>9.28161373E8</v>
      </c>
      <c r="G69" s="1" t="s">
        <v>59</v>
      </c>
      <c r="H69" s="1" t="s">
        <v>107</v>
      </c>
      <c r="I69" s="2">
        <v>46082.0</v>
      </c>
      <c r="J69" s="2">
        <v>46082.0</v>
      </c>
      <c r="K69" s="1" t="s">
        <v>34</v>
      </c>
      <c r="L69" s="1" t="s">
        <v>48</v>
      </c>
      <c r="M69" s="1" t="s">
        <v>36</v>
      </c>
      <c r="N69" s="1" t="s">
        <v>37</v>
      </c>
      <c r="O69" s="1">
        <v>1.0</v>
      </c>
      <c r="P69" s="3">
        <v>1.0</v>
      </c>
      <c r="Q69" s="1">
        <v>3.0</v>
      </c>
      <c r="R69" s="2">
        <v>46143.0</v>
      </c>
      <c r="S69" s="2">
        <v>46174.0</v>
      </c>
      <c r="T69" s="4">
        <v>612.36</v>
      </c>
      <c r="U69" s="4">
        <v>20.0</v>
      </c>
      <c r="V69" s="4">
        <v>20.0</v>
      </c>
      <c r="W69" s="4">
        <v>0.0</v>
      </c>
      <c r="X69" s="4">
        <v>0.0</v>
      </c>
      <c r="Y69" s="4">
        <v>1837.08</v>
      </c>
      <c r="Z69" s="4">
        <v>60.0</v>
      </c>
      <c r="AA69" s="1">
        <v>1.0</v>
      </c>
    </row>
    <row r="70" ht="15.75" customHeight="1">
      <c r="A70" s="1" t="s">
        <v>27</v>
      </c>
      <c r="B70" s="1" t="s">
        <v>28</v>
      </c>
      <c r="C70" s="1" t="s">
        <v>29</v>
      </c>
      <c r="D70" s="1" t="s">
        <v>54</v>
      </c>
      <c r="E70" s="1" t="s">
        <v>31</v>
      </c>
      <c r="F70" s="1">
        <v>9.28161559E8</v>
      </c>
      <c r="G70" s="1" t="s">
        <v>59</v>
      </c>
      <c r="H70" s="1" t="s">
        <v>108</v>
      </c>
      <c r="I70" s="2">
        <v>46082.0</v>
      </c>
      <c r="J70" s="2">
        <v>46082.0</v>
      </c>
      <c r="K70" s="1" t="s">
        <v>34</v>
      </c>
      <c r="L70" s="1" t="s">
        <v>48</v>
      </c>
      <c r="M70" s="1" t="s">
        <v>36</v>
      </c>
      <c r="N70" s="1" t="s">
        <v>37</v>
      </c>
      <c r="O70" s="1">
        <v>1.0</v>
      </c>
      <c r="P70" s="3">
        <v>1.0</v>
      </c>
      <c r="Q70" s="1">
        <v>3.0</v>
      </c>
      <c r="R70" s="2">
        <v>46143.0</v>
      </c>
      <c r="S70" s="2">
        <v>46174.0</v>
      </c>
      <c r="T70" s="4">
        <v>812.24</v>
      </c>
      <c r="U70" s="4">
        <v>20.0</v>
      </c>
      <c r="V70" s="4">
        <v>20.0</v>
      </c>
      <c r="W70" s="4">
        <v>0.0</v>
      </c>
      <c r="X70" s="4">
        <v>0.0</v>
      </c>
      <c r="Y70" s="4">
        <v>2436.72</v>
      </c>
      <c r="Z70" s="4">
        <v>60.0</v>
      </c>
      <c r="AA70" s="1">
        <v>1.0</v>
      </c>
    </row>
    <row r="71" ht="15.75" customHeight="1">
      <c r="A71" s="1" t="s">
        <v>27</v>
      </c>
      <c r="B71" s="1" t="s">
        <v>28</v>
      </c>
      <c r="C71" s="1" t="s">
        <v>29</v>
      </c>
      <c r="D71" s="1" t="s">
        <v>54</v>
      </c>
      <c r="E71" s="1" t="s">
        <v>31</v>
      </c>
      <c r="F71" s="1">
        <v>9.2816158E8</v>
      </c>
      <c r="G71" s="1" t="s">
        <v>32</v>
      </c>
      <c r="H71" s="1" t="s">
        <v>109</v>
      </c>
      <c r="I71" s="2">
        <v>46082.0</v>
      </c>
      <c r="J71" s="2">
        <v>46082.0</v>
      </c>
      <c r="K71" s="1" t="s">
        <v>34</v>
      </c>
      <c r="L71" s="1" t="s">
        <v>35</v>
      </c>
      <c r="M71" s="1" t="s">
        <v>36</v>
      </c>
      <c r="N71" s="1" t="s">
        <v>37</v>
      </c>
      <c r="O71" s="1">
        <v>1.0</v>
      </c>
      <c r="P71" s="3">
        <v>1.0</v>
      </c>
      <c r="Q71" s="1">
        <v>3.0</v>
      </c>
      <c r="R71" s="2">
        <v>46143.0</v>
      </c>
      <c r="S71" s="2">
        <v>46174.0</v>
      </c>
      <c r="T71" s="4">
        <v>732.08</v>
      </c>
      <c r="U71" s="4">
        <v>20.0</v>
      </c>
      <c r="V71" s="4">
        <v>20.0</v>
      </c>
      <c r="W71" s="4">
        <v>0.0</v>
      </c>
      <c r="X71" s="4">
        <v>0.0</v>
      </c>
      <c r="Y71" s="4">
        <v>2196.24</v>
      </c>
      <c r="Z71" s="4">
        <v>60.0</v>
      </c>
      <c r="AA71" s="1">
        <v>1.0</v>
      </c>
    </row>
    <row r="72" ht="15.75" customHeight="1">
      <c r="A72" s="1" t="s">
        <v>27</v>
      </c>
      <c r="B72" s="1" t="s">
        <v>28</v>
      </c>
      <c r="C72" s="1" t="s">
        <v>29</v>
      </c>
      <c r="D72" s="1" t="s">
        <v>54</v>
      </c>
      <c r="E72" s="1" t="s">
        <v>31</v>
      </c>
      <c r="F72" s="1">
        <v>9.28161648E8</v>
      </c>
      <c r="G72" s="1" t="s">
        <v>46</v>
      </c>
      <c r="H72" s="1" t="s">
        <v>110</v>
      </c>
      <c r="I72" s="2">
        <v>46082.0</v>
      </c>
      <c r="J72" s="2">
        <v>46082.0</v>
      </c>
      <c r="K72" s="1" t="s">
        <v>34</v>
      </c>
      <c r="L72" s="1" t="s">
        <v>48</v>
      </c>
      <c r="M72" s="1" t="s">
        <v>36</v>
      </c>
      <c r="N72" s="1" t="s">
        <v>37</v>
      </c>
      <c r="O72" s="1">
        <v>1.0</v>
      </c>
      <c r="P72" s="3">
        <v>1.0</v>
      </c>
      <c r="Q72" s="1">
        <v>1.0</v>
      </c>
      <c r="R72" s="2">
        <v>46082.0</v>
      </c>
      <c r="S72" s="2">
        <v>46113.0</v>
      </c>
      <c r="T72" s="4">
        <v>846.19</v>
      </c>
      <c r="U72" s="4">
        <v>20.0</v>
      </c>
      <c r="V72" s="4">
        <v>20.0</v>
      </c>
      <c r="W72" s="4">
        <v>0.0</v>
      </c>
      <c r="X72" s="4">
        <v>0.0</v>
      </c>
      <c r="Y72" s="4">
        <v>1692.38</v>
      </c>
      <c r="Z72" s="4">
        <v>40.0</v>
      </c>
      <c r="AA72" s="1">
        <v>1.0</v>
      </c>
    </row>
    <row r="73" ht="15.75" customHeight="1">
      <c r="A73" s="1" t="s">
        <v>27</v>
      </c>
      <c r="B73" s="1" t="s">
        <v>28</v>
      </c>
      <c r="C73" s="1" t="s">
        <v>29</v>
      </c>
      <c r="D73" s="1" t="s">
        <v>54</v>
      </c>
      <c r="E73" s="1" t="s">
        <v>31</v>
      </c>
      <c r="F73" s="1">
        <v>9.28161648E8</v>
      </c>
      <c r="G73" s="1" t="s">
        <v>46</v>
      </c>
      <c r="H73" s="1" t="s">
        <v>110</v>
      </c>
      <c r="I73" s="2">
        <v>46082.0</v>
      </c>
      <c r="J73" s="2">
        <v>46082.0</v>
      </c>
      <c r="K73" s="1" t="s">
        <v>34</v>
      </c>
      <c r="L73" s="1" t="s">
        <v>48</v>
      </c>
      <c r="M73" s="1" t="s">
        <v>36</v>
      </c>
      <c r="N73" s="1" t="s">
        <v>37</v>
      </c>
      <c r="O73" s="1">
        <v>1.0</v>
      </c>
      <c r="P73" s="3">
        <v>1.0</v>
      </c>
      <c r="Q73" s="1">
        <v>3.0</v>
      </c>
      <c r="R73" s="2">
        <v>46143.0</v>
      </c>
      <c r="S73" s="2">
        <v>46174.0</v>
      </c>
      <c r="T73" s="4">
        <v>846.19</v>
      </c>
      <c r="U73" s="4">
        <v>20.0</v>
      </c>
      <c r="V73" s="4">
        <v>20.0</v>
      </c>
      <c r="W73" s="4">
        <v>0.0</v>
      </c>
      <c r="X73" s="4">
        <v>0.0</v>
      </c>
      <c r="Y73" s="4">
        <v>3384.76</v>
      </c>
      <c r="Z73" s="4">
        <v>80.0</v>
      </c>
      <c r="AA73" s="1">
        <v>1.0</v>
      </c>
    </row>
    <row r="74" ht="15.75" customHeight="1">
      <c r="A74" s="1" t="s">
        <v>27</v>
      </c>
      <c r="B74" s="1" t="s">
        <v>28</v>
      </c>
      <c r="C74" s="1" t="s">
        <v>29</v>
      </c>
      <c r="D74" s="1" t="s">
        <v>54</v>
      </c>
      <c r="E74" s="1" t="s">
        <v>31</v>
      </c>
      <c r="F74" s="1">
        <v>9.2816172E8</v>
      </c>
      <c r="G74" s="1" t="s">
        <v>57</v>
      </c>
      <c r="H74" s="1" t="s">
        <v>111</v>
      </c>
      <c r="I74" s="2">
        <v>46082.0</v>
      </c>
      <c r="J74" s="2">
        <v>46082.0</v>
      </c>
      <c r="K74" s="1" t="s">
        <v>34</v>
      </c>
      <c r="L74" s="1" t="s">
        <v>35</v>
      </c>
      <c r="M74" s="1" t="s">
        <v>36</v>
      </c>
      <c r="N74" s="1" t="s">
        <v>37</v>
      </c>
      <c r="O74" s="1">
        <v>1.0</v>
      </c>
      <c r="P74" s="3">
        <v>1.0</v>
      </c>
      <c r="Q74" s="1">
        <v>3.0</v>
      </c>
      <c r="R74" s="2">
        <v>46143.0</v>
      </c>
      <c r="S74" s="2">
        <v>46174.0</v>
      </c>
      <c r="T74" s="4">
        <v>639.55</v>
      </c>
      <c r="U74" s="4">
        <v>20.0</v>
      </c>
      <c r="V74" s="4">
        <v>20.0</v>
      </c>
      <c r="W74" s="4">
        <v>0.0</v>
      </c>
      <c r="X74" s="4">
        <v>0.0</v>
      </c>
      <c r="Y74" s="4">
        <v>1918.65</v>
      </c>
      <c r="Z74" s="4">
        <v>60.0</v>
      </c>
      <c r="AA74" s="1">
        <v>1.0</v>
      </c>
    </row>
    <row r="75" ht="15.75" customHeight="1">
      <c r="A75" s="1" t="s">
        <v>27</v>
      </c>
      <c r="B75" s="1" t="s">
        <v>28</v>
      </c>
      <c r="C75" s="1" t="s">
        <v>29</v>
      </c>
      <c r="D75" s="1" t="s">
        <v>54</v>
      </c>
      <c r="E75" s="1" t="s">
        <v>31</v>
      </c>
      <c r="F75" s="1">
        <v>9.28161862E8</v>
      </c>
      <c r="G75" s="1" t="s">
        <v>71</v>
      </c>
      <c r="H75" s="1" t="s">
        <v>112</v>
      </c>
      <c r="I75" s="2">
        <v>46113.0</v>
      </c>
      <c r="J75" s="2">
        <v>46113.0</v>
      </c>
      <c r="K75" s="1" t="s">
        <v>34</v>
      </c>
      <c r="L75" s="1" t="s">
        <v>48</v>
      </c>
      <c r="M75" s="1" t="s">
        <v>36</v>
      </c>
      <c r="N75" s="1" t="s">
        <v>37</v>
      </c>
      <c r="O75" s="1">
        <v>2.0</v>
      </c>
      <c r="P75" s="3">
        <v>1.0</v>
      </c>
      <c r="Q75" s="1">
        <v>1.0</v>
      </c>
      <c r="R75" s="2">
        <v>46113.0</v>
      </c>
      <c r="S75" s="2">
        <v>46143.0</v>
      </c>
      <c r="T75" s="4">
        <v>2495.25</v>
      </c>
      <c r="U75" s="4">
        <v>20.0</v>
      </c>
      <c r="V75" s="4">
        <v>40.0</v>
      </c>
      <c r="W75" s="4">
        <v>0.0</v>
      </c>
      <c r="X75" s="4">
        <v>0.0</v>
      </c>
      <c r="Y75" s="4">
        <v>2495.25</v>
      </c>
      <c r="Z75" s="4">
        <v>40.0</v>
      </c>
      <c r="AA75" s="1">
        <v>1.0</v>
      </c>
    </row>
    <row r="76" ht="15.75" customHeight="1">
      <c r="A76" s="1" t="s">
        <v>27</v>
      </c>
      <c r="B76" s="1" t="s">
        <v>28</v>
      </c>
      <c r="C76" s="1" t="s">
        <v>29</v>
      </c>
      <c r="D76" s="1" t="s">
        <v>54</v>
      </c>
      <c r="E76" s="1" t="s">
        <v>31</v>
      </c>
      <c r="F76" s="1">
        <v>9.28161862E8</v>
      </c>
      <c r="G76" s="1" t="s">
        <v>71</v>
      </c>
      <c r="H76" s="1" t="s">
        <v>112</v>
      </c>
      <c r="I76" s="2">
        <v>46113.0</v>
      </c>
      <c r="J76" s="2">
        <v>46113.0</v>
      </c>
      <c r="K76" s="1" t="s">
        <v>34</v>
      </c>
      <c r="L76" s="1" t="s">
        <v>48</v>
      </c>
      <c r="M76" s="1" t="s">
        <v>36</v>
      </c>
      <c r="N76" s="1" t="s">
        <v>37</v>
      </c>
      <c r="O76" s="1">
        <v>2.0</v>
      </c>
      <c r="P76" s="3">
        <v>1.0</v>
      </c>
      <c r="Q76" s="1">
        <v>2.0</v>
      </c>
      <c r="R76" s="2">
        <v>46143.0</v>
      </c>
      <c r="S76" s="2">
        <v>46174.0</v>
      </c>
      <c r="T76" s="4">
        <v>2495.25</v>
      </c>
      <c r="U76" s="4">
        <v>20.0</v>
      </c>
      <c r="V76" s="4">
        <v>40.0</v>
      </c>
      <c r="W76" s="4">
        <v>0.0</v>
      </c>
      <c r="X76" s="4">
        <v>0.0</v>
      </c>
      <c r="Y76" s="4">
        <v>4990.5</v>
      </c>
      <c r="Z76" s="4">
        <v>80.0</v>
      </c>
      <c r="AA76" s="1">
        <v>1.0</v>
      </c>
    </row>
    <row r="77" ht="15.75" customHeight="1">
      <c r="A77" s="1" t="s">
        <v>27</v>
      </c>
      <c r="B77" s="1" t="s">
        <v>28</v>
      </c>
      <c r="C77" s="1" t="s">
        <v>29</v>
      </c>
      <c r="D77" s="1" t="s">
        <v>54</v>
      </c>
      <c r="E77" s="1" t="s">
        <v>31</v>
      </c>
      <c r="F77" s="1">
        <v>9.28161863E8</v>
      </c>
      <c r="G77" s="1" t="s">
        <v>46</v>
      </c>
      <c r="H77" s="1" t="s">
        <v>113</v>
      </c>
      <c r="I77" s="2">
        <v>46113.0</v>
      </c>
      <c r="J77" s="2">
        <v>46113.0</v>
      </c>
      <c r="K77" s="1" t="s">
        <v>34</v>
      </c>
      <c r="L77" s="1" t="s">
        <v>48</v>
      </c>
      <c r="M77" s="1" t="s">
        <v>36</v>
      </c>
      <c r="N77" s="1" t="s">
        <v>37</v>
      </c>
      <c r="O77" s="1">
        <v>1.0</v>
      </c>
      <c r="P77" s="3">
        <v>1.0</v>
      </c>
      <c r="Q77" s="1">
        <v>2.0</v>
      </c>
      <c r="R77" s="2">
        <v>46143.0</v>
      </c>
      <c r="S77" s="2">
        <v>46174.0</v>
      </c>
      <c r="T77" s="4">
        <v>1104.56</v>
      </c>
      <c r="U77" s="4">
        <v>20.0</v>
      </c>
      <c r="V77" s="4">
        <v>20.0</v>
      </c>
      <c r="W77" s="4">
        <v>0.0</v>
      </c>
      <c r="X77" s="4">
        <v>0.0</v>
      </c>
      <c r="Y77" s="4">
        <v>2209.12</v>
      </c>
      <c r="Z77" s="4">
        <v>40.0</v>
      </c>
      <c r="AA77" s="1">
        <v>1.0</v>
      </c>
    </row>
    <row r="78" ht="15.75" customHeight="1">
      <c r="A78" s="1" t="s">
        <v>27</v>
      </c>
      <c r="B78" s="1" t="s">
        <v>28</v>
      </c>
      <c r="C78" s="1" t="s">
        <v>29</v>
      </c>
      <c r="D78" s="1" t="s">
        <v>54</v>
      </c>
      <c r="E78" s="1" t="s">
        <v>31</v>
      </c>
      <c r="F78" s="1">
        <v>9.2816208E8</v>
      </c>
      <c r="G78" s="1" t="s">
        <v>57</v>
      </c>
      <c r="H78" s="1" t="s">
        <v>114</v>
      </c>
      <c r="I78" s="2">
        <v>46113.0</v>
      </c>
      <c r="J78" s="2">
        <v>46113.0</v>
      </c>
      <c r="K78" s="1" t="s">
        <v>34</v>
      </c>
      <c r="L78" s="1" t="s">
        <v>35</v>
      </c>
      <c r="M78" s="1" t="s">
        <v>36</v>
      </c>
      <c r="N78" s="1" t="s">
        <v>37</v>
      </c>
      <c r="O78" s="1">
        <v>1.0</v>
      </c>
      <c r="P78" s="3">
        <v>1.0</v>
      </c>
      <c r="Q78" s="1">
        <v>2.0</v>
      </c>
      <c r="R78" s="2">
        <v>46143.0</v>
      </c>
      <c r="S78" s="2">
        <v>46174.0</v>
      </c>
      <c r="T78" s="4">
        <v>1214.31</v>
      </c>
      <c r="U78" s="4">
        <v>20.0</v>
      </c>
      <c r="V78" s="4">
        <v>20.0</v>
      </c>
      <c r="W78" s="4">
        <v>0.0</v>
      </c>
      <c r="X78" s="4">
        <v>0.0</v>
      </c>
      <c r="Y78" s="4">
        <v>2428.62</v>
      </c>
      <c r="Z78" s="4">
        <v>40.0</v>
      </c>
      <c r="AA78" s="1">
        <v>1.0</v>
      </c>
    </row>
    <row r="79" ht="15.75" customHeight="1">
      <c r="A79" s="1" t="s">
        <v>27</v>
      </c>
      <c r="B79" s="1" t="s">
        <v>28</v>
      </c>
      <c r="C79" s="1" t="s">
        <v>29</v>
      </c>
      <c r="D79" s="1" t="s">
        <v>54</v>
      </c>
      <c r="E79" s="1" t="s">
        <v>31</v>
      </c>
      <c r="F79" s="1">
        <v>9.28162137E8</v>
      </c>
      <c r="G79" s="1" t="s">
        <v>57</v>
      </c>
      <c r="H79" s="1" t="s">
        <v>115</v>
      </c>
      <c r="I79" s="2">
        <v>46113.0</v>
      </c>
      <c r="J79" s="2">
        <v>46113.0</v>
      </c>
      <c r="K79" s="1" t="s">
        <v>34</v>
      </c>
      <c r="L79" s="1" t="s">
        <v>35</v>
      </c>
      <c r="M79" s="1" t="s">
        <v>36</v>
      </c>
      <c r="N79" s="1" t="s">
        <v>37</v>
      </c>
      <c r="O79" s="1">
        <v>5.0</v>
      </c>
      <c r="P79" s="3">
        <v>1.0</v>
      </c>
      <c r="Q79" s="1">
        <v>2.0</v>
      </c>
      <c r="R79" s="2">
        <v>46143.0</v>
      </c>
      <c r="S79" s="2">
        <v>46174.0</v>
      </c>
      <c r="T79" s="4">
        <v>1677.52</v>
      </c>
      <c r="U79" s="4">
        <v>20.0</v>
      </c>
      <c r="V79" s="4">
        <v>100.0</v>
      </c>
      <c r="W79" s="4">
        <v>0.0</v>
      </c>
      <c r="X79" s="4">
        <v>0.0</v>
      </c>
      <c r="Y79" s="4">
        <v>3355.04</v>
      </c>
      <c r="Z79" s="4">
        <v>200.0</v>
      </c>
      <c r="AA79" s="1">
        <v>1.0</v>
      </c>
    </row>
    <row r="80" ht="15.75" customHeight="1">
      <c r="A80" s="1" t="s">
        <v>27</v>
      </c>
      <c r="B80" s="1" t="s">
        <v>28</v>
      </c>
      <c r="C80" s="1" t="s">
        <v>29</v>
      </c>
      <c r="D80" s="1" t="s">
        <v>54</v>
      </c>
      <c r="E80" s="1" t="s">
        <v>31</v>
      </c>
      <c r="F80" s="1">
        <v>9.28162203E8</v>
      </c>
      <c r="G80" s="1" t="s">
        <v>57</v>
      </c>
      <c r="H80" s="1" t="s">
        <v>116</v>
      </c>
      <c r="I80" s="2">
        <v>46113.0</v>
      </c>
      <c r="J80" s="2">
        <v>46113.0</v>
      </c>
      <c r="K80" s="1" t="s">
        <v>34</v>
      </c>
      <c r="L80" s="1" t="s">
        <v>35</v>
      </c>
      <c r="M80" s="1" t="s">
        <v>36</v>
      </c>
      <c r="N80" s="1" t="s">
        <v>37</v>
      </c>
      <c r="O80" s="1">
        <v>1.0</v>
      </c>
      <c r="P80" s="3">
        <v>1.0</v>
      </c>
      <c r="Q80" s="1">
        <v>2.0</v>
      </c>
      <c r="R80" s="2">
        <v>46143.0</v>
      </c>
      <c r="S80" s="2">
        <v>46174.0</v>
      </c>
      <c r="T80" s="4">
        <v>1053.62</v>
      </c>
      <c r="U80" s="4">
        <v>20.0</v>
      </c>
      <c r="V80" s="4">
        <v>20.0</v>
      </c>
      <c r="W80" s="4">
        <v>0.0</v>
      </c>
      <c r="X80" s="4">
        <v>0.0</v>
      </c>
      <c r="Y80" s="4">
        <v>2107.24</v>
      </c>
      <c r="Z80" s="4">
        <v>40.0</v>
      </c>
      <c r="AA80" s="1">
        <v>1.0</v>
      </c>
    </row>
    <row r="81" ht="15.75" customHeight="1">
      <c r="A81" s="1" t="s">
        <v>27</v>
      </c>
      <c r="B81" s="1" t="s">
        <v>28</v>
      </c>
      <c r="C81" s="1" t="s">
        <v>29</v>
      </c>
      <c r="D81" s="1" t="s">
        <v>54</v>
      </c>
      <c r="E81" s="1" t="s">
        <v>31</v>
      </c>
      <c r="F81" s="1">
        <v>9.28162355E8</v>
      </c>
      <c r="G81" s="1" t="s">
        <v>46</v>
      </c>
      <c r="H81" s="1" t="s">
        <v>117</v>
      </c>
      <c r="I81" s="2">
        <v>46143.0</v>
      </c>
      <c r="J81" s="2">
        <v>46143.0</v>
      </c>
      <c r="K81" s="1" t="s">
        <v>34</v>
      </c>
      <c r="L81" s="1" t="s">
        <v>48</v>
      </c>
      <c r="M81" s="1" t="s">
        <v>36</v>
      </c>
      <c r="N81" s="1" t="s">
        <v>37</v>
      </c>
      <c r="O81" s="1">
        <v>4.0</v>
      </c>
      <c r="P81" s="3">
        <v>1.0</v>
      </c>
      <c r="Q81" s="1">
        <v>1.0</v>
      </c>
      <c r="R81" s="2">
        <v>46143.0</v>
      </c>
      <c r="S81" s="2">
        <v>46174.0</v>
      </c>
      <c r="T81" s="4">
        <v>1451.35</v>
      </c>
      <c r="U81" s="4">
        <v>20.0</v>
      </c>
      <c r="V81" s="4">
        <v>80.0</v>
      </c>
      <c r="W81" s="4">
        <v>0.0</v>
      </c>
      <c r="X81" s="4">
        <v>0.0</v>
      </c>
      <c r="Y81" s="4">
        <v>1451.35</v>
      </c>
      <c r="Z81" s="4">
        <v>80.0</v>
      </c>
      <c r="AA81" s="1">
        <v>1.0</v>
      </c>
    </row>
    <row r="82" ht="15.75" customHeight="1">
      <c r="A82" s="1" t="s">
        <v>27</v>
      </c>
      <c r="B82" s="1" t="s">
        <v>28</v>
      </c>
      <c r="C82" s="1" t="s">
        <v>29</v>
      </c>
      <c r="D82" s="1" t="s">
        <v>54</v>
      </c>
      <c r="E82" s="1" t="s">
        <v>31</v>
      </c>
      <c r="F82" s="1">
        <v>9.28162438E8</v>
      </c>
      <c r="G82" s="1" t="s">
        <v>59</v>
      </c>
      <c r="H82" s="1" t="s">
        <v>118</v>
      </c>
      <c r="I82" s="2">
        <v>46143.0</v>
      </c>
      <c r="J82" s="2">
        <v>46143.0</v>
      </c>
      <c r="K82" s="1" t="s">
        <v>34</v>
      </c>
      <c r="L82" s="1" t="s">
        <v>48</v>
      </c>
      <c r="M82" s="1" t="s">
        <v>36</v>
      </c>
      <c r="N82" s="1" t="s">
        <v>37</v>
      </c>
      <c r="O82" s="1">
        <v>1.0</v>
      </c>
      <c r="P82" s="3">
        <v>1.0</v>
      </c>
      <c r="Q82" s="1">
        <v>1.0</v>
      </c>
      <c r="R82" s="2">
        <v>46143.0</v>
      </c>
      <c r="S82" s="2">
        <v>46174.0</v>
      </c>
      <c r="T82" s="4">
        <v>838.43</v>
      </c>
      <c r="U82" s="4">
        <v>20.0</v>
      </c>
      <c r="V82" s="4">
        <v>20.0</v>
      </c>
      <c r="W82" s="4">
        <v>0.0</v>
      </c>
      <c r="X82" s="4">
        <v>0.0</v>
      </c>
      <c r="Y82" s="4">
        <v>838.43</v>
      </c>
      <c r="Z82" s="4">
        <v>20.0</v>
      </c>
      <c r="AA82" s="1">
        <v>1.0</v>
      </c>
    </row>
    <row r="83" ht="15.75" customHeight="1">
      <c r="A83" s="1" t="s">
        <v>27</v>
      </c>
      <c r="B83" s="1" t="s">
        <v>28</v>
      </c>
      <c r="C83" s="1" t="s">
        <v>29</v>
      </c>
      <c r="D83" s="1" t="s">
        <v>54</v>
      </c>
      <c r="E83" s="1" t="s">
        <v>31</v>
      </c>
      <c r="F83" s="1">
        <v>9.28162443E8</v>
      </c>
      <c r="G83" s="1" t="s">
        <v>59</v>
      </c>
      <c r="H83" s="1" t="s">
        <v>119</v>
      </c>
      <c r="I83" s="2">
        <v>46143.0</v>
      </c>
      <c r="J83" s="2">
        <v>46143.0</v>
      </c>
      <c r="K83" s="1" t="s">
        <v>34</v>
      </c>
      <c r="L83" s="1" t="s">
        <v>48</v>
      </c>
      <c r="M83" s="1" t="s">
        <v>36</v>
      </c>
      <c r="N83" s="1" t="s">
        <v>37</v>
      </c>
      <c r="O83" s="1">
        <v>1.0</v>
      </c>
      <c r="P83" s="3">
        <v>1.0</v>
      </c>
      <c r="Q83" s="1">
        <v>1.0</v>
      </c>
      <c r="R83" s="2">
        <v>46143.0</v>
      </c>
      <c r="S83" s="2">
        <v>46174.0</v>
      </c>
      <c r="T83" s="4">
        <v>848.16</v>
      </c>
      <c r="U83" s="4">
        <v>20.0</v>
      </c>
      <c r="V83" s="4">
        <v>20.0</v>
      </c>
      <c r="W83" s="4">
        <v>0.0</v>
      </c>
      <c r="X83" s="4">
        <v>0.0</v>
      </c>
      <c r="Y83" s="4">
        <v>848.16</v>
      </c>
      <c r="Z83" s="4">
        <v>20.0</v>
      </c>
      <c r="AA83" s="1">
        <v>1.0</v>
      </c>
    </row>
    <row r="84" ht="15.75" customHeight="1">
      <c r="A84" s="1" t="s">
        <v>27</v>
      </c>
      <c r="B84" s="1" t="s">
        <v>28</v>
      </c>
      <c r="C84" s="1" t="s">
        <v>29</v>
      </c>
      <c r="D84" s="1" t="s">
        <v>54</v>
      </c>
      <c r="E84" s="1" t="s">
        <v>31</v>
      </c>
      <c r="F84" s="1">
        <v>9.28162659E8</v>
      </c>
      <c r="G84" s="1" t="s">
        <v>40</v>
      </c>
      <c r="H84" s="1" t="s">
        <v>120</v>
      </c>
      <c r="I84" s="2">
        <v>46143.0</v>
      </c>
      <c r="J84" s="2">
        <v>46143.0</v>
      </c>
      <c r="K84" s="1" t="s">
        <v>34</v>
      </c>
      <c r="L84" s="1" t="s">
        <v>35</v>
      </c>
      <c r="M84" s="1" t="s">
        <v>36</v>
      </c>
      <c r="N84" s="1" t="s">
        <v>37</v>
      </c>
      <c r="O84" s="1">
        <v>4.0</v>
      </c>
      <c r="P84" s="3">
        <v>1.0</v>
      </c>
      <c r="Q84" s="1">
        <v>1.0</v>
      </c>
      <c r="R84" s="2">
        <v>46143.0</v>
      </c>
      <c r="S84" s="2">
        <v>46174.0</v>
      </c>
      <c r="T84" s="4">
        <v>1018.07</v>
      </c>
      <c r="U84" s="4">
        <v>20.0</v>
      </c>
      <c r="V84" s="4">
        <v>80.0</v>
      </c>
      <c r="W84" s="4">
        <v>0.0</v>
      </c>
      <c r="X84" s="4">
        <v>0.0</v>
      </c>
      <c r="Y84" s="4">
        <v>1018.07</v>
      </c>
      <c r="Z84" s="4">
        <v>80.0</v>
      </c>
      <c r="AA84" s="1">
        <v>1.0</v>
      </c>
    </row>
    <row r="85" ht="15.75" customHeight="1">
      <c r="A85" s="1" t="s">
        <v>27</v>
      </c>
      <c r="B85" s="1" t="s">
        <v>28</v>
      </c>
      <c r="C85" s="1" t="s">
        <v>29</v>
      </c>
      <c r="D85" s="1" t="s">
        <v>54</v>
      </c>
      <c r="E85" s="1" t="s">
        <v>31</v>
      </c>
      <c r="F85" s="1">
        <v>9.28162679E8</v>
      </c>
      <c r="G85" s="1" t="s">
        <v>38</v>
      </c>
      <c r="H85" s="1" t="s">
        <v>121</v>
      </c>
      <c r="I85" s="2">
        <v>46143.0</v>
      </c>
      <c r="J85" s="2">
        <v>46143.0</v>
      </c>
      <c r="K85" s="1" t="s">
        <v>34</v>
      </c>
      <c r="L85" s="1" t="s">
        <v>35</v>
      </c>
      <c r="M85" s="1" t="s">
        <v>36</v>
      </c>
      <c r="N85" s="1" t="s">
        <v>37</v>
      </c>
      <c r="O85" s="1">
        <v>1.0</v>
      </c>
      <c r="P85" s="3">
        <v>1.0</v>
      </c>
      <c r="Q85" s="1">
        <v>1.0</v>
      </c>
      <c r="R85" s="2">
        <v>46143.0</v>
      </c>
      <c r="S85" s="2">
        <v>46174.0</v>
      </c>
      <c r="T85" s="4">
        <v>432.83</v>
      </c>
      <c r="U85" s="4">
        <v>20.0</v>
      </c>
      <c r="V85" s="4">
        <v>20.0</v>
      </c>
      <c r="W85" s="4">
        <v>0.0</v>
      </c>
      <c r="X85" s="4">
        <v>0.0</v>
      </c>
      <c r="Y85" s="4">
        <v>432.83</v>
      </c>
      <c r="Z85" s="4">
        <v>20.0</v>
      </c>
      <c r="AA85" s="1">
        <v>1.0</v>
      </c>
    </row>
    <row r="86" ht="15.75" customHeight="1">
      <c r="A86" s="1" t="s">
        <v>27</v>
      </c>
      <c r="B86" s="1" t="s">
        <v>28</v>
      </c>
      <c r="C86" s="1" t="s">
        <v>122</v>
      </c>
      <c r="D86" s="1" t="s">
        <v>30</v>
      </c>
      <c r="E86" s="1" t="s">
        <v>31</v>
      </c>
      <c r="F86" s="1">
        <v>9.28127138E8</v>
      </c>
      <c r="G86" s="1" t="s">
        <v>123</v>
      </c>
      <c r="H86" s="1" t="s">
        <v>124</v>
      </c>
      <c r="I86" s="2">
        <v>45292.0</v>
      </c>
      <c r="J86" s="2">
        <v>46023.0</v>
      </c>
      <c r="K86" s="1" t="s">
        <v>34</v>
      </c>
      <c r="L86" s="1" t="s">
        <v>35</v>
      </c>
      <c r="M86" s="1" t="s">
        <v>36</v>
      </c>
      <c r="N86" s="1" t="s">
        <v>37</v>
      </c>
      <c r="O86" s="1">
        <v>2.0</v>
      </c>
      <c r="P86" s="3">
        <v>1.0</v>
      </c>
      <c r="Q86" s="1">
        <v>29.0</v>
      </c>
      <c r="R86" s="2">
        <v>46143.0</v>
      </c>
      <c r="S86" s="2">
        <v>46174.0</v>
      </c>
      <c r="T86" s="4">
        <v>2851.5</v>
      </c>
      <c r="U86" s="4">
        <v>20.0</v>
      </c>
      <c r="V86" s="4">
        <v>40.0</v>
      </c>
      <c r="W86" s="4">
        <v>0.0</v>
      </c>
      <c r="X86" s="4">
        <v>0.0</v>
      </c>
      <c r="Y86" s="4">
        <v>14257.5</v>
      </c>
      <c r="Z86" s="4">
        <v>200.0</v>
      </c>
      <c r="AA86" s="1">
        <v>1.0</v>
      </c>
    </row>
    <row r="87" ht="15.75" customHeight="1">
      <c r="A87" s="1" t="s">
        <v>27</v>
      </c>
      <c r="B87" s="1" t="s">
        <v>28</v>
      </c>
      <c r="C87" s="1" t="s">
        <v>122</v>
      </c>
      <c r="D87" s="1" t="s">
        <v>30</v>
      </c>
      <c r="E87" s="1" t="s">
        <v>31</v>
      </c>
      <c r="F87" s="1">
        <v>9.28139663E8</v>
      </c>
      <c r="G87" s="1" t="s">
        <v>40</v>
      </c>
      <c r="H87" s="1" t="s">
        <v>125</v>
      </c>
      <c r="I87" s="2">
        <v>45505.0</v>
      </c>
      <c r="J87" s="2">
        <v>46023.0</v>
      </c>
      <c r="K87" s="1" t="s">
        <v>34</v>
      </c>
      <c r="L87" s="1" t="s">
        <v>35</v>
      </c>
      <c r="M87" s="1" t="s">
        <v>36</v>
      </c>
      <c r="N87" s="1" t="s">
        <v>37</v>
      </c>
      <c r="O87" s="1">
        <v>3.0</v>
      </c>
      <c r="P87" s="3">
        <v>1.0</v>
      </c>
      <c r="Q87" s="1">
        <v>22.0</v>
      </c>
      <c r="R87" s="2">
        <v>46143.0</v>
      </c>
      <c r="S87" s="2">
        <v>46174.0</v>
      </c>
      <c r="T87" s="4">
        <v>1453.47</v>
      </c>
      <c r="U87" s="4">
        <v>20.0</v>
      </c>
      <c r="V87" s="4">
        <v>60.0</v>
      </c>
      <c r="W87" s="4">
        <v>0.0</v>
      </c>
      <c r="X87" s="4">
        <v>0.0</v>
      </c>
      <c r="Y87" s="4">
        <v>7267.35</v>
      </c>
      <c r="Z87" s="4">
        <v>300.0</v>
      </c>
      <c r="AA87" s="1">
        <v>1.0</v>
      </c>
    </row>
    <row r="88" ht="15.75" customHeight="1">
      <c r="A88" s="1" t="s">
        <v>27</v>
      </c>
      <c r="B88" s="1" t="s">
        <v>28</v>
      </c>
      <c r="C88" s="1" t="s">
        <v>122</v>
      </c>
      <c r="D88" s="1" t="s">
        <v>30</v>
      </c>
      <c r="E88" s="1" t="s">
        <v>31</v>
      </c>
      <c r="F88" s="1">
        <v>9.28150906E8</v>
      </c>
      <c r="G88" s="1" t="s">
        <v>40</v>
      </c>
      <c r="H88" s="1" t="s">
        <v>126</v>
      </c>
      <c r="I88" s="2">
        <v>45748.0</v>
      </c>
      <c r="J88" s="2">
        <v>46023.0</v>
      </c>
      <c r="K88" s="1" t="s">
        <v>34</v>
      </c>
      <c r="L88" s="1" t="s">
        <v>35</v>
      </c>
      <c r="M88" s="1" t="s">
        <v>36</v>
      </c>
      <c r="N88" s="1" t="s">
        <v>37</v>
      </c>
      <c r="O88" s="1">
        <v>2.0</v>
      </c>
      <c r="P88" s="3">
        <v>1.0</v>
      </c>
      <c r="Q88" s="1">
        <v>14.0</v>
      </c>
      <c r="R88" s="2">
        <v>46143.0</v>
      </c>
      <c r="S88" s="2">
        <v>46174.0</v>
      </c>
      <c r="T88" s="4">
        <v>3213.68</v>
      </c>
      <c r="U88" s="4">
        <v>20.0</v>
      </c>
      <c r="V88" s="4">
        <v>40.0</v>
      </c>
      <c r="W88" s="4">
        <v>0.0</v>
      </c>
      <c r="X88" s="4">
        <v>0.0</v>
      </c>
      <c r="Y88" s="4">
        <v>16068.4</v>
      </c>
      <c r="Z88" s="4">
        <v>200.0</v>
      </c>
      <c r="AA88" s="1">
        <v>1.0</v>
      </c>
    </row>
    <row r="89" ht="15.75" customHeight="1">
      <c r="A89" s="1" t="s">
        <v>27</v>
      </c>
      <c r="B89" s="1" t="s">
        <v>28</v>
      </c>
      <c r="C89" s="1" t="s">
        <v>122</v>
      </c>
      <c r="D89" s="1" t="s">
        <v>30</v>
      </c>
      <c r="E89" s="1" t="s">
        <v>31</v>
      </c>
      <c r="F89" s="1">
        <v>9.28150919E8</v>
      </c>
      <c r="G89" s="1" t="s">
        <v>38</v>
      </c>
      <c r="H89" s="1" t="s">
        <v>127</v>
      </c>
      <c r="I89" s="2">
        <v>45748.0</v>
      </c>
      <c r="J89" s="2">
        <v>46023.0</v>
      </c>
      <c r="K89" s="1" t="s">
        <v>34</v>
      </c>
      <c r="L89" s="1" t="s">
        <v>35</v>
      </c>
      <c r="M89" s="1" t="s">
        <v>36</v>
      </c>
      <c r="N89" s="1" t="s">
        <v>37</v>
      </c>
      <c r="O89" s="1">
        <v>1.0</v>
      </c>
      <c r="P89" s="3">
        <v>1.0</v>
      </c>
      <c r="Q89" s="1">
        <v>14.0</v>
      </c>
      <c r="R89" s="2">
        <v>46143.0</v>
      </c>
      <c r="S89" s="2">
        <v>46174.0</v>
      </c>
      <c r="T89" s="4">
        <v>431.11</v>
      </c>
      <c r="U89" s="4">
        <v>20.0</v>
      </c>
      <c r="V89" s="4">
        <v>20.0</v>
      </c>
      <c r="W89" s="4">
        <v>0.0</v>
      </c>
      <c r="X89" s="4">
        <v>0.0</v>
      </c>
      <c r="Y89" s="4">
        <v>2155.55</v>
      </c>
      <c r="Z89" s="4">
        <v>100.0</v>
      </c>
      <c r="AA89" s="1">
        <v>1.0</v>
      </c>
    </row>
    <row r="90" ht="15.75" customHeight="1">
      <c r="A90" s="1" t="s">
        <v>27</v>
      </c>
      <c r="B90" s="1" t="s">
        <v>28</v>
      </c>
      <c r="C90" s="1" t="s">
        <v>122</v>
      </c>
      <c r="D90" s="1" t="s">
        <v>30</v>
      </c>
      <c r="E90" s="1" t="s">
        <v>31</v>
      </c>
      <c r="F90" s="1">
        <v>9.28150959E8</v>
      </c>
      <c r="G90" s="1" t="s">
        <v>40</v>
      </c>
      <c r="H90" s="1" t="s">
        <v>128</v>
      </c>
      <c r="I90" s="2">
        <v>45748.0</v>
      </c>
      <c r="J90" s="2">
        <v>46023.0</v>
      </c>
      <c r="K90" s="1" t="s">
        <v>34</v>
      </c>
      <c r="L90" s="1" t="s">
        <v>35</v>
      </c>
      <c r="M90" s="1" t="s">
        <v>36</v>
      </c>
      <c r="N90" s="1" t="s">
        <v>37</v>
      </c>
      <c r="O90" s="1">
        <v>1.0</v>
      </c>
      <c r="P90" s="3">
        <v>1.0</v>
      </c>
      <c r="Q90" s="1">
        <v>14.0</v>
      </c>
      <c r="R90" s="2">
        <v>46143.0</v>
      </c>
      <c r="S90" s="2">
        <v>46174.0</v>
      </c>
      <c r="T90" s="4">
        <v>841.0</v>
      </c>
      <c r="U90" s="4">
        <v>20.0</v>
      </c>
      <c r="V90" s="4">
        <v>20.0</v>
      </c>
      <c r="W90" s="4">
        <v>0.0</v>
      </c>
      <c r="X90" s="4">
        <v>0.0</v>
      </c>
      <c r="Y90" s="4">
        <v>4205.0</v>
      </c>
      <c r="Z90" s="4">
        <v>100.0</v>
      </c>
      <c r="AA90" s="1">
        <v>1.0</v>
      </c>
    </row>
    <row r="91" ht="15.75" customHeight="1">
      <c r="A91" s="1" t="s">
        <v>27</v>
      </c>
      <c r="B91" s="1" t="s">
        <v>28</v>
      </c>
      <c r="C91" s="1" t="s">
        <v>122</v>
      </c>
      <c r="D91" s="1" t="s">
        <v>30</v>
      </c>
      <c r="E91" s="1" t="s">
        <v>31</v>
      </c>
      <c r="F91" s="1">
        <v>9.28151821E8</v>
      </c>
      <c r="G91" s="1" t="s">
        <v>40</v>
      </c>
      <c r="H91" s="1" t="s">
        <v>129</v>
      </c>
      <c r="I91" s="2">
        <v>45778.0</v>
      </c>
      <c r="J91" s="2">
        <v>46023.0</v>
      </c>
      <c r="K91" s="1" t="s">
        <v>34</v>
      </c>
      <c r="L91" s="1" t="s">
        <v>35</v>
      </c>
      <c r="M91" s="1" t="s">
        <v>36</v>
      </c>
      <c r="N91" s="1" t="s">
        <v>37</v>
      </c>
      <c r="O91" s="1">
        <v>1.0</v>
      </c>
      <c r="P91" s="3">
        <v>1.0</v>
      </c>
      <c r="Q91" s="1">
        <v>13.0</v>
      </c>
      <c r="R91" s="2">
        <v>46143.0</v>
      </c>
      <c r="S91" s="2">
        <v>46174.0</v>
      </c>
      <c r="T91" s="4">
        <v>489.0</v>
      </c>
      <c r="U91" s="4">
        <v>20.0</v>
      </c>
      <c r="V91" s="4">
        <v>20.0</v>
      </c>
      <c r="W91" s="4">
        <v>0.0</v>
      </c>
      <c r="X91" s="4">
        <v>0.0</v>
      </c>
      <c r="Y91" s="4">
        <v>2445.0</v>
      </c>
      <c r="Z91" s="4">
        <v>100.0</v>
      </c>
      <c r="AA91" s="1">
        <v>1.0</v>
      </c>
    </row>
    <row r="92" ht="15.75" customHeight="1">
      <c r="A92" s="1" t="s">
        <v>27</v>
      </c>
      <c r="B92" s="1" t="s">
        <v>28</v>
      </c>
      <c r="C92" s="1" t="s">
        <v>122</v>
      </c>
      <c r="D92" s="1" t="s">
        <v>54</v>
      </c>
      <c r="E92" s="1" t="s">
        <v>31</v>
      </c>
      <c r="F92" s="1">
        <v>9.28060019E8</v>
      </c>
      <c r="G92" s="1" t="s">
        <v>71</v>
      </c>
      <c r="H92" s="1" t="s">
        <v>130</v>
      </c>
      <c r="I92" s="2">
        <v>45323.0</v>
      </c>
      <c r="J92" s="2">
        <v>46023.0</v>
      </c>
      <c r="K92" s="1" t="s">
        <v>34</v>
      </c>
      <c r="L92" s="1" t="s">
        <v>48</v>
      </c>
      <c r="M92" s="1" t="s">
        <v>36</v>
      </c>
      <c r="N92" s="1" t="s">
        <v>37</v>
      </c>
      <c r="O92" s="1">
        <v>1.0</v>
      </c>
      <c r="P92" s="3">
        <v>1.0</v>
      </c>
      <c r="Q92" s="1">
        <v>28.0</v>
      </c>
      <c r="R92" s="2">
        <v>46143.0</v>
      </c>
      <c r="S92" s="2">
        <v>46174.0</v>
      </c>
      <c r="T92" s="4">
        <v>678.84</v>
      </c>
      <c r="U92" s="4">
        <v>20.0</v>
      </c>
      <c r="V92" s="4">
        <v>20.0</v>
      </c>
      <c r="W92" s="4">
        <v>0.0</v>
      </c>
      <c r="X92" s="4">
        <v>0.0</v>
      </c>
      <c r="Y92" s="4">
        <v>3394.2</v>
      </c>
      <c r="Z92" s="4">
        <v>100.0</v>
      </c>
      <c r="AA92" s="1">
        <v>1.0</v>
      </c>
    </row>
    <row r="93" ht="15.75" customHeight="1">
      <c r="A93" s="1" t="s">
        <v>27</v>
      </c>
      <c r="B93" s="1" t="s">
        <v>28</v>
      </c>
      <c r="C93" s="1" t="s">
        <v>122</v>
      </c>
      <c r="D93" s="1" t="s">
        <v>54</v>
      </c>
      <c r="E93" s="1" t="s">
        <v>31</v>
      </c>
      <c r="F93" s="1">
        <v>9.28093622E8</v>
      </c>
      <c r="G93" s="1" t="s">
        <v>71</v>
      </c>
      <c r="H93" s="1" t="s">
        <v>131</v>
      </c>
      <c r="I93" s="2">
        <v>45352.0</v>
      </c>
      <c r="J93" s="2">
        <v>46023.0</v>
      </c>
      <c r="K93" s="1" t="s">
        <v>34</v>
      </c>
      <c r="L93" s="1" t="s">
        <v>48</v>
      </c>
      <c r="M93" s="1" t="s">
        <v>36</v>
      </c>
      <c r="N93" s="1" t="s">
        <v>37</v>
      </c>
      <c r="O93" s="1">
        <v>1.0</v>
      </c>
      <c r="P93" s="3">
        <v>1.0</v>
      </c>
      <c r="Q93" s="1">
        <v>27.0</v>
      </c>
      <c r="R93" s="2">
        <v>46143.0</v>
      </c>
      <c r="S93" s="2">
        <v>46174.0</v>
      </c>
      <c r="T93" s="4">
        <v>678.84</v>
      </c>
      <c r="U93" s="4">
        <v>20.0</v>
      </c>
      <c r="V93" s="4">
        <v>20.0</v>
      </c>
      <c r="W93" s="4">
        <v>0.0</v>
      </c>
      <c r="X93" s="4">
        <v>0.0</v>
      </c>
      <c r="Y93" s="4">
        <v>3394.2</v>
      </c>
      <c r="Z93" s="4">
        <v>100.0</v>
      </c>
      <c r="AA93" s="1">
        <v>1.0</v>
      </c>
    </row>
    <row r="94" ht="15.75" customHeight="1">
      <c r="A94" s="1" t="s">
        <v>27</v>
      </c>
      <c r="B94" s="1" t="s">
        <v>28</v>
      </c>
      <c r="C94" s="1" t="s">
        <v>122</v>
      </c>
      <c r="D94" s="1" t="s">
        <v>54</v>
      </c>
      <c r="E94" s="1" t="s">
        <v>31</v>
      </c>
      <c r="F94" s="1">
        <v>9.28126896E8</v>
      </c>
      <c r="G94" s="1" t="s">
        <v>71</v>
      </c>
      <c r="H94" s="1" t="s">
        <v>132</v>
      </c>
      <c r="I94" s="2">
        <v>45292.0</v>
      </c>
      <c r="J94" s="2">
        <v>46023.0</v>
      </c>
      <c r="K94" s="1" t="s">
        <v>34</v>
      </c>
      <c r="L94" s="1" t="s">
        <v>48</v>
      </c>
      <c r="M94" s="1" t="s">
        <v>36</v>
      </c>
      <c r="N94" s="1" t="s">
        <v>37</v>
      </c>
      <c r="O94" s="1">
        <v>1.0</v>
      </c>
      <c r="P94" s="3">
        <v>1.0</v>
      </c>
      <c r="Q94" s="1">
        <v>29.0</v>
      </c>
      <c r="R94" s="2">
        <v>46143.0</v>
      </c>
      <c r="S94" s="2">
        <v>46174.0</v>
      </c>
      <c r="T94" s="4">
        <v>829.0</v>
      </c>
      <c r="U94" s="4">
        <v>20.0</v>
      </c>
      <c r="V94" s="4">
        <v>20.0</v>
      </c>
      <c r="W94" s="4">
        <v>0.0</v>
      </c>
      <c r="X94" s="4">
        <v>0.0</v>
      </c>
      <c r="Y94" s="4">
        <v>4145.0</v>
      </c>
      <c r="Z94" s="4">
        <v>100.0</v>
      </c>
      <c r="AA94" s="1">
        <v>1.0</v>
      </c>
    </row>
    <row r="95" ht="15.75" customHeight="1">
      <c r="A95" s="1" t="s">
        <v>27</v>
      </c>
      <c r="B95" s="1" t="s">
        <v>28</v>
      </c>
      <c r="C95" s="1" t="s">
        <v>122</v>
      </c>
      <c r="D95" s="1" t="s">
        <v>54</v>
      </c>
      <c r="E95" s="1" t="s">
        <v>31</v>
      </c>
      <c r="F95" s="1">
        <v>9.28131407E8</v>
      </c>
      <c r="G95" s="1" t="s">
        <v>38</v>
      </c>
      <c r="H95" s="1" t="s">
        <v>133</v>
      </c>
      <c r="I95" s="2">
        <v>45292.0</v>
      </c>
      <c r="J95" s="2">
        <v>46023.0</v>
      </c>
      <c r="K95" s="1" t="s">
        <v>34</v>
      </c>
      <c r="L95" s="1" t="s">
        <v>35</v>
      </c>
      <c r="M95" s="1" t="s">
        <v>36</v>
      </c>
      <c r="N95" s="1" t="s">
        <v>37</v>
      </c>
      <c r="O95" s="1">
        <v>1.0</v>
      </c>
      <c r="P95" s="3">
        <v>1.0</v>
      </c>
      <c r="Q95" s="1">
        <v>29.0</v>
      </c>
      <c r="R95" s="2">
        <v>46143.0</v>
      </c>
      <c r="S95" s="2">
        <v>46174.0</v>
      </c>
      <c r="T95" s="4">
        <v>526.82</v>
      </c>
      <c r="U95" s="4">
        <v>20.0</v>
      </c>
      <c r="V95" s="4">
        <v>20.0</v>
      </c>
      <c r="W95" s="4">
        <v>0.0</v>
      </c>
      <c r="X95" s="4">
        <v>0.0</v>
      </c>
      <c r="Y95" s="4">
        <v>2634.1</v>
      </c>
      <c r="Z95" s="4">
        <v>100.0</v>
      </c>
      <c r="AA95" s="1">
        <v>1.0</v>
      </c>
    </row>
    <row r="96" ht="15.75" customHeight="1">
      <c r="A96" s="1" t="s">
        <v>27</v>
      </c>
      <c r="B96" s="1" t="s">
        <v>28</v>
      </c>
      <c r="C96" s="1" t="s">
        <v>122</v>
      </c>
      <c r="D96" s="1" t="s">
        <v>54</v>
      </c>
      <c r="E96" s="1" t="s">
        <v>31</v>
      </c>
      <c r="F96" s="1">
        <v>9.28134747E8</v>
      </c>
      <c r="G96" s="1" t="s">
        <v>71</v>
      </c>
      <c r="H96" s="1" t="s">
        <v>134</v>
      </c>
      <c r="I96" s="2">
        <v>45352.0</v>
      </c>
      <c r="J96" s="2">
        <v>46023.0</v>
      </c>
      <c r="K96" s="1" t="s">
        <v>34</v>
      </c>
      <c r="L96" s="1" t="s">
        <v>48</v>
      </c>
      <c r="M96" s="1" t="s">
        <v>36</v>
      </c>
      <c r="N96" s="1" t="s">
        <v>37</v>
      </c>
      <c r="O96" s="1">
        <v>1.0</v>
      </c>
      <c r="P96" s="3">
        <v>1.0</v>
      </c>
      <c r="Q96" s="1">
        <v>27.0</v>
      </c>
      <c r="R96" s="2">
        <v>46143.0</v>
      </c>
      <c r="S96" s="2">
        <v>46174.0</v>
      </c>
      <c r="T96" s="4">
        <v>867.87</v>
      </c>
      <c r="U96" s="4">
        <v>20.0</v>
      </c>
      <c r="V96" s="4">
        <v>20.0</v>
      </c>
      <c r="W96" s="4">
        <v>0.0</v>
      </c>
      <c r="X96" s="4">
        <v>0.0</v>
      </c>
      <c r="Y96" s="4">
        <v>4339.35</v>
      </c>
      <c r="Z96" s="4">
        <v>100.0</v>
      </c>
      <c r="AA96" s="1">
        <v>1.0</v>
      </c>
    </row>
    <row r="97" ht="15.75" customHeight="1">
      <c r="A97" s="1" t="s">
        <v>27</v>
      </c>
      <c r="B97" s="1" t="s">
        <v>28</v>
      </c>
      <c r="C97" s="1" t="s">
        <v>122</v>
      </c>
      <c r="D97" s="1" t="s">
        <v>54</v>
      </c>
      <c r="E97" s="1" t="s">
        <v>31</v>
      </c>
      <c r="F97" s="1">
        <v>9.28135173E8</v>
      </c>
      <c r="G97" s="1" t="s">
        <v>38</v>
      </c>
      <c r="H97" s="1" t="s">
        <v>135</v>
      </c>
      <c r="I97" s="2">
        <v>45352.0</v>
      </c>
      <c r="J97" s="2">
        <v>46023.0</v>
      </c>
      <c r="K97" s="1" t="s">
        <v>34</v>
      </c>
      <c r="L97" s="1" t="s">
        <v>35</v>
      </c>
      <c r="M97" s="1" t="s">
        <v>36</v>
      </c>
      <c r="N97" s="1" t="s">
        <v>37</v>
      </c>
      <c r="O97" s="1">
        <v>1.0</v>
      </c>
      <c r="P97" s="3">
        <v>1.0</v>
      </c>
      <c r="Q97" s="1">
        <v>27.0</v>
      </c>
      <c r="R97" s="2">
        <v>46143.0</v>
      </c>
      <c r="S97" s="2">
        <v>46174.0</v>
      </c>
      <c r="T97" s="4">
        <v>684.48</v>
      </c>
      <c r="U97" s="4">
        <v>20.0</v>
      </c>
      <c r="V97" s="4">
        <v>20.0</v>
      </c>
      <c r="W97" s="4">
        <v>0.0</v>
      </c>
      <c r="X97" s="4">
        <v>0.0</v>
      </c>
      <c r="Y97" s="4">
        <v>3422.4</v>
      </c>
      <c r="Z97" s="4">
        <v>100.0</v>
      </c>
      <c r="AA97" s="1">
        <v>1.0</v>
      </c>
    </row>
    <row r="98" ht="15.75" customHeight="1">
      <c r="A98" s="1" t="s">
        <v>27</v>
      </c>
      <c r="B98" s="1" t="s">
        <v>28</v>
      </c>
      <c r="C98" s="1" t="s">
        <v>122</v>
      </c>
      <c r="D98" s="1" t="s">
        <v>54</v>
      </c>
      <c r="E98" s="1" t="s">
        <v>31</v>
      </c>
      <c r="F98" s="1">
        <v>9.2814218E8</v>
      </c>
      <c r="G98" s="1" t="s">
        <v>57</v>
      </c>
      <c r="H98" s="1" t="s">
        <v>136</v>
      </c>
      <c r="I98" s="2">
        <v>45658.0</v>
      </c>
      <c r="J98" s="2">
        <v>46023.0</v>
      </c>
      <c r="K98" s="1" t="s">
        <v>34</v>
      </c>
      <c r="L98" s="1" t="s">
        <v>35</v>
      </c>
      <c r="M98" s="1" t="s">
        <v>36</v>
      </c>
      <c r="N98" s="1" t="s">
        <v>37</v>
      </c>
      <c r="O98" s="1">
        <v>1.0</v>
      </c>
      <c r="P98" s="3">
        <v>1.0</v>
      </c>
      <c r="Q98" s="1">
        <v>17.0</v>
      </c>
      <c r="R98" s="2">
        <v>46143.0</v>
      </c>
      <c r="S98" s="2">
        <v>46174.0</v>
      </c>
      <c r="T98" s="4">
        <v>731.98</v>
      </c>
      <c r="U98" s="4">
        <v>20.0</v>
      </c>
      <c r="V98" s="4">
        <v>20.0</v>
      </c>
      <c r="W98" s="4">
        <v>0.0</v>
      </c>
      <c r="X98" s="4">
        <v>0.0</v>
      </c>
      <c r="Y98" s="4">
        <v>3659.9</v>
      </c>
      <c r="Z98" s="4">
        <v>100.0</v>
      </c>
      <c r="AA98" s="1">
        <v>1.0</v>
      </c>
    </row>
    <row r="99" ht="15.75" customHeight="1">
      <c r="A99" s="1" t="s">
        <v>27</v>
      </c>
      <c r="B99" s="1" t="s">
        <v>28</v>
      </c>
      <c r="C99" s="1" t="s">
        <v>122</v>
      </c>
      <c r="D99" s="1" t="s">
        <v>54</v>
      </c>
      <c r="E99" s="1" t="s">
        <v>31</v>
      </c>
      <c r="F99" s="1">
        <v>9.28142942E8</v>
      </c>
      <c r="G99" s="1" t="s">
        <v>59</v>
      </c>
      <c r="H99" s="1" t="s">
        <v>137</v>
      </c>
      <c r="I99" s="2">
        <v>45658.0</v>
      </c>
      <c r="J99" s="2">
        <v>46023.0</v>
      </c>
      <c r="K99" s="1" t="s">
        <v>34</v>
      </c>
      <c r="L99" s="1" t="s">
        <v>48</v>
      </c>
      <c r="M99" s="1" t="s">
        <v>36</v>
      </c>
      <c r="N99" s="1" t="s">
        <v>37</v>
      </c>
      <c r="O99" s="1">
        <v>1.0</v>
      </c>
      <c r="P99" s="3">
        <v>1.0</v>
      </c>
      <c r="Q99" s="1">
        <v>17.0</v>
      </c>
      <c r="R99" s="2">
        <v>46143.0</v>
      </c>
      <c r="S99" s="2">
        <v>46174.0</v>
      </c>
      <c r="T99" s="4">
        <v>1234.27</v>
      </c>
      <c r="U99" s="4">
        <v>20.0</v>
      </c>
      <c r="V99" s="4">
        <v>20.0</v>
      </c>
      <c r="W99" s="4">
        <v>0.0</v>
      </c>
      <c r="X99" s="4">
        <v>0.0</v>
      </c>
      <c r="Y99" s="4">
        <v>6171.35</v>
      </c>
      <c r="Z99" s="4">
        <v>100.0</v>
      </c>
      <c r="AA99" s="1">
        <v>1.0</v>
      </c>
    </row>
    <row r="100" ht="15.75" customHeight="1">
      <c r="A100" s="1" t="s">
        <v>27</v>
      </c>
      <c r="B100" s="1" t="s">
        <v>28</v>
      </c>
      <c r="C100" s="1" t="s">
        <v>122</v>
      </c>
      <c r="D100" s="1" t="s">
        <v>54</v>
      </c>
      <c r="E100" s="1" t="s">
        <v>31</v>
      </c>
      <c r="F100" s="1">
        <v>9.28145593E8</v>
      </c>
      <c r="G100" s="1" t="s">
        <v>57</v>
      </c>
      <c r="H100" s="1" t="s">
        <v>138</v>
      </c>
      <c r="I100" s="2">
        <v>45658.0</v>
      </c>
      <c r="J100" s="2">
        <v>46023.0</v>
      </c>
      <c r="K100" s="1" t="s">
        <v>34</v>
      </c>
      <c r="L100" s="1" t="s">
        <v>35</v>
      </c>
      <c r="M100" s="1" t="s">
        <v>36</v>
      </c>
      <c r="N100" s="1" t="s">
        <v>37</v>
      </c>
      <c r="O100" s="1">
        <v>2.0</v>
      </c>
      <c r="P100" s="3">
        <v>1.0</v>
      </c>
      <c r="Q100" s="1">
        <v>17.0</v>
      </c>
      <c r="R100" s="2">
        <v>46143.0</v>
      </c>
      <c r="S100" s="2">
        <v>46174.0</v>
      </c>
      <c r="T100" s="4">
        <v>537.35</v>
      </c>
      <c r="U100" s="4">
        <v>20.0</v>
      </c>
      <c r="V100" s="4">
        <v>40.0</v>
      </c>
      <c r="W100" s="4">
        <v>0.0</v>
      </c>
      <c r="X100" s="4">
        <v>0.0</v>
      </c>
      <c r="Y100" s="4">
        <v>2686.75</v>
      </c>
      <c r="Z100" s="4">
        <v>200.0</v>
      </c>
      <c r="AA100" s="1">
        <v>1.0</v>
      </c>
    </row>
    <row r="101" ht="15.75" customHeight="1">
      <c r="A101" s="1" t="s">
        <v>27</v>
      </c>
      <c r="B101" s="1" t="s">
        <v>28</v>
      </c>
      <c r="C101" s="1" t="s">
        <v>122</v>
      </c>
      <c r="D101" s="1" t="s">
        <v>54</v>
      </c>
      <c r="E101" s="1" t="s">
        <v>31</v>
      </c>
      <c r="F101" s="1">
        <v>9.28146255E8</v>
      </c>
      <c r="G101" s="1" t="s">
        <v>57</v>
      </c>
      <c r="H101" s="1" t="s">
        <v>139</v>
      </c>
      <c r="I101" s="2">
        <v>45627.0</v>
      </c>
      <c r="J101" s="2">
        <v>46082.0</v>
      </c>
      <c r="K101" s="1" t="s">
        <v>34</v>
      </c>
      <c r="L101" s="1" t="s">
        <v>35</v>
      </c>
      <c r="M101" s="1" t="s">
        <v>36</v>
      </c>
      <c r="N101" s="1" t="s">
        <v>37</v>
      </c>
      <c r="O101" s="1">
        <v>3.0</v>
      </c>
      <c r="P101" s="3">
        <v>1.0</v>
      </c>
      <c r="Q101" s="1">
        <v>17.0</v>
      </c>
      <c r="R101" s="2">
        <v>46113.0</v>
      </c>
      <c r="S101" s="2">
        <v>46143.0</v>
      </c>
      <c r="T101" s="4">
        <v>1660.39</v>
      </c>
      <c r="U101" s="4">
        <v>20.0</v>
      </c>
      <c r="V101" s="4">
        <v>60.0</v>
      </c>
      <c r="W101" s="4">
        <v>0.0</v>
      </c>
      <c r="X101" s="4">
        <v>0.0</v>
      </c>
      <c r="Y101" s="4">
        <v>5416.1</v>
      </c>
      <c r="Z101" s="4">
        <v>220.0</v>
      </c>
      <c r="AA101" s="1">
        <v>1.0</v>
      </c>
    </row>
    <row r="102" ht="15.75" customHeight="1">
      <c r="A102" s="1" t="s">
        <v>27</v>
      </c>
      <c r="B102" s="1" t="s">
        <v>28</v>
      </c>
      <c r="C102" s="1" t="s">
        <v>122</v>
      </c>
      <c r="D102" s="1" t="s">
        <v>54</v>
      </c>
      <c r="E102" s="1" t="s">
        <v>31</v>
      </c>
      <c r="F102" s="1">
        <v>9.28146255E8</v>
      </c>
      <c r="G102" s="1" t="s">
        <v>57</v>
      </c>
      <c r="H102" s="1" t="s">
        <v>139</v>
      </c>
      <c r="I102" s="2">
        <v>45627.0</v>
      </c>
      <c r="J102" s="2">
        <v>46082.0</v>
      </c>
      <c r="K102" s="1" t="s">
        <v>34</v>
      </c>
      <c r="L102" s="1" t="s">
        <v>35</v>
      </c>
      <c r="M102" s="1" t="s">
        <v>36</v>
      </c>
      <c r="N102" s="1" t="s">
        <v>37</v>
      </c>
      <c r="O102" s="1">
        <v>3.0</v>
      </c>
      <c r="P102" s="3">
        <v>1.0</v>
      </c>
      <c r="Q102" s="1">
        <v>18.0</v>
      </c>
      <c r="R102" s="2">
        <v>46143.0</v>
      </c>
      <c r="S102" s="2">
        <v>46174.0</v>
      </c>
      <c r="T102" s="4">
        <v>1660.39</v>
      </c>
      <c r="U102" s="4">
        <v>20.0</v>
      </c>
      <c r="V102" s="4">
        <v>60.0</v>
      </c>
      <c r="W102" s="4">
        <v>0.0</v>
      </c>
      <c r="X102" s="4">
        <v>0.0</v>
      </c>
      <c r="Y102" s="4">
        <v>7076.49</v>
      </c>
      <c r="Z102" s="4">
        <v>280.0</v>
      </c>
      <c r="AA102" s="1">
        <v>1.0</v>
      </c>
    </row>
    <row r="103" ht="15.75" customHeight="1">
      <c r="A103" s="1" t="s">
        <v>27</v>
      </c>
      <c r="B103" s="1" t="s">
        <v>28</v>
      </c>
      <c r="C103" s="1" t="s">
        <v>122</v>
      </c>
      <c r="D103" s="1" t="s">
        <v>54</v>
      </c>
      <c r="E103" s="1" t="s">
        <v>31</v>
      </c>
      <c r="F103" s="1">
        <v>9.28146737E8</v>
      </c>
      <c r="G103" s="1" t="s">
        <v>59</v>
      </c>
      <c r="H103" s="1" t="s">
        <v>140</v>
      </c>
      <c r="I103" s="2">
        <v>45658.0</v>
      </c>
      <c r="J103" s="2">
        <v>46023.0</v>
      </c>
      <c r="K103" s="1" t="s">
        <v>34</v>
      </c>
      <c r="L103" s="1" t="s">
        <v>48</v>
      </c>
      <c r="M103" s="1" t="s">
        <v>36</v>
      </c>
      <c r="N103" s="1" t="s">
        <v>37</v>
      </c>
      <c r="O103" s="1">
        <v>1.0</v>
      </c>
      <c r="P103" s="3">
        <v>1.0</v>
      </c>
      <c r="Q103" s="1">
        <v>17.0</v>
      </c>
      <c r="R103" s="2">
        <v>46143.0</v>
      </c>
      <c r="S103" s="2">
        <v>46174.0</v>
      </c>
      <c r="T103" s="4">
        <v>635.33</v>
      </c>
      <c r="U103" s="4">
        <v>20.0</v>
      </c>
      <c r="V103" s="4">
        <v>20.0</v>
      </c>
      <c r="W103" s="4">
        <v>0.0</v>
      </c>
      <c r="X103" s="4">
        <v>0.0</v>
      </c>
      <c r="Y103" s="4">
        <v>5839.84</v>
      </c>
      <c r="Z103" s="4">
        <v>160.0</v>
      </c>
      <c r="AA103" s="1">
        <v>1.0</v>
      </c>
    </row>
    <row r="104" ht="15.75" customHeight="1">
      <c r="A104" s="1" t="s">
        <v>27</v>
      </c>
      <c r="B104" s="1" t="s">
        <v>28</v>
      </c>
      <c r="C104" s="1" t="s">
        <v>122</v>
      </c>
      <c r="D104" s="1" t="s">
        <v>54</v>
      </c>
      <c r="E104" s="1" t="s">
        <v>31</v>
      </c>
      <c r="F104" s="1">
        <v>9.28149001E8</v>
      </c>
      <c r="G104" s="1" t="s">
        <v>71</v>
      </c>
      <c r="H104" s="1" t="s">
        <v>141</v>
      </c>
      <c r="I104" s="2">
        <v>45689.0</v>
      </c>
      <c r="J104" s="2">
        <v>46082.0</v>
      </c>
      <c r="K104" s="1" t="s">
        <v>34</v>
      </c>
      <c r="L104" s="1" t="s">
        <v>48</v>
      </c>
      <c r="M104" s="1" t="s">
        <v>36</v>
      </c>
      <c r="N104" s="1" t="s">
        <v>37</v>
      </c>
      <c r="O104" s="1">
        <v>4.0</v>
      </c>
      <c r="P104" s="3">
        <v>1.0</v>
      </c>
      <c r="Q104" s="1">
        <v>16.0</v>
      </c>
      <c r="R104" s="2">
        <v>46143.0</v>
      </c>
      <c r="S104" s="2">
        <v>46174.0</v>
      </c>
      <c r="T104" s="4">
        <v>2736.27</v>
      </c>
      <c r="U104" s="4">
        <v>20.0</v>
      </c>
      <c r="V104" s="4">
        <v>80.0</v>
      </c>
      <c r="W104" s="4">
        <v>0.0</v>
      </c>
      <c r="X104" s="4">
        <v>0.0</v>
      </c>
      <c r="Y104" s="4">
        <v>8208.81</v>
      </c>
      <c r="Z104" s="4">
        <v>240.0</v>
      </c>
      <c r="AA104" s="1">
        <v>1.0</v>
      </c>
    </row>
    <row r="105" ht="15.75" customHeight="1">
      <c r="A105" s="1" t="s">
        <v>27</v>
      </c>
      <c r="B105" s="1" t="s">
        <v>28</v>
      </c>
      <c r="C105" s="1" t="s">
        <v>122</v>
      </c>
      <c r="D105" s="1" t="s">
        <v>54</v>
      </c>
      <c r="E105" s="1" t="s">
        <v>31</v>
      </c>
      <c r="F105" s="1">
        <v>9.28149222E8</v>
      </c>
      <c r="G105" s="1" t="s">
        <v>59</v>
      </c>
      <c r="H105" s="1" t="s">
        <v>142</v>
      </c>
      <c r="I105" s="2">
        <v>45689.0</v>
      </c>
      <c r="J105" s="2">
        <v>46113.0</v>
      </c>
      <c r="K105" s="1" t="s">
        <v>34</v>
      </c>
      <c r="L105" s="1" t="s">
        <v>48</v>
      </c>
      <c r="M105" s="1" t="s">
        <v>36</v>
      </c>
      <c r="N105" s="1" t="s">
        <v>37</v>
      </c>
      <c r="O105" s="1">
        <v>1.0</v>
      </c>
      <c r="P105" s="3">
        <v>1.0</v>
      </c>
      <c r="Q105" s="1">
        <v>15.0</v>
      </c>
      <c r="R105" s="2">
        <v>46113.0</v>
      </c>
      <c r="S105" s="2">
        <v>46143.0</v>
      </c>
      <c r="T105" s="4">
        <v>1108.3</v>
      </c>
      <c r="U105" s="4">
        <v>20.0</v>
      </c>
      <c r="V105" s="4">
        <v>20.0</v>
      </c>
      <c r="W105" s="4">
        <v>0.0</v>
      </c>
      <c r="X105" s="4">
        <v>0.0</v>
      </c>
      <c r="Y105" s="4">
        <v>4433.2</v>
      </c>
      <c r="Z105" s="4">
        <v>80.0</v>
      </c>
      <c r="AA105" s="1">
        <v>1.0</v>
      </c>
    </row>
    <row r="106" ht="15.75" customHeight="1">
      <c r="A106" s="1" t="s">
        <v>27</v>
      </c>
      <c r="B106" s="1" t="s">
        <v>28</v>
      </c>
      <c r="C106" s="1" t="s">
        <v>122</v>
      </c>
      <c r="D106" s="1" t="s">
        <v>54</v>
      </c>
      <c r="E106" s="1" t="s">
        <v>31</v>
      </c>
      <c r="F106" s="1">
        <v>9.28149222E8</v>
      </c>
      <c r="G106" s="1" t="s">
        <v>59</v>
      </c>
      <c r="H106" s="1" t="s">
        <v>142</v>
      </c>
      <c r="I106" s="2">
        <v>45689.0</v>
      </c>
      <c r="J106" s="2">
        <v>46113.0</v>
      </c>
      <c r="K106" s="1" t="s">
        <v>34</v>
      </c>
      <c r="L106" s="1" t="s">
        <v>48</v>
      </c>
      <c r="M106" s="1" t="s">
        <v>36</v>
      </c>
      <c r="N106" s="1" t="s">
        <v>37</v>
      </c>
      <c r="O106" s="1">
        <v>1.0</v>
      </c>
      <c r="P106" s="3">
        <v>1.0</v>
      </c>
      <c r="Q106" s="1">
        <v>16.0</v>
      </c>
      <c r="R106" s="2">
        <v>46143.0</v>
      </c>
      <c r="S106" s="2">
        <v>46174.0</v>
      </c>
      <c r="T106" s="4">
        <v>1108.3</v>
      </c>
      <c r="U106" s="4">
        <v>20.0</v>
      </c>
      <c r="V106" s="4">
        <v>20.0</v>
      </c>
      <c r="W106" s="4">
        <v>0.0</v>
      </c>
      <c r="X106" s="4">
        <v>0.0</v>
      </c>
      <c r="Y106" s="4">
        <v>5541.5</v>
      </c>
      <c r="Z106" s="4">
        <v>100.0</v>
      </c>
      <c r="AA106" s="1">
        <v>1.0</v>
      </c>
    </row>
    <row r="107" ht="15.75" customHeight="1">
      <c r="A107" s="1" t="s">
        <v>27</v>
      </c>
      <c r="B107" s="1" t="s">
        <v>28</v>
      </c>
      <c r="C107" s="1" t="s">
        <v>122</v>
      </c>
      <c r="D107" s="1" t="s">
        <v>54</v>
      </c>
      <c r="E107" s="1" t="s">
        <v>31</v>
      </c>
      <c r="F107" s="1">
        <v>9.28149327E8</v>
      </c>
      <c r="G107" s="1" t="s">
        <v>71</v>
      </c>
      <c r="H107" s="1" t="s">
        <v>143</v>
      </c>
      <c r="I107" s="2">
        <v>45689.0</v>
      </c>
      <c r="J107" s="2">
        <v>46113.0</v>
      </c>
      <c r="K107" s="1" t="s">
        <v>34</v>
      </c>
      <c r="L107" s="1" t="s">
        <v>48</v>
      </c>
      <c r="M107" s="1" t="s">
        <v>36</v>
      </c>
      <c r="N107" s="1" t="s">
        <v>37</v>
      </c>
      <c r="O107" s="1">
        <v>1.0</v>
      </c>
      <c r="P107" s="3">
        <v>1.0</v>
      </c>
      <c r="Q107" s="1">
        <v>15.0</v>
      </c>
      <c r="R107" s="2">
        <v>46113.0</v>
      </c>
      <c r="S107" s="2">
        <v>46143.0</v>
      </c>
      <c r="T107" s="4">
        <v>1083.62</v>
      </c>
      <c r="U107" s="4">
        <v>20.0</v>
      </c>
      <c r="V107" s="4">
        <v>20.0</v>
      </c>
      <c r="W107" s="4">
        <v>0.0</v>
      </c>
      <c r="X107" s="4">
        <v>0.0</v>
      </c>
      <c r="Y107" s="4">
        <v>4334.48</v>
      </c>
      <c r="Z107" s="4">
        <v>80.0</v>
      </c>
      <c r="AA107" s="1">
        <v>1.0</v>
      </c>
    </row>
    <row r="108" ht="15.75" customHeight="1">
      <c r="A108" s="1" t="s">
        <v>27</v>
      </c>
      <c r="B108" s="1" t="s">
        <v>28</v>
      </c>
      <c r="C108" s="1" t="s">
        <v>122</v>
      </c>
      <c r="D108" s="1" t="s">
        <v>54</v>
      </c>
      <c r="E108" s="1" t="s">
        <v>31</v>
      </c>
      <c r="F108" s="1">
        <v>9.28149327E8</v>
      </c>
      <c r="G108" s="1" t="s">
        <v>71</v>
      </c>
      <c r="H108" s="1" t="s">
        <v>143</v>
      </c>
      <c r="I108" s="2">
        <v>45689.0</v>
      </c>
      <c r="J108" s="2">
        <v>46113.0</v>
      </c>
      <c r="K108" s="1" t="s">
        <v>34</v>
      </c>
      <c r="L108" s="1" t="s">
        <v>48</v>
      </c>
      <c r="M108" s="1" t="s">
        <v>36</v>
      </c>
      <c r="N108" s="1" t="s">
        <v>37</v>
      </c>
      <c r="O108" s="1">
        <v>1.0</v>
      </c>
      <c r="P108" s="3">
        <v>1.0</v>
      </c>
      <c r="Q108" s="1">
        <v>16.0</v>
      </c>
      <c r="R108" s="2">
        <v>46143.0</v>
      </c>
      <c r="S108" s="2">
        <v>46174.0</v>
      </c>
      <c r="T108" s="4">
        <v>1083.62</v>
      </c>
      <c r="U108" s="4">
        <v>20.0</v>
      </c>
      <c r="V108" s="4">
        <v>20.0</v>
      </c>
      <c r="W108" s="4">
        <v>0.0</v>
      </c>
      <c r="X108" s="4">
        <v>0.0</v>
      </c>
      <c r="Y108" s="4">
        <v>5418.1</v>
      </c>
      <c r="Z108" s="4">
        <v>100.0</v>
      </c>
      <c r="AA108" s="1">
        <v>1.0</v>
      </c>
    </row>
    <row r="109" ht="15.75" customHeight="1">
      <c r="A109" s="1" t="s">
        <v>27</v>
      </c>
      <c r="B109" s="1" t="s">
        <v>28</v>
      </c>
      <c r="C109" s="1" t="s">
        <v>122</v>
      </c>
      <c r="D109" s="1" t="s">
        <v>54</v>
      </c>
      <c r="E109" s="1" t="s">
        <v>31</v>
      </c>
      <c r="F109" s="1">
        <v>9.28149842E8</v>
      </c>
      <c r="G109" s="1" t="s">
        <v>46</v>
      </c>
      <c r="H109" s="1" t="s">
        <v>144</v>
      </c>
      <c r="I109" s="2">
        <v>45717.0</v>
      </c>
      <c r="J109" s="2">
        <v>46023.0</v>
      </c>
      <c r="K109" s="1" t="s">
        <v>34</v>
      </c>
      <c r="L109" s="1" t="s">
        <v>48</v>
      </c>
      <c r="M109" s="1" t="s">
        <v>36</v>
      </c>
      <c r="N109" s="1" t="s">
        <v>37</v>
      </c>
      <c r="O109" s="1">
        <v>1.0</v>
      </c>
      <c r="P109" s="3">
        <v>1.0</v>
      </c>
      <c r="Q109" s="1">
        <v>15.0</v>
      </c>
      <c r="R109" s="2">
        <v>46143.0</v>
      </c>
      <c r="S109" s="2">
        <v>46174.0</v>
      </c>
      <c r="T109" s="4">
        <v>650.25</v>
      </c>
      <c r="U109" s="4">
        <v>20.0</v>
      </c>
      <c r="V109" s="4">
        <v>20.0</v>
      </c>
      <c r="W109" s="4">
        <v>0.0</v>
      </c>
      <c r="X109" s="4">
        <v>0.0</v>
      </c>
      <c r="Y109" s="4">
        <v>3251.25</v>
      </c>
      <c r="Z109" s="4">
        <v>100.0</v>
      </c>
      <c r="AA109" s="1">
        <v>1.0</v>
      </c>
    </row>
    <row r="110" ht="15.75" customHeight="1">
      <c r="A110" s="1" t="s">
        <v>27</v>
      </c>
      <c r="B110" s="1" t="s">
        <v>28</v>
      </c>
      <c r="C110" s="1" t="s">
        <v>122</v>
      </c>
      <c r="D110" s="1" t="s">
        <v>54</v>
      </c>
      <c r="E110" s="1" t="s">
        <v>31</v>
      </c>
      <c r="F110" s="1">
        <v>9.28149844E8</v>
      </c>
      <c r="G110" s="1" t="s">
        <v>46</v>
      </c>
      <c r="H110" s="1" t="s">
        <v>145</v>
      </c>
      <c r="I110" s="2">
        <v>45717.0</v>
      </c>
      <c r="J110" s="2">
        <v>46023.0</v>
      </c>
      <c r="K110" s="1" t="s">
        <v>34</v>
      </c>
      <c r="L110" s="1" t="s">
        <v>48</v>
      </c>
      <c r="M110" s="1" t="s">
        <v>36</v>
      </c>
      <c r="N110" s="1" t="s">
        <v>37</v>
      </c>
      <c r="O110" s="1">
        <v>1.0</v>
      </c>
      <c r="P110" s="3">
        <v>1.0</v>
      </c>
      <c r="Q110" s="1">
        <v>15.0</v>
      </c>
      <c r="R110" s="2">
        <v>46143.0</v>
      </c>
      <c r="S110" s="2">
        <v>46174.0</v>
      </c>
      <c r="T110" s="4">
        <v>536.67</v>
      </c>
      <c r="U110" s="4">
        <v>20.0</v>
      </c>
      <c r="V110" s="4">
        <v>20.0</v>
      </c>
      <c r="W110" s="4">
        <v>0.0</v>
      </c>
      <c r="X110" s="4">
        <v>0.0</v>
      </c>
      <c r="Y110" s="4">
        <v>2683.35</v>
      </c>
      <c r="Z110" s="4">
        <v>100.0</v>
      </c>
      <c r="AA110" s="1">
        <v>1.0</v>
      </c>
    </row>
    <row r="111" ht="15.75" customHeight="1">
      <c r="A111" s="1" t="s">
        <v>27</v>
      </c>
      <c r="B111" s="1" t="s">
        <v>28</v>
      </c>
      <c r="C111" s="1" t="s">
        <v>122</v>
      </c>
      <c r="D111" s="1" t="s">
        <v>54</v>
      </c>
      <c r="E111" s="1" t="s">
        <v>31</v>
      </c>
      <c r="F111" s="1">
        <v>9.2814987E8</v>
      </c>
      <c r="G111" s="1" t="s">
        <v>40</v>
      </c>
      <c r="H111" s="1" t="s">
        <v>146</v>
      </c>
      <c r="I111" s="2">
        <v>45717.0</v>
      </c>
      <c r="J111" s="2">
        <v>46113.0</v>
      </c>
      <c r="K111" s="1" t="s">
        <v>34</v>
      </c>
      <c r="L111" s="1" t="s">
        <v>35</v>
      </c>
      <c r="M111" s="1" t="s">
        <v>36</v>
      </c>
      <c r="N111" s="1" t="s">
        <v>37</v>
      </c>
      <c r="O111" s="1">
        <v>1.0</v>
      </c>
      <c r="P111" s="3">
        <v>1.0</v>
      </c>
      <c r="Q111" s="1">
        <v>15.0</v>
      </c>
      <c r="R111" s="2">
        <v>46143.0</v>
      </c>
      <c r="S111" s="2">
        <v>46174.0</v>
      </c>
      <c r="T111" s="4">
        <v>1335.94</v>
      </c>
      <c r="U111" s="4">
        <v>20.0</v>
      </c>
      <c r="V111" s="4">
        <v>20.0</v>
      </c>
      <c r="W111" s="4">
        <v>0.0</v>
      </c>
      <c r="X111" s="4">
        <v>0.0</v>
      </c>
      <c r="Y111" s="4">
        <v>6679.7</v>
      </c>
      <c r="Z111" s="4">
        <v>100.0</v>
      </c>
      <c r="AA111" s="1">
        <v>1.0</v>
      </c>
    </row>
    <row r="112" ht="15.75" customHeight="1">
      <c r="A112" s="1" t="s">
        <v>27</v>
      </c>
      <c r="B112" s="1" t="s">
        <v>28</v>
      </c>
      <c r="C112" s="1" t="s">
        <v>122</v>
      </c>
      <c r="D112" s="1" t="s">
        <v>54</v>
      </c>
      <c r="E112" s="1" t="s">
        <v>31</v>
      </c>
      <c r="F112" s="1">
        <v>9.28150112E8</v>
      </c>
      <c r="G112" s="1" t="s">
        <v>71</v>
      </c>
      <c r="H112" s="1" t="s">
        <v>147</v>
      </c>
      <c r="I112" s="2">
        <v>45717.0</v>
      </c>
      <c r="J112" s="2">
        <v>46023.0</v>
      </c>
      <c r="K112" s="1" t="s">
        <v>34</v>
      </c>
      <c r="L112" s="1" t="s">
        <v>48</v>
      </c>
      <c r="M112" s="1" t="s">
        <v>36</v>
      </c>
      <c r="N112" s="1" t="s">
        <v>37</v>
      </c>
      <c r="O112" s="1">
        <v>1.0</v>
      </c>
      <c r="P112" s="3">
        <v>1.0</v>
      </c>
      <c r="Q112" s="1">
        <v>15.0</v>
      </c>
      <c r="R112" s="2">
        <v>46143.0</v>
      </c>
      <c r="S112" s="2">
        <v>46174.0</v>
      </c>
      <c r="T112" s="4">
        <v>1225.27</v>
      </c>
      <c r="U112" s="4">
        <v>20.0</v>
      </c>
      <c r="V112" s="4">
        <v>20.0</v>
      </c>
      <c r="W112" s="4">
        <v>0.0</v>
      </c>
      <c r="X112" s="4">
        <v>0.0</v>
      </c>
      <c r="Y112" s="4">
        <v>6126.35</v>
      </c>
      <c r="Z112" s="4">
        <v>100.0</v>
      </c>
      <c r="AA112" s="1">
        <v>1.0</v>
      </c>
    </row>
    <row r="113" ht="15.75" customHeight="1">
      <c r="A113" s="1" t="s">
        <v>27</v>
      </c>
      <c r="B113" s="1" t="s">
        <v>28</v>
      </c>
      <c r="C113" s="1" t="s">
        <v>122</v>
      </c>
      <c r="D113" s="1" t="s">
        <v>54</v>
      </c>
      <c r="E113" s="1" t="s">
        <v>31</v>
      </c>
      <c r="F113" s="1">
        <v>9.28150209E8</v>
      </c>
      <c r="G113" s="1" t="s">
        <v>32</v>
      </c>
      <c r="H113" s="1" t="s">
        <v>148</v>
      </c>
      <c r="I113" s="2">
        <v>45717.0</v>
      </c>
      <c r="J113" s="2">
        <v>46143.0</v>
      </c>
      <c r="K113" s="1" t="s">
        <v>34</v>
      </c>
      <c r="L113" s="1" t="s">
        <v>35</v>
      </c>
      <c r="M113" s="1" t="s">
        <v>36</v>
      </c>
      <c r="N113" s="1" t="s">
        <v>37</v>
      </c>
      <c r="O113" s="1">
        <v>1.0</v>
      </c>
      <c r="P113" s="3">
        <v>1.0</v>
      </c>
      <c r="Q113" s="1">
        <v>15.0</v>
      </c>
      <c r="R113" s="2">
        <v>46143.0</v>
      </c>
      <c r="S113" s="2">
        <v>46174.0</v>
      </c>
      <c r="T113" s="4">
        <v>320.8</v>
      </c>
      <c r="U113" s="4">
        <v>20.0</v>
      </c>
      <c r="V113" s="4">
        <v>20.0</v>
      </c>
      <c r="W113" s="4">
        <v>0.0</v>
      </c>
      <c r="X113" s="4">
        <v>0.0</v>
      </c>
      <c r="Y113" s="4">
        <v>1263.28</v>
      </c>
      <c r="Z113" s="4">
        <v>80.0</v>
      </c>
      <c r="AA113" s="1">
        <v>1.0</v>
      </c>
    </row>
    <row r="114" ht="15.75" customHeight="1">
      <c r="A114" s="1" t="s">
        <v>27</v>
      </c>
      <c r="B114" s="1" t="s">
        <v>28</v>
      </c>
      <c r="C114" s="1" t="s">
        <v>122</v>
      </c>
      <c r="D114" s="1" t="s">
        <v>54</v>
      </c>
      <c r="E114" s="1" t="s">
        <v>31</v>
      </c>
      <c r="F114" s="1">
        <v>9.28150824E8</v>
      </c>
      <c r="G114" s="1" t="s">
        <v>59</v>
      </c>
      <c r="H114" s="1" t="s">
        <v>149</v>
      </c>
      <c r="I114" s="2">
        <v>45748.0</v>
      </c>
      <c r="J114" s="2">
        <v>46113.0</v>
      </c>
      <c r="K114" s="1" t="s">
        <v>34</v>
      </c>
      <c r="L114" s="1" t="s">
        <v>48</v>
      </c>
      <c r="M114" s="1" t="s">
        <v>36</v>
      </c>
      <c r="N114" s="1" t="s">
        <v>37</v>
      </c>
      <c r="O114" s="1">
        <v>1.0</v>
      </c>
      <c r="P114" s="3">
        <v>1.0</v>
      </c>
      <c r="Q114" s="1">
        <v>14.0</v>
      </c>
      <c r="R114" s="2">
        <v>46143.0</v>
      </c>
      <c r="S114" s="2">
        <v>46174.0</v>
      </c>
      <c r="T114" s="4">
        <v>617.14</v>
      </c>
      <c r="U114" s="4">
        <v>20.0</v>
      </c>
      <c r="V114" s="4">
        <v>20.0</v>
      </c>
      <c r="W114" s="4">
        <v>0.0</v>
      </c>
      <c r="X114" s="4">
        <v>0.0</v>
      </c>
      <c r="Y114" s="4">
        <v>3085.7</v>
      </c>
      <c r="Z114" s="4">
        <v>100.0</v>
      </c>
      <c r="AA114" s="1">
        <v>1.0</v>
      </c>
    </row>
    <row r="115" ht="15.75" customHeight="1">
      <c r="A115" s="1" t="s">
        <v>27</v>
      </c>
      <c r="B115" s="1" t="s">
        <v>28</v>
      </c>
      <c r="C115" s="1" t="s">
        <v>122</v>
      </c>
      <c r="D115" s="1" t="s">
        <v>54</v>
      </c>
      <c r="E115" s="1" t="s">
        <v>31</v>
      </c>
      <c r="F115" s="1">
        <v>9.28150957E8</v>
      </c>
      <c r="G115" s="1" t="s">
        <v>46</v>
      </c>
      <c r="H115" s="1" t="s">
        <v>150</v>
      </c>
      <c r="I115" s="2">
        <v>45748.0</v>
      </c>
      <c r="J115" s="2">
        <v>46023.0</v>
      </c>
      <c r="K115" s="1" t="s">
        <v>34</v>
      </c>
      <c r="L115" s="1" t="s">
        <v>48</v>
      </c>
      <c r="M115" s="1" t="s">
        <v>36</v>
      </c>
      <c r="N115" s="1" t="s">
        <v>37</v>
      </c>
      <c r="O115" s="1">
        <v>1.0</v>
      </c>
      <c r="P115" s="3">
        <v>1.0</v>
      </c>
      <c r="Q115" s="1">
        <v>14.0</v>
      </c>
      <c r="R115" s="2">
        <v>46143.0</v>
      </c>
      <c r="S115" s="2">
        <v>46174.0</v>
      </c>
      <c r="T115" s="4">
        <v>677.56</v>
      </c>
      <c r="U115" s="4">
        <v>20.0</v>
      </c>
      <c r="V115" s="4">
        <v>20.0</v>
      </c>
      <c r="W115" s="4">
        <v>0.0</v>
      </c>
      <c r="X115" s="4">
        <v>0.0</v>
      </c>
      <c r="Y115" s="4">
        <v>3387.8</v>
      </c>
      <c r="Z115" s="4">
        <v>100.0</v>
      </c>
      <c r="AA115" s="1">
        <v>1.0</v>
      </c>
    </row>
    <row r="116" ht="15.75" customHeight="1">
      <c r="A116" s="1" t="s">
        <v>27</v>
      </c>
      <c r="B116" s="1" t="s">
        <v>28</v>
      </c>
      <c r="C116" s="1" t="s">
        <v>122</v>
      </c>
      <c r="D116" s="1" t="s">
        <v>54</v>
      </c>
      <c r="E116" s="1" t="s">
        <v>31</v>
      </c>
      <c r="F116" s="1">
        <v>9.2815103E8</v>
      </c>
      <c r="G116" s="1" t="s">
        <v>46</v>
      </c>
      <c r="H116" s="1" t="s">
        <v>151</v>
      </c>
      <c r="I116" s="2">
        <v>45748.0</v>
      </c>
      <c r="J116" s="2">
        <v>46023.0</v>
      </c>
      <c r="K116" s="1" t="s">
        <v>34</v>
      </c>
      <c r="L116" s="1" t="s">
        <v>48</v>
      </c>
      <c r="M116" s="1" t="s">
        <v>36</v>
      </c>
      <c r="N116" s="1" t="s">
        <v>37</v>
      </c>
      <c r="O116" s="1">
        <v>1.0</v>
      </c>
      <c r="P116" s="3">
        <v>1.0</v>
      </c>
      <c r="Q116" s="1">
        <v>14.0</v>
      </c>
      <c r="R116" s="2">
        <v>46143.0</v>
      </c>
      <c r="S116" s="2">
        <v>46174.0</v>
      </c>
      <c r="T116" s="4">
        <v>915.88</v>
      </c>
      <c r="U116" s="4">
        <v>20.0</v>
      </c>
      <c r="V116" s="4">
        <v>20.0</v>
      </c>
      <c r="W116" s="4">
        <v>0.0</v>
      </c>
      <c r="X116" s="4">
        <v>0.0</v>
      </c>
      <c r="Y116" s="4">
        <v>4579.4</v>
      </c>
      <c r="Z116" s="4">
        <v>100.0</v>
      </c>
      <c r="AA116" s="1">
        <v>1.0</v>
      </c>
    </row>
    <row r="117" ht="15.75" customHeight="1">
      <c r="A117" s="1" t="s">
        <v>27</v>
      </c>
      <c r="B117" s="1" t="s">
        <v>28</v>
      </c>
      <c r="C117" s="1" t="s">
        <v>122</v>
      </c>
      <c r="D117" s="1" t="s">
        <v>54</v>
      </c>
      <c r="E117" s="1" t="s">
        <v>31</v>
      </c>
      <c r="F117" s="1">
        <v>9.28151061E8</v>
      </c>
      <c r="G117" s="1" t="s">
        <v>40</v>
      </c>
      <c r="H117" s="1" t="s">
        <v>152</v>
      </c>
      <c r="I117" s="2">
        <v>45748.0</v>
      </c>
      <c r="J117" s="2">
        <v>46113.0</v>
      </c>
      <c r="K117" s="1" t="s">
        <v>34</v>
      </c>
      <c r="L117" s="1" t="s">
        <v>35</v>
      </c>
      <c r="M117" s="1" t="s">
        <v>36</v>
      </c>
      <c r="N117" s="1" t="s">
        <v>37</v>
      </c>
      <c r="O117" s="1">
        <v>-1.0</v>
      </c>
      <c r="P117" s="3">
        <v>1.0</v>
      </c>
      <c r="Q117" s="1">
        <v>14.0</v>
      </c>
      <c r="R117" s="2">
        <v>46143.0</v>
      </c>
      <c r="S117" s="2">
        <v>46174.0</v>
      </c>
      <c r="T117" s="4">
        <v>-1554.9</v>
      </c>
      <c r="U117" s="4">
        <v>20.0</v>
      </c>
      <c r="V117" s="4">
        <v>-20.0</v>
      </c>
      <c r="W117" s="4">
        <v>0.0</v>
      </c>
      <c r="X117" s="4">
        <v>0.0</v>
      </c>
      <c r="Y117" s="4">
        <v>6219.6</v>
      </c>
      <c r="Z117" s="4">
        <v>480.0</v>
      </c>
      <c r="AA117" s="1">
        <v>1.0</v>
      </c>
    </row>
    <row r="118" ht="15.75" customHeight="1">
      <c r="A118" s="1" t="s">
        <v>27</v>
      </c>
      <c r="B118" s="1" t="s">
        <v>28</v>
      </c>
      <c r="C118" s="1" t="s">
        <v>122</v>
      </c>
      <c r="D118" s="1" t="s">
        <v>54</v>
      </c>
      <c r="E118" s="1" t="s">
        <v>31</v>
      </c>
      <c r="F118" s="1">
        <v>9.28151061E8</v>
      </c>
      <c r="G118" s="1" t="s">
        <v>40</v>
      </c>
      <c r="H118" s="1" t="s">
        <v>152</v>
      </c>
      <c r="I118" s="2">
        <v>45748.0</v>
      </c>
      <c r="J118" s="2">
        <v>46113.0</v>
      </c>
      <c r="K118" s="1" t="s">
        <v>34</v>
      </c>
      <c r="L118" s="1" t="s">
        <v>35</v>
      </c>
      <c r="M118" s="1" t="s">
        <v>36</v>
      </c>
      <c r="N118" s="1" t="s">
        <v>37</v>
      </c>
      <c r="O118" s="1">
        <v>5.0</v>
      </c>
      <c r="P118" s="3">
        <v>1.0</v>
      </c>
      <c r="Q118" s="1">
        <v>14.0</v>
      </c>
      <c r="R118" s="2">
        <v>46143.0</v>
      </c>
      <c r="S118" s="2">
        <v>46174.0</v>
      </c>
      <c r="T118" s="4">
        <v>1554.9</v>
      </c>
      <c r="U118" s="4">
        <v>20.0</v>
      </c>
      <c r="V118" s="4">
        <v>100.0</v>
      </c>
      <c r="W118" s="4">
        <v>0.0</v>
      </c>
      <c r="X118" s="4">
        <v>0.0</v>
      </c>
      <c r="Y118" s="4">
        <v>6219.6</v>
      </c>
      <c r="Z118" s="4">
        <v>480.0</v>
      </c>
      <c r="AA118" s="1">
        <v>1.0</v>
      </c>
    </row>
    <row r="119" ht="15.75" customHeight="1">
      <c r="A119" s="1" t="s">
        <v>27</v>
      </c>
      <c r="B119" s="1" t="s">
        <v>28</v>
      </c>
      <c r="C119" s="1" t="s">
        <v>122</v>
      </c>
      <c r="D119" s="1" t="s">
        <v>54</v>
      </c>
      <c r="E119" s="1" t="s">
        <v>31</v>
      </c>
      <c r="F119" s="1">
        <v>9.28151168E8</v>
      </c>
      <c r="G119" s="1" t="s">
        <v>46</v>
      </c>
      <c r="H119" s="1" t="s">
        <v>153</v>
      </c>
      <c r="I119" s="2">
        <v>45748.0</v>
      </c>
      <c r="J119" s="2">
        <v>46023.0</v>
      </c>
      <c r="K119" s="1" t="s">
        <v>34</v>
      </c>
      <c r="L119" s="1" t="s">
        <v>48</v>
      </c>
      <c r="M119" s="1" t="s">
        <v>36</v>
      </c>
      <c r="N119" s="1" t="s">
        <v>37</v>
      </c>
      <c r="O119" s="1">
        <v>1.0</v>
      </c>
      <c r="P119" s="3">
        <v>1.0</v>
      </c>
      <c r="Q119" s="1">
        <v>14.0</v>
      </c>
      <c r="R119" s="2">
        <v>46143.0</v>
      </c>
      <c r="S119" s="2">
        <v>46174.0</v>
      </c>
      <c r="T119" s="4">
        <v>574.39</v>
      </c>
      <c r="U119" s="4">
        <v>20.0</v>
      </c>
      <c r="V119" s="4">
        <v>20.0</v>
      </c>
      <c r="W119" s="4">
        <v>0.0</v>
      </c>
      <c r="X119" s="4">
        <v>0.0</v>
      </c>
      <c r="Y119" s="4">
        <v>2871.95</v>
      </c>
      <c r="Z119" s="4">
        <v>100.0</v>
      </c>
      <c r="AA119" s="1">
        <v>1.0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0.29"/>
    <col customWidth="1" min="3" max="4" width="22.0"/>
    <col customWidth="1" min="5" max="5" width="28.86"/>
    <col customWidth="1" min="6" max="6" width="15.0"/>
    <col customWidth="1" min="7" max="7" width="15.86"/>
    <col customWidth="1" min="8" max="8" width="12.86"/>
    <col customWidth="1" min="9" max="10" width="19.29"/>
    <col customWidth="1" min="11" max="11" width="12.0"/>
    <col customWidth="1" min="12" max="12" width="26.0"/>
    <col customWidth="1" min="13" max="13" width="29.14"/>
  </cols>
  <sheetData>
    <row r="1">
      <c r="A1" s="1" t="s">
        <v>3</v>
      </c>
      <c r="C1" s="1" t="s">
        <v>5</v>
      </c>
      <c r="E1" s="1" t="s">
        <v>7</v>
      </c>
      <c r="F1" s="1" t="s">
        <v>8</v>
      </c>
      <c r="G1" s="1" t="s">
        <v>11</v>
      </c>
      <c r="H1" s="1" t="s">
        <v>12</v>
      </c>
      <c r="I1" s="1" t="s">
        <v>14</v>
      </c>
      <c r="K1" s="1" t="s">
        <v>18</v>
      </c>
      <c r="L1" s="1" t="s">
        <v>20</v>
      </c>
      <c r="M1" s="5" t="s">
        <v>21</v>
      </c>
    </row>
    <row r="2">
      <c r="A2" s="1" t="s">
        <v>30</v>
      </c>
      <c r="B2" s="1" t="str">
        <f t="shared" ref="B2:B119" si="1">MID(A2, FIND("-SU-", A2) + 4, LEN(A2)) </f>
        <v>GREGORY K TEIPEL</v>
      </c>
      <c r="C2" s="1">
        <v>9.28105439E8</v>
      </c>
      <c r="D2" s="1" t="str">
        <f t="shared" ref="D2:D119" si="2">concat(C2,5)</f>
        <v>9281054395</v>
      </c>
      <c r="E2" s="1" t="s">
        <v>33</v>
      </c>
      <c r="F2" s="2">
        <v>46054.0</v>
      </c>
      <c r="G2" s="1" t="s">
        <v>35</v>
      </c>
      <c r="H2" s="1" t="s">
        <v>36</v>
      </c>
      <c r="I2" s="1">
        <v>1.0</v>
      </c>
      <c r="K2" s="2">
        <v>46174.0</v>
      </c>
      <c r="L2" s="4">
        <v>20.0</v>
      </c>
      <c r="M2" s="6">
        <v>20.0</v>
      </c>
    </row>
    <row r="3">
      <c r="A3" s="1" t="s">
        <v>30</v>
      </c>
      <c r="B3" s="1" t="str">
        <f t="shared" si="1"/>
        <v>GREGORY K TEIPEL</v>
      </c>
      <c r="C3" s="1">
        <v>9.28115975E8</v>
      </c>
      <c r="D3" s="1" t="str">
        <f t="shared" si="2"/>
        <v>9281159755</v>
      </c>
      <c r="E3" s="1" t="s">
        <v>39</v>
      </c>
      <c r="F3" s="2">
        <v>46023.0</v>
      </c>
      <c r="G3" s="1" t="s">
        <v>35</v>
      </c>
      <c r="H3" s="1" t="s">
        <v>36</v>
      </c>
      <c r="I3" s="1">
        <v>1.0</v>
      </c>
      <c r="K3" s="2">
        <v>46174.0</v>
      </c>
      <c r="L3" s="4">
        <v>20.0</v>
      </c>
      <c r="M3" s="6">
        <v>20.0</v>
      </c>
    </row>
    <row r="4">
      <c r="A4" s="1" t="s">
        <v>30</v>
      </c>
      <c r="B4" s="1" t="str">
        <f t="shared" si="1"/>
        <v>GREGORY K TEIPEL</v>
      </c>
      <c r="C4" s="1">
        <v>9.28152107E8</v>
      </c>
      <c r="D4" s="1" t="str">
        <f t="shared" si="2"/>
        <v>9281521075</v>
      </c>
      <c r="E4" s="1" t="s">
        <v>41</v>
      </c>
      <c r="F4" s="2">
        <v>45809.0</v>
      </c>
      <c r="G4" s="1" t="s">
        <v>35</v>
      </c>
      <c r="H4" s="1" t="s">
        <v>36</v>
      </c>
      <c r="I4" s="1">
        <v>1.0</v>
      </c>
      <c r="K4" s="2">
        <v>46174.0</v>
      </c>
      <c r="L4" s="4">
        <v>20.0</v>
      </c>
      <c r="M4" s="6">
        <v>20.0</v>
      </c>
    </row>
    <row r="5">
      <c r="A5" s="1" t="s">
        <v>30</v>
      </c>
      <c r="B5" s="1" t="str">
        <f t="shared" si="1"/>
        <v>GREGORY K TEIPEL</v>
      </c>
      <c r="C5" s="1">
        <v>9.28156603E8</v>
      </c>
      <c r="D5" s="1" t="str">
        <f t="shared" si="2"/>
        <v>9281566035</v>
      </c>
      <c r="E5" s="1" t="s">
        <v>42</v>
      </c>
      <c r="F5" s="2">
        <v>46023.0</v>
      </c>
      <c r="G5" s="1" t="s">
        <v>35</v>
      </c>
      <c r="H5" s="1" t="s">
        <v>36</v>
      </c>
      <c r="I5" s="1">
        <v>-3.0</v>
      </c>
      <c r="J5" s="7" t="s">
        <v>154</v>
      </c>
      <c r="K5" s="2">
        <v>46143.0</v>
      </c>
      <c r="L5" s="4">
        <v>20.0</v>
      </c>
      <c r="M5" s="6">
        <v>-60.0</v>
      </c>
    </row>
    <row r="6">
      <c r="A6" s="1" t="s">
        <v>30</v>
      </c>
      <c r="B6" s="1" t="str">
        <f t="shared" si="1"/>
        <v>GREGORY K TEIPEL</v>
      </c>
      <c r="C6" s="1">
        <v>9.28156653E8</v>
      </c>
      <c r="D6" s="1" t="str">
        <f t="shared" si="2"/>
        <v>9281566535</v>
      </c>
      <c r="E6" s="1" t="s">
        <v>43</v>
      </c>
      <c r="F6" s="2">
        <v>46023.0</v>
      </c>
      <c r="G6" s="1" t="s">
        <v>35</v>
      </c>
      <c r="H6" s="1" t="s">
        <v>36</v>
      </c>
      <c r="I6" s="1">
        <v>1.0</v>
      </c>
      <c r="K6" s="2">
        <v>46174.0</v>
      </c>
      <c r="L6" s="4">
        <v>20.0</v>
      </c>
      <c r="M6" s="6">
        <v>20.0</v>
      </c>
    </row>
    <row r="7">
      <c r="A7" s="1" t="s">
        <v>30</v>
      </c>
      <c r="B7" s="1" t="str">
        <f t="shared" si="1"/>
        <v>GREGORY K TEIPEL</v>
      </c>
      <c r="C7" s="1">
        <v>9.28156995E8</v>
      </c>
      <c r="D7" s="1" t="str">
        <f t="shared" si="2"/>
        <v>9281569955</v>
      </c>
      <c r="E7" s="1" t="s">
        <v>44</v>
      </c>
      <c r="F7" s="2">
        <v>46023.0</v>
      </c>
      <c r="G7" s="1" t="s">
        <v>35</v>
      </c>
      <c r="H7" s="1" t="s">
        <v>36</v>
      </c>
      <c r="I7" s="1">
        <v>1.0</v>
      </c>
      <c r="K7" s="2">
        <v>46174.0</v>
      </c>
      <c r="L7" s="4">
        <v>20.0</v>
      </c>
      <c r="M7" s="6">
        <v>20.0</v>
      </c>
    </row>
    <row r="8">
      <c r="A8" s="1" t="s">
        <v>30</v>
      </c>
      <c r="B8" s="1" t="str">
        <f t="shared" si="1"/>
        <v>GREGORY K TEIPEL</v>
      </c>
      <c r="C8" s="1">
        <v>9.28159206E8</v>
      </c>
      <c r="D8" s="1" t="str">
        <f t="shared" si="2"/>
        <v>9281592065</v>
      </c>
      <c r="E8" s="1" t="s">
        <v>45</v>
      </c>
      <c r="F8" s="2">
        <v>46023.0</v>
      </c>
      <c r="G8" s="1" t="s">
        <v>35</v>
      </c>
      <c r="H8" s="1" t="s">
        <v>36</v>
      </c>
      <c r="I8" s="1">
        <v>1.0</v>
      </c>
      <c r="K8" s="2">
        <v>46174.0</v>
      </c>
      <c r="L8" s="4">
        <v>20.0</v>
      </c>
      <c r="M8" s="6">
        <v>20.0</v>
      </c>
    </row>
    <row r="9">
      <c r="A9" s="1" t="s">
        <v>30</v>
      </c>
      <c r="B9" s="1" t="str">
        <f t="shared" si="1"/>
        <v>GREGORY K TEIPEL</v>
      </c>
      <c r="C9" s="1">
        <v>9.28161115E8</v>
      </c>
      <c r="D9" s="1" t="str">
        <f t="shared" si="2"/>
        <v>9281611155</v>
      </c>
      <c r="E9" s="1" t="s">
        <v>47</v>
      </c>
      <c r="F9" s="2">
        <v>46054.0</v>
      </c>
      <c r="G9" s="1" t="s">
        <v>48</v>
      </c>
      <c r="H9" s="1" t="s">
        <v>36</v>
      </c>
      <c r="I9" s="1">
        <v>1.0</v>
      </c>
      <c r="K9" s="2">
        <v>46174.0</v>
      </c>
      <c r="L9" s="4">
        <v>20.0</v>
      </c>
      <c r="M9" s="6">
        <v>20.0</v>
      </c>
    </row>
    <row r="10">
      <c r="A10" s="1" t="s">
        <v>30</v>
      </c>
      <c r="B10" s="1" t="str">
        <f t="shared" si="1"/>
        <v>GREGORY K TEIPEL</v>
      </c>
      <c r="C10" s="1">
        <v>9.2816165E8</v>
      </c>
      <c r="D10" s="1" t="str">
        <f t="shared" si="2"/>
        <v>9281616505</v>
      </c>
      <c r="E10" s="1" t="s">
        <v>49</v>
      </c>
      <c r="F10" s="2">
        <v>46082.0</v>
      </c>
      <c r="G10" s="1" t="s">
        <v>35</v>
      </c>
      <c r="H10" s="1" t="s">
        <v>36</v>
      </c>
      <c r="I10" s="1">
        <v>1.0</v>
      </c>
      <c r="K10" s="2">
        <v>46113.0</v>
      </c>
      <c r="L10" s="4">
        <v>20.0</v>
      </c>
      <c r="M10" s="6">
        <v>20.0</v>
      </c>
    </row>
    <row r="11">
      <c r="A11" s="1" t="s">
        <v>30</v>
      </c>
      <c r="B11" s="1" t="str">
        <f t="shared" si="1"/>
        <v>GREGORY K TEIPEL</v>
      </c>
      <c r="C11" s="1">
        <v>9.2816165E8</v>
      </c>
      <c r="D11" s="1" t="str">
        <f t="shared" si="2"/>
        <v>9281616505</v>
      </c>
      <c r="E11" s="1" t="s">
        <v>49</v>
      </c>
      <c r="F11" s="2">
        <v>46082.0</v>
      </c>
      <c r="G11" s="1" t="s">
        <v>35</v>
      </c>
      <c r="H11" s="1" t="s">
        <v>36</v>
      </c>
      <c r="I11" s="1">
        <v>1.0</v>
      </c>
      <c r="K11" s="2">
        <v>46143.0</v>
      </c>
      <c r="L11" s="4">
        <v>20.0</v>
      </c>
      <c r="M11" s="6">
        <v>20.0</v>
      </c>
    </row>
    <row r="12">
      <c r="A12" s="1" t="s">
        <v>30</v>
      </c>
      <c r="B12" s="1" t="str">
        <f t="shared" si="1"/>
        <v>GREGORY K TEIPEL</v>
      </c>
      <c r="C12" s="1">
        <v>9.2816165E8</v>
      </c>
      <c r="D12" s="1" t="str">
        <f t="shared" si="2"/>
        <v>9281616505</v>
      </c>
      <c r="E12" s="1" t="s">
        <v>49</v>
      </c>
      <c r="F12" s="2">
        <v>46082.0</v>
      </c>
      <c r="G12" s="1" t="s">
        <v>35</v>
      </c>
      <c r="H12" s="1" t="s">
        <v>36</v>
      </c>
      <c r="I12" s="1">
        <v>1.0</v>
      </c>
      <c r="K12" s="2">
        <v>46174.0</v>
      </c>
      <c r="L12" s="4">
        <v>20.0</v>
      </c>
      <c r="M12" s="6">
        <v>20.0</v>
      </c>
    </row>
    <row r="13">
      <c r="A13" s="1" t="s">
        <v>30</v>
      </c>
      <c r="B13" s="1" t="str">
        <f t="shared" si="1"/>
        <v>GREGORY K TEIPEL</v>
      </c>
      <c r="C13" s="1">
        <v>9.28161711E8</v>
      </c>
      <c r="D13" s="1" t="str">
        <f t="shared" si="2"/>
        <v>9281617115</v>
      </c>
      <c r="E13" s="1" t="s">
        <v>50</v>
      </c>
      <c r="F13" s="2">
        <v>46082.0</v>
      </c>
      <c r="G13" s="1" t="s">
        <v>48</v>
      </c>
      <c r="H13" s="1" t="s">
        <v>36</v>
      </c>
      <c r="I13" s="1">
        <v>1.0</v>
      </c>
      <c r="K13" s="2">
        <v>46174.0</v>
      </c>
      <c r="L13" s="4">
        <v>20.0</v>
      </c>
      <c r="M13" s="6">
        <v>20.0</v>
      </c>
    </row>
    <row r="14">
      <c r="A14" s="1" t="s">
        <v>30</v>
      </c>
      <c r="B14" s="1" t="str">
        <f t="shared" si="1"/>
        <v>GREGORY K TEIPEL</v>
      </c>
      <c r="C14" s="1">
        <v>9.28161711E8</v>
      </c>
      <c r="D14" s="1" t="str">
        <f t="shared" si="2"/>
        <v>9281617115</v>
      </c>
      <c r="E14" s="1" t="s">
        <v>50</v>
      </c>
      <c r="F14" s="2">
        <v>46082.0</v>
      </c>
      <c r="G14" s="1" t="s">
        <v>48</v>
      </c>
      <c r="H14" s="1" t="s">
        <v>36</v>
      </c>
      <c r="I14" s="1">
        <v>-1.0</v>
      </c>
      <c r="K14" s="2">
        <v>46143.0</v>
      </c>
      <c r="L14" s="4">
        <v>20.0</v>
      </c>
      <c r="M14" s="6">
        <v>-20.0</v>
      </c>
    </row>
    <row r="15">
      <c r="A15" s="1" t="s">
        <v>30</v>
      </c>
      <c r="B15" s="1" t="str">
        <f t="shared" si="1"/>
        <v>GREGORY K TEIPEL</v>
      </c>
      <c r="C15" s="1">
        <v>9.28161711E8</v>
      </c>
      <c r="D15" s="1" t="str">
        <f t="shared" si="2"/>
        <v>9281617115</v>
      </c>
      <c r="E15" s="1" t="s">
        <v>50</v>
      </c>
      <c r="F15" s="2">
        <v>46082.0</v>
      </c>
      <c r="G15" s="1" t="s">
        <v>48</v>
      </c>
      <c r="H15" s="1" t="s">
        <v>36</v>
      </c>
      <c r="I15" s="1">
        <v>-1.0</v>
      </c>
      <c r="K15" s="2">
        <v>46174.0</v>
      </c>
      <c r="L15" s="4">
        <v>20.0</v>
      </c>
      <c r="M15" s="6">
        <v>-20.0</v>
      </c>
    </row>
    <row r="16">
      <c r="A16" s="1" t="s">
        <v>30</v>
      </c>
      <c r="B16" s="1" t="str">
        <f t="shared" si="1"/>
        <v>GREGORY K TEIPEL</v>
      </c>
      <c r="C16" s="1">
        <v>9.28161819E8</v>
      </c>
      <c r="D16" s="1" t="str">
        <f t="shared" si="2"/>
        <v>9281618195</v>
      </c>
      <c r="E16" s="1" t="s">
        <v>51</v>
      </c>
      <c r="F16" s="2">
        <v>46082.0</v>
      </c>
      <c r="G16" s="1" t="s">
        <v>35</v>
      </c>
      <c r="H16" s="1" t="s">
        <v>36</v>
      </c>
      <c r="I16" s="1">
        <v>1.0</v>
      </c>
      <c r="K16" s="2">
        <v>46174.0</v>
      </c>
      <c r="L16" s="4">
        <v>20.0</v>
      </c>
      <c r="M16" s="6">
        <v>20.0</v>
      </c>
    </row>
    <row r="17">
      <c r="A17" s="1" t="s">
        <v>30</v>
      </c>
      <c r="B17" s="1" t="str">
        <f t="shared" si="1"/>
        <v>GREGORY K TEIPEL</v>
      </c>
      <c r="C17" s="1">
        <v>9.2816195E8</v>
      </c>
      <c r="D17" s="1" t="str">
        <f t="shared" si="2"/>
        <v>9281619505</v>
      </c>
      <c r="E17" s="1" t="s">
        <v>52</v>
      </c>
      <c r="F17" s="2">
        <v>46113.0</v>
      </c>
      <c r="G17" s="1" t="s">
        <v>35</v>
      </c>
      <c r="H17" s="1" t="s">
        <v>36</v>
      </c>
      <c r="I17" s="1">
        <v>1.0</v>
      </c>
      <c r="K17" s="2">
        <v>46174.0</v>
      </c>
      <c r="L17" s="4">
        <v>20.0</v>
      </c>
      <c r="M17" s="6">
        <v>20.0</v>
      </c>
    </row>
    <row r="18">
      <c r="A18" s="1" t="s">
        <v>30</v>
      </c>
      <c r="B18" s="1" t="str">
        <f t="shared" si="1"/>
        <v>GREGORY K TEIPEL</v>
      </c>
      <c r="C18" s="1">
        <v>9.2816199E8</v>
      </c>
      <c r="D18" s="1" t="str">
        <f t="shared" si="2"/>
        <v>9281619905</v>
      </c>
      <c r="E18" s="1" t="s">
        <v>53</v>
      </c>
      <c r="F18" s="2">
        <v>46113.0</v>
      </c>
      <c r="G18" s="1" t="s">
        <v>35</v>
      </c>
      <c r="H18" s="1" t="s">
        <v>36</v>
      </c>
      <c r="I18" s="1">
        <v>2.0</v>
      </c>
      <c r="J18" s="7" t="s">
        <v>155</v>
      </c>
      <c r="K18" s="2">
        <v>46174.0</v>
      </c>
      <c r="L18" s="4">
        <v>20.0</v>
      </c>
      <c r="M18" s="6">
        <v>40.0</v>
      </c>
    </row>
    <row r="19">
      <c r="A19" s="1" t="s">
        <v>54</v>
      </c>
      <c r="B19" s="1" t="str">
        <f t="shared" si="1"/>
        <v>THOMAS PARDUE</v>
      </c>
      <c r="C19" s="1">
        <v>9.26789246E8</v>
      </c>
      <c r="D19" s="1" t="str">
        <f t="shared" si="2"/>
        <v>9267892465</v>
      </c>
      <c r="E19" s="1" t="s">
        <v>55</v>
      </c>
      <c r="F19" s="2">
        <v>45992.0</v>
      </c>
      <c r="G19" s="1" t="s">
        <v>35</v>
      </c>
      <c r="H19" s="1" t="s">
        <v>36</v>
      </c>
      <c r="I19" s="1">
        <v>1.0</v>
      </c>
      <c r="K19" s="2">
        <v>46054.0</v>
      </c>
      <c r="L19" s="4">
        <v>20.0</v>
      </c>
      <c r="M19" s="6">
        <v>20.0</v>
      </c>
    </row>
    <row r="20">
      <c r="A20" s="1" t="s">
        <v>54</v>
      </c>
      <c r="B20" s="1" t="str">
        <f t="shared" si="1"/>
        <v>THOMAS PARDUE</v>
      </c>
      <c r="C20" s="1">
        <v>9.26789246E8</v>
      </c>
      <c r="D20" s="1" t="str">
        <f t="shared" si="2"/>
        <v>9267892465</v>
      </c>
      <c r="E20" s="1" t="s">
        <v>55</v>
      </c>
      <c r="F20" s="2">
        <v>45992.0</v>
      </c>
      <c r="G20" s="1" t="s">
        <v>35</v>
      </c>
      <c r="H20" s="1" t="s">
        <v>36</v>
      </c>
      <c r="I20" s="1">
        <v>1.0</v>
      </c>
      <c r="K20" s="2">
        <v>46082.0</v>
      </c>
      <c r="L20" s="4">
        <v>20.0</v>
      </c>
      <c r="M20" s="6">
        <v>20.0</v>
      </c>
    </row>
    <row r="21" ht="15.75" customHeight="1">
      <c r="A21" s="1" t="s">
        <v>54</v>
      </c>
      <c r="B21" s="1" t="str">
        <f t="shared" si="1"/>
        <v>THOMAS PARDUE</v>
      </c>
      <c r="C21" s="1">
        <v>9.26789246E8</v>
      </c>
      <c r="D21" s="1" t="str">
        <f t="shared" si="2"/>
        <v>9267892465</v>
      </c>
      <c r="E21" s="1" t="s">
        <v>55</v>
      </c>
      <c r="F21" s="2">
        <v>45992.0</v>
      </c>
      <c r="G21" s="1" t="s">
        <v>35</v>
      </c>
      <c r="H21" s="1" t="s">
        <v>36</v>
      </c>
      <c r="I21" s="1">
        <v>1.0</v>
      </c>
      <c r="K21" s="2">
        <v>46113.0</v>
      </c>
      <c r="L21" s="4">
        <v>20.0</v>
      </c>
      <c r="M21" s="6">
        <v>20.0</v>
      </c>
    </row>
    <row r="22" ht="15.75" customHeight="1">
      <c r="A22" s="1" t="s">
        <v>54</v>
      </c>
      <c r="B22" s="1" t="str">
        <f t="shared" si="1"/>
        <v>THOMAS PARDUE</v>
      </c>
      <c r="C22" s="1">
        <v>9.28055228E8</v>
      </c>
      <c r="D22" s="1" t="str">
        <f t="shared" si="2"/>
        <v>9280552285</v>
      </c>
      <c r="E22" s="1" t="s">
        <v>56</v>
      </c>
      <c r="F22" s="2">
        <v>45870.0</v>
      </c>
      <c r="G22" s="1" t="s">
        <v>48</v>
      </c>
      <c r="H22" s="1" t="s">
        <v>36</v>
      </c>
      <c r="I22" s="1">
        <v>4.0</v>
      </c>
      <c r="J22" s="7" t="s">
        <v>156</v>
      </c>
      <c r="K22" s="2">
        <v>46174.0</v>
      </c>
      <c r="L22" s="4">
        <v>20.0</v>
      </c>
      <c r="M22" s="6">
        <v>80.0</v>
      </c>
    </row>
    <row r="23" ht="15.75" customHeight="1">
      <c r="A23" s="1" t="s">
        <v>54</v>
      </c>
      <c r="B23" s="1" t="str">
        <f t="shared" si="1"/>
        <v>THOMAS PARDUE</v>
      </c>
      <c r="C23" s="1">
        <v>9.2806003E8</v>
      </c>
      <c r="D23" s="1" t="str">
        <f t="shared" si="2"/>
        <v>9280600305</v>
      </c>
      <c r="E23" s="1" t="s">
        <v>58</v>
      </c>
      <c r="F23" s="2">
        <v>45931.0</v>
      </c>
      <c r="G23" s="1" t="s">
        <v>35</v>
      </c>
      <c r="H23" s="1" t="s">
        <v>36</v>
      </c>
      <c r="I23" s="1">
        <v>1.0</v>
      </c>
      <c r="K23" s="2">
        <v>46082.0</v>
      </c>
      <c r="L23" s="4">
        <v>20.0</v>
      </c>
      <c r="M23" s="6">
        <v>20.0</v>
      </c>
    </row>
    <row r="24" ht="15.75" customHeight="1">
      <c r="A24" s="1" t="s">
        <v>54</v>
      </c>
      <c r="B24" s="1" t="str">
        <f t="shared" si="1"/>
        <v>THOMAS PARDUE</v>
      </c>
      <c r="C24" s="1">
        <v>9.28092285E8</v>
      </c>
      <c r="D24" s="1" t="str">
        <f t="shared" si="2"/>
        <v>9280922855</v>
      </c>
      <c r="E24" s="1" t="s">
        <v>60</v>
      </c>
      <c r="F24" s="2">
        <v>45931.0</v>
      </c>
      <c r="G24" s="1" t="s">
        <v>48</v>
      </c>
      <c r="H24" s="1" t="s">
        <v>36</v>
      </c>
      <c r="I24" s="1">
        <v>1.0</v>
      </c>
      <c r="K24" s="2">
        <v>46174.0</v>
      </c>
      <c r="L24" s="4">
        <v>20.0</v>
      </c>
      <c r="M24" s="6">
        <v>20.0</v>
      </c>
    </row>
    <row r="25" ht="15.75" customHeight="1">
      <c r="A25" s="1" t="s">
        <v>54</v>
      </c>
      <c r="B25" s="1" t="str">
        <f t="shared" si="1"/>
        <v>THOMAS PARDUE</v>
      </c>
      <c r="C25" s="1">
        <v>9.28106264E8</v>
      </c>
      <c r="D25" s="1" t="str">
        <f t="shared" si="2"/>
        <v>9281062645</v>
      </c>
      <c r="E25" s="1" t="s">
        <v>61</v>
      </c>
      <c r="F25" s="2">
        <v>45962.0</v>
      </c>
      <c r="G25" s="1" t="s">
        <v>48</v>
      </c>
      <c r="H25" s="1" t="s">
        <v>36</v>
      </c>
      <c r="I25" s="1">
        <v>1.0</v>
      </c>
      <c r="K25" s="2">
        <v>46174.0</v>
      </c>
      <c r="L25" s="4">
        <v>20.0</v>
      </c>
      <c r="M25" s="6">
        <v>20.0</v>
      </c>
    </row>
    <row r="26" ht="15.75" customHeight="1">
      <c r="A26" s="1" t="s">
        <v>54</v>
      </c>
      <c r="B26" s="1" t="str">
        <f t="shared" si="1"/>
        <v>THOMAS PARDUE</v>
      </c>
      <c r="C26" s="1">
        <v>9.28114172E8</v>
      </c>
      <c r="D26" s="1" t="str">
        <f t="shared" si="2"/>
        <v>9281141725</v>
      </c>
      <c r="E26" s="1" t="s">
        <v>62</v>
      </c>
      <c r="F26" s="2">
        <v>46143.0</v>
      </c>
      <c r="G26" s="1" t="s">
        <v>48</v>
      </c>
      <c r="H26" s="1" t="s">
        <v>36</v>
      </c>
      <c r="I26" s="1">
        <v>1.0</v>
      </c>
      <c r="K26" s="2">
        <v>46174.0</v>
      </c>
      <c r="L26" s="4">
        <v>20.0</v>
      </c>
      <c r="M26" s="6">
        <v>20.0</v>
      </c>
    </row>
    <row r="27" ht="15.75" customHeight="1">
      <c r="A27" s="1" t="s">
        <v>54</v>
      </c>
      <c r="B27" s="1" t="str">
        <f t="shared" si="1"/>
        <v>THOMAS PARDUE</v>
      </c>
      <c r="C27" s="1">
        <v>9.2811741E8</v>
      </c>
      <c r="D27" s="1" t="str">
        <f t="shared" si="2"/>
        <v>9281174105</v>
      </c>
      <c r="E27" s="1" t="s">
        <v>63</v>
      </c>
      <c r="F27" s="2">
        <v>46054.0</v>
      </c>
      <c r="G27" s="1" t="s">
        <v>48</v>
      </c>
      <c r="H27" s="1" t="s">
        <v>36</v>
      </c>
      <c r="I27" s="1">
        <v>3.0</v>
      </c>
      <c r="J27" s="7" t="s">
        <v>154</v>
      </c>
      <c r="K27" s="2">
        <v>46174.0</v>
      </c>
      <c r="L27" s="4">
        <v>20.0</v>
      </c>
      <c r="M27" s="6">
        <v>60.0</v>
      </c>
    </row>
    <row r="28" ht="15.75" customHeight="1">
      <c r="A28" s="1" t="s">
        <v>54</v>
      </c>
      <c r="B28" s="1" t="str">
        <f t="shared" si="1"/>
        <v>THOMAS PARDUE</v>
      </c>
      <c r="C28" s="1">
        <v>9.28132596E8</v>
      </c>
      <c r="D28" s="1" t="str">
        <f t="shared" si="2"/>
        <v>9281325965</v>
      </c>
      <c r="E28" s="1" t="s">
        <v>64</v>
      </c>
      <c r="F28" s="2">
        <v>45901.0</v>
      </c>
      <c r="G28" s="1" t="s">
        <v>35</v>
      </c>
      <c r="H28" s="1" t="s">
        <v>36</v>
      </c>
      <c r="I28" s="1">
        <v>1.0</v>
      </c>
      <c r="K28" s="2">
        <v>46174.0</v>
      </c>
      <c r="L28" s="4">
        <v>20.0</v>
      </c>
      <c r="M28" s="6">
        <v>20.0</v>
      </c>
    </row>
    <row r="29" ht="15.75" customHeight="1">
      <c r="A29" s="1" t="s">
        <v>54</v>
      </c>
      <c r="B29" s="1" t="str">
        <f t="shared" si="1"/>
        <v>THOMAS PARDUE</v>
      </c>
      <c r="C29" s="1">
        <v>9.28134465E8</v>
      </c>
      <c r="D29" s="1" t="str">
        <f t="shared" si="2"/>
        <v>9281344655</v>
      </c>
      <c r="E29" s="1" t="s">
        <v>65</v>
      </c>
      <c r="F29" s="2">
        <v>45809.0</v>
      </c>
      <c r="G29" s="1" t="s">
        <v>35</v>
      </c>
      <c r="H29" s="1" t="s">
        <v>36</v>
      </c>
      <c r="I29" s="1">
        <v>1.0</v>
      </c>
      <c r="K29" s="2">
        <v>46174.0</v>
      </c>
      <c r="L29" s="4">
        <v>20.0</v>
      </c>
      <c r="M29" s="6">
        <v>20.0</v>
      </c>
    </row>
    <row r="30" ht="15.75" customHeight="1">
      <c r="A30" s="1" t="s">
        <v>54</v>
      </c>
      <c r="B30" s="1" t="str">
        <f t="shared" si="1"/>
        <v>THOMAS PARDUE</v>
      </c>
      <c r="C30" s="1">
        <v>9.28136679E8</v>
      </c>
      <c r="D30" s="1" t="str">
        <f t="shared" si="2"/>
        <v>9281366795</v>
      </c>
      <c r="E30" s="1" t="s">
        <v>66</v>
      </c>
      <c r="F30" s="2">
        <v>45839.0</v>
      </c>
      <c r="G30" s="1" t="s">
        <v>48</v>
      </c>
      <c r="H30" s="1" t="s">
        <v>36</v>
      </c>
      <c r="I30" s="1">
        <v>1.0</v>
      </c>
      <c r="K30" s="2">
        <v>46174.0</v>
      </c>
      <c r="L30" s="4">
        <v>20.0</v>
      </c>
      <c r="M30" s="6">
        <v>20.0</v>
      </c>
    </row>
    <row r="31" ht="15.75" customHeight="1">
      <c r="A31" s="1" t="s">
        <v>54</v>
      </c>
      <c r="B31" s="1" t="str">
        <f t="shared" si="1"/>
        <v>THOMAS PARDUE</v>
      </c>
      <c r="C31" s="1">
        <v>9.28137811E8</v>
      </c>
      <c r="D31" s="1" t="str">
        <f t="shared" si="2"/>
        <v>9281378115</v>
      </c>
      <c r="E31" s="1" t="s">
        <v>67</v>
      </c>
      <c r="F31" s="2">
        <v>46143.0</v>
      </c>
      <c r="G31" s="1" t="s">
        <v>35</v>
      </c>
      <c r="H31" s="1" t="s">
        <v>36</v>
      </c>
      <c r="I31" s="1">
        <v>1.0</v>
      </c>
      <c r="K31" s="2">
        <v>46174.0</v>
      </c>
      <c r="L31" s="4">
        <v>20.0</v>
      </c>
      <c r="M31" s="6">
        <v>20.0</v>
      </c>
    </row>
    <row r="32" ht="15.75" customHeight="1">
      <c r="A32" s="1" t="s">
        <v>54</v>
      </c>
      <c r="B32" s="1" t="str">
        <f t="shared" si="1"/>
        <v>THOMAS PARDUE</v>
      </c>
      <c r="C32" s="1">
        <v>9.28137898E8</v>
      </c>
      <c r="D32" s="1" t="str">
        <f t="shared" si="2"/>
        <v>9281378985</v>
      </c>
      <c r="E32" s="1" t="s">
        <v>68</v>
      </c>
      <c r="F32" s="2">
        <v>45962.0</v>
      </c>
      <c r="G32" s="1" t="s">
        <v>35</v>
      </c>
      <c r="H32" s="1" t="s">
        <v>36</v>
      </c>
      <c r="I32" s="1">
        <v>1.0</v>
      </c>
      <c r="K32" s="2">
        <v>46174.0</v>
      </c>
      <c r="L32" s="4">
        <v>20.0</v>
      </c>
      <c r="M32" s="6">
        <v>20.0</v>
      </c>
    </row>
    <row r="33" ht="15.75" customHeight="1">
      <c r="A33" s="1" t="s">
        <v>54</v>
      </c>
      <c r="B33" s="1" t="str">
        <f t="shared" si="1"/>
        <v>THOMAS PARDUE</v>
      </c>
      <c r="C33" s="1">
        <v>9.28138829E8</v>
      </c>
      <c r="D33" s="1" t="str">
        <f t="shared" si="2"/>
        <v>9281388295</v>
      </c>
      <c r="E33" s="1" t="s">
        <v>69</v>
      </c>
      <c r="F33" s="2">
        <v>46023.0</v>
      </c>
      <c r="G33" s="1" t="s">
        <v>48</v>
      </c>
      <c r="H33" s="1" t="s">
        <v>36</v>
      </c>
      <c r="I33" s="1">
        <v>1.0</v>
      </c>
      <c r="K33" s="2">
        <v>46174.0</v>
      </c>
      <c r="L33" s="4">
        <v>20.0</v>
      </c>
      <c r="M33" s="6">
        <v>20.0</v>
      </c>
    </row>
    <row r="34" ht="15.75" customHeight="1">
      <c r="A34" s="1" t="s">
        <v>54</v>
      </c>
      <c r="B34" s="1" t="str">
        <f t="shared" si="1"/>
        <v>THOMAS PARDUE</v>
      </c>
      <c r="C34" s="1">
        <v>9.28146307E8</v>
      </c>
      <c r="D34" s="1" t="str">
        <f t="shared" si="2"/>
        <v>9281463075</v>
      </c>
      <c r="E34" s="1" t="s">
        <v>70</v>
      </c>
      <c r="F34" s="2">
        <v>45992.0</v>
      </c>
      <c r="G34" s="1" t="s">
        <v>48</v>
      </c>
      <c r="H34" s="1" t="s">
        <v>36</v>
      </c>
      <c r="I34" s="1">
        <v>1.0</v>
      </c>
      <c r="K34" s="2">
        <v>46174.0</v>
      </c>
      <c r="L34" s="4">
        <v>20.0</v>
      </c>
      <c r="M34" s="6">
        <v>20.0</v>
      </c>
    </row>
    <row r="35" ht="15.75" customHeight="1">
      <c r="A35" s="1" t="s">
        <v>54</v>
      </c>
      <c r="B35" s="1" t="str">
        <f t="shared" si="1"/>
        <v>THOMAS PARDUE</v>
      </c>
      <c r="C35" s="1">
        <v>9.28151239E8</v>
      </c>
      <c r="D35" s="1" t="str">
        <f t="shared" si="2"/>
        <v>9281512395</v>
      </c>
      <c r="E35" s="1" t="s">
        <v>72</v>
      </c>
      <c r="F35" s="2">
        <v>46023.0</v>
      </c>
      <c r="G35" s="1" t="s">
        <v>48</v>
      </c>
      <c r="H35" s="1" t="s">
        <v>36</v>
      </c>
      <c r="I35" s="1">
        <v>1.0</v>
      </c>
      <c r="K35" s="2">
        <v>46174.0</v>
      </c>
      <c r="L35" s="4">
        <v>20.0</v>
      </c>
      <c r="M35" s="6">
        <v>20.0</v>
      </c>
    </row>
    <row r="36" ht="15.75" customHeight="1">
      <c r="A36" s="1" t="s">
        <v>54</v>
      </c>
      <c r="B36" s="1" t="str">
        <f t="shared" si="1"/>
        <v>THOMAS PARDUE</v>
      </c>
      <c r="C36" s="1">
        <v>9.28152292E8</v>
      </c>
      <c r="D36" s="1" t="str">
        <f t="shared" si="2"/>
        <v>9281522925</v>
      </c>
      <c r="E36" s="1" t="s">
        <v>73</v>
      </c>
      <c r="F36" s="2">
        <v>46023.0</v>
      </c>
      <c r="G36" s="1" t="s">
        <v>35</v>
      </c>
      <c r="H36" s="1" t="s">
        <v>36</v>
      </c>
      <c r="I36" s="1">
        <v>1.0</v>
      </c>
      <c r="K36" s="2">
        <v>46174.0</v>
      </c>
      <c r="L36" s="4">
        <v>20.0</v>
      </c>
      <c r="M36" s="6">
        <v>20.0</v>
      </c>
    </row>
    <row r="37" ht="15.75" customHeight="1">
      <c r="A37" s="1" t="s">
        <v>54</v>
      </c>
      <c r="B37" s="1" t="str">
        <f t="shared" si="1"/>
        <v>THOMAS PARDUE</v>
      </c>
      <c r="C37" s="1">
        <v>9.28152407E8</v>
      </c>
      <c r="D37" s="1" t="str">
        <f t="shared" si="2"/>
        <v>9281524075</v>
      </c>
      <c r="E37" s="1" t="s">
        <v>74</v>
      </c>
      <c r="F37" s="2">
        <v>45809.0</v>
      </c>
      <c r="G37" s="1" t="s">
        <v>35</v>
      </c>
      <c r="H37" s="1" t="s">
        <v>36</v>
      </c>
      <c r="I37" s="1">
        <v>1.0</v>
      </c>
      <c r="K37" s="2">
        <v>46174.0</v>
      </c>
      <c r="L37" s="4">
        <v>20.0</v>
      </c>
      <c r="M37" s="6">
        <v>20.0</v>
      </c>
    </row>
    <row r="38" ht="15.75" customHeight="1">
      <c r="A38" s="1" t="s">
        <v>54</v>
      </c>
      <c r="B38" s="1" t="str">
        <f t="shared" si="1"/>
        <v>THOMAS PARDUE</v>
      </c>
      <c r="C38" s="1">
        <v>9.28152417E8</v>
      </c>
      <c r="D38" s="1" t="str">
        <f t="shared" si="2"/>
        <v>9281524175</v>
      </c>
      <c r="E38" s="1" t="s">
        <v>75</v>
      </c>
      <c r="F38" s="2">
        <v>45809.0</v>
      </c>
      <c r="G38" s="1" t="s">
        <v>35</v>
      </c>
      <c r="H38" s="1" t="s">
        <v>36</v>
      </c>
      <c r="I38" s="1">
        <v>3.0</v>
      </c>
      <c r="J38" s="7" t="s">
        <v>154</v>
      </c>
      <c r="K38" s="2">
        <v>46174.0</v>
      </c>
      <c r="L38" s="4">
        <v>20.0</v>
      </c>
      <c r="M38" s="6">
        <v>60.0</v>
      </c>
    </row>
    <row r="39" ht="15.75" customHeight="1">
      <c r="A39" s="1" t="s">
        <v>54</v>
      </c>
      <c r="B39" s="1" t="str">
        <f t="shared" si="1"/>
        <v>THOMAS PARDUE</v>
      </c>
      <c r="C39" s="1">
        <v>9.28153376E8</v>
      </c>
      <c r="D39" s="1" t="str">
        <f t="shared" si="2"/>
        <v>9281533765</v>
      </c>
      <c r="E39" s="1" t="s">
        <v>76</v>
      </c>
      <c r="F39" s="2">
        <v>45870.0</v>
      </c>
      <c r="G39" s="1" t="s">
        <v>48</v>
      </c>
      <c r="H39" s="1" t="s">
        <v>36</v>
      </c>
      <c r="I39" s="1">
        <v>2.0</v>
      </c>
      <c r="J39" s="7" t="s">
        <v>155</v>
      </c>
      <c r="K39" s="2">
        <v>46174.0</v>
      </c>
      <c r="L39" s="4">
        <v>20.0</v>
      </c>
      <c r="M39" s="6">
        <v>40.0</v>
      </c>
    </row>
    <row r="40" ht="15.75" customHeight="1">
      <c r="A40" s="1" t="s">
        <v>54</v>
      </c>
      <c r="B40" s="1" t="str">
        <f t="shared" si="1"/>
        <v>THOMAS PARDUE</v>
      </c>
      <c r="C40" s="1">
        <v>9.28153462E8</v>
      </c>
      <c r="D40" s="1" t="str">
        <f t="shared" si="2"/>
        <v>9281534625</v>
      </c>
      <c r="E40" s="1" t="s">
        <v>77</v>
      </c>
      <c r="F40" s="2">
        <v>45870.0</v>
      </c>
      <c r="G40" s="1" t="s">
        <v>48</v>
      </c>
      <c r="H40" s="1" t="s">
        <v>36</v>
      </c>
      <c r="I40" s="1">
        <v>1.0</v>
      </c>
      <c r="K40" s="2">
        <v>46174.0</v>
      </c>
      <c r="L40" s="4">
        <v>20.0</v>
      </c>
      <c r="M40" s="6">
        <v>20.0</v>
      </c>
    </row>
    <row r="41" ht="15.75" customHeight="1">
      <c r="A41" s="1" t="s">
        <v>54</v>
      </c>
      <c r="B41" s="1" t="str">
        <f t="shared" si="1"/>
        <v>THOMAS PARDUE</v>
      </c>
      <c r="C41" s="1">
        <v>9.28153567E8</v>
      </c>
      <c r="D41" s="1" t="str">
        <f t="shared" si="2"/>
        <v>9281535675</v>
      </c>
      <c r="E41" s="1" t="s">
        <v>78</v>
      </c>
      <c r="F41" s="2">
        <v>45870.0</v>
      </c>
      <c r="G41" s="1" t="s">
        <v>48</v>
      </c>
      <c r="H41" s="1" t="s">
        <v>36</v>
      </c>
      <c r="I41" s="1">
        <v>3.0</v>
      </c>
      <c r="J41" s="7" t="s">
        <v>154</v>
      </c>
      <c r="K41" s="2">
        <v>46174.0</v>
      </c>
      <c r="L41" s="4">
        <v>20.0</v>
      </c>
      <c r="M41" s="6">
        <v>60.0</v>
      </c>
    </row>
    <row r="42" ht="15.75" customHeight="1">
      <c r="A42" s="1" t="s">
        <v>54</v>
      </c>
      <c r="B42" s="1" t="str">
        <f t="shared" si="1"/>
        <v>THOMAS PARDUE</v>
      </c>
      <c r="C42" s="1">
        <v>9.28153609E8</v>
      </c>
      <c r="D42" s="1" t="str">
        <f t="shared" si="2"/>
        <v>9281536095</v>
      </c>
      <c r="E42" s="1" t="s">
        <v>79</v>
      </c>
      <c r="F42" s="2">
        <v>45870.0</v>
      </c>
      <c r="G42" s="1" t="s">
        <v>35</v>
      </c>
      <c r="H42" s="1" t="s">
        <v>36</v>
      </c>
      <c r="I42" s="1">
        <v>1.0</v>
      </c>
      <c r="K42" s="2">
        <v>46174.0</v>
      </c>
      <c r="L42" s="4">
        <v>20.0</v>
      </c>
      <c r="M42" s="6">
        <v>20.0</v>
      </c>
    </row>
    <row r="43" ht="15.75" customHeight="1">
      <c r="A43" s="1" t="s">
        <v>54</v>
      </c>
      <c r="B43" s="1" t="str">
        <f t="shared" si="1"/>
        <v>THOMAS PARDUE</v>
      </c>
      <c r="C43" s="1">
        <v>9.28153709E8</v>
      </c>
      <c r="D43" s="1" t="str">
        <f t="shared" si="2"/>
        <v>9281537095</v>
      </c>
      <c r="E43" s="1" t="s">
        <v>80</v>
      </c>
      <c r="F43" s="2">
        <v>45870.0</v>
      </c>
      <c r="G43" s="1" t="s">
        <v>48</v>
      </c>
      <c r="H43" s="1" t="s">
        <v>36</v>
      </c>
      <c r="I43" s="1">
        <v>1.0</v>
      </c>
      <c r="K43" s="2">
        <v>46174.0</v>
      </c>
      <c r="L43" s="4">
        <v>20.0</v>
      </c>
      <c r="M43" s="6">
        <v>20.0</v>
      </c>
    </row>
    <row r="44" ht="15.75" customHeight="1">
      <c r="A44" s="1" t="s">
        <v>54</v>
      </c>
      <c r="B44" s="1" t="str">
        <f t="shared" si="1"/>
        <v>THOMAS PARDUE</v>
      </c>
      <c r="C44" s="1">
        <v>9.2815397E8</v>
      </c>
      <c r="D44" s="1" t="str">
        <f t="shared" si="2"/>
        <v>9281539705</v>
      </c>
      <c r="E44" s="1" t="s">
        <v>81</v>
      </c>
      <c r="F44" s="2">
        <v>45901.0</v>
      </c>
      <c r="G44" s="1" t="s">
        <v>35</v>
      </c>
      <c r="H44" s="1" t="s">
        <v>36</v>
      </c>
      <c r="I44" s="1">
        <v>2.0</v>
      </c>
      <c r="J44" s="7" t="s">
        <v>155</v>
      </c>
      <c r="K44" s="2">
        <v>46174.0</v>
      </c>
      <c r="L44" s="4">
        <v>20.0</v>
      </c>
      <c r="M44" s="6">
        <v>40.0</v>
      </c>
    </row>
    <row r="45" ht="15.75" customHeight="1">
      <c r="A45" s="1" t="s">
        <v>54</v>
      </c>
      <c r="B45" s="1" t="str">
        <f t="shared" si="1"/>
        <v>THOMAS PARDUE</v>
      </c>
      <c r="C45" s="1">
        <v>9.28154049E8</v>
      </c>
      <c r="D45" s="1" t="str">
        <f t="shared" si="2"/>
        <v>9281540495</v>
      </c>
      <c r="E45" s="1" t="s">
        <v>82</v>
      </c>
      <c r="F45" s="2">
        <v>45901.0</v>
      </c>
      <c r="G45" s="1" t="s">
        <v>35</v>
      </c>
      <c r="H45" s="1" t="s">
        <v>36</v>
      </c>
      <c r="I45" s="1">
        <v>1.0</v>
      </c>
      <c r="K45" s="2">
        <v>46174.0</v>
      </c>
      <c r="L45" s="4">
        <v>20.0</v>
      </c>
      <c r="M45" s="6">
        <v>20.0</v>
      </c>
    </row>
    <row r="46" ht="15.75" customHeight="1">
      <c r="A46" s="1" t="s">
        <v>54</v>
      </c>
      <c r="B46" s="1" t="str">
        <f t="shared" si="1"/>
        <v>THOMAS PARDUE</v>
      </c>
      <c r="C46" s="1">
        <v>9.28154536E8</v>
      </c>
      <c r="D46" s="1" t="str">
        <f t="shared" si="2"/>
        <v>9281545365</v>
      </c>
      <c r="E46" s="1" t="s">
        <v>83</v>
      </c>
      <c r="F46" s="2">
        <v>45931.0</v>
      </c>
      <c r="G46" s="1" t="s">
        <v>35</v>
      </c>
      <c r="H46" s="1" t="s">
        <v>36</v>
      </c>
      <c r="I46" s="1">
        <v>1.0</v>
      </c>
      <c r="K46" s="2">
        <v>46174.0</v>
      </c>
      <c r="L46" s="4">
        <v>20.0</v>
      </c>
      <c r="M46" s="6">
        <v>20.0</v>
      </c>
    </row>
    <row r="47" ht="15.75" customHeight="1">
      <c r="A47" s="1" t="s">
        <v>54</v>
      </c>
      <c r="B47" s="1" t="str">
        <f t="shared" si="1"/>
        <v>THOMAS PARDUE</v>
      </c>
      <c r="C47" s="1">
        <v>9.28154571E8</v>
      </c>
      <c r="D47" s="1" t="str">
        <f t="shared" si="2"/>
        <v>9281545715</v>
      </c>
      <c r="E47" s="1" t="s">
        <v>84</v>
      </c>
      <c r="F47" s="2">
        <v>45931.0</v>
      </c>
      <c r="G47" s="1" t="s">
        <v>48</v>
      </c>
      <c r="H47" s="1" t="s">
        <v>36</v>
      </c>
      <c r="I47" s="1">
        <v>1.0</v>
      </c>
      <c r="K47" s="2">
        <v>46174.0</v>
      </c>
      <c r="L47" s="4">
        <v>20.0</v>
      </c>
      <c r="M47" s="6">
        <v>20.0</v>
      </c>
    </row>
    <row r="48" ht="15.75" customHeight="1">
      <c r="A48" s="1" t="s">
        <v>54</v>
      </c>
      <c r="B48" s="1" t="str">
        <f t="shared" si="1"/>
        <v>THOMAS PARDUE</v>
      </c>
      <c r="C48" s="1">
        <v>9.28154572E8</v>
      </c>
      <c r="D48" s="1" t="str">
        <f t="shared" si="2"/>
        <v>9281545725</v>
      </c>
      <c r="E48" s="1" t="s">
        <v>85</v>
      </c>
      <c r="F48" s="2">
        <v>45931.0</v>
      </c>
      <c r="G48" s="1" t="s">
        <v>48</v>
      </c>
      <c r="H48" s="1" t="s">
        <v>36</v>
      </c>
      <c r="I48" s="1">
        <v>1.0</v>
      </c>
      <c r="K48" s="2">
        <v>46174.0</v>
      </c>
      <c r="L48" s="4">
        <v>20.0</v>
      </c>
      <c r="M48" s="6">
        <v>20.0</v>
      </c>
    </row>
    <row r="49" ht="15.75" customHeight="1">
      <c r="A49" s="1" t="s">
        <v>54</v>
      </c>
      <c r="B49" s="1" t="str">
        <f t="shared" si="1"/>
        <v>THOMAS PARDUE</v>
      </c>
      <c r="C49" s="1">
        <v>9.28155344E8</v>
      </c>
      <c r="D49" s="1" t="str">
        <f t="shared" si="2"/>
        <v>9281553445</v>
      </c>
      <c r="E49" s="1" t="s">
        <v>86</v>
      </c>
      <c r="F49" s="2">
        <v>45962.0</v>
      </c>
      <c r="G49" s="1" t="s">
        <v>35</v>
      </c>
      <c r="H49" s="1" t="s">
        <v>36</v>
      </c>
      <c r="I49" s="1">
        <v>4.0</v>
      </c>
      <c r="J49" s="7" t="s">
        <v>156</v>
      </c>
      <c r="K49" s="2">
        <v>46174.0</v>
      </c>
      <c r="L49" s="4">
        <v>20.0</v>
      </c>
      <c r="M49" s="6">
        <v>80.0</v>
      </c>
    </row>
    <row r="50" ht="15.75" customHeight="1">
      <c r="A50" s="1" t="s">
        <v>54</v>
      </c>
      <c r="B50" s="1" t="str">
        <f t="shared" si="1"/>
        <v>THOMAS PARDUE</v>
      </c>
      <c r="C50" s="1">
        <v>9.28155394E8</v>
      </c>
      <c r="D50" s="1" t="str">
        <f t="shared" si="2"/>
        <v>9281553945</v>
      </c>
      <c r="E50" s="1" t="s">
        <v>87</v>
      </c>
      <c r="F50" s="2">
        <v>45962.0</v>
      </c>
      <c r="G50" s="1" t="s">
        <v>48</v>
      </c>
      <c r="H50" s="1" t="s">
        <v>36</v>
      </c>
      <c r="I50" s="1">
        <v>1.0</v>
      </c>
      <c r="K50" s="2">
        <v>46174.0</v>
      </c>
      <c r="L50" s="4">
        <v>20.0</v>
      </c>
      <c r="M50" s="6">
        <v>20.0</v>
      </c>
    </row>
    <row r="51" ht="15.75" customHeight="1">
      <c r="A51" s="1" t="s">
        <v>54</v>
      </c>
      <c r="B51" s="1" t="str">
        <f t="shared" si="1"/>
        <v>THOMAS PARDUE</v>
      </c>
      <c r="C51" s="1">
        <v>9.28155435E8</v>
      </c>
      <c r="D51" s="1" t="str">
        <f t="shared" si="2"/>
        <v>9281554355</v>
      </c>
      <c r="E51" s="1" t="s">
        <v>88</v>
      </c>
      <c r="F51" s="2">
        <v>45962.0</v>
      </c>
      <c r="G51" s="1" t="s">
        <v>35</v>
      </c>
      <c r="H51" s="1" t="s">
        <v>36</v>
      </c>
      <c r="I51" s="1">
        <v>1.0</v>
      </c>
      <c r="K51" s="2">
        <v>46174.0</v>
      </c>
      <c r="L51" s="4">
        <v>20.0</v>
      </c>
      <c r="M51" s="6">
        <v>20.0</v>
      </c>
    </row>
    <row r="52" ht="15.75" customHeight="1">
      <c r="A52" s="1" t="s">
        <v>54</v>
      </c>
      <c r="B52" s="1" t="str">
        <f t="shared" si="1"/>
        <v>THOMAS PARDUE</v>
      </c>
      <c r="C52" s="1">
        <v>9.28155437E8</v>
      </c>
      <c r="D52" s="1" t="str">
        <f t="shared" si="2"/>
        <v>9281554375</v>
      </c>
      <c r="E52" s="1" t="s">
        <v>89</v>
      </c>
      <c r="F52" s="2">
        <v>45962.0</v>
      </c>
      <c r="G52" s="1" t="s">
        <v>35</v>
      </c>
      <c r="H52" s="1" t="s">
        <v>36</v>
      </c>
      <c r="I52" s="1">
        <v>1.0</v>
      </c>
      <c r="K52" s="2">
        <v>46174.0</v>
      </c>
      <c r="L52" s="4">
        <v>20.0</v>
      </c>
      <c r="M52" s="6">
        <v>20.0</v>
      </c>
    </row>
    <row r="53" ht="15.75" customHeight="1">
      <c r="A53" s="1" t="s">
        <v>54</v>
      </c>
      <c r="B53" s="1" t="str">
        <f t="shared" si="1"/>
        <v>THOMAS PARDUE</v>
      </c>
      <c r="C53" s="1">
        <v>9.28155642E8</v>
      </c>
      <c r="D53" s="1" t="str">
        <f t="shared" si="2"/>
        <v>9281556425</v>
      </c>
      <c r="E53" s="1" t="s">
        <v>90</v>
      </c>
      <c r="F53" s="2">
        <v>45992.0</v>
      </c>
      <c r="G53" s="1" t="s">
        <v>48</v>
      </c>
      <c r="H53" s="1" t="s">
        <v>36</v>
      </c>
      <c r="I53" s="1">
        <v>1.0</v>
      </c>
      <c r="K53" s="2">
        <v>46174.0</v>
      </c>
      <c r="L53" s="4">
        <v>20.0</v>
      </c>
      <c r="M53" s="6">
        <v>20.0</v>
      </c>
    </row>
    <row r="54" ht="15.75" customHeight="1">
      <c r="A54" s="1" t="s">
        <v>54</v>
      </c>
      <c r="B54" s="1" t="str">
        <f t="shared" si="1"/>
        <v>THOMAS PARDUE</v>
      </c>
      <c r="C54" s="1">
        <v>9.28155644E8</v>
      </c>
      <c r="D54" s="1" t="str">
        <f t="shared" si="2"/>
        <v>9281556445</v>
      </c>
      <c r="E54" s="1" t="s">
        <v>91</v>
      </c>
      <c r="F54" s="2">
        <v>45992.0</v>
      </c>
      <c r="G54" s="1" t="s">
        <v>48</v>
      </c>
      <c r="H54" s="1" t="s">
        <v>36</v>
      </c>
      <c r="I54" s="1">
        <v>3.0</v>
      </c>
      <c r="J54" s="7" t="s">
        <v>154</v>
      </c>
      <c r="K54" s="2">
        <v>46174.0</v>
      </c>
      <c r="L54" s="4">
        <v>20.0</v>
      </c>
      <c r="M54" s="6">
        <v>60.0</v>
      </c>
    </row>
    <row r="55" ht="15.75" customHeight="1">
      <c r="A55" s="1" t="s">
        <v>54</v>
      </c>
      <c r="B55" s="1" t="str">
        <f t="shared" si="1"/>
        <v>THOMAS PARDUE</v>
      </c>
      <c r="C55" s="1">
        <v>9.28156116E8</v>
      </c>
      <c r="D55" s="1" t="str">
        <f t="shared" si="2"/>
        <v>9281561165</v>
      </c>
      <c r="E55" s="1" t="s">
        <v>92</v>
      </c>
      <c r="F55" s="2">
        <v>45992.0</v>
      </c>
      <c r="G55" s="1" t="s">
        <v>48</v>
      </c>
      <c r="H55" s="1" t="s">
        <v>36</v>
      </c>
      <c r="I55" s="1">
        <v>1.0</v>
      </c>
      <c r="K55" s="2">
        <v>46174.0</v>
      </c>
      <c r="L55" s="4">
        <v>20.0</v>
      </c>
      <c r="M55" s="6">
        <v>20.0</v>
      </c>
    </row>
    <row r="56" ht="15.75" customHeight="1">
      <c r="A56" s="1" t="s">
        <v>54</v>
      </c>
      <c r="B56" s="1" t="str">
        <f t="shared" si="1"/>
        <v>THOMAS PARDUE</v>
      </c>
      <c r="C56" s="1">
        <v>9.28156415E8</v>
      </c>
      <c r="D56" s="1" t="str">
        <f t="shared" si="2"/>
        <v>9281564155</v>
      </c>
      <c r="E56" s="1" t="s">
        <v>93</v>
      </c>
      <c r="F56" s="2">
        <v>46143.0</v>
      </c>
      <c r="G56" s="1" t="s">
        <v>48</v>
      </c>
      <c r="H56" s="1" t="s">
        <v>36</v>
      </c>
      <c r="I56" s="1">
        <v>1.0</v>
      </c>
      <c r="K56" s="2">
        <v>46174.0</v>
      </c>
      <c r="L56" s="4">
        <v>20.0</v>
      </c>
      <c r="M56" s="6">
        <v>20.0</v>
      </c>
    </row>
    <row r="57" ht="15.75" customHeight="1">
      <c r="A57" s="1" t="s">
        <v>54</v>
      </c>
      <c r="B57" s="1" t="str">
        <f t="shared" si="1"/>
        <v>THOMAS PARDUE</v>
      </c>
      <c r="C57" s="1">
        <v>9.281565E8</v>
      </c>
      <c r="D57" s="1" t="str">
        <f t="shared" si="2"/>
        <v>9281565005</v>
      </c>
      <c r="E57" s="1" t="s">
        <v>94</v>
      </c>
      <c r="F57" s="2">
        <v>45992.0</v>
      </c>
      <c r="G57" s="1" t="s">
        <v>48</v>
      </c>
      <c r="H57" s="1" t="s">
        <v>36</v>
      </c>
      <c r="I57" s="1">
        <v>1.0</v>
      </c>
      <c r="K57" s="2">
        <v>46174.0</v>
      </c>
      <c r="L57" s="4">
        <v>20.0</v>
      </c>
      <c r="M57" s="6">
        <v>20.0</v>
      </c>
    </row>
    <row r="58" ht="15.75" customHeight="1">
      <c r="A58" s="1" t="s">
        <v>54</v>
      </c>
      <c r="B58" s="1" t="str">
        <f t="shared" si="1"/>
        <v>THOMAS PARDUE</v>
      </c>
      <c r="C58" s="1">
        <v>9.28158305E8</v>
      </c>
      <c r="D58" s="1" t="str">
        <f t="shared" si="2"/>
        <v>9281583055</v>
      </c>
      <c r="E58" s="1" t="s">
        <v>96</v>
      </c>
      <c r="F58" s="2">
        <v>46023.0</v>
      </c>
      <c r="G58" s="1" t="s">
        <v>35</v>
      </c>
      <c r="H58" s="1" t="s">
        <v>36</v>
      </c>
      <c r="I58" s="1">
        <v>3.0</v>
      </c>
      <c r="J58" s="7" t="s">
        <v>154</v>
      </c>
      <c r="K58" s="2">
        <v>46174.0</v>
      </c>
      <c r="L58" s="4">
        <v>20.0</v>
      </c>
      <c r="M58" s="6">
        <v>60.0</v>
      </c>
    </row>
    <row r="59" ht="15.75" customHeight="1">
      <c r="A59" s="1" t="s">
        <v>54</v>
      </c>
      <c r="B59" s="1" t="str">
        <f t="shared" si="1"/>
        <v>THOMAS PARDUE</v>
      </c>
      <c r="C59" s="1">
        <v>9.28158807E8</v>
      </c>
      <c r="D59" s="1" t="str">
        <f t="shared" si="2"/>
        <v>9281588075</v>
      </c>
      <c r="E59" s="1" t="s">
        <v>97</v>
      </c>
      <c r="F59" s="2">
        <v>46023.0</v>
      </c>
      <c r="G59" s="1" t="s">
        <v>48</v>
      </c>
      <c r="H59" s="1" t="s">
        <v>36</v>
      </c>
      <c r="I59" s="1">
        <v>1.0</v>
      </c>
      <c r="K59" s="2">
        <v>46174.0</v>
      </c>
      <c r="L59" s="4">
        <v>20.0</v>
      </c>
      <c r="M59" s="6">
        <v>20.0</v>
      </c>
    </row>
    <row r="60" ht="15.75" customHeight="1">
      <c r="A60" s="1" t="s">
        <v>54</v>
      </c>
      <c r="B60" s="1" t="str">
        <f t="shared" si="1"/>
        <v>THOMAS PARDUE</v>
      </c>
      <c r="C60" s="1">
        <v>9.28159084E8</v>
      </c>
      <c r="D60" s="1" t="str">
        <f t="shared" si="2"/>
        <v>9281590845</v>
      </c>
      <c r="E60" s="1" t="s">
        <v>98</v>
      </c>
      <c r="F60" s="2">
        <v>46023.0</v>
      </c>
      <c r="G60" s="1" t="s">
        <v>48</v>
      </c>
      <c r="H60" s="1" t="s">
        <v>36</v>
      </c>
      <c r="I60" s="1">
        <v>3.0</v>
      </c>
      <c r="J60" s="7" t="s">
        <v>154</v>
      </c>
      <c r="K60" s="2">
        <v>46174.0</v>
      </c>
      <c r="L60" s="4">
        <v>20.0</v>
      </c>
      <c r="M60" s="6">
        <v>60.0</v>
      </c>
    </row>
    <row r="61" ht="15.75" customHeight="1">
      <c r="A61" s="1" t="s">
        <v>54</v>
      </c>
      <c r="B61" s="1" t="str">
        <f t="shared" si="1"/>
        <v>THOMAS PARDUE</v>
      </c>
      <c r="C61" s="1">
        <v>9.2815915E8</v>
      </c>
      <c r="D61" s="1" t="str">
        <f t="shared" si="2"/>
        <v>9281591505</v>
      </c>
      <c r="E61" s="1" t="s">
        <v>99</v>
      </c>
      <c r="F61" s="2">
        <v>46023.0</v>
      </c>
      <c r="G61" s="1" t="s">
        <v>35</v>
      </c>
      <c r="H61" s="1" t="s">
        <v>36</v>
      </c>
      <c r="I61" s="1">
        <v>1.0</v>
      </c>
      <c r="K61" s="2">
        <v>46174.0</v>
      </c>
      <c r="L61" s="4">
        <v>20.0</v>
      </c>
      <c r="M61" s="6">
        <v>20.0</v>
      </c>
    </row>
    <row r="62" ht="15.75" customHeight="1">
      <c r="A62" s="1" t="s">
        <v>54</v>
      </c>
      <c r="B62" s="1" t="str">
        <f t="shared" si="1"/>
        <v>THOMAS PARDUE</v>
      </c>
      <c r="C62" s="1">
        <v>9.28159161E8</v>
      </c>
      <c r="D62" s="1" t="str">
        <f t="shared" si="2"/>
        <v>9281591615</v>
      </c>
      <c r="E62" s="1" t="s">
        <v>100</v>
      </c>
      <c r="F62" s="2">
        <v>46023.0</v>
      </c>
      <c r="G62" s="1" t="s">
        <v>48</v>
      </c>
      <c r="H62" s="1" t="s">
        <v>36</v>
      </c>
      <c r="I62" s="1">
        <v>1.0</v>
      </c>
      <c r="K62" s="2">
        <v>46174.0</v>
      </c>
      <c r="L62" s="4">
        <v>20.0</v>
      </c>
      <c r="M62" s="6">
        <v>20.0</v>
      </c>
    </row>
    <row r="63" ht="15.75" customHeight="1">
      <c r="A63" s="1" t="s">
        <v>54</v>
      </c>
      <c r="B63" s="1" t="str">
        <f t="shared" si="1"/>
        <v>THOMAS PARDUE</v>
      </c>
      <c r="C63" s="1">
        <v>9.28159479E8</v>
      </c>
      <c r="D63" s="1" t="str">
        <f t="shared" si="2"/>
        <v>9281594795</v>
      </c>
      <c r="E63" s="1" t="s">
        <v>101</v>
      </c>
      <c r="F63" s="2">
        <v>46023.0</v>
      </c>
      <c r="G63" s="1" t="s">
        <v>35</v>
      </c>
      <c r="H63" s="1" t="s">
        <v>36</v>
      </c>
      <c r="I63" s="1">
        <v>1.0</v>
      </c>
      <c r="K63" s="2">
        <v>46174.0</v>
      </c>
      <c r="L63" s="4">
        <v>20.0</v>
      </c>
      <c r="M63" s="6">
        <v>20.0</v>
      </c>
    </row>
    <row r="64" ht="15.75" customHeight="1">
      <c r="A64" s="1" t="s">
        <v>54</v>
      </c>
      <c r="B64" s="1" t="str">
        <f t="shared" si="1"/>
        <v>THOMAS PARDUE</v>
      </c>
      <c r="C64" s="1">
        <v>9.28159587E8</v>
      </c>
      <c r="D64" s="1" t="str">
        <f t="shared" si="2"/>
        <v>9281595875</v>
      </c>
      <c r="E64" s="1" t="s">
        <v>102</v>
      </c>
      <c r="F64" s="2">
        <v>46023.0</v>
      </c>
      <c r="G64" s="1" t="s">
        <v>48</v>
      </c>
      <c r="H64" s="1" t="s">
        <v>36</v>
      </c>
      <c r="I64" s="1">
        <v>1.0</v>
      </c>
      <c r="K64" s="2">
        <v>46174.0</v>
      </c>
      <c r="L64" s="4">
        <v>20.0</v>
      </c>
      <c r="M64" s="6">
        <v>20.0</v>
      </c>
    </row>
    <row r="65" ht="15.75" customHeight="1">
      <c r="A65" s="1" t="s">
        <v>54</v>
      </c>
      <c r="B65" s="1" t="str">
        <f t="shared" si="1"/>
        <v>THOMAS PARDUE</v>
      </c>
      <c r="C65" s="1">
        <v>9.28160357E8</v>
      </c>
      <c r="D65" s="1" t="str">
        <f t="shared" si="2"/>
        <v>9281603575</v>
      </c>
      <c r="E65" s="1" t="s">
        <v>103</v>
      </c>
      <c r="F65" s="2">
        <v>46054.0</v>
      </c>
      <c r="G65" s="1" t="s">
        <v>48</v>
      </c>
      <c r="H65" s="1" t="s">
        <v>36</v>
      </c>
      <c r="I65" s="1">
        <v>1.0</v>
      </c>
      <c r="K65" s="2">
        <v>46174.0</v>
      </c>
      <c r="L65" s="4">
        <v>20.0</v>
      </c>
      <c r="M65" s="6">
        <v>20.0</v>
      </c>
    </row>
    <row r="66" ht="15.75" customHeight="1">
      <c r="A66" s="1" t="s">
        <v>54</v>
      </c>
      <c r="B66" s="1" t="str">
        <f t="shared" si="1"/>
        <v>THOMAS PARDUE</v>
      </c>
      <c r="C66" s="1">
        <v>9.28160944E8</v>
      </c>
      <c r="D66" s="1" t="str">
        <f t="shared" si="2"/>
        <v>9281609445</v>
      </c>
      <c r="E66" s="1" t="s">
        <v>104</v>
      </c>
      <c r="F66" s="2">
        <v>46054.0</v>
      </c>
      <c r="G66" s="1" t="s">
        <v>48</v>
      </c>
      <c r="H66" s="1" t="s">
        <v>36</v>
      </c>
      <c r="I66" s="1">
        <v>1.0</v>
      </c>
      <c r="K66" s="2">
        <v>46174.0</v>
      </c>
      <c r="L66" s="4">
        <v>20.0</v>
      </c>
      <c r="M66" s="6">
        <v>20.0</v>
      </c>
    </row>
    <row r="67" ht="15.75" customHeight="1">
      <c r="A67" s="1" t="s">
        <v>54</v>
      </c>
      <c r="B67" s="1" t="str">
        <f t="shared" si="1"/>
        <v>THOMAS PARDUE</v>
      </c>
      <c r="C67" s="1">
        <v>9.28160969E8</v>
      </c>
      <c r="D67" s="1" t="str">
        <f t="shared" si="2"/>
        <v>9281609695</v>
      </c>
      <c r="E67" s="1" t="s">
        <v>105</v>
      </c>
      <c r="F67" s="2">
        <v>46054.0</v>
      </c>
      <c r="G67" s="1" t="s">
        <v>48</v>
      </c>
      <c r="H67" s="1" t="s">
        <v>36</v>
      </c>
      <c r="I67" s="1">
        <v>1.0</v>
      </c>
      <c r="K67" s="2">
        <v>46174.0</v>
      </c>
      <c r="L67" s="4">
        <v>20.0</v>
      </c>
      <c r="M67" s="6">
        <v>20.0</v>
      </c>
    </row>
    <row r="68" ht="15.75" customHeight="1">
      <c r="A68" s="1" t="s">
        <v>54</v>
      </c>
      <c r="B68" s="1" t="str">
        <f t="shared" si="1"/>
        <v>THOMAS PARDUE</v>
      </c>
      <c r="C68" s="1">
        <v>9.28161227E8</v>
      </c>
      <c r="D68" s="1" t="str">
        <f t="shared" si="2"/>
        <v>9281612275</v>
      </c>
      <c r="E68" s="1" t="s">
        <v>106</v>
      </c>
      <c r="F68" s="2">
        <v>46054.0</v>
      </c>
      <c r="G68" s="1" t="s">
        <v>35</v>
      </c>
      <c r="H68" s="1" t="s">
        <v>36</v>
      </c>
      <c r="I68" s="1">
        <v>1.0</v>
      </c>
      <c r="K68" s="2">
        <v>46174.0</v>
      </c>
      <c r="L68" s="4">
        <v>20.0</v>
      </c>
      <c r="M68" s="6">
        <v>20.0</v>
      </c>
    </row>
    <row r="69" ht="15.75" customHeight="1">
      <c r="A69" s="1" t="s">
        <v>54</v>
      </c>
      <c r="B69" s="1" t="str">
        <f t="shared" si="1"/>
        <v>THOMAS PARDUE</v>
      </c>
      <c r="C69" s="1">
        <v>9.28161373E8</v>
      </c>
      <c r="D69" s="1" t="str">
        <f t="shared" si="2"/>
        <v>9281613735</v>
      </c>
      <c r="E69" s="1" t="s">
        <v>107</v>
      </c>
      <c r="F69" s="2">
        <v>46082.0</v>
      </c>
      <c r="G69" s="1" t="s">
        <v>48</v>
      </c>
      <c r="H69" s="1" t="s">
        <v>36</v>
      </c>
      <c r="I69" s="1">
        <v>1.0</v>
      </c>
      <c r="K69" s="2">
        <v>46174.0</v>
      </c>
      <c r="L69" s="4">
        <v>20.0</v>
      </c>
      <c r="M69" s="6">
        <v>20.0</v>
      </c>
    </row>
    <row r="70" ht="15.75" customHeight="1">
      <c r="A70" s="1" t="s">
        <v>54</v>
      </c>
      <c r="B70" s="1" t="str">
        <f t="shared" si="1"/>
        <v>THOMAS PARDUE</v>
      </c>
      <c r="C70" s="1">
        <v>9.28161559E8</v>
      </c>
      <c r="D70" s="1" t="str">
        <f t="shared" si="2"/>
        <v>9281615595</v>
      </c>
      <c r="E70" s="1" t="s">
        <v>108</v>
      </c>
      <c r="F70" s="2">
        <v>46082.0</v>
      </c>
      <c r="G70" s="1" t="s">
        <v>48</v>
      </c>
      <c r="H70" s="1" t="s">
        <v>36</v>
      </c>
      <c r="I70" s="1">
        <v>1.0</v>
      </c>
      <c r="K70" s="2">
        <v>46174.0</v>
      </c>
      <c r="L70" s="4">
        <v>20.0</v>
      </c>
      <c r="M70" s="6">
        <v>20.0</v>
      </c>
    </row>
    <row r="71" ht="15.75" customHeight="1">
      <c r="A71" s="1" t="s">
        <v>54</v>
      </c>
      <c r="B71" s="1" t="str">
        <f t="shared" si="1"/>
        <v>THOMAS PARDUE</v>
      </c>
      <c r="C71" s="1">
        <v>9.2816158E8</v>
      </c>
      <c r="D71" s="1" t="str">
        <f t="shared" si="2"/>
        <v>9281615805</v>
      </c>
      <c r="E71" s="1" t="s">
        <v>109</v>
      </c>
      <c r="F71" s="2">
        <v>46082.0</v>
      </c>
      <c r="G71" s="1" t="s">
        <v>35</v>
      </c>
      <c r="H71" s="1" t="s">
        <v>36</v>
      </c>
      <c r="I71" s="1">
        <v>1.0</v>
      </c>
      <c r="K71" s="2">
        <v>46174.0</v>
      </c>
      <c r="L71" s="4">
        <v>20.0</v>
      </c>
      <c r="M71" s="6">
        <v>20.0</v>
      </c>
    </row>
    <row r="72" ht="15.75" customHeight="1">
      <c r="A72" s="1" t="s">
        <v>54</v>
      </c>
      <c r="B72" s="1" t="str">
        <f t="shared" si="1"/>
        <v>THOMAS PARDUE</v>
      </c>
      <c r="C72" s="1">
        <v>9.28161648E8</v>
      </c>
      <c r="D72" s="1" t="str">
        <f t="shared" si="2"/>
        <v>9281616485</v>
      </c>
      <c r="E72" s="1" t="s">
        <v>110</v>
      </c>
      <c r="F72" s="2">
        <v>46082.0</v>
      </c>
      <c r="G72" s="1" t="s">
        <v>48</v>
      </c>
      <c r="H72" s="1" t="s">
        <v>36</v>
      </c>
      <c r="I72" s="1">
        <v>1.0</v>
      </c>
      <c r="K72" s="2">
        <v>46113.0</v>
      </c>
      <c r="L72" s="4">
        <v>20.0</v>
      </c>
      <c r="M72" s="6">
        <v>20.0</v>
      </c>
    </row>
    <row r="73" ht="15.75" customHeight="1">
      <c r="A73" s="1" t="s">
        <v>54</v>
      </c>
      <c r="B73" s="1" t="str">
        <f t="shared" si="1"/>
        <v>THOMAS PARDUE</v>
      </c>
      <c r="C73" s="1">
        <v>9.28161648E8</v>
      </c>
      <c r="D73" s="1" t="str">
        <f t="shared" si="2"/>
        <v>9281616485</v>
      </c>
      <c r="E73" s="1" t="s">
        <v>110</v>
      </c>
      <c r="F73" s="2">
        <v>46082.0</v>
      </c>
      <c r="G73" s="1" t="s">
        <v>48</v>
      </c>
      <c r="H73" s="1" t="s">
        <v>36</v>
      </c>
      <c r="I73" s="1">
        <v>1.0</v>
      </c>
      <c r="K73" s="2">
        <v>46174.0</v>
      </c>
      <c r="L73" s="4">
        <v>20.0</v>
      </c>
      <c r="M73" s="6">
        <v>20.0</v>
      </c>
    </row>
    <row r="74" ht="15.75" customHeight="1">
      <c r="A74" s="1" t="s">
        <v>54</v>
      </c>
      <c r="B74" s="1" t="str">
        <f t="shared" si="1"/>
        <v>THOMAS PARDUE</v>
      </c>
      <c r="C74" s="1">
        <v>9.2816172E8</v>
      </c>
      <c r="D74" s="1" t="str">
        <f t="shared" si="2"/>
        <v>9281617205</v>
      </c>
      <c r="E74" s="1" t="s">
        <v>111</v>
      </c>
      <c r="F74" s="2">
        <v>46082.0</v>
      </c>
      <c r="G74" s="1" t="s">
        <v>35</v>
      </c>
      <c r="H74" s="1" t="s">
        <v>36</v>
      </c>
      <c r="I74" s="1">
        <v>1.0</v>
      </c>
      <c r="K74" s="2">
        <v>46174.0</v>
      </c>
      <c r="L74" s="4">
        <v>20.0</v>
      </c>
      <c r="M74" s="6">
        <v>20.0</v>
      </c>
    </row>
    <row r="75" ht="15.75" customHeight="1">
      <c r="A75" s="1" t="s">
        <v>54</v>
      </c>
      <c r="B75" s="1" t="str">
        <f t="shared" si="1"/>
        <v>THOMAS PARDUE</v>
      </c>
      <c r="C75" s="1">
        <v>9.28161862E8</v>
      </c>
      <c r="D75" s="1" t="str">
        <f t="shared" si="2"/>
        <v>9281618625</v>
      </c>
      <c r="E75" s="1" t="s">
        <v>112</v>
      </c>
      <c r="F75" s="2">
        <v>46113.0</v>
      </c>
      <c r="G75" s="1" t="s">
        <v>48</v>
      </c>
      <c r="H75" s="1" t="s">
        <v>36</v>
      </c>
      <c r="I75" s="1">
        <v>2.0</v>
      </c>
      <c r="J75" s="7" t="s">
        <v>155</v>
      </c>
      <c r="K75" s="2">
        <v>46143.0</v>
      </c>
      <c r="L75" s="4">
        <v>20.0</v>
      </c>
      <c r="M75" s="6">
        <v>40.0</v>
      </c>
    </row>
    <row r="76" ht="15.75" customHeight="1">
      <c r="A76" s="1" t="s">
        <v>54</v>
      </c>
      <c r="B76" s="1" t="str">
        <f t="shared" si="1"/>
        <v>THOMAS PARDUE</v>
      </c>
      <c r="C76" s="1">
        <v>9.28161862E8</v>
      </c>
      <c r="D76" s="1" t="str">
        <f t="shared" si="2"/>
        <v>9281618625</v>
      </c>
      <c r="E76" s="1" t="s">
        <v>112</v>
      </c>
      <c r="F76" s="2">
        <v>46113.0</v>
      </c>
      <c r="G76" s="1" t="s">
        <v>48</v>
      </c>
      <c r="H76" s="1" t="s">
        <v>36</v>
      </c>
      <c r="I76" s="1">
        <v>2.0</v>
      </c>
      <c r="J76" s="7" t="s">
        <v>155</v>
      </c>
      <c r="K76" s="2">
        <v>46174.0</v>
      </c>
      <c r="L76" s="4">
        <v>20.0</v>
      </c>
      <c r="M76" s="6">
        <v>40.0</v>
      </c>
    </row>
    <row r="77" ht="15.75" customHeight="1">
      <c r="A77" s="1" t="s">
        <v>54</v>
      </c>
      <c r="B77" s="1" t="str">
        <f t="shared" si="1"/>
        <v>THOMAS PARDUE</v>
      </c>
      <c r="C77" s="1">
        <v>9.28161863E8</v>
      </c>
      <c r="D77" s="1" t="str">
        <f t="shared" si="2"/>
        <v>9281618635</v>
      </c>
      <c r="E77" s="1" t="s">
        <v>113</v>
      </c>
      <c r="F77" s="2">
        <v>46113.0</v>
      </c>
      <c r="G77" s="1" t="s">
        <v>48</v>
      </c>
      <c r="H77" s="1" t="s">
        <v>36</v>
      </c>
      <c r="I77" s="1">
        <v>1.0</v>
      </c>
      <c r="K77" s="2">
        <v>46174.0</v>
      </c>
      <c r="L77" s="4">
        <v>20.0</v>
      </c>
      <c r="M77" s="6">
        <v>20.0</v>
      </c>
    </row>
    <row r="78" ht="15.75" customHeight="1">
      <c r="A78" s="1" t="s">
        <v>54</v>
      </c>
      <c r="B78" s="1" t="str">
        <f t="shared" si="1"/>
        <v>THOMAS PARDUE</v>
      </c>
      <c r="C78" s="1">
        <v>9.2816208E8</v>
      </c>
      <c r="D78" s="1" t="str">
        <f t="shared" si="2"/>
        <v>9281620805</v>
      </c>
      <c r="E78" s="1" t="s">
        <v>114</v>
      </c>
      <c r="F78" s="2">
        <v>46113.0</v>
      </c>
      <c r="G78" s="1" t="s">
        <v>35</v>
      </c>
      <c r="H78" s="1" t="s">
        <v>36</v>
      </c>
      <c r="I78" s="1">
        <v>1.0</v>
      </c>
      <c r="K78" s="2">
        <v>46174.0</v>
      </c>
      <c r="L78" s="4">
        <v>20.0</v>
      </c>
      <c r="M78" s="6">
        <v>20.0</v>
      </c>
    </row>
    <row r="79" ht="15.75" customHeight="1">
      <c r="A79" s="1" t="s">
        <v>54</v>
      </c>
      <c r="B79" s="1" t="str">
        <f t="shared" si="1"/>
        <v>THOMAS PARDUE</v>
      </c>
      <c r="C79" s="1">
        <v>9.28162137E8</v>
      </c>
      <c r="D79" s="1" t="str">
        <f t="shared" si="2"/>
        <v>9281621375</v>
      </c>
      <c r="E79" s="1" t="s">
        <v>115</v>
      </c>
      <c r="F79" s="2">
        <v>46113.0</v>
      </c>
      <c r="G79" s="1" t="s">
        <v>35</v>
      </c>
      <c r="H79" s="1" t="s">
        <v>36</v>
      </c>
      <c r="I79" s="1">
        <v>5.0</v>
      </c>
      <c r="J79" s="7" t="s">
        <v>157</v>
      </c>
      <c r="K79" s="2">
        <v>46174.0</v>
      </c>
      <c r="L79" s="4">
        <v>20.0</v>
      </c>
      <c r="M79" s="6">
        <v>100.0</v>
      </c>
    </row>
    <row r="80" ht="15.75" customHeight="1">
      <c r="A80" s="1" t="s">
        <v>54</v>
      </c>
      <c r="B80" s="1" t="str">
        <f t="shared" si="1"/>
        <v>THOMAS PARDUE</v>
      </c>
      <c r="C80" s="1">
        <v>9.28162203E8</v>
      </c>
      <c r="D80" s="1" t="str">
        <f t="shared" si="2"/>
        <v>9281622035</v>
      </c>
      <c r="E80" s="1" t="s">
        <v>116</v>
      </c>
      <c r="F80" s="2">
        <v>46113.0</v>
      </c>
      <c r="G80" s="1" t="s">
        <v>35</v>
      </c>
      <c r="H80" s="1" t="s">
        <v>36</v>
      </c>
      <c r="I80" s="1">
        <v>1.0</v>
      </c>
      <c r="K80" s="2">
        <v>46174.0</v>
      </c>
      <c r="L80" s="4">
        <v>20.0</v>
      </c>
      <c r="M80" s="6">
        <v>20.0</v>
      </c>
    </row>
    <row r="81" ht="15.75" customHeight="1">
      <c r="A81" s="1" t="s">
        <v>54</v>
      </c>
      <c r="B81" s="1" t="str">
        <f t="shared" si="1"/>
        <v>THOMAS PARDUE</v>
      </c>
      <c r="C81" s="1">
        <v>9.28162355E8</v>
      </c>
      <c r="D81" s="1" t="str">
        <f t="shared" si="2"/>
        <v>9281623555</v>
      </c>
      <c r="E81" s="1" t="s">
        <v>117</v>
      </c>
      <c r="F81" s="2">
        <v>46143.0</v>
      </c>
      <c r="G81" s="1" t="s">
        <v>48</v>
      </c>
      <c r="H81" s="1" t="s">
        <v>36</v>
      </c>
      <c r="I81" s="1">
        <v>4.0</v>
      </c>
      <c r="J81" s="7" t="s">
        <v>156</v>
      </c>
      <c r="K81" s="2">
        <v>46174.0</v>
      </c>
      <c r="L81" s="4">
        <v>20.0</v>
      </c>
      <c r="M81" s="6">
        <v>80.0</v>
      </c>
    </row>
    <row r="82" ht="15.75" customHeight="1">
      <c r="A82" s="1" t="s">
        <v>54</v>
      </c>
      <c r="B82" s="1" t="str">
        <f t="shared" si="1"/>
        <v>THOMAS PARDUE</v>
      </c>
      <c r="C82" s="1">
        <v>9.28162438E8</v>
      </c>
      <c r="D82" s="1" t="str">
        <f t="shared" si="2"/>
        <v>9281624385</v>
      </c>
      <c r="E82" s="1" t="s">
        <v>118</v>
      </c>
      <c r="F82" s="2">
        <v>46143.0</v>
      </c>
      <c r="G82" s="1" t="s">
        <v>48</v>
      </c>
      <c r="H82" s="1" t="s">
        <v>36</v>
      </c>
      <c r="I82" s="1">
        <v>1.0</v>
      </c>
      <c r="K82" s="2">
        <v>46174.0</v>
      </c>
      <c r="L82" s="4">
        <v>20.0</v>
      </c>
      <c r="M82" s="6">
        <v>20.0</v>
      </c>
    </row>
    <row r="83" ht="15.75" customHeight="1">
      <c r="A83" s="1" t="s">
        <v>54</v>
      </c>
      <c r="B83" s="1" t="str">
        <f t="shared" si="1"/>
        <v>THOMAS PARDUE</v>
      </c>
      <c r="C83" s="1">
        <v>9.28162443E8</v>
      </c>
      <c r="D83" s="1" t="str">
        <f t="shared" si="2"/>
        <v>9281624435</v>
      </c>
      <c r="E83" s="1" t="s">
        <v>119</v>
      </c>
      <c r="F83" s="2">
        <v>46143.0</v>
      </c>
      <c r="G83" s="1" t="s">
        <v>48</v>
      </c>
      <c r="H83" s="1" t="s">
        <v>36</v>
      </c>
      <c r="I83" s="1">
        <v>1.0</v>
      </c>
      <c r="K83" s="2">
        <v>46174.0</v>
      </c>
      <c r="L83" s="4">
        <v>20.0</v>
      </c>
      <c r="M83" s="6">
        <v>20.0</v>
      </c>
    </row>
    <row r="84" ht="15.75" customHeight="1">
      <c r="A84" s="1" t="s">
        <v>54</v>
      </c>
      <c r="B84" s="1" t="str">
        <f t="shared" si="1"/>
        <v>THOMAS PARDUE</v>
      </c>
      <c r="C84" s="1">
        <v>9.28162659E8</v>
      </c>
      <c r="D84" s="1" t="str">
        <f t="shared" si="2"/>
        <v>9281626595</v>
      </c>
      <c r="E84" s="1" t="s">
        <v>120</v>
      </c>
      <c r="F84" s="2">
        <v>46143.0</v>
      </c>
      <c r="G84" s="1" t="s">
        <v>35</v>
      </c>
      <c r="H84" s="1" t="s">
        <v>36</v>
      </c>
      <c r="I84" s="1">
        <v>4.0</v>
      </c>
      <c r="J84" s="7" t="s">
        <v>156</v>
      </c>
      <c r="K84" s="2">
        <v>46174.0</v>
      </c>
      <c r="L84" s="4">
        <v>20.0</v>
      </c>
      <c r="M84" s="6">
        <v>80.0</v>
      </c>
    </row>
    <row r="85" ht="15.75" customHeight="1">
      <c r="A85" s="1" t="s">
        <v>54</v>
      </c>
      <c r="B85" s="1" t="str">
        <f t="shared" si="1"/>
        <v>THOMAS PARDUE</v>
      </c>
      <c r="C85" s="1">
        <v>9.28162679E8</v>
      </c>
      <c r="D85" s="1" t="str">
        <f t="shared" si="2"/>
        <v>9281626795</v>
      </c>
      <c r="E85" s="1" t="s">
        <v>121</v>
      </c>
      <c r="F85" s="2">
        <v>46143.0</v>
      </c>
      <c r="G85" s="1" t="s">
        <v>35</v>
      </c>
      <c r="H85" s="1" t="s">
        <v>36</v>
      </c>
      <c r="I85" s="1">
        <v>1.0</v>
      </c>
      <c r="K85" s="2">
        <v>46174.0</v>
      </c>
      <c r="L85" s="4">
        <v>20.0</v>
      </c>
      <c r="M85" s="6">
        <v>20.0</v>
      </c>
    </row>
    <row r="86" ht="15.75" customHeight="1">
      <c r="A86" s="1" t="s">
        <v>30</v>
      </c>
      <c r="B86" s="1" t="str">
        <f t="shared" si="1"/>
        <v>GREGORY K TEIPEL</v>
      </c>
      <c r="C86" s="1">
        <v>9.28127138E8</v>
      </c>
      <c r="D86" s="1" t="str">
        <f t="shared" si="2"/>
        <v>9281271385</v>
      </c>
      <c r="E86" s="1" t="s">
        <v>124</v>
      </c>
      <c r="F86" s="2">
        <v>45292.0</v>
      </c>
      <c r="G86" s="1" t="s">
        <v>35</v>
      </c>
      <c r="H86" s="1" t="s">
        <v>36</v>
      </c>
      <c r="I86" s="1">
        <v>2.0</v>
      </c>
      <c r="J86" s="7" t="s">
        <v>155</v>
      </c>
      <c r="K86" s="2">
        <v>46174.0</v>
      </c>
      <c r="L86" s="4">
        <v>20.0</v>
      </c>
      <c r="M86" s="6">
        <v>40.0</v>
      </c>
    </row>
    <row r="87" ht="15.75" customHeight="1">
      <c r="A87" s="1" t="s">
        <v>30</v>
      </c>
      <c r="B87" s="1" t="str">
        <f t="shared" si="1"/>
        <v>GREGORY K TEIPEL</v>
      </c>
      <c r="C87" s="1">
        <v>9.28139663E8</v>
      </c>
      <c r="D87" s="1" t="str">
        <f t="shared" si="2"/>
        <v>9281396635</v>
      </c>
      <c r="E87" s="1" t="s">
        <v>125</v>
      </c>
      <c r="F87" s="2">
        <v>45505.0</v>
      </c>
      <c r="G87" s="1" t="s">
        <v>35</v>
      </c>
      <c r="H87" s="1" t="s">
        <v>36</v>
      </c>
      <c r="I87" s="1">
        <v>3.0</v>
      </c>
      <c r="J87" s="7" t="s">
        <v>154</v>
      </c>
      <c r="K87" s="2">
        <v>46174.0</v>
      </c>
      <c r="L87" s="4">
        <v>20.0</v>
      </c>
      <c r="M87" s="6">
        <v>60.0</v>
      </c>
    </row>
    <row r="88" ht="15.75" customHeight="1">
      <c r="A88" s="1" t="s">
        <v>30</v>
      </c>
      <c r="B88" s="1" t="str">
        <f t="shared" si="1"/>
        <v>GREGORY K TEIPEL</v>
      </c>
      <c r="C88" s="1">
        <v>9.28150906E8</v>
      </c>
      <c r="D88" s="1" t="str">
        <f t="shared" si="2"/>
        <v>9281509065</v>
      </c>
      <c r="E88" s="1" t="s">
        <v>126</v>
      </c>
      <c r="F88" s="2">
        <v>45748.0</v>
      </c>
      <c r="G88" s="1" t="s">
        <v>35</v>
      </c>
      <c r="H88" s="1" t="s">
        <v>36</v>
      </c>
      <c r="I88" s="1">
        <v>2.0</v>
      </c>
      <c r="J88" s="7" t="s">
        <v>155</v>
      </c>
      <c r="K88" s="2">
        <v>46174.0</v>
      </c>
      <c r="L88" s="4">
        <v>20.0</v>
      </c>
      <c r="M88" s="6">
        <v>40.0</v>
      </c>
    </row>
    <row r="89" ht="15.75" customHeight="1">
      <c r="A89" s="1" t="s">
        <v>30</v>
      </c>
      <c r="B89" s="1" t="str">
        <f t="shared" si="1"/>
        <v>GREGORY K TEIPEL</v>
      </c>
      <c r="C89" s="1">
        <v>9.28150919E8</v>
      </c>
      <c r="D89" s="1" t="str">
        <f t="shared" si="2"/>
        <v>9281509195</v>
      </c>
      <c r="E89" s="1" t="s">
        <v>127</v>
      </c>
      <c r="F89" s="2">
        <v>45748.0</v>
      </c>
      <c r="G89" s="1" t="s">
        <v>35</v>
      </c>
      <c r="H89" s="1" t="s">
        <v>36</v>
      </c>
      <c r="I89" s="1">
        <v>1.0</v>
      </c>
      <c r="K89" s="2">
        <v>46174.0</v>
      </c>
      <c r="L89" s="4">
        <v>20.0</v>
      </c>
      <c r="M89" s="6">
        <v>20.0</v>
      </c>
    </row>
    <row r="90" ht="15.75" customHeight="1">
      <c r="A90" s="1" t="s">
        <v>30</v>
      </c>
      <c r="B90" s="1" t="str">
        <f t="shared" si="1"/>
        <v>GREGORY K TEIPEL</v>
      </c>
      <c r="C90" s="1">
        <v>9.28150959E8</v>
      </c>
      <c r="D90" s="1" t="str">
        <f t="shared" si="2"/>
        <v>9281509595</v>
      </c>
      <c r="E90" s="1" t="s">
        <v>128</v>
      </c>
      <c r="F90" s="2">
        <v>45748.0</v>
      </c>
      <c r="G90" s="1" t="s">
        <v>35</v>
      </c>
      <c r="H90" s="1" t="s">
        <v>36</v>
      </c>
      <c r="I90" s="1">
        <v>1.0</v>
      </c>
      <c r="K90" s="2">
        <v>46174.0</v>
      </c>
      <c r="L90" s="4">
        <v>20.0</v>
      </c>
      <c r="M90" s="6">
        <v>20.0</v>
      </c>
    </row>
    <row r="91" ht="15.75" customHeight="1">
      <c r="A91" s="1" t="s">
        <v>30</v>
      </c>
      <c r="B91" s="1" t="str">
        <f t="shared" si="1"/>
        <v>GREGORY K TEIPEL</v>
      </c>
      <c r="C91" s="1">
        <v>9.28151821E8</v>
      </c>
      <c r="D91" s="1" t="str">
        <f t="shared" si="2"/>
        <v>9281518215</v>
      </c>
      <c r="E91" s="1" t="s">
        <v>129</v>
      </c>
      <c r="F91" s="2">
        <v>45778.0</v>
      </c>
      <c r="G91" s="1" t="s">
        <v>35</v>
      </c>
      <c r="H91" s="1" t="s">
        <v>36</v>
      </c>
      <c r="I91" s="1">
        <v>1.0</v>
      </c>
      <c r="K91" s="2">
        <v>46174.0</v>
      </c>
      <c r="L91" s="4">
        <v>20.0</v>
      </c>
      <c r="M91" s="6">
        <v>20.0</v>
      </c>
    </row>
    <row r="92" ht="15.75" customHeight="1">
      <c r="A92" s="1" t="s">
        <v>54</v>
      </c>
      <c r="B92" s="1" t="str">
        <f t="shared" si="1"/>
        <v>THOMAS PARDUE</v>
      </c>
      <c r="C92" s="1">
        <v>9.28060019E8</v>
      </c>
      <c r="D92" s="1" t="str">
        <f t="shared" si="2"/>
        <v>9280600195</v>
      </c>
      <c r="E92" s="1" t="s">
        <v>130</v>
      </c>
      <c r="F92" s="2">
        <v>45323.0</v>
      </c>
      <c r="G92" s="1" t="s">
        <v>48</v>
      </c>
      <c r="H92" s="1" t="s">
        <v>36</v>
      </c>
      <c r="I92" s="1">
        <v>1.0</v>
      </c>
      <c r="K92" s="2">
        <v>46174.0</v>
      </c>
      <c r="L92" s="4">
        <v>20.0</v>
      </c>
      <c r="M92" s="6">
        <v>20.0</v>
      </c>
    </row>
    <row r="93" ht="15.75" customHeight="1">
      <c r="A93" s="1" t="s">
        <v>54</v>
      </c>
      <c r="B93" s="1" t="str">
        <f t="shared" si="1"/>
        <v>THOMAS PARDUE</v>
      </c>
      <c r="C93" s="1">
        <v>9.28093622E8</v>
      </c>
      <c r="D93" s="1" t="str">
        <f t="shared" si="2"/>
        <v>9280936225</v>
      </c>
      <c r="E93" s="1" t="s">
        <v>131</v>
      </c>
      <c r="F93" s="2">
        <v>45352.0</v>
      </c>
      <c r="G93" s="1" t="s">
        <v>48</v>
      </c>
      <c r="H93" s="1" t="s">
        <v>36</v>
      </c>
      <c r="I93" s="1">
        <v>1.0</v>
      </c>
      <c r="K93" s="2">
        <v>46174.0</v>
      </c>
      <c r="L93" s="4">
        <v>20.0</v>
      </c>
      <c r="M93" s="6">
        <v>20.0</v>
      </c>
    </row>
    <row r="94" ht="15.75" customHeight="1">
      <c r="A94" s="1" t="s">
        <v>54</v>
      </c>
      <c r="B94" s="1" t="str">
        <f t="shared" si="1"/>
        <v>THOMAS PARDUE</v>
      </c>
      <c r="C94" s="1">
        <v>9.28126896E8</v>
      </c>
      <c r="D94" s="1" t="str">
        <f t="shared" si="2"/>
        <v>9281268965</v>
      </c>
      <c r="E94" s="1" t="s">
        <v>132</v>
      </c>
      <c r="F94" s="2">
        <v>45292.0</v>
      </c>
      <c r="G94" s="1" t="s">
        <v>48</v>
      </c>
      <c r="H94" s="1" t="s">
        <v>36</v>
      </c>
      <c r="I94" s="1">
        <v>1.0</v>
      </c>
      <c r="K94" s="2">
        <v>46174.0</v>
      </c>
      <c r="L94" s="4">
        <v>20.0</v>
      </c>
      <c r="M94" s="6">
        <v>20.0</v>
      </c>
    </row>
    <row r="95" ht="15.75" customHeight="1">
      <c r="A95" s="1" t="s">
        <v>54</v>
      </c>
      <c r="B95" s="1" t="str">
        <f t="shared" si="1"/>
        <v>THOMAS PARDUE</v>
      </c>
      <c r="C95" s="1">
        <v>9.28131407E8</v>
      </c>
      <c r="D95" s="1" t="str">
        <f t="shared" si="2"/>
        <v>9281314075</v>
      </c>
      <c r="E95" s="1" t="s">
        <v>133</v>
      </c>
      <c r="F95" s="2">
        <v>45292.0</v>
      </c>
      <c r="G95" s="1" t="s">
        <v>35</v>
      </c>
      <c r="H95" s="1" t="s">
        <v>36</v>
      </c>
      <c r="I95" s="1">
        <v>1.0</v>
      </c>
      <c r="K95" s="2">
        <v>46174.0</v>
      </c>
      <c r="L95" s="4">
        <v>20.0</v>
      </c>
      <c r="M95" s="6">
        <v>20.0</v>
      </c>
    </row>
    <row r="96" ht="15.75" customHeight="1">
      <c r="A96" s="1" t="s">
        <v>54</v>
      </c>
      <c r="B96" s="1" t="str">
        <f t="shared" si="1"/>
        <v>THOMAS PARDUE</v>
      </c>
      <c r="C96" s="1">
        <v>9.28134747E8</v>
      </c>
      <c r="D96" s="1" t="str">
        <f t="shared" si="2"/>
        <v>9281347475</v>
      </c>
      <c r="E96" s="1" t="s">
        <v>134</v>
      </c>
      <c r="F96" s="2">
        <v>45352.0</v>
      </c>
      <c r="G96" s="1" t="s">
        <v>48</v>
      </c>
      <c r="H96" s="1" t="s">
        <v>36</v>
      </c>
      <c r="I96" s="1">
        <v>1.0</v>
      </c>
      <c r="K96" s="2">
        <v>46174.0</v>
      </c>
      <c r="L96" s="4">
        <v>20.0</v>
      </c>
      <c r="M96" s="6">
        <v>20.0</v>
      </c>
    </row>
    <row r="97" ht="15.75" customHeight="1">
      <c r="A97" s="1" t="s">
        <v>54</v>
      </c>
      <c r="B97" s="1" t="str">
        <f t="shared" si="1"/>
        <v>THOMAS PARDUE</v>
      </c>
      <c r="C97" s="1">
        <v>9.28135173E8</v>
      </c>
      <c r="D97" s="1" t="str">
        <f t="shared" si="2"/>
        <v>9281351735</v>
      </c>
      <c r="E97" s="1" t="s">
        <v>135</v>
      </c>
      <c r="F97" s="2">
        <v>45352.0</v>
      </c>
      <c r="G97" s="1" t="s">
        <v>35</v>
      </c>
      <c r="H97" s="1" t="s">
        <v>36</v>
      </c>
      <c r="I97" s="1">
        <v>1.0</v>
      </c>
      <c r="K97" s="2">
        <v>46174.0</v>
      </c>
      <c r="L97" s="4">
        <v>20.0</v>
      </c>
      <c r="M97" s="6">
        <v>20.0</v>
      </c>
    </row>
    <row r="98" ht="15.75" customHeight="1">
      <c r="A98" s="1" t="s">
        <v>54</v>
      </c>
      <c r="B98" s="1" t="str">
        <f t="shared" si="1"/>
        <v>THOMAS PARDUE</v>
      </c>
      <c r="C98" s="1">
        <v>9.2814218E8</v>
      </c>
      <c r="D98" s="1" t="str">
        <f t="shared" si="2"/>
        <v>9281421805</v>
      </c>
      <c r="E98" s="1" t="s">
        <v>136</v>
      </c>
      <c r="F98" s="2">
        <v>45658.0</v>
      </c>
      <c r="G98" s="1" t="s">
        <v>35</v>
      </c>
      <c r="H98" s="1" t="s">
        <v>36</v>
      </c>
      <c r="I98" s="1">
        <v>1.0</v>
      </c>
      <c r="K98" s="2">
        <v>46174.0</v>
      </c>
      <c r="L98" s="4">
        <v>20.0</v>
      </c>
      <c r="M98" s="6">
        <v>20.0</v>
      </c>
    </row>
    <row r="99" ht="15.75" customHeight="1">
      <c r="A99" s="1" t="s">
        <v>54</v>
      </c>
      <c r="B99" s="1" t="str">
        <f t="shared" si="1"/>
        <v>THOMAS PARDUE</v>
      </c>
      <c r="C99" s="1">
        <v>9.28142942E8</v>
      </c>
      <c r="D99" s="1" t="str">
        <f t="shared" si="2"/>
        <v>9281429425</v>
      </c>
      <c r="E99" s="1" t="s">
        <v>137</v>
      </c>
      <c r="F99" s="2">
        <v>45658.0</v>
      </c>
      <c r="G99" s="1" t="s">
        <v>48</v>
      </c>
      <c r="H99" s="1" t="s">
        <v>36</v>
      </c>
      <c r="I99" s="1">
        <v>1.0</v>
      </c>
      <c r="K99" s="2">
        <v>46174.0</v>
      </c>
      <c r="L99" s="4">
        <v>20.0</v>
      </c>
      <c r="M99" s="6">
        <v>20.0</v>
      </c>
    </row>
    <row r="100" ht="15.75" customHeight="1">
      <c r="A100" s="1" t="s">
        <v>54</v>
      </c>
      <c r="B100" s="1" t="str">
        <f t="shared" si="1"/>
        <v>THOMAS PARDUE</v>
      </c>
      <c r="C100" s="1">
        <v>9.28145593E8</v>
      </c>
      <c r="D100" s="1" t="str">
        <f t="shared" si="2"/>
        <v>9281455935</v>
      </c>
      <c r="E100" s="1" t="s">
        <v>138</v>
      </c>
      <c r="F100" s="2">
        <v>45658.0</v>
      </c>
      <c r="G100" s="1" t="s">
        <v>35</v>
      </c>
      <c r="H100" s="1" t="s">
        <v>36</v>
      </c>
      <c r="I100" s="1">
        <v>2.0</v>
      </c>
      <c r="J100" s="7" t="s">
        <v>155</v>
      </c>
      <c r="K100" s="2">
        <v>46174.0</v>
      </c>
      <c r="L100" s="4">
        <v>20.0</v>
      </c>
      <c r="M100" s="6">
        <v>40.0</v>
      </c>
    </row>
    <row r="101" ht="15.75" customHeight="1">
      <c r="A101" s="1" t="s">
        <v>54</v>
      </c>
      <c r="B101" s="1" t="str">
        <f t="shared" si="1"/>
        <v>THOMAS PARDUE</v>
      </c>
      <c r="C101" s="1">
        <v>9.28146255E8</v>
      </c>
      <c r="D101" s="1" t="str">
        <f t="shared" si="2"/>
        <v>9281462555</v>
      </c>
      <c r="E101" s="1" t="s">
        <v>139</v>
      </c>
      <c r="F101" s="2">
        <v>45627.0</v>
      </c>
      <c r="G101" s="1" t="s">
        <v>35</v>
      </c>
      <c r="H101" s="1" t="s">
        <v>36</v>
      </c>
      <c r="I101" s="1">
        <v>3.0</v>
      </c>
      <c r="J101" s="7" t="s">
        <v>154</v>
      </c>
      <c r="K101" s="2">
        <v>46143.0</v>
      </c>
      <c r="L101" s="4">
        <v>20.0</v>
      </c>
      <c r="M101" s="6">
        <v>60.0</v>
      </c>
    </row>
    <row r="102" ht="15.75" customHeight="1">
      <c r="A102" s="1" t="s">
        <v>54</v>
      </c>
      <c r="B102" s="1" t="str">
        <f t="shared" si="1"/>
        <v>THOMAS PARDUE</v>
      </c>
      <c r="C102" s="1">
        <v>9.28146255E8</v>
      </c>
      <c r="D102" s="1" t="str">
        <f t="shared" si="2"/>
        <v>9281462555</v>
      </c>
      <c r="E102" s="1" t="s">
        <v>139</v>
      </c>
      <c r="F102" s="2">
        <v>45627.0</v>
      </c>
      <c r="G102" s="1" t="s">
        <v>35</v>
      </c>
      <c r="H102" s="1" t="s">
        <v>36</v>
      </c>
      <c r="I102" s="1">
        <v>3.0</v>
      </c>
      <c r="J102" s="7" t="s">
        <v>154</v>
      </c>
      <c r="K102" s="2">
        <v>46174.0</v>
      </c>
      <c r="L102" s="4">
        <v>20.0</v>
      </c>
      <c r="M102" s="6">
        <v>60.0</v>
      </c>
    </row>
    <row r="103" ht="15.75" customHeight="1">
      <c r="A103" s="1" t="s">
        <v>54</v>
      </c>
      <c r="B103" s="1" t="str">
        <f t="shared" si="1"/>
        <v>THOMAS PARDUE</v>
      </c>
      <c r="C103" s="1">
        <v>9.28146737E8</v>
      </c>
      <c r="D103" s="1" t="str">
        <f t="shared" si="2"/>
        <v>9281467375</v>
      </c>
      <c r="E103" s="1" t="s">
        <v>140</v>
      </c>
      <c r="F103" s="2">
        <v>45658.0</v>
      </c>
      <c r="G103" s="1" t="s">
        <v>48</v>
      </c>
      <c r="H103" s="1" t="s">
        <v>36</v>
      </c>
      <c r="I103" s="1">
        <v>1.0</v>
      </c>
      <c r="K103" s="2">
        <v>46174.0</v>
      </c>
      <c r="L103" s="4">
        <v>20.0</v>
      </c>
      <c r="M103" s="6">
        <v>20.0</v>
      </c>
    </row>
    <row r="104" ht="15.75" customHeight="1">
      <c r="A104" s="1" t="s">
        <v>54</v>
      </c>
      <c r="B104" s="1" t="str">
        <f t="shared" si="1"/>
        <v>THOMAS PARDUE</v>
      </c>
      <c r="C104" s="1">
        <v>9.28149001E8</v>
      </c>
      <c r="D104" s="1" t="str">
        <f t="shared" si="2"/>
        <v>9281490015</v>
      </c>
      <c r="E104" s="1" t="s">
        <v>141</v>
      </c>
      <c r="F104" s="2">
        <v>45689.0</v>
      </c>
      <c r="G104" s="1" t="s">
        <v>48</v>
      </c>
      <c r="H104" s="1" t="s">
        <v>36</v>
      </c>
      <c r="I104" s="1">
        <v>4.0</v>
      </c>
      <c r="J104" s="7" t="s">
        <v>156</v>
      </c>
      <c r="K104" s="2">
        <v>46174.0</v>
      </c>
      <c r="L104" s="4">
        <v>20.0</v>
      </c>
      <c r="M104" s="6">
        <v>80.0</v>
      </c>
    </row>
    <row r="105" ht="15.75" customHeight="1">
      <c r="A105" s="1" t="s">
        <v>54</v>
      </c>
      <c r="B105" s="1" t="str">
        <f t="shared" si="1"/>
        <v>THOMAS PARDUE</v>
      </c>
      <c r="C105" s="1">
        <v>9.28149222E8</v>
      </c>
      <c r="D105" s="1" t="str">
        <f t="shared" si="2"/>
        <v>9281492225</v>
      </c>
      <c r="E105" s="1" t="s">
        <v>142</v>
      </c>
      <c r="F105" s="2">
        <v>45689.0</v>
      </c>
      <c r="G105" s="1" t="s">
        <v>48</v>
      </c>
      <c r="H105" s="1" t="s">
        <v>36</v>
      </c>
      <c r="I105" s="1">
        <v>1.0</v>
      </c>
      <c r="K105" s="2">
        <v>46143.0</v>
      </c>
      <c r="L105" s="4">
        <v>20.0</v>
      </c>
      <c r="M105" s="6">
        <v>20.0</v>
      </c>
    </row>
    <row r="106" ht="15.75" customHeight="1">
      <c r="A106" s="1" t="s">
        <v>54</v>
      </c>
      <c r="B106" s="1" t="str">
        <f t="shared" si="1"/>
        <v>THOMAS PARDUE</v>
      </c>
      <c r="C106" s="1">
        <v>9.28149222E8</v>
      </c>
      <c r="D106" s="1" t="str">
        <f t="shared" si="2"/>
        <v>9281492225</v>
      </c>
      <c r="E106" s="1" t="s">
        <v>142</v>
      </c>
      <c r="F106" s="2">
        <v>45689.0</v>
      </c>
      <c r="G106" s="1" t="s">
        <v>48</v>
      </c>
      <c r="H106" s="1" t="s">
        <v>36</v>
      </c>
      <c r="I106" s="1">
        <v>1.0</v>
      </c>
      <c r="K106" s="2">
        <v>46174.0</v>
      </c>
      <c r="L106" s="4">
        <v>20.0</v>
      </c>
      <c r="M106" s="6">
        <v>20.0</v>
      </c>
    </row>
    <row r="107" ht="15.75" customHeight="1">
      <c r="A107" s="1" t="s">
        <v>54</v>
      </c>
      <c r="B107" s="1" t="str">
        <f t="shared" si="1"/>
        <v>THOMAS PARDUE</v>
      </c>
      <c r="C107" s="1">
        <v>9.28149327E8</v>
      </c>
      <c r="D107" s="1" t="str">
        <f t="shared" si="2"/>
        <v>9281493275</v>
      </c>
      <c r="E107" s="1" t="s">
        <v>143</v>
      </c>
      <c r="F107" s="2">
        <v>45689.0</v>
      </c>
      <c r="G107" s="1" t="s">
        <v>48</v>
      </c>
      <c r="H107" s="1" t="s">
        <v>36</v>
      </c>
      <c r="I107" s="1">
        <v>1.0</v>
      </c>
      <c r="K107" s="2">
        <v>46143.0</v>
      </c>
      <c r="L107" s="4">
        <v>20.0</v>
      </c>
      <c r="M107" s="6">
        <v>20.0</v>
      </c>
    </row>
    <row r="108" ht="15.75" customHeight="1">
      <c r="A108" s="1" t="s">
        <v>54</v>
      </c>
      <c r="B108" s="1" t="str">
        <f t="shared" si="1"/>
        <v>THOMAS PARDUE</v>
      </c>
      <c r="C108" s="1">
        <v>9.28149327E8</v>
      </c>
      <c r="D108" s="1" t="str">
        <f t="shared" si="2"/>
        <v>9281493275</v>
      </c>
      <c r="E108" s="1" t="s">
        <v>143</v>
      </c>
      <c r="F108" s="2">
        <v>45689.0</v>
      </c>
      <c r="G108" s="1" t="s">
        <v>48</v>
      </c>
      <c r="H108" s="1" t="s">
        <v>36</v>
      </c>
      <c r="I108" s="1">
        <v>1.0</v>
      </c>
      <c r="K108" s="2">
        <v>46174.0</v>
      </c>
      <c r="L108" s="4">
        <v>20.0</v>
      </c>
      <c r="M108" s="6">
        <v>20.0</v>
      </c>
    </row>
    <row r="109" ht="15.75" customHeight="1">
      <c r="A109" s="1" t="s">
        <v>54</v>
      </c>
      <c r="B109" s="1" t="str">
        <f t="shared" si="1"/>
        <v>THOMAS PARDUE</v>
      </c>
      <c r="C109" s="1">
        <v>9.28149842E8</v>
      </c>
      <c r="D109" s="1" t="str">
        <f t="shared" si="2"/>
        <v>9281498425</v>
      </c>
      <c r="E109" s="1" t="s">
        <v>144</v>
      </c>
      <c r="F109" s="2">
        <v>45717.0</v>
      </c>
      <c r="G109" s="1" t="s">
        <v>48</v>
      </c>
      <c r="H109" s="1" t="s">
        <v>36</v>
      </c>
      <c r="I109" s="1">
        <v>1.0</v>
      </c>
      <c r="K109" s="2">
        <v>46174.0</v>
      </c>
      <c r="L109" s="4">
        <v>20.0</v>
      </c>
      <c r="M109" s="6">
        <v>20.0</v>
      </c>
    </row>
    <row r="110" ht="15.75" customHeight="1">
      <c r="A110" s="1" t="s">
        <v>54</v>
      </c>
      <c r="B110" s="1" t="str">
        <f t="shared" si="1"/>
        <v>THOMAS PARDUE</v>
      </c>
      <c r="C110" s="1">
        <v>9.28149844E8</v>
      </c>
      <c r="D110" s="1" t="str">
        <f t="shared" si="2"/>
        <v>9281498445</v>
      </c>
      <c r="E110" s="1" t="s">
        <v>145</v>
      </c>
      <c r="F110" s="2">
        <v>45717.0</v>
      </c>
      <c r="G110" s="1" t="s">
        <v>48</v>
      </c>
      <c r="H110" s="1" t="s">
        <v>36</v>
      </c>
      <c r="I110" s="1">
        <v>1.0</v>
      </c>
      <c r="K110" s="2">
        <v>46174.0</v>
      </c>
      <c r="L110" s="4">
        <v>20.0</v>
      </c>
      <c r="M110" s="6">
        <v>20.0</v>
      </c>
    </row>
    <row r="111" ht="15.75" customHeight="1">
      <c r="A111" s="1" t="s">
        <v>54</v>
      </c>
      <c r="B111" s="1" t="str">
        <f t="shared" si="1"/>
        <v>THOMAS PARDUE</v>
      </c>
      <c r="C111" s="1">
        <v>9.2814987E8</v>
      </c>
      <c r="D111" s="1" t="str">
        <f t="shared" si="2"/>
        <v>9281498705</v>
      </c>
      <c r="E111" s="1" t="s">
        <v>146</v>
      </c>
      <c r="F111" s="2">
        <v>45717.0</v>
      </c>
      <c r="G111" s="1" t="s">
        <v>35</v>
      </c>
      <c r="H111" s="1" t="s">
        <v>36</v>
      </c>
      <c r="I111" s="1">
        <v>1.0</v>
      </c>
      <c r="K111" s="2">
        <v>46174.0</v>
      </c>
      <c r="L111" s="4">
        <v>20.0</v>
      </c>
      <c r="M111" s="6">
        <v>20.0</v>
      </c>
    </row>
    <row r="112" ht="15.75" customHeight="1">
      <c r="A112" s="1" t="s">
        <v>54</v>
      </c>
      <c r="B112" s="1" t="str">
        <f t="shared" si="1"/>
        <v>THOMAS PARDUE</v>
      </c>
      <c r="C112" s="1">
        <v>9.28150112E8</v>
      </c>
      <c r="D112" s="1" t="str">
        <f t="shared" si="2"/>
        <v>9281501125</v>
      </c>
      <c r="E112" s="1" t="s">
        <v>147</v>
      </c>
      <c r="F112" s="2">
        <v>45717.0</v>
      </c>
      <c r="G112" s="1" t="s">
        <v>48</v>
      </c>
      <c r="H112" s="1" t="s">
        <v>36</v>
      </c>
      <c r="I112" s="1">
        <v>1.0</v>
      </c>
      <c r="K112" s="2">
        <v>46174.0</v>
      </c>
      <c r="L112" s="4">
        <v>20.0</v>
      </c>
      <c r="M112" s="6">
        <v>20.0</v>
      </c>
    </row>
    <row r="113" ht="15.75" customHeight="1">
      <c r="A113" s="1" t="s">
        <v>54</v>
      </c>
      <c r="B113" s="1" t="str">
        <f t="shared" si="1"/>
        <v>THOMAS PARDUE</v>
      </c>
      <c r="C113" s="1">
        <v>9.28150209E8</v>
      </c>
      <c r="D113" s="1" t="str">
        <f t="shared" si="2"/>
        <v>9281502095</v>
      </c>
      <c r="E113" s="1" t="s">
        <v>148</v>
      </c>
      <c r="F113" s="2">
        <v>45717.0</v>
      </c>
      <c r="G113" s="1" t="s">
        <v>35</v>
      </c>
      <c r="H113" s="1" t="s">
        <v>36</v>
      </c>
      <c r="I113" s="1">
        <v>1.0</v>
      </c>
      <c r="K113" s="2">
        <v>46174.0</v>
      </c>
      <c r="L113" s="4">
        <v>20.0</v>
      </c>
      <c r="M113" s="6">
        <v>20.0</v>
      </c>
    </row>
    <row r="114" ht="15.75" customHeight="1">
      <c r="A114" s="1" t="s">
        <v>54</v>
      </c>
      <c r="B114" s="1" t="str">
        <f t="shared" si="1"/>
        <v>THOMAS PARDUE</v>
      </c>
      <c r="C114" s="1">
        <v>9.28150824E8</v>
      </c>
      <c r="D114" s="1" t="str">
        <f t="shared" si="2"/>
        <v>9281508245</v>
      </c>
      <c r="E114" s="1" t="s">
        <v>149</v>
      </c>
      <c r="F114" s="2">
        <v>45748.0</v>
      </c>
      <c r="G114" s="1" t="s">
        <v>48</v>
      </c>
      <c r="H114" s="1" t="s">
        <v>36</v>
      </c>
      <c r="I114" s="1">
        <v>1.0</v>
      </c>
      <c r="K114" s="2">
        <v>46174.0</v>
      </c>
      <c r="L114" s="4">
        <v>20.0</v>
      </c>
      <c r="M114" s="6">
        <v>20.0</v>
      </c>
    </row>
    <row r="115" ht="15.75" customHeight="1">
      <c r="A115" s="1" t="s">
        <v>54</v>
      </c>
      <c r="B115" s="1" t="str">
        <f t="shared" si="1"/>
        <v>THOMAS PARDUE</v>
      </c>
      <c r="C115" s="1">
        <v>9.28150957E8</v>
      </c>
      <c r="D115" s="1" t="str">
        <f t="shared" si="2"/>
        <v>9281509575</v>
      </c>
      <c r="E115" s="1" t="s">
        <v>150</v>
      </c>
      <c r="F115" s="2">
        <v>45748.0</v>
      </c>
      <c r="G115" s="1" t="s">
        <v>48</v>
      </c>
      <c r="H115" s="1" t="s">
        <v>36</v>
      </c>
      <c r="I115" s="1">
        <v>1.0</v>
      </c>
      <c r="K115" s="2">
        <v>46174.0</v>
      </c>
      <c r="L115" s="4">
        <v>20.0</v>
      </c>
      <c r="M115" s="6">
        <v>20.0</v>
      </c>
    </row>
    <row r="116" ht="15.75" customHeight="1">
      <c r="A116" s="1" t="s">
        <v>54</v>
      </c>
      <c r="B116" s="1" t="str">
        <f t="shared" si="1"/>
        <v>THOMAS PARDUE</v>
      </c>
      <c r="C116" s="1">
        <v>9.2815103E8</v>
      </c>
      <c r="D116" s="1" t="str">
        <f t="shared" si="2"/>
        <v>9281510305</v>
      </c>
      <c r="E116" s="1" t="s">
        <v>151</v>
      </c>
      <c r="F116" s="2">
        <v>45748.0</v>
      </c>
      <c r="G116" s="1" t="s">
        <v>48</v>
      </c>
      <c r="H116" s="1" t="s">
        <v>36</v>
      </c>
      <c r="I116" s="1">
        <v>1.0</v>
      </c>
      <c r="K116" s="2">
        <v>46174.0</v>
      </c>
      <c r="L116" s="4">
        <v>20.0</v>
      </c>
      <c r="M116" s="6">
        <v>20.0</v>
      </c>
    </row>
    <row r="117" ht="15.75" customHeight="1">
      <c r="A117" s="1" t="s">
        <v>54</v>
      </c>
      <c r="B117" s="1" t="str">
        <f t="shared" si="1"/>
        <v>THOMAS PARDUE</v>
      </c>
      <c r="C117" s="1">
        <v>9.28151061E8</v>
      </c>
      <c r="D117" s="1" t="str">
        <f t="shared" si="2"/>
        <v>9281510615</v>
      </c>
      <c r="E117" s="1" t="s">
        <v>152</v>
      </c>
      <c r="F117" s="2">
        <v>45748.0</v>
      </c>
      <c r="G117" s="1" t="s">
        <v>35</v>
      </c>
      <c r="H117" s="1" t="s">
        <v>36</v>
      </c>
      <c r="I117" s="1">
        <v>-1.0</v>
      </c>
      <c r="K117" s="2">
        <v>46174.0</v>
      </c>
      <c r="L117" s="4">
        <v>20.0</v>
      </c>
      <c r="M117" s="6">
        <v>-20.0</v>
      </c>
    </row>
    <row r="118" ht="15.75" customHeight="1">
      <c r="A118" s="1" t="s">
        <v>54</v>
      </c>
      <c r="B118" s="1" t="str">
        <f t="shared" si="1"/>
        <v>THOMAS PARDUE</v>
      </c>
      <c r="C118" s="1">
        <v>9.28151061E8</v>
      </c>
      <c r="D118" s="1" t="str">
        <f t="shared" si="2"/>
        <v>9281510615</v>
      </c>
      <c r="E118" s="1" t="s">
        <v>152</v>
      </c>
      <c r="F118" s="2">
        <v>45748.0</v>
      </c>
      <c r="G118" s="1" t="s">
        <v>35</v>
      </c>
      <c r="H118" s="1" t="s">
        <v>36</v>
      </c>
      <c r="I118" s="1">
        <v>5.0</v>
      </c>
      <c r="J118" s="7" t="s">
        <v>157</v>
      </c>
      <c r="K118" s="2">
        <v>46174.0</v>
      </c>
      <c r="L118" s="4">
        <v>20.0</v>
      </c>
      <c r="M118" s="6">
        <v>100.0</v>
      </c>
    </row>
    <row r="119" ht="15.75" customHeight="1">
      <c r="A119" s="1" t="s">
        <v>54</v>
      </c>
      <c r="B119" s="1" t="str">
        <f t="shared" si="1"/>
        <v>THOMAS PARDUE</v>
      </c>
      <c r="C119" s="1">
        <v>9.28151168E8</v>
      </c>
      <c r="D119" s="1" t="str">
        <f t="shared" si="2"/>
        <v>9281511685</v>
      </c>
      <c r="E119" s="1" t="s">
        <v>153</v>
      </c>
      <c r="F119" s="2">
        <v>45748.0</v>
      </c>
      <c r="G119" s="1" t="s">
        <v>48</v>
      </c>
      <c r="H119" s="1" t="s">
        <v>36</v>
      </c>
      <c r="I119" s="1">
        <v>1.0</v>
      </c>
      <c r="K119" s="2">
        <v>46174.0</v>
      </c>
      <c r="L119" s="4">
        <v>20.0</v>
      </c>
      <c r="M119" s="6">
        <v>20.0</v>
      </c>
    </row>
    <row r="120" ht="15.75" customHeight="1">
      <c r="M120" s="5"/>
    </row>
    <row r="121" ht="15.75" customHeight="1">
      <c r="M121" s="5"/>
    </row>
    <row r="122" ht="15.75" customHeight="1">
      <c r="M122" s="5"/>
    </row>
    <row r="123" ht="15.75" customHeight="1">
      <c r="M123" s="5"/>
    </row>
    <row r="124" ht="15.75" customHeight="1">
      <c r="M124" s="5"/>
    </row>
    <row r="125" ht="15.75" customHeight="1">
      <c r="M125" s="5"/>
    </row>
    <row r="126" ht="15.75" customHeight="1">
      <c r="M126" s="5"/>
    </row>
    <row r="127" ht="15.75" customHeight="1">
      <c r="M127" s="5"/>
    </row>
    <row r="128" ht="15.75" customHeight="1">
      <c r="M128" s="5"/>
    </row>
    <row r="129" ht="15.75" customHeight="1">
      <c r="M129" s="5"/>
    </row>
    <row r="130" ht="15.75" customHeight="1">
      <c r="M130" s="5"/>
    </row>
    <row r="131" ht="15.75" customHeight="1">
      <c r="M131" s="5"/>
    </row>
    <row r="132" ht="15.75" customHeight="1">
      <c r="M132" s="5"/>
    </row>
    <row r="133" ht="15.75" customHeight="1">
      <c r="M133" s="5"/>
    </row>
    <row r="134" ht="15.75" customHeight="1">
      <c r="M134" s="5"/>
    </row>
    <row r="135" ht="15.75" customHeight="1">
      <c r="M135" s="5"/>
    </row>
    <row r="136" ht="15.75" customHeight="1">
      <c r="M136" s="5"/>
    </row>
    <row r="137" ht="15.75" customHeight="1">
      <c r="M137" s="5"/>
    </row>
    <row r="138" ht="15.75" customHeight="1">
      <c r="M138" s="5"/>
    </row>
    <row r="139" ht="15.75" customHeight="1">
      <c r="M139" s="5"/>
    </row>
    <row r="140" ht="15.75" customHeight="1">
      <c r="M140" s="5"/>
    </row>
    <row r="141" ht="15.75" customHeight="1">
      <c r="M141" s="5"/>
    </row>
    <row r="142" ht="15.75" customHeight="1">
      <c r="M142" s="5"/>
    </row>
    <row r="143" ht="15.75" customHeight="1">
      <c r="M143" s="5"/>
    </row>
    <row r="144" ht="15.75" customHeight="1">
      <c r="M144" s="5"/>
    </row>
    <row r="145" ht="15.75" customHeight="1">
      <c r="M145" s="5"/>
    </row>
    <row r="146" ht="15.75" customHeight="1">
      <c r="M146" s="5"/>
    </row>
    <row r="147" ht="15.75" customHeight="1">
      <c r="M147" s="5"/>
    </row>
    <row r="148" ht="15.75" customHeight="1">
      <c r="M148" s="5"/>
    </row>
    <row r="149" ht="15.75" customHeight="1">
      <c r="M149" s="5"/>
    </row>
    <row r="150" ht="15.75" customHeight="1">
      <c r="M150" s="5"/>
    </row>
    <row r="151" ht="15.75" customHeight="1">
      <c r="M151" s="5"/>
    </row>
    <row r="152" ht="15.75" customHeight="1">
      <c r="M152" s="5"/>
    </row>
    <row r="153" ht="15.75" customHeight="1">
      <c r="M153" s="5"/>
    </row>
    <row r="154" ht="15.75" customHeight="1">
      <c r="M154" s="5"/>
    </row>
    <row r="155" ht="15.75" customHeight="1">
      <c r="M155" s="5"/>
    </row>
    <row r="156" ht="15.75" customHeight="1">
      <c r="M156" s="5"/>
    </row>
    <row r="157" ht="15.75" customHeight="1">
      <c r="M157" s="5"/>
    </row>
    <row r="158" ht="15.75" customHeight="1">
      <c r="M158" s="5"/>
    </row>
    <row r="159" ht="15.75" customHeight="1">
      <c r="M159" s="5"/>
    </row>
    <row r="160" ht="15.75" customHeight="1">
      <c r="M160" s="5"/>
    </row>
    <row r="161" ht="15.75" customHeight="1">
      <c r="M161" s="5"/>
    </row>
    <row r="162" ht="15.75" customHeight="1">
      <c r="M162" s="5"/>
    </row>
    <row r="163" ht="15.75" customHeight="1">
      <c r="M163" s="5"/>
    </row>
    <row r="164" ht="15.75" customHeight="1">
      <c r="M164" s="5"/>
    </row>
    <row r="165" ht="15.75" customHeight="1">
      <c r="M165" s="5"/>
    </row>
    <row r="166" ht="15.75" customHeight="1">
      <c r="M166" s="5"/>
    </row>
    <row r="167" ht="15.75" customHeight="1">
      <c r="M167" s="5"/>
    </row>
    <row r="168" ht="15.75" customHeight="1">
      <c r="M168" s="5"/>
    </row>
    <row r="169" ht="15.75" customHeight="1">
      <c r="M169" s="5"/>
    </row>
    <row r="170" ht="15.75" customHeight="1">
      <c r="M170" s="5"/>
    </row>
    <row r="171" ht="15.75" customHeight="1">
      <c r="M171" s="5"/>
    </row>
    <row r="172" ht="15.75" customHeight="1">
      <c r="M172" s="5"/>
    </row>
    <row r="173" ht="15.75" customHeight="1">
      <c r="M173" s="5"/>
    </row>
    <row r="174" ht="15.75" customHeight="1">
      <c r="M174" s="5"/>
    </row>
    <row r="175" ht="15.75" customHeight="1">
      <c r="M175" s="5"/>
    </row>
    <row r="176" ht="15.75" customHeight="1">
      <c r="M176" s="5"/>
    </row>
    <row r="177" ht="15.75" customHeight="1">
      <c r="M177" s="5"/>
    </row>
    <row r="178" ht="15.75" customHeight="1">
      <c r="M178" s="5"/>
    </row>
    <row r="179" ht="15.75" customHeight="1">
      <c r="M179" s="5"/>
    </row>
    <row r="180" ht="15.75" customHeight="1">
      <c r="M180" s="5"/>
    </row>
    <row r="181" ht="15.75" customHeight="1">
      <c r="M181" s="5"/>
    </row>
    <row r="182" ht="15.75" customHeight="1">
      <c r="M182" s="5"/>
    </row>
    <row r="183" ht="15.75" customHeight="1">
      <c r="M183" s="5"/>
    </row>
    <row r="184" ht="15.75" customHeight="1">
      <c r="M184" s="5"/>
    </row>
    <row r="185" ht="15.75" customHeight="1">
      <c r="M185" s="5"/>
    </row>
    <row r="186" ht="15.75" customHeight="1">
      <c r="M186" s="5"/>
    </row>
    <row r="187" ht="15.75" customHeight="1">
      <c r="M187" s="5"/>
    </row>
    <row r="188" ht="15.75" customHeight="1">
      <c r="M188" s="5"/>
    </row>
    <row r="189" ht="15.75" customHeight="1">
      <c r="M189" s="5"/>
    </row>
    <row r="190" ht="15.75" customHeight="1">
      <c r="M190" s="5"/>
    </row>
    <row r="191" ht="15.75" customHeight="1">
      <c r="M191" s="5"/>
    </row>
    <row r="192" ht="15.75" customHeight="1">
      <c r="M192" s="5"/>
    </row>
    <row r="193" ht="15.75" customHeight="1">
      <c r="M193" s="5"/>
    </row>
    <row r="194" ht="15.75" customHeight="1">
      <c r="M194" s="5"/>
    </row>
    <row r="195" ht="15.75" customHeight="1">
      <c r="M195" s="5"/>
    </row>
    <row r="196" ht="15.75" customHeight="1">
      <c r="M196" s="5"/>
    </row>
    <row r="197" ht="15.75" customHeight="1">
      <c r="M197" s="5"/>
    </row>
    <row r="198" ht="15.75" customHeight="1">
      <c r="M198" s="5"/>
    </row>
    <row r="199" ht="15.75" customHeight="1">
      <c r="M199" s="5"/>
    </row>
    <row r="200" ht="15.75" customHeight="1">
      <c r="M200" s="5"/>
    </row>
    <row r="201" ht="15.75" customHeight="1">
      <c r="M201" s="5"/>
    </row>
    <row r="202" ht="15.75" customHeight="1">
      <c r="M202" s="5"/>
    </row>
    <row r="203" ht="15.75" customHeight="1">
      <c r="M203" s="5"/>
    </row>
    <row r="204" ht="15.75" customHeight="1">
      <c r="M204" s="5"/>
    </row>
    <row r="205" ht="15.75" customHeight="1">
      <c r="M205" s="5"/>
    </row>
    <row r="206" ht="15.75" customHeight="1">
      <c r="M206" s="5"/>
    </row>
    <row r="207" ht="15.75" customHeight="1">
      <c r="M207" s="5"/>
    </row>
    <row r="208" ht="15.75" customHeight="1">
      <c r="M208" s="5"/>
    </row>
    <row r="209" ht="15.75" customHeight="1">
      <c r="M209" s="5"/>
    </row>
    <row r="210" ht="15.75" customHeight="1">
      <c r="M210" s="5"/>
    </row>
    <row r="211" ht="15.75" customHeight="1">
      <c r="M211" s="5"/>
    </row>
    <row r="212" ht="15.75" customHeight="1">
      <c r="M212" s="5"/>
    </row>
    <row r="213" ht="15.75" customHeight="1">
      <c r="M213" s="5"/>
    </row>
    <row r="214" ht="15.75" customHeight="1">
      <c r="M214" s="5"/>
    </row>
    <row r="215" ht="15.75" customHeight="1">
      <c r="M215" s="5"/>
    </row>
    <row r="216" ht="15.75" customHeight="1">
      <c r="M216" s="5"/>
    </row>
    <row r="217" ht="15.75" customHeight="1">
      <c r="M217" s="5"/>
    </row>
    <row r="218" ht="15.75" customHeight="1">
      <c r="M218" s="5"/>
    </row>
    <row r="219" ht="15.75" customHeight="1">
      <c r="M219" s="5"/>
    </row>
    <row r="220" ht="15.75" customHeight="1">
      <c r="M220" s="5"/>
    </row>
    <row r="221" ht="15.75" customHeight="1">
      <c r="M221" s="5"/>
    </row>
    <row r="222" ht="15.75" customHeight="1">
      <c r="M222" s="5"/>
    </row>
    <row r="223" ht="15.75" customHeight="1">
      <c r="M223" s="5"/>
    </row>
    <row r="224" ht="15.75" customHeight="1">
      <c r="M224" s="5"/>
    </row>
    <row r="225" ht="15.75" customHeight="1">
      <c r="M225" s="5"/>
    </row>
    <row r="226" ht="15.75" customHeight="1">
      <c r="M226" s="5"/>
    </row>
    <row r="227" ht="15.75" customHeight="1">
      <c r="M227" s="5"/>
    </row>
    <row r="228" ht="15.75" customHeight="1">
      <c r="M228" s="5"/>
    </row>
    <row r="229" ht="15.75" customHeight="1">
      <c r="M229" s="5"/>
    </row>
    <row r="230" ht="15.75" customHeight="1">
      <c r="M230" s="5"/>
    </row>
    <row r="231" ht="15.75" customHeight="1">
      <c r="M231" s="5"/>
    </row>
    <row r="232" ht="15.75" customHeight="1">
      <c r="M232" s="5"/>
    </row>
    <row r="233" ht="15.75" customHeight="1">
      <c r="M233" s="5"/>
    </row>
    <row r="234" ht="15.75" customHeight="1">
      <c r="M234" s="5"/>
    </row>
    <row r="235" ht="15.75" customHeight="1">
      <c r="M235" s="5"/>
    </row>
    <row r="236" ht="15.75" customHeight="1">
      <c r="M236" s="5"/>
    </row>
    <row r="237" ht="15.75" customHeight="1">
      <c r="M237" s="5"/>
    </row>
    <row r="238" ht="15.75" customHeight="1">
      <c r="M238" s="5"/>
    </row>
    <row r="239" ht="15.75" customHeight="1">
      <c r="M239" s="5"/>
    </row>
    <row r="240" ht="15.75" customHeight="1">
      <c r="M240" s="5"/>
    </row>
    <row r="241" ht="15.75" customHeight="1">
      <c r="M241" s="5"/>
    </row>
    <row r="242" ht="15.75" customHeight="1">
      <c r="M242" s="5"/>
    </row>
    <row r="243" ht="15.75" customHeight="1">
      <c r="M243" s="5"/>
    </row>
    <row r="244" ht="15.75" customHeight="1">
      <c r="M244" s="5"/>
    </row>
    <row r="245" ht="15.75" customHeight="1">
      <c r="M245" s="5"/>
    </row>
    <row r="246" ht="15.75" customHeight="1">
      <c r="M246" s="5"/>
    </row>
    <row r="247" ht="15.75" customHeight="1">
      <c r="M247" s="5"/>
    </row>
    <row r="248" ht="15.75" customHeight="1">
      <c r="M248" s="5"/>
    </row>
    <row r="249" ht="15.75" customHeight="1">
      <c r="M249" s="5"/>
    </row>
    <row r="250" ht="15.75" customHeight="1">
      <c r="M250" s="5"/>
    </row>
    <row r="251" ht="15.75" customHeight="1">
      <c r="M251" s="5"/>
    </row>
    <row r="252" ht="15.75" customHeight="1">
      <c r="M252" s="5"/>
    </row>
    <row r="253" ht="15.75" customHeight="1">
      <c r="M253" s="5"/>
    </row>
    <row r="254" ht="15.75" customHeight="1">
      <c r="M254" s="5"/>
    </row>
    <row r="255" ht="15.75" customHeight="1">
      <c r="M255" s="5"/>
    </row>
    <row r="256" ht="15.75" customHeight="1">
      <c r="M256" s="5"/>
    </row>
    <row r="257" ht="15.75" customHeight="1">
      <c r="M257" s="5"/>
    </row>
    <row r="258" ht="15.75" customHeight="1">
      <c r="M258" s="5"/>
    </row>
    <row r="259" ht="15.75" customHeight="1">
      <c r="M259" s="5"/>
    </row>
    <row r="260" ht="15.75" customHeight="1">
      <c r="M260" s="5"/>
    </row>
    <row r="261" ht="15.75" customHeight="1">
      <c r="M261" s="5"/>
    </row>
    <row r="262" ht="15.75" customHeight="1">
      <c r="M262" s="5"/>
    </row>
    <row r="263" ht="15.75" customHeight="1">
      <c r="M263" s="5"/>
    </row>
    <row r="264" ht="15.75" customHeight="1">
      <c r="M264" s="5"/>
    </row>
    <row r="265" ht="15.75" customHeight="1">
      <c r="M265" s="5"/>
    </row>
    <row r="266" ht="15.75" customHeight="1">
      <c r="M266" s="5"/>
    </row>
    <row r="267" ht="15.75" customHeight="1">
      <c r="M267" s="5"/>
    </row>
    <row r="268" ht="15.75" customHeight="1">
      <c r="M268" s="5"/>
    </row>
    <row r="269" ht="15.75" customHeight="1">
      <c r="M269" s="5"/>
    </row>
    <row r="270" ht="15.75" customHeight="1">
      <c r="M270" s="5"/>
    </row>
    <row r="271" ht="15.75" customHeight="1">
      <c r="M271" s="5"/>
    </row>
    <row r="272" ht="15.75" customHeight="1">
      <c r="M272" s="5"/>
    </row>
    <row r="273" ht="15.75" customHeight="1">
      <c r="M273" s="5"/>
    </row>
    <row r="274" ht="15.75" customHeight="1">
      <c r="M274" s="5"/>
    </row>
    <row r="275" ht="15.75" customHeight="1">
      <c r="M275" s="5"/>
    </row>
    <row r="276" ht="15.75" customHeight="1">
      <c r="M276" s="5"/>
    </row>
    <row r="277" ht="15.75" customHeight="1">
      <c r="M277" s="5"/>
    </row>
    <row r="278" ht="15.75" customHeight="1">
      <c r="M278" s="5"/>
    </row>
    <row r="279" ht="15.75" customHeight="1">
      <c r="M279" s="5"/>
    </row>
    <row r="280" ht="15.75" customHeight="1">
      <c r="M280" s="5"/>
    </row>
    <row r="281" ht="15.75" customHeight="1">
      <c r="M281" s="5"/>
    </row>
    <row r="282" ht="15.75" customHeight="1">
      <c r="M282" s="5"/>
    </row>
    <row r="283" ht="15.75" customHeight="1">
      <c r="M283" s="5"/>
    </row>
    <row r="284" ht="15.75" customHeight="1">
      <c r="M284" s="5"/>
    </row>
    <row r="285" ht="15.75" customHeight="1">
      <c r="M285" s="5"/>
    </row>
    <row r="286" ht="15.75" customHeight="1">
      <c r="M286" s="5"/>
    </row>
    <row r="287" ht="15.75" customHeight="1">
      <c r="M287" s="5"/>
    </row>
    <row r="288" ht="15.75" customHeight="1">
      <c r="M288" s="5"/>
    </row>
    <row r="289" ht="15.75" customHeight="1">
      <c r="M289" s="5"/>
    </row>
    <row r="290" ht="15.75" customHeight="1">
      <c r="M290" s="5"/>
    </row>
    <row r="291" ht="15.75" customHeight="1">
      <c r="M291" s="5"/>
    </row>
    <row r="292" ht="15.75" customHeight="1">
      <c r="M292" s="5"/>
    </row>
    <row r="293" ht="15.75" customHeight="1">
      <c r="M293" s="5"/>
    </row>
    <row r="294" ht="15.75" customHeight="1">
      <c r="M294" s="5"/>
    </row>
    <row r="295" ht="15.75" customHeight="1">
      <c r="M295" s="5"/>
    </row>
    <row r="296" ht="15.75" customHeight="1">
      <c r="M296" s="5"/>
    </row>
    <row r="297" ht="15.75" customHeight="1">
      <c r="M297" s="5"/>
    </row>
    <row r="298" ht="15.75" customHeight="1">
      <c r="M298" s="5"/>
    </row>
    <row r="299" ht="15.75" customHeight="1">
      <c r="M299" s="5"/>
    </row>
    <row r="300" ht="15.75" customHeight="1">
      <c r="M300" s="5"/>
    </row>
    <row r="301" ht="15.75" customHeight="1">
      <c r="M301" s="5"/>
    </row>
    <row r="302" ht="15.75" customHeight="1">
      <c r="M302" s="5"/>
    </row>
    <row r="303" ht="15.75" customHeight="1">
      <c r="M303" s="5"/>
    </row>
    <row r="304" ht="15.75" customHeight="1">
      <c r="M304" s="5"/>
    </row>
    <row r="305" ht="15.75" customHeight="1">
      <c r="M305" s="5"/>
    </row>
    <row r="306" ht="15.75" customHeight="1">
      <c r="M306" s="5"/>
    </row>
    <row r="307" ht="15.75" customHeight="1">
      <c r="M307" s="5"/>
    </row>
    <row r="308" ht="15.75" customHeight="1">
      <c r="M308" s="5"/>
    </row>
    <row r="309" ht="15.75" customHeight="1">
      <c r="M309" s="5"/>
    </row>
    <row r="310" ht="15.75" customHeight="1">
      <c r="M310" s="5"/>
    </row>
    <row r="311" ht="15.75" customHeight="1">
      <c r="M311" s="5"/>
    </row>
    <row r="312" ht="15.75" customHeight="1">
      <c r="M312" s="5"/>
    </row>
    <row r="313" ht="15.75" customHeight="1">
      <c r="M313" s="5"/>
    </row>
    <row r="314" ht="15.75" customHeight="1">
      <c r="M314" s="5"/>
    </row>
    <row r="315" ht="15.75" customHeight="1">
      <c r="M315" s="5"/>
    </row>
    <row r="316" ht="15.75" customHeight="1">
      <c r="M316" s="5"/>
    </row>
    <row r="317" ht="15.75" customHeight="1">
      <c r="M317" s="5"/>
    </row>
    <row r="318" ht="15.75" customHeight="1">
      <c r="M318" s="5"/>
    </row>
    <row r="319" ht="15.75" customHeight="1">
      <c r="M319" s="5"/>
    </row>
    <row r="320" ht="15.75" customHeight="1">
      <c r="M320" s="5"/>
    </row>
    <row r="321" ht="15.75" customHeight="1">
      <c r="M321" s="5"/>
    </row>
    <row r="322" ht="15.75" customHeight="1">
      <c r="M322" s="5"/>
    </row>
    <row r="323" ht="15.75" customHeight="1">
      <c r="M323" s="5"/>
    </row>
    <row r="324" ht="15.75" customHeight="1">
      <c r="M324" s="5"/>
    </row>
    <row r="325" ht="15.75" customHeight="1">
      <c r="M325" s="5"/>
    </row>
    <row r="326" ht="15.75" customHeight="1">
      <c r="M326" s="5"/>
    </row>
    <row r="327" ht="15.75" customHeight="1">
      <c r="M327" s="5"/>
    </row>
    <row r="328" ht="15.75" customHeight="1">
      <c r="M328" s="5"/>
    </row>
    <row r="329" ht="15.75" customHeight="1">
      <c r="M329" s="5"/>
    </row>
    <row r="330" ht="15.75" customHeight="1">
      <c r="M330" s="5"/>
    </row>
    <row r="331" ht="15.75" customHeight="1">
      <c r="M331" s="5"/>
    </row>
    <row r="332" ht="15.75" customHeight="1">
      <c r="M332" s="5"/>
    </row>
    <row r="333" ht="15.75" customHeight="1">
      <c r="M333" s="5"/>
    </row>
    <row r="334" ht="15.75" customHeight="1">
      <c r="M334" s="5"/>
    </row>
    <row r="335" ht="15.75" customHeight="1">
      <c r="M335" s="5"/>
    </row>
    <row r="336" ht="15.75" customHeight="1">
      <c r="M336" s="5"/>
    </row>
    <row r="337" ht="15.75" customHeight="1">
      <c r="M337" s="5"/>
    </row>
    <row r="338" ht="15.75" customHeight="1">
      <c r="M338" s="5"/>
    </row>
    <row r="339" ht="15.75" customHeight="1">
      <c r="M339" s="5"/>
    </row>
    <row r="340" ht="15.75" customHeight="1">
      <c r="M340" s="5"/>
    </row>
    <row r="341" ht="15.75" customHeight="1">
      <c r="M341" s="5"/>
    </row>
    <row r="342" ht="15.75" customHeight="1">
      <c r="M342" s="5"/>
    </row>
    <row r="343" ht="15.75" customHeight="1">
      <c r="M343" s="5"/>
    </row>
    <row r="344" ht="15.75" customHeight="1">
      <c r="M344" s="5"/>
    </row>
    <row r="345" ht="15.75" customHeight="1">
      <c r="M345" s="5"/>
    </row>
    <row r="346" ht="15.75" customHeight="1">
      <c r="M346" s="5"/>
    </row>
    <row r="347" ht="15.75" customHeight="1">
      <c r="M347" s="5"/>
    </row>
    <row r="348" ht="15.75" customHeight="1">
      <c r="M348" s="5"/>
    </row>
    <row r="349" ht="15.75" customHeight="1">
      <c r="M349" s="5"/>
    </row>
    <row r="350" ht="15.75" customHeight="1">
      <c r="M350" s="5"/>
    </row>
    <row r="351" ht="15.75" customHeight="1">
      <c r="M351" s="5"/>
    </row>
    <row r="352" ht="15.75" customHeight="1">
      <c r="M352" s="5"/>
    </row>
    <row r="353" ht="15.75" customHeight="1">
      <c r="M353" s="5"/>
    </row>
    <row r="354" ht="15.75" customHeight="1">
      <c r="M354" s="5"/>
    </row>
    <row r="355" ht="15.75" customHeight="1">
      <c r="M355" s="5"/>
    </row>
    <row r="356" ht="15.75" customHeight="1">
      <c r="M356" s="5"/>
    </row>
    <row r="357" ht="15.75" customHeight="1">
      <c r="M357" s="5"/>
    </row>
    <row r="358" ht="15.75" customHeight="1">
      <c r="M358" s="5"/>
    </row>
    <row r="359" ht="15.75" customHeight="1">
      <c r="M359" s="5"/>
    </row>
    <row r="360" ht="15.75" customHeight="1">
      <c r="M360" s="5"/>
    </row>
    <row r="361" ht="15.75" customHeight="1">
      <c r="M361" s="5"/>
    </row>
    <row r="362" ht="15.75" customHeight="1">
      <c r="M362" s="5"/>
    </row>
    <row r="363" ht="15.75" customHeight="1">
      <c r="M363" s="5"/>
    </row>
    <row r="364" ht="15.75" customHeight="1">
      <c r="M364" s="5"/>
    </row>
    <row r="365" ht="15.75" customHeight="1">
      <c r="M365" s="5"/>
    </row>
    <row r="366" ht="15.75" customHeight="1">
      <c r="M366" s="5"/>
    </row>
    <row r="367" ht="15.75" customHeight="1">
      <c r="M367" s="5"/>
    </row>
    <row r="368" ht="15.75" customHeight="1">
      <c r="M368" s="5"/>
    </row>
    <row r="369" ht="15.75" customHeight="1">
      <c r="M369" s="5"/>
    </row>
    <row r="370" ht="15.75" customHeight="1">
      <c r="M370" s="5"/>
    </row>
    <row r="371" ht="15.75" customHeight="1">
      <c r="M371" s="5"/>
    </row>
    <row r="372" ht="15.75" customHeight="1">
      <c r="M372" s="5"/>
    </row>
    <row r="373" ht="15.75" customHeight="1">
      <c r="M373" s="5"/>
    </row>
    <row r="374" ht="15.75" customHeight="1">
      <c r="M374" s="5"/>
    </row>
    <row r="375" ht="15.75" customHeight="1">
      <c r="M375" s="5"/>
    </row>
    <row r="376" ht="15.75" customHeight="1">
      <c r="M376" s="5"/>
    </row>
    <row r="377" ht="15.75" customHeight="1">
      <c r="M377" s="5"/>
    </row>
    <row r="378" ht="15.75" customHeight="1">
      <c r="M378" s="5"/>
    </row>
    <row r="379" ht="15.75" customHeight="1">
      <c r="M379" s="5"/>
    </row>
    <row r="380" ht="15.75" customHeight="1">
      <c r="M380" s="5"/>
    </row>
    <row r="381" ht="15.75" customHeight="1">
      <c r="M381" s="5"/>
    </row>
    <row r="382" ht="15.75" customHeight="1">
      <c r="M382" s="5"/>
    </row>
    <row r="383" ht="15.75" customHeight="1">
      <c r="M383" s="5"/>
    </row>
    <row r="384" ht="15.75" customHeight="1">
      <c r="M384" s="5"/>
    </row>
    <row r="385" ht="15.75" customHeight="1">
      <c r="M385" s="5"/>
    </row>
    <row r="386" ht="15.75" customHeight="1">
      <c r="M386" s="5"/>
    </row>
    <row r="387" ht="15.75" customHeight="1">
      <c r="M387" s="5"/>
    </row>
    <row r="388" ht="15.75" customHeight="1">
      <c r="M388" s="5"/>
    </row>
    <row r="389" ht="15.75" customHeight="1">
      <c r="M389" s="5"/>
    </row>
    <row r="390" ht="15.75" customHeight="1">
      <c r="M390" s="5"/>
    </row>
    <row r="391" ht="15.75" customHeight="1">
      <c r="M391" s="5"/>
    </row>
    <row r="392" ht="15.75" customHeight="1">
      <c r="M392" s="5"/>
    </row>
    <row r="393" ht="15.75" customHeight="1">
      <c r="M393" s="5"/>
    </row>
    <row r="394" ht="15.75" customHeight="1">
      <c r="M394" s="5"/>
    </row>
    <row r="395" ht="15.75" customHeight="1">
      <c r="M395" s="5"/>
    </row>
    <row r="396" ht="15.75" customHeight="1">
      <c r="M396" s="5"/>
    </row>
    <row r="397" ht="15.75" customHeight="1">
      <c r="M397" s="5"/>
    </row>
    <row r="398" ht="15.75" customHeight="1">
      <c r="M398" s="5"/>
    </row>
    <row r="399" ht="15.75" customHeight="1">
      <c r="M399" s="5"/>
    </row>
    <row r="400" ht="15.75" customHeight="1">
      <c r="M400" s="5"/>
    </row>
    <row r="401" ht="15.75" customHeight="1">
      <c r="M401" s="5"/>
    </row>
    <row r="402" ht="15.75" customHeight="1">
      <c r="M402" s="5"/>
    </row>
    <row r="403" ht="15.75" customHeight="1">
      <c r="M403" s="5"/>
    </row>
    <row r="404" ht="15.75" customHeight="1">
      <c r="M404" s="5"/>
    </row>
    <row r="405" ht="15.75" customHeight="1">
      <c r="M405" s="5"/>
    </row>
    <row r="406" ht="15.75" customHeight="1">
      <c r="M406" s="5"/>
    </row>
    <row r="407" ht="15.75" customHeight="1">
      <c r="M407" s="5"/>
    </row>
    <row r="408" ht="15.75" customHeight="1">
      <c r="M408" s="5"/>
    </row>
    <row r="409" ht="15.75" customHeight="1">
      <c r="M409" s="5"/>
    </row>
    <row r="410" ht="15.75" customHeight="1">
      <c r="M410" s="5"/>
    </row>
    <row r="411" ht="15.75" customHeight="1">
      <c r="M411" s="5"/>
    </row>
    <row r="412" ht="15.75" customHeight="1">
      <c r="M412" s="5"/>
    </row>
    <row r="413" ht="15.75" customHeight="1">
      <c r="M413" s="5"/>
    </row>
    <row r="414" ht="15.75" customHeight="1">
      <c r="M414" s="5"/>
    </row>
    <row r="415" ht="15.75" customHeight="1">
      <c r="M415" s="5"/>
    </row>
    <row r="416" ht="15.75" customHeight="1">
      <c r="M416" s="5"/>
    </row>
    <row r="417" ht="15.75" customHeight="1">
      <c r="M417" s="5"/>
    </row>
    <row r="418" ht="15.75" customHeight="1">
      <c r="M418" s="5"/>
    </row>
    <row r="419" ht="15.75" customHeight="1">
      <c r="M419" s="5"/>
    </row>
    <row r="420" ht="15.75" customHeight="1">
      <c r="M420" s="5"/>
    </row>
    <row r="421" ht="15.75" customHeight="1">
      <c r="M421" s="5"/>
    </row>
    <row r="422" ht="15.75" customHeight="1">
      <c r="M422" s="5"/>
    </row>
    <row r="423" ht="15.75" customHeight="1">
      <c r="M423" s="5"/>
    </row>
    <row r="424" ht="15.75" customHeight="1">
      <c r="M424" s="5"/>
    </row>
    <row r="425" ht="15.75" customHeight="1">
      <c r="M425" s="5"/>
    </row>
    <row r="426" ht="15.75" customHeight="1">
      <c r="M426" s="5"/>
    </row>
    <row r="427" ht="15.75" customHeight="1">
      <c r="M427" s="5"/>
    </row>
    <row r="428" ht="15.75" customHeight="1">
      <c r="M428" s="5"/>
    </row>
    <row r="429" ht="15.75" customHeight="1">
      <c r="M429" s="5"/>
    </row>
    <row r="430" ht="15.75" customHeight="1">
      <c r="M430" s="5"/>
    </row>
    <row r="431" ht="15.75" customHeight="1">
      <c r="M431" s="5"/>
    </row>
    <row r="432" ht="15.75" customHeight="1">
      <c r="M432" s="5"/>
    </row>
    <row r="433" ht="15.75" customHeight="1">
      <c r="M433" s="5"/>
    </row>
    <row r="434" ht="15.75" customHeight="1">
      <c r="M434" s="5"/>
    </row>
    <row r="435" ht="15.75" customHeight="1">
      <c r="M435" s="5"/>
    </row>
    <row r="436" ht="15.75" customHeight="1">
      <c r="M436" s="5"/>
    </row>
    <row r="437" ht="15.75" customHeight="1">
      <c r="M437" s="5"/>
    </row>
    <row r="438" ht="15.75" customHeight="1">
      <c r="M438" s="5"/>
    </row>
    <row r="439" ht="15.75" customHeight="1">
      <c r="M439" s="5"/>
    </row>
    <row r="440" ht="15.75" customHeight="1">
      <c r="M440" s="5"/>
    </row>
    <row r="441" ht="15.75" customHeight="1">
      <c r="M441" s="5"/>
    </row>
    <row r="442" ht="15.75" customHeight="1">
      <c r="M442" s="5"/>
    </row>
    <row r="443" ht="15.75" customHeight="1">
      <c r="M443" s="5"/>
    </row>
    <row r="444" ht="15.75" customHeight="1">
      <c r="M444" s="5"/>
    </row>
    <row r="445" ht="15.75" customHeight="1">
      <c r="M445" s="5"/>
    </row>
    <row r="446" ht="15.75" customHeight="1">
      <c r="M446" s="5"/>
    </row>
    <row r="447" ht="15.75" customHeight="1">
      <c r="M447" s="5"/>
    </row>
    <row r="448" ht="15.75" customHeight="1">
      <c r="M448" s="5"/>
    </row>
    <row r="449" ht="15.75" customHeight="1">
      <c r="M449" s="5"/>
    </row>
    <row r="450" ht="15.75" customHeight="1">
      <c r="M450" s="5"/>
    </row>
    <row r="451" ht="15.75" customHeight="1">
      <c r="M451" s="5"/>
    </row>
    <row r="452" ht="15.75" customHeight="1">
      <c r="M452" s="5"/>
    </row>
    <row r="453" ht="15.75" customHeight="1">
      <c r="M453" s="5"/>
    </row>
    <row r="454" ht="15.75" customHeight="1">
      <c r="M454" s="5"/>
    </row>
    <row r="455" ht="15.75" customHeight="1">
      <c r="M455" s="5"/>
    </row>
    <row r="456" ht="15.75" customHeight="1">
      <c r="M456" s="5"/>
    </row>
    <row r="457" ht="15.75" customHeight="1">
      <c r="M457" s="5"/>
    </row>
    <row r="458" ht="15.75" customHeight="1">
      <c r="M458" s="5"/>
    </row>
    <row r="459" ht="15.75" customHeight="1">
      <c r="M459" s="5"/>
    </row>
    <row r="460" ht="15.75" customHeight="1">
      <c r="M460" s="5"/>
    </row>
    <row r="461" ht="15.75" customHeight="1">
      <c r="M461" s="5"/>
    </row>
    <row r="462" ht="15.75" customHeight="1">
      <c r="M462" s="5"/>
    </row>
    <row r="463" ht="15.75" customHeight="1">
      <c r="M463" s="5"/>
    </row>
    <row r="464" ht="15.75" customHeight="1">
      <c r="M464" s="5"/>
    </row>
    <row r="465" ht="15.75" customHeight="1">
      <c r="M465" s="5"/>
    </row>
    <row r="466" ht="15.75" customHeight="1">
      <c r="M466" s="5"/>
    </row>
    <row r="467" ht="15.75" customHeight="1">
      <c r="M467" s="5"/>
    </row>
    <row r="468" ht="15.75" customHeight="1">
      <c r="M468" s="5"/>
    </row>
    <row r="469" ht="15.75" customHeight="1">
      <c r="M469" s="5"/>
    </row>
    <row r="470" ht="15.75" customHeight="1">
      <c r="M470" s="5"/>
    </row>
    <row r="471" ht="15.75" customHeight="1">
      <c r="M471" s="5"/>
    </row>
    <row r="472" ht="15.75" customHeight="1">
      <c r="M472" s="5"/>
    </row>
    <row r="473" ht="15.75" customHeight="1">
      <c r="M473" s="5"/>
    </row>
    <row r="474" ht="15.75" customHeight="1">
      <c r="M474" s="5"/>
    </row>
    <row r="475" ht="15.75" customHeight="1">
      <c r="M475" s="5"/>
    </row>
    <row r="476" ht="15.75" customHeight="1">
      <c r="M476" s="5"/>
    </row>
    <row r="477" ht="15.75" customHeight="1">
      <c r="M477" s="5"/>
    </row>
    <row r="478" ht="15.75" customHeight="1">
      <c r="M478" s="5"/>
    </row>
    <row r="479" ht="15.75" customHeight="1">
      <c r="M479" s="5"/>
    </row>
    <row r="480" ht="15.75" customHeight="1">
      <c r="M480" s="5"/>
    </row>
    <row r="481" ht="15.75" customHeight="1">
      <c r="M481" s="5"/>
    </row>
    <row r="482" ht="15.75" customHeight="1">
      <c r="M482" s="5"/>
    </row>
    <row r="483" ht="15.75" customHeight="1">
      <c r="M483" s="5"/>
    </row>
    <row r="484" ht="15.75" customHeight="1">
      <c r="M484" s="5"/>
    </row>
    <row r="485" ht="15.75" customHeight="1">
      <c r="M485" s="5"/>
    </row>
    <row r="486" ht="15.75" customHeight="1">
      <c r="M486" s="5"/>
    </row>
    <row r="487" ht="15.75" customHeight="1">
      <c r="M487" s="5"/>
    </row>
    <row r="488" ht="15.75" customHeight="1">
      <c r="M488" s="5"/>
    </row>
    <row r="489" ht="15.75" customHeight="1">
      <c r="M489" s="5"/>
    </row>
    <row r="490" ht="15.75" customHeight="1">
      <c r="M490" s="5"/>
    </row>
    <row r="491" ht="15.75" customHeight="1">
      <c r="M491" s="5"/>
    </row>
    <row r="492" ht="15.75" customHeight="1">
      <c r="M492" s="5"/>
    </row>
    <row r="493" ht="15.75" customHeight="1">
      <c r="M493" s="5"/>
    </row>
    <row r="494" ht="15.75" customHeight="1">
      <c r="M494" s="5"/>
    </row>
    <row r="495" ht="15.75" customHeight="1">
      <c r="M495" s="5"/>
    </row>
    <row r="496" ht="15.75" customHeight="1">
      <c r="M496" s="5"/>
    </row>
    <row r="497" ht="15.75" customHeight="1">
      <c r="M497" s="5"/>
    </row>
    <row r="498" ht="15.75" customHeight="1">
      <c r="M498" s="5"/>
    </row>
    <row r="499" ht="15.75" customHeight="1">
      <c r="M499" s="5"/>
    </row>
    <row r="500" ht="15.75" customHeight="1">
      <c r="M500" s="5"/>
    </row>
    <row r="501" ht="15.75" customHeight="1">
      <c r="M501" s="5"/>
    </row>
    <row r="502" ht="15.75" customHeight="1">
      <c r="M502" s="5"/>
    </row>
    <row r="503" ht="15.75" customHeight="1">
      <c r="M503" s="5"/>
    </row>
    <row r="504" ht="15.75" customHeight="1">
      <c r="M504" s="5"/>
    </row>
    <row r="505" ht="15.75" customHeight="1">
      <c r="M505" s="5"/>
    </row>
    <row r="506" ht="15.75" customHeight="1">
      <c r="M506" s="5"/>
    </row>
    <row r="507" ht="15.75" customHeight="1">
      <c r="M507" s="5"/>
    </row>
    <row r="508" ht="15.75" customHeight="1">
      <c r="M508" s="5"/>
    </row>
    <row r="509" ht="15.75" customHeight="1">
      <c r="M509" s="5"/>
    </row>
    <row r="510" ht="15.75" customHeight="1">
      <c r="M510" s="5"/>
    </row>
    <row r="511" ht="15.75" customHeight="1">
      <c r="M511" s="5"/>
    </row>
    <row r="512" ht="15.75" customHeight="1">
      <c r="M512" s="5"/>
    </row>
    <row r="513" ht="15.75" customHeight="1">
      <c r="M513" s="5"/>
    </row>
    <row r="514" ht="15.75" customHeight="1">
      <c r="M514" s="5"/>
    </row>
    <row r="515" ht="15.75" customHeight="1">
      <c r="M515" s="5"/>
    </row>
    <row r="516" ht="15.75" customHeight="1">
      <c r="M516" s="5"/>
    </row>
    <row r="517" ht="15.75" customHeight="1">
      <c r="M517" s="5"/>
    </row>
    <row r="518" ht="15.75" customHeight="1">
      <c r="M518" s="5"/>
    </row>
    <row r="519" ht="15.75" customHeight="1">
      <c r="M519" s="5"/>
    </row>
    <row r="520" ht="15.75" customHeight="1">
      <c r="M520" s="5"/>
    </row>
    <row r="521" ht="15.75" customHeight="1">
      <c r="M521" s="5"/>
    </row>
    <row r="522" ht="15.75" customHeight="1">
      <c r="M522" s="5"/>
    </row>
    <row r="523" ht="15.75" customHeight="1">
      <c r="M523" s="5"/>
    </row>
    <row r="524" ht="15.75" customHeight="1">
      <c r="M524" s="5"/>
    </row>
    <row r="525" ht="15.75" customHeight="1">
      <c r="M525" s="5"/>
    </row>
    <row r="526" ht="15.75" customHeight="1">
      <c r="M526" s="5"/>
    </row>
    <row r="527" ht="15.75" customHeight="1">
      <c r="M527" s="5"/>
    </row>
    <row r="528" ht="15.75" customHeight="1">
      <c r="M528" s="5"/>
    </row>
    <row r="529" ht="15.75" customHeight="1">
      <c r="M529" s="5"/>
    </row>
    <row r="530" ht="15.75" customHeight="1">
      <c r="M530" s="5"/>
    </row>
    <row r="531" ht="15.75" customHeight="1">
      <c r="M531" s="5"/>
    </row>
    <row r="532" ht="15.75" customHeight="1">
      <c r="M532" s="5"/>
    </row>
    <row r="533" ht="15.75" customHeight="1">
      <c r="M533" s="5"/>
    </row>
    <row r="534" ht="15.75" customHeight="1">
      <c r="M534" s="5"/>
    </row>
    <row r="535" ht="15.75" customHeight="1">
      <c r="M535" s="5"/>
    </row>
    <row r="536" ht="15.75" customHeight="1">
      <c r="M536" s="5"/>
    </row>
    <row r="537" ht="15.75" customHeight="1">
      <c r="M537" s="5"/>
    </row>
    <row r="538" ht="15.75" customHeight="1">
      <c r="M538" s="5"/>
    </row>
    <row r="539" ht="15.75" customHeight="1">
      <c r="M539" s="5"/>
    </row>
    <row r="540" ht="15.75" customHeight="1">
      <c r="M540" s="5"/>
    </row>
    <row r="541" ht="15.75" customHeight="1">
      <c r="M541" s="5"/>
    </row>
    <row r="542" ht="15.75" customHeight="1">
      <c r="M542" s="5"/>
    </row>
    <row r="543" ht="15.75" customHeight="1">
      <c r="M543" s="5"/>
    </row>
    <row r="544" ht="15.75" customHeight="1">
      <c r="M544" s="5"/>
    </row>
    <row r="545" ht="15.75" customHeight="1">
      <c r="M545" s="5"/>
    </row>
    <row r="546" ht="15.75" customHeight="1">
      <c r="M546" s="5"/>
    </row>
    <row r="547" ht="15.75" customHeight="1">
      <c r="M547" s="5"/>
    </row>
    <row r="548" ht="15.75" customHeight="1">
      <c r="M548" s="5"/>
    </row>
    <row r="549" ht="15.75" customHeight="1">
      <c r="M549" s="5"/>
    </row>
    <row r="550" ht="15.75" customHeight="1">
      <c r="M550" s="5"/>
    </row>
    <row r="551" ht="15.75" customHeight="1">
      <c r="M551" s="5"/>
    </row>
    <row r="552" ht="15.75" customHeight="1">
      <c r="M552" s="5"/>
    </row>
    <row r="553" ht="15.75" customHeight="1">
      <c r="M553" s="5"/>
    </row>
    <row r="554" ht="15.75" customHeight="1">
      <c r="M554" s="5"/>
    </row>
    <row r="555" ht="15.75" customHeight="1">
      <c r="M555" s="5"/>
    </row>
    <row r="556" ht="15.75" customHeight="1">
      <c r="M556" s="5"/>
    </row>
    <row r="557" ht="15.75" customHeight="1">
      <c r="M557" s="5"/>
    </row>
    <row r="558" ht="15.75" customHeight="1">
      <c r="M558" s="5"/>
    </row>
    <row r="559" ht="15.75" customHeight="1">
      <c r="M559" s="5"/>
    </row>
    <row r="560" ht="15.75" customHeight="1">
      <c r="M560" s="5"/>
    </row>
    <row r="561" ht="15.75" customHeight="1">
      <c r="M561" s="5"/>
    </row>
    <row r="562" ht="15.75" customHeight="1">
      <c r="M562" s="5"/>
    </row>
    <row r="563" ht="15.75" customHeight="1">
      <c r="M563" s="5"/>
    </row>
    <row r="564" ht="15.75" customHeight="1">
      <c r="M564" s="5"/>
    </row>
    <row r="565" ht="15.75" customHeight="1">
      <c r="M565" s="5"/>
    </row>
    <row r="566" ht="15.75" customHeight="1">
      <c r="M566" s="5"/>
    </row>
    <row r="567" ht="15.75" customHeight="1">
      <c r="M567" s="5"/>
    </row>
    <row r="568" ht="15.75" customHeight="1">
      <c r="M568" s="5"/>
    </row>
    <row r="569" ht="15.75" customHeight="1">
      <c r="M569" s="5"/>
    </row>
    <row r="570" ht="15.75" customHeight="1">
      <c r="M570" s="5"/>
    </row>
    <row r="571" ht="15.75" customHeight="1">
      <c r="M571" s="5"/>
    </row>
    <row r="572" ht="15.75" customHeight="1">
      <c r="M572" s="5"/>
    </row>
    <row r="573" ht="15.75" customHeight="1">
      <c r="M573" s="5"/>
    </row>
    <row r="574" ht="15.75" customHeight="1">
      <c r="M574" s="5"/>
    </row>
    <row r="575" ht="15.75" customHeight="1">
      <c r="M575" s="5"/>
    </row>
    <row r="576" ht="15.75" customHeight="1">
      <c r="M576" s="5"/>
    </row>
    <row r="577" ht="15.75" customHeight="1">
      <c r="M577" s="5"/>
    </row>
    <row r="578" ht="15.75" customHeight="1">
      <c r="M578" s="5"/>
    </row>
    <row r="579" ht="15.75" customHeight="1">
      <c r="M579" s="5"/>
    </row>
    <row r="580" ht="15.75" customHeight="1">
      <c r="M580" s="5"/>
    </row>
    <row r="581" ht="15.75" customHeight="1">
      <c r="M581" s="5"/>
    </row>
    <row r="582" ht="15.75" customHeight="1">
      <c r="M582" s="5"/>
    </row>
    <row r="583" ht="15.75" customHeight="1">
      <c r="M583" s="5"/>
    </row>
    <row r="584" ht="15.75" customHeight="1">
      <c r="M584" s="5"/>
    </row>
    <row r="585" ht="15.75" customHeight="1">
      <c r="M585" s="5"/>
    </row>
    <row r="586" ht="15.75" customHeight="1">
      <c r="M586" s="5"/>
    </row>
    <row r="587" ht="15.75" customHeight="1">
      <c r="M587" s="5"/>
    </row>
    <row r="588" ht="15.75" customHeight="1">
      <c r="M588" s="5"/>
    </row>
    <row r="589" ht="15.75" customHeight="1">
      <c r="M589" s="5"/>
    </row>
    <row r="590" ht="15.75" customHeight="1">
      <c r="M590" s="5"/>
    </row>
    <row r="591" ht="15.75" customHeight="1">
      <c r="M591" s="5"/>
    </row>
    <row r="592" ht="15.75" customHeight="1">
      <c r="M592" s="5"/>
    </row>
    <row r="593" ht="15.75" customHeight="1">
      <c r="M593" s="5"/>
    </row>
    <row r="594" ht="15.75" customHeight="1">
      <c r="M594" s="5"/>
    </row>
    <row r="595" ht="15.75" customHeight="1">
      <c r="M595" s="5"/>
    </row>
    <row r="596" ht="15.75" customHeight="1">
      <c r="M596" s="5"/>
    </row>
    <row r="597" ht="15.75" customHeight="1">
      <c r="M597" s="5"/>
    </row>
    <row r="598" ht="15.75" customHeight="1">
      <c r="M598" s="5"/>
    </row>
    <row r="599" ht="15.75" customHeight="1">
      <c r="M599" s="5"/>
    </row>
    <row r="600" ht="15.75" customHeight="1">
      <c r="M600" s="5"/>
    </row>
    <row r="601" ht="15.75" customHeight="1">
      <c r="M601" s="5"/>
    </row>
    <row r="602" ht="15.75" customHeight="1">
      <c r="M602" s="5"/>
    </row>
    <row r="603" ht="15.75" customHeight="1">
      <c r="M603" s="5"/>
    </row>
    <row r="604" ht="15.75" customHeight="1">
      <c r="M604" s="5"/>
    </row>
    <row r="605" ht="15.75" customHeight="1">
      <c r="M605" s="5"/>
    </row>
    <row r="606" ht="15.75" customHeight="1">
      <c r="M606" s="5"/>
    </row>
    <row r="607" ht="15.75" customHeight="1">
      <c r="M607" s="5"/>
    </row>
    <row r="608" ht="15.75" customHeight="1">
      <c r="M608" s="5"/>
    </row>
    <row r="609" ht="15.75" customHeight="1">
      <c r="M609" s="5"/>
    </row>
    <row r="610" ht="15.75" customHeight="1">
      <c r="M610" s="5"/>
    </row>
    <row r="611" ht="15.75" customHeight="1">
      <c r="M611" s="5"/>
    </row>
    <row r="612" ht="15.75" customHeight="1">
      <c r="M612" s="5"/>
    </row>
    <row r="613" ht="15.75" customHeight="1">
      <c r="M613" s="5"/>
    </row>
    <row r="614" ht="15.75" customHeight="1">
      <c r="M614" s="5"/>
    </row>
    <row r="615" ht="15.75" customHeight="1">
      <c r="M615" s="5"/>
    </row>
    <row r="616" ht="15.75" customHeight="1">
      <c r="M616" s="5"/>
    </row>
    <row r="617" ht="15.75" customHeight="1">
      <c r="M617" s="5"/>
    </row>
    <row r="618" ht="15.75" customHeight="1">
      <c r="M618" s="5"/>
    </row>
    <row r="619" ht="15.75" customHeight="1">
      <c r="M619" s="5"/>
    </row>
    <row r="620" ht="15.75" customHeight="1">
      <c r="M620" s="5"/>
    </row>
    <row r="621" ht="15.75" customHeight="1">
      <c r="M621" s="5"/>
    </row>
    <row r="622" ht="15.75" customHeight="1">
      <c r="M622" s="5"/>
    </row>
    <row r="623" ht="15.75" customHeight="1">
      <c r="M623" s="5"/>
    </row>
    <row r="624" ht="15.75" customHeight="1">
      <c r="M624" s="5"/>
    </row>
    <row r="625" ht="15.75" customHeight="1">
      <c r="M625" s="5"/>
    </row>
    <row r="626" ht="15.75" customHeight="1">
      <c r="M626" s="5"/>
    </row>
    <row r="627" ht="15.75" customHeight="1">
      <c r="M627" s="5"/>
    </row>
    <row r="628" ht="15.75" customHeight="1">
      <c r="M628" s="5"/>
    </row>
    <row r="629" ht="15.75" customHeight="1">
      <c r="M629" s="5"/>
    </row>
    <row r="630" ht="15.75" customHeight="1">
      <c r="M630" s="5"/>
    </row>
    <row r="631" ht="15.75" customHeight="1">
      <c r="M631" s="5"/>
    </row>
    <row r="632" ht="15.75" customHeight="1">
      <c r="M632" s="5"/>
    </row>
    <row r="633" ht="15.75" customHeight="1">
      <c r="M633" s="5"/>
    </row>
    <row r="634" ht="15.75" customHeight="1">
      <c r="M634" s="5"/>
    </row>
    <row r="635" ht="15.75" customHeight="1">
      <c r="M635" s="5"/>
    </row>
    <row r="636" ht="15.75" customHeight="1">
      <c r="M636" s="5"/>
    </row>
    <row r="637" ht="15.75" customHeight="1">
      <c r="M637" s="5"/>
    </row>
    <row r="638" ht="15.75" customHeight="1">
      <c r="M638" s="5"/>
    </row>
    <row r="639" ht="15.75" customHeight="1">
      <c r="M639" s="5"/>
    </row>
    <row r="640" ht="15.75" customHeight="1">
      <c r="M640" s="5"/>
    </row>
    <row r="641" ht="15.75" customHeight="1">
      <c r="M641" s="5"/>
    </row>
    <row r="642" ht="15.75" customHeight="1">
      <c r="M642" s="5"/>
    </row>
    <row r="643" ht="15.75" customHeight="1">
      <c r="M643" s="5"/>
    </row>
    <row r="644" ht="15.75" customHeight="1">
      <c r="M644" s="5"/>
    </row>
    <row r="645" ht="15.75" customHeight="1">
      <c r="M645" s="5"/>
    </row>
    <row r="646" ht="15.75" customHeight="1">
      <c r="M646" s="5"/>
    </row>
    <row r="647" ht="15.75" customHeight="1">
      <c r="M647" s="5"/>
    </row>
    <row r="648" ht="15.75" customHeight="1">
      <c r="M648" s="5"/>
    </row>
    <row r="649" ht="15.75" customHeight="1">
      <c r="M649" s="5"/>
    </row>
    <row r="650" ht="15.75" customHeight="1">
      <c r="M650" s="5"/>
    </row>
    <row r="651" ht="15.75" customHeight="1">
      <c r="M651" s="5"/>
    </row>
    <row r="652" ht="15.75" customHeight="1">
      <c r="M652" s="5"/>
    </row>
    <row r="653" ht="15.75" customHeight="1">
      <c r="M653" s="5"/>
    </row>
    <row r="654" ht="15.75" customHeight="1">
      <c r="M654" s="5"/>
    </row>
    <row r="655" ht="15.75" customHeight="1">
      <c r="M655" s="5"/>
    </row>
    <row r="656" ht="15.75" customHeight="1">
      <c r="M656" s="5"/>
    </row>
    <row r="657" ht="15.75" customHeight="1">
      <c r="M657" s="5"/>
    </row>
    <row r="658" ht="15.75" customHeight="1">
      <c r="M658" s="5"/>
    </row>
    <row r="659" ht="15.75" customHeight="1">
      <c r="M659" s="5"/>
    </row>
    <row r="660" ht="15.75" customHeight="1">
      <c r="M660" s="5"/>
    </row>
    <row r="661" ht="15.75" customHeight="1">
      <c r="M661" s="5"/>
    </row>
    <row r="662" ht="15.75" customHeight="1">
      <c r="M662" s="5"/>
    </row>
    <row r="663" ht="15.75" customHeight="1">
      <c r="M663" s="5"/>
    </row>
    <row r="664" ht="15.75" customHeight="1">
      <c r="M664" s="5"/>
    </row>
    <row r="665" ht="15.75" customHeight="1">
      <c r="M665" s="5"/>
    </row>
    <row r="666" ht="15.75" customHeight="1">
      <c r="M666" s="5"/>
    </row>
    <row r="667" ht="15.75" customHeight="1">
      <c r="M667" s="5"/>
    </row>
    <row r="668" ht="15.75" customHeight="1">
      <c r="M668" s="5"/>
    </row>
    <row r="669" ht="15.75" customHeight="1">
      <c r="M669" s="5"/>
    </row>
    <row r="670" ht="15.75" customHeight="1">
      <c r="M670" s="5"/>
    </row>
    <row r="671" ht="15.75" customHeight="1">
      <c r="M671" s="5"/>
    </row>
    <row r="672" ht="15.75" customHeight="1">
      <c r="M672" s="5"/>
    </row>
    <row r="673" ht="15.75" customHeight="1">
      <c r="M673" s="5"/>
    </row>
    <row r="674" ht="15.75" customHeight="1">
      <c r="M674" s="5"/>
    </row>
    <row r="675" ht="15.75" customHeight="1">
      <c r="M675" s="5"/>
    </row>
    <row r="676" ht="15.75" customHeight="1">
      <c r="M676" s="5"/>
    </row>
    <row r="677" ht="15.75" customHeight="1">
      <c r="M677" s="5"/>
    </row>
    <row r="678" ht="15.75" customHeight="1">
      <c r="M678" s="5"/>
    </row>
    <row r="679" ht="15.75" customHeight="1">
      <c r="M679" s="5"/>
    </row>
    <row r="680" ht="15.75" customHeight="1">
      <c r="M680" s="5"/>
    </row>
    <row r="681" ht="15.75" customHeight="1">
      <c r="M681" s="5"/>
    </row>
    <row r="682" ht="15.75" customHeight="1">
      <c r="M682" s="5"/>
    </row>
    <row r="683" ht="15.75" customHeight="1">
      <c r="M683" s="5"/>
    </row>
    <row r="684" ht="15.75" customHeight="1">
      <c r="M684" s="5"/>
    </row>
    <row r="685" ht="15.75" customHeight="1">
      <c r="M685" s="5"/>
    </row>
    <row r="686" ht="15.75" customHeight="1">
      <c r="M686" s="5"/>
    </row>
    <row r="687" ht="15.75" customHeight="1">
      <c r="M687" s="5"/>
    </row>
    <row r="688" ht="15.75" customHeight="1">
      <c r="M688" s="5"/>
    </row>
    <row r="689" ht="15.75" customHeight="1">
      <c r="M689" s="5"/>
    </row>
    <row r="690" ht="15.75" customHeight="1">
      <c r="M690" s="5"/>
    </row>
    <row r="691" ht="15.75" customHeight="1">
      <c r="M691" s="5"/>
    </row>
    <row r="692" ht="15.75" customHeight="1">
      <c r="M692" s="5"/>
    </row>
    <row r="693" ht="15.75" customHeight="1">
      <c r="M693" s="5"/>
    </row>
    <row r="694" ht="15.75" customHeight="1">
      <c r="M694" s="5"/>
    </row>
    <row r="695" ht="15.75" customHeight="1">
      <c r="M695" s="5"/>
    </row>
    <row r="696" ht="15.75" customHeight="1">
      <c r="M696" s="5"/>
    </row>
    <row r="697" ht="15.75" customHeight="1">
      <c r="M697" s="5"/>
    </row>
    <row r="698" ht="15.75" customHeight="1">
      <c r="M698" s="5"/>
    </row>
    <row r="699" ht="15.75" customHeight="1">
      <c r="M699" s="5"/>
    </row>
    <row r="700" ht="15.75" customHeight="1">
      <c r="M700" s="5"/>
    </row>
    <row r="701" ht="15.75" customHeight="1">
      <c r="M701" s="5"/>
    </row>
    <row r="702" ht="15.75" customHeight="1">
      <c r="M702" s="5"/>
    </row>
    <row r="703" ht="15.75" customHeight="1">
      <c r="M703" s="5"/>
    </row>
    <row r="704" ht="15.75" customHeight="1">
      <c r="M704" s="5"/>
    </row>
    <row r="705" ht="15.75" customHeight="1">
      <c r="M705" s="5"/>
    </row>
    <row r="706" ht="15.75" customHeight="1">
      <c r="M706" s="5"/>
    </row>
    <row r="707" ht="15.75" customHeight="1">
      <c r="M707" s="5"/>
    </row>
    <row r="708" ht="15.75" customHeight="1">
      <c r="M708" s="5"/>
    </row>
    <row r="709" ht="15.75" customHeight="1">
      <c r="M709" s="5"/>
    </row>
    <row r="710" ht="15.75" customHeight="1">
      <c r="M710" s="5"/>
    </row>
    <row r="711" ht="15.75" customHeight="1">
      <c r="M711" s="5"/>
    </row>
    <row r="712" ht="15.75" customHeight="1">
      <c r="M712" s="5"/>
    </row>
    <row r="713" ht="15.75" customHeight="1">
      <c r="M713" s="5"/>
    </row>
    <row r="714" ht="15.75" customHeight="1">
      <c r="M714" s="5"/>
    </row>
    <row r="715" ht="15.75" customHeight="1">
      <c r="M715" s="5"/>
    </row>
    <row r="716" ht="15.75" customHeight="1">
      <c r="M716" s="5"/>
    </row>
    <row r="717" ht="15.75" customHeight="1">
      <c r="M717" s="5"/>
    </row>
    <row r="718" ht="15.75" customHeight="1">
      <c r="M718" s="5"/>
    </row>
    <row r="719" ht="15.75" customHeight="1">
      <c r="M719" s="5"/>
    </row>
    <row r="720" ht="15.75" customHeight="1">
      <c r="M720" s="5"/>
    </row>
    <row r="721" ht="15.75" customHeight="1">
      <c r="M721" s="5"/>
    </row>
    <row r="722" ht="15.75" customHeight="1">
      <c r="M722" s="5"/>
    </row>
    <row r="723" ht="15.75" customHeight="1">
      <c r="M723" s="5"/>
    </row>
    <row r="724" ht="15.75" customHeight="1">
      <c r="M724" s="5"/>
    </row>
    <row r="725" ht="15.75" customHeight="1">
      <c r="M725" s="5"/>
    </row>
    <row r="726" ht="15.75" customHeight="1">
      <c r="M726" s="5"/>
    </row>
    <row r="727" ht="15.75" customHeight="1">
      <c r="M727" s="5"/>
    </row>
    <row r="728" ht="15.75" customHeight="1">
      <c r="M728" s="5"/>
    </row>
    <row r="729" ht="15.75" customHeight="1">
      <c r="M729" s="5"/>
    </row>
    <row r="730" ht="15.75" customHeight="1">
      <c r="M730" s="5"/>
    </row>
    <row r="731" ht="15.75" customHeight="1">
      <c r="M731" s="5"/>
    </row>
    <row r="732" ht="15.75" customHeight="1">
      <c r="M732" s="5"/>
    </row>
    <row r="733" ht="15.75" customHeight="1">
      <c r="M733" s="5"/>
    </row>
    <row r="734" ht="15.75" customHeight="1">
      <c r="M734" s="5"/>
    </row>
    <row r="735" ht="15.75" customHeight="1">
      <c r="M735" s="5"/>
    </row>
    <row r="736" ht="15.75" customHeight="1">
      <c r="M736" s="5"/>
    </row>
    <row r="737" ht="15.75" customHeight="1">
      <c r="M737" s="5"/>
    </row>
    <row r="738" ht="15.75" customHeight="1">
      <c r="M738" s="5"/>
    </row>
    <row r="739" ht="15.75" customHeight="1">
      <c r="M739" s="5"/>
    </row>
    <row r="740" ht="15.75" customHeight="1">
      <c r="M740" s="5"/>
    </row>
    <row r="741" ht="15.75" customHeight="1">
      <c r="M741" s="5"/>
    </row>
    <row r="742" ht="15.75" customHeight="1">
      <c r="M742" s="5"/>
    </row>
    <row r="743" ht="15.75" customHeight="1">
      <c r="M743" s="5"/>
    </row>
    <row r="744" ht="15.75" customHeight="1">
      <c r="M744" s="5"/>
    </row>
    <row r="745" ht="15.75" customHeight="1">
      <c r="M745" s="5"/>
    </row>
    <row r="746" ht="15.75" customHeight="1">
      <c r="M746" s="5"/>
    </row>
    <row r="747" ht="15.75" customHeight="1">
      <c r="M747" s="5"/>
    </row>
    <row r="748" ht="15.75" customHeight="1">
      <c r="M748" s="5"/>
    </row>
    <row r="749" ht="15.75" customHeight="1">
      <c r="M749" s="5"/>
    </row>
    <row r="750" ht="15.75" customHeight="1">
      <c r="M750" s="5"/>
    </row>
    <row r="751" ht="15.75" customHeight="1">
      <c r="M751" s="5"/>
    </row>
    <row r="752" ht="15.75" customHeight="1">
      <c r="M752" s="5"/>
    </row>
    <row r="753" ht="15.75" customHeight="1">
      <c r="M753" s="5"/>
    </row>
    <row r="754" ht="15.75" customHeight="1">
      <c r="M754" s="5"/>
    </row>
    <row r="755" ht="15.75" customHeight="1">
      <c r="M755" s="5"/>
    </row>
    <row r="756" ht="15.75" customHeight="1">
      <c r="M756" s="5"/>
    </row>
    <row r="757" ht="15.75" customHeight="1">
      <c r="M757" s="5"/>
    </row>
    <row r="758" ht="15.75" customHeight="1">
      <c r="M758" s="5"/>
    </row>
    <row r="759" ht="15.75" customHeight="1">
      <c r="M759" s="5"/>
    </row>
    <row r="760" ht="15.75" customHeight="1">
      <c r="M760" s="5"/>
    </row>
    <row r="761" ht="15.75" customHeight="1">
      <c r="M761" s="5"/>
    </row>
    <row r="762" ht="15.75" customHeight="1">
      <c r="M762" s="5"/>
    </row>
    <row r="763" ht="15.75" customHeight="1">
      <c r="M763" s="5"/>
    </row>
    <row r="764" ht="15.75" customHeight="1">
      <c r="M764" s="5"/>
    </row>
    <row r="765" ht="15.75" customHeight="1">
      <c r="M765" s="5"/>
    </row>
    <row r="766" ht="15.75" customHeight="1">
      <c r="M766" s="5"/>
    </row>
    <row r="767" ht="15.75" customHeight="1">
      <c r="M767" s="5"/>
    </row>
    <row r="768" ht="15.75" customHeight="1">
      <c r="M768" s="5"/>
    </row>
    <row r="769" ht="15.75" customHeight="1">
      <c r="M769" s="5"/>
    </row>
    <row r="770" ht="15.75" customHeight="1">
      <c r="M770" s="5"/>
    </row>
    <row r="771" ht="15.75" customHeight="1">
      <c r="M771" s="5"/>
    </row>
    <row r="772" ht="15.75" customHeight="1">
      <c r="M772" s="5"/>
    </row>
    <row r="773" ht="15.75" customHeight="1">
      <c r="M773" s="5"/>
    </row>
    <row r="774" ht="15.75" customHeight="1">
      <c r="M774" s="5"/>
    </row>
    <row r="775" ht="15.75" customHeight="1">
      <c r="M775" s="5"/>
    </row>
    <row r="776" ht="15.75" customHeight="1">
      <c r="M776" s="5"/>
    </row>
    <row r="777" ht="15.75" customHeight="1">
      <c r="M777" s="5"/>
    </row>
    <row r="778" ht="15.75" customHeight="1">
      <c r="M778" s="5"/>
    </row>
    <row r="779" ht="15.75" customHeight="1">
      <c r="M779" s="5"/>
    </row>
    <row r="780" ht="15.75" customHeight="1">
      <c r="M780" s="5"/>
    </row>
    <row r="781" ht="15.75" customHeight="1">
      <c r="M781" s="5"/>
    </row>
    <row r="782" ht="15.75" customHeight="1">
      <c r="M782" s="5"/>
    </row>
    <row r="783" ht="15.75" customHeight="1">
      <c r="M783" s="5"/>
    </row>
    <row r="784" ht="15.75" customHeight="1">
      <c r="M784" s="5"/>
    </row>
    <row r="785" ht="15.75" customHeight="1">
      <c r="M785" s="5"/>
    </row>
    <row r="786" ht="15.75" customHeight="1">
      <c r="M786" s="5"/>
    </row>
    <row r="787" ht="15.75" customHeight="1">
      <c r="M787" s="5"/>
    </row>
    <row r="788" ht="15.75" customHeight="1">
      <c r="M788" s="5"/>
    </row>
    <row r="789" ht="15.75" customHeight="1">
      <c r="M789" s="5"/>
    </row>
    <row r="790" ht="15.75" customHeight="1">
      <c r="M790" s="5"/>
    </row>
    <row r="791" ht="15.75" customHeight="1">
      <c r="M791" s="5"/>
    </row>
    <row r="792" ht="15.75" customHeight="1">
      <c r="M792" s="5"/>
    </row>
    <row r="793" ht="15.75" customHeight="1">
      <c r="M793" s="5"/>
    </row>
    <row r="794" ht="15.75" customHeight="1">
      <c r="M794" s="5"/>
    </row>
    <row r="795" ht="15.75" customHeight="1">
      <c r="M795" s="5"/>
    </row>
    <row r="796" ht="15.75" customHeight="1">
      <c r="M796" s="5"/>
    </row>
    <row r="797" ht="15.75" customHeight="1">
      <c r="M797" s="5"/>
    </row>
    <row r="798" ht="15.75" customHeight="1">
      <c r="M798" s="5"/>
    </row>
    <row r="799" ht="15.75" customHeight="1">
      <c r="M799" s="5"/>
    </row>
    <row r="800" ht="15.75" customHeight="1">
      <c r="M800" s="5"/>
    </row>
    <row r="801" ht="15.75" customHeight="1">
      <c r="M801" s="5"/>
    </row>
    <row r="802" ht="15.75" customHeight="1">
      <c r="M802" s="5"/>
    </row>
    <row r="803" ht="15.75" customHeight="1">
      <c r="M803" s="5"/>
    </row>
    <row r="804" ht="15.75" customHeight="1">
      <c r="M804" s="5"/>
    </row>
    <row r="805" ht="15.75" customHeight="1">
      <c r="M805" s="5"/>
    </row>
    <row r="806" ht="15.75" customHeight="1">
      <c r="M806" s="5"/>
    </row>
    <row r="807" ht="15.75" customHeight="1">
      <c r="M807" s="5"/>
    </row>
    <row r="808" ht="15.75" customHeight="1">
      <c r="M808" s="5"/>
    </row>
    <row r="809" ht="15.75" customHeight="1">
      <c r="M809" s="5"/>
    </row>
    <row r="810" ht="15.75" customHeight="1">
      <c r="M810" s="5"/>
    </row>
    <row r="811" ht="15.75" customHeight="1">
      <c r="M811" s="5"/>
    </row>
    <row r="812" ht="15.75" customHeight="1">
      <c r="M812" s="5"/>
    </row>
    <row r="813" ht="15.75" customHeight="1">
      <c r="M813" s="5"/>
    </row>
    <row r="814" ht="15.75" customHeight="1">
      <c r="M814" s="5"/>
    </row>
    <row r="815" ht="15.75" customHeight="1">
      <c r="M815" s="5"/>
    </row>
    <row r="816" ht="15.75" customHeight="1">
      <c r="M816" s="5"/>
    </row>
    <row r="817" ht="15.75" customHeight="1">
      <c r="M817" s="5"/>
    </row>
    <row r="818" ht="15.75" customHeight="1">
      <c r="M818" s="5"/>
    </row>
    <row r="819" ht="15.75" customHeight="1">
      <c r="M819" s="5"/>
    </row>
    <row r="820" ht="15.75" customHeight="1">
      <c r="M820" s="5"/>
    </row>
    <row r="821" ht="15.75" customHeight="1">
      <c r="M821" s="5"/>
    </row>
    <row r="822" ht="15.75" customHeight="1">
      <c r="M822" s="5"/>
    </row>
    <row r="823" ht="15.75" customHeight="1">
      <c r="M823" s="5"/>
    </row>
    <row r="824" ht="15.75" customHeight="1">
      <c r="M824" s="5"/>
    </row>
    <row r="825" ht="15.75" customHeight="1">
      <c r="M825" s="5"/>
    </row>
    <row r="826" ht="15.75" customHeight="1">
      <c r="M826" s="5"/>
    </row>
    <row r="827" ht="15.75" customHeight="1">
      <c r="M827" s="5"/>
    </row>
    <row r="828" ht="15.75" customHeight="1">
      <c r="M828" s="5"/>
    </row>
    <row r="829" ht="15.75" customHeight="1">
      <c r="M829" s="5"/>
    </row>
    <row r="830" ht="15.75" customHeight="1">
      <c r="M830" s="5"/>
    </row>
    <row r="831" ht="15.75" customHeight="1">
      <c r="M831" s="5"/>
    </row>
    <row r="832" ht="15.75" customHeight="1">
      <c r="M832" s="5"/>
    </row>
    <row r="833" ht="15.75" customHeight="1">
      <c r="M833" s="5"/>
    </row>
    <row r="834" ht="15.75" customHeight="1">
      <c r="M834" s="5"/>
    </row>
    <row r="835" ht="15.75" customHeight="1">
      <c r="M835" s="5"/>
    </row>
    <row r="836" ht="15.75" customHeight="1">
      <c r="M836" s="5"/>
    </row>
    <row r="837" ht="15.75" customHeight="1">
      <c r="M837" s="5"/>
    </row>
    <row r="838" ht="15.75" customHeight="1">
      <c r="M838" s="5"/>
    </row>
    <row r="839" ht="15.75" customHeight="1">
      <c r="M839" s="5"/>
    </row>
    <row r="840" ht="15.75" customHeight="1">
      <c r="M840" s="5"/>
    </row>
    <row r="841" ht="15.75" customHeight="1">
      <c r="M841" s="5"/>
    </row>
    <row r="842" ht="15.75" customHeight="1">
      <c r="M842" s="5"/>
    </row>
    <row r="843" ht="15.75" customHeight="1">
      <c r="M843" s="5"/>
    </row>
    <row r="844" ht="15.75" customHeight="1">
      <c r="M844" s="5"/>
    </row>
    <row r="845" ht="15.75" customHeight="1">
      <c r="M845" s="5"/>
    </row>
    <row r="846" ht="15.75" customHeight="1">
      <c r="M846" s="5"/>
    </row>
    <row r="847" ht="15.75" customHeight="1">
      <c r="M847" s="5"/>
    </row>
    <row r="848" ht="15.75" customHeight="1">
      <c r="M848" s="5"/>
    </row>
    <row r="849" ht="15.75" customHeight="1">
      <c r="M849" s="5"/>
    </row>
    <row r="850" ht="15.75" customHeight="1">
      <c r="M850" s="5"/>
    </row>
    <row r="851" ht="15.75" customHeight="1">
      <c r="M851" s="5"/>
    </row>
    <row r="852" ht="15.75" customHeight="1">
      <c r="M852" s="5"/>
    </row>
    <row r="853" ht="15.75" customHeight="1">
      <c r="M853" s="5"/>
    </row>
    <row r="854" ht="15.75" customHeight="1">
      <c r="M854" s="5"/>
    </row>
    <row r="855" ht="15.75" customHeight="1">
      <c r="M855" s="5"/>
    </row>
    <row r="856" ht="15.75" customHeight="1">
      <c r="M856" s="5"/>
    </row>
    <row r="857" ht="15.75" customHeight="1">
      <c r="M857" s="5"/>
    </row>
    <row r="858" ht="15.75" customHeight="1">
      <c r="M858" s="5"/>
    </row>
    <row r="859" ht="15.75" customHeight="1">
      <c r="M859" s="5"/>
    </row>
    <row r="860" ht="15.75" customHeight="1">
      <c r="M860" s="5"/>
    </row>
    <row r="861" ht="15.75" customHeight="1">
      <c r="M861" s="5"/>
    </row>
    <row r="862" ht="15.75" customHeight="1">
      <c r="M862" s="5"/>
    </row>
    <row r="863" ht="15.75" customHeight="1">
      <c r="M863" s="5"/>
    </row>
    <row r="864" ht="15.75" customHeight="1">
      <c r="M864" s="5"/>
    </row>
    <row r="865" ht="15.75" customHeight="1">
      <c r="M865" s="5"/>
    </row>
    <row r="866" ht="15.75" customHeight="1">
      <c r="M866" s="5"/>
    </row>
    <row r="867" ht="15.75" customHeight="1">
      <c r="M867" s="5"/>
    </row>
    <row r="868" ht="15.75" customHeight="1">
      <c r="M868" s="5"/>
    </row>
    <row r="869" ht="15.75" customHeight="1">
      <c r="M869" s="5"/>
    </row>
    <row r="870" ht="15.75" customHeight="1">
      <c r="M870" s="5"/>
    </row>
    <row r="871" ht="15.75" customHeight="1">
      <c r="M871" s="5"/>
    </row>
    <row r="872" ht="15.75" customHeight="1">
      <c r="M872" s="5"/>
    </row>
    <row r="873" ht="15.75" customHeight="1">
      <c r="M873" s="5"/>
    </row>
    <row r="874" ht="15.75" customHeight="1">
      <c r="M874" s="5"/>
    </row>
    <row r="875" ht="15.75" customHeight="1">
      <c r="M875" s="5"/>
    </row>
    <row r="876" ht="15.75" customHeight="1">
      <c r="M876" s="5"/>
    </row>
    <row r="877" ht="15.75" customHeight="1">
      <c r="M877" s="5"/>
    </row>
    <row r="878" ht="15.75" customHeight="1">
      <c r="M878" s="5"/>
    </row>
    <row r="879" ht="15.75" customHeight="1">
      <c r="M879" s="5"/>
    </row>
    <row r="880" ht="15.75" customHeight="1">
      <c r="M880" s="5"/>
    </row>
    <row r="881" ht="15.75" customHeight="1">
      <c r="M881" s="5"/>
    </row>
    <row r="882" ht="15.75" customHeight="1">
      <c r="M882" s="5"/>
    </row>
    <row r="883" ht="15.75" customHeight="1">
      <c r="M883" s="5"/>
    </row>
    <row r="884" ht="15.75" customHeight="1">
      <c r="M884" s="5"/>
    </row>
    <row r="885" ht="15.75" customHeight="1">
      <c r="M885" s="5"/>
    </row>
    <row r="886" ht="15.75" customHeight="1">
      <c r="M886" s="5"/>
    </row>
    <row r="887" ht="15.75" customHeight="1">
      <c r="M887" s="5"/>
    </row>
    <row r="888" ht="15.75" customHeight="1">
      <c r="M888" s="5"/>
    </row>
    <row r="889" ht="15.75" customHeight="1">
      <c r="M889" s="5"/>
    </row>
    <row r="890" ht="15.75" customHeight="1">
      <c r="M890" s="5"/>
    </row>
    <row r="891" ht="15.75" customHeight="1">
      <c r="M891" s="5"/>
    </row>
    <row r="892" ht="15.75" customHeight="1">
      <c r="M892" s="5"/>
    </row>
    <row r="893" ht="15.75" customHeight="1">
      <c r="M893" s="5"/>
    </row>
    <row r="894" ht="15.75" customHeight="1">
      <c r="M894" s="5"/>
    </row>
    <row r="895" ht="15.75" customHeight="1">
      <c r="M895" s="5"/>
    </row>
    <row r="896" ht="15.75" customHeight="1">
      <c r="M896" s="5"/>
    </row>
    <row r="897" ht="15.75" customHeight="1">
      <c r="M897" s="5"/>
    </row>
    <row r="898" ht="15.75" customHeight="1">
      <c r="M898" s="5"/>
    </row>
    <row r="899" ht="15.75" customHeight="1">
      <c r="M899" s="5"/>
    </row>
    <row r="900" ht="15.75" customHeight="1">
      <c r="M900" s="5"/>
    </row>
    <row r="901" ht="15.75" customHeight="1">
      <c r="M901" s="5"/>
    </row>
    <row r="902" ht="15.75" customHeight="1">
      <c r="M902" s="5"/>
    </row>
    <row r="903" ht="15.75" customHeight="1">
      <c r="M903" s="5"/>
    </row>
    <row r="904" ht="15.75" customHeight="1">
      <c r="M904" s="5"/>
    </row>
    <row r="905" ht="15.75" customHeight="1">
      <c r="M905" s="5"/>
    </row>
    <row r="906" ht="15.75" customHeight="1">
      <c r="M906" s="5"/>
    </row>
    <row r="907" ht="15.75" customHeight="1">
      <c r="M907" s="5"/>
    </row>
    <row r="908" ht="15.75" customHeight="1">
      <c r="M908" s="5"/>
    </row>
    <row r="909" ht="15.75" customHeight="1">
      <c r="M909" s="5"/>
    </row>
    <row r="910" ht="15.75" customHeight="1">
      <c r="M910" s="5"/>
    </row>
    <row r="911" ht="15.75" customHeight="1">
      <c r="M911" s="5"/>
    </row>
    <row r="912" ht="15.75" customHeight="1">
      <c r="M912" s="5"/>
    </row>
    <row r="913" ht="15.75" customHeight="1">
      <c r="M913" s="5"/>
    </row>
    <row r="914" ht="15.75" customHeight="1">
      <c r="M914" s="5"/>
    </row>
    <row r="915" ht="15.75" customHeight="1">
      <c r="M915" s="5"/>
    </row>
    <row r="916" ht="15.75" customHeight="1">
      <c r="M916" s="5"/>
    </row>
    <row r="917" ht="15.75" customHeight="1">
      <c r="M917" s="5"/>
    </row>
    <row r="918" ht="15.75" customHeight="1">
      <c r="M918" s="5"/>
    </row>
    <row r="919" ht="15.75" customHeight="1">
      <c r="M919" s="5"/>
    </row>
    <row r="920" ht="15.75" customHeight="1">
      <c r="M920" s="5"/>
    </row>
    <row r="921" ht="15.75" customHeight="1">
      <c r="M921" s="5"/>
    </row>
    <row r="922" ht="15.75" customHeight="1">
      <c r="M922" s="5"/>
    </row>
    <row r="923" ht="15.75" customHeight="1">
      <c r="M923" s="5"/>
    </row>
    <row r="924" ht="15.75" customHeight="1">
      <c r="M924" s="5"/>
    </row>
    <row r="925" ht="15.75" customHeight="1">
      <c r="M925" s="5"/>
    </row>
    <row r="926" ht="15.75" customHeight="1">
      <c r="M926" s="5"/>
    </row>
    <row r="927" ht="15.75" customHeight="1">
      <c r="M927" s="5"/>
    </row>
    <row r="928" ht="15.75" customHeight="1">
      <c r="M928" s="5"/>
    </row>
    <row r="929" ht="15.75" customHeight="1">
      <c r="M929" s="5"/>
    </row>
    <row r="930" ht="15.75" customHeight="1">
      <c r="M930" s="5"/>
    </row>
    <row r="931" ht="15.75" customHeight="1">
      <c r="M931" s="5"/>
    </row>
    <row r="932" ht="15.75" customHeight="1">
      <c r="M932" s="5"/>
    </row>
    <row r="933" ht="15.75" customHeight="1">
      <c r="M933" s="5"/>
    </row>
    <row r="934" ht="15.75" customHeight="1">
      <c r="M934" s="5"/>
    </row>
    <row r="935" ht="15.75" customHeight="1">
      <c r="M935" s="5"/>
    </row>
    <row r="936" ht="15.75" customHeight="1">
      <c r="M936" s="5"/>
    </row>
    <row r="937" ht="15.75" customHeight="1">
      <c r="M937" s="5"/>
    </row>
    <row r="938" ht="15.75" customHeight="1">
      <c r="M938" s="5"/>
    </row>
    <row r="939" ht="15.75" customHeight="1">
      <c r="M939" s="5"/>
    </row>
    <row r="940" ht="15.75" customHeight="1">
      <c r="M940" s="5"/>
    </row>
    <row r="941" ht="15.75" customHeight="1">
      <c r="M941" s="5"/>
    </row>
    <row r="942" ht="15.75" customHeight="1">
      <c r="M942" s="5"/>
    </row>
    <row r="943" ht="15.75" customHeight="1">
      <c r="M943" s="5"/>
    </row>
    <row r="944" ht="15.75" customHeight="1">
      <c r="M944" s="5"/>
    </row>
    <row r="945" ht="15.75" customHeight="1">
      <c r="M945" s="5"/>
    </row>
    <row r="946" ht="15.75" customHeight="1">
      <c r="M946" s="5"/>
    </row>
    <row r="947" ht="15.75" customHeight="1">
      <c r="M947" s="5"/>
    </row>
    <row r="948" ht="15.75" customHeight="1">
      <c r="M948" s="5"/>
    </row>
    <row r="949" ht="15.75" customHeight="1">
      <c r="M949" s="5"/>
    </row>
    <row r="950" ht="15.75" customHeight="1">
      <c r="M950" s="5"/>
    </row>
    <row r="951" ht="15.75" customHeight="1">
      <c r="M951" s="5"/>
    </row>
    <row r="952" ht="15.75" customHeight="1">
      <c r="M952" s="5"/>
    </row>
    <row r="953" ht="15.75" customHeight="1">
      <c r="M953" s="5"/>
    </row>
    <row r="954" ht="15.75" customHeight="1">
      <c r="M954" s="5"/>
    </row>
    <row r="955" ht="15.75" customHeight="1">
      <c r="M955" s="5"/>
    </row>
    <row r="956" ht="15.75" customHeight="1">
      <c r="M956" s="5"/>
    </row>
    <row r="957" ht="15.75" customHeight="1">
      <c r="M957" s="5"/>
    </row>
    <row r="958" ht="15.75" customHeight="1">
      <c r="M958" s="5"/>
    </row>
    <row r="959" ht="15.75" customHeight="1">
      <c r="M959" s="5"/>
    </row>
    <row r="960" ht="15.75" customHeight="1">
      <c r="M960" s="5"/>
    </row>
    <row r="961" ht="15.75" customHeight="1">
      <c r="M961" s="5"/>
    </row>
    <row r="962" ht="15.75" customHeight="1">
      <c r="M962" s="5"/>
    </row>
    <row r="963" ht="15.75" customHeight="1">
      <c r="M963" s="5"/>
    </row>
    <row r="964" ht="15.75" customHeight="1">
      <c r="M964" s="5"/>
    </row>
    <row r="965" ht="15.75" customHeight="1">
      <c r="M965" s="5"/>
    </row>
    <row r="966" ht="15.75" customHeight="1">
      <c r="M966" s="5"/>
    </row>
    <row r="967" ht="15.75" customHeight="1">
      <c r="M967" s="5"/>
    </row>
    <row r="968" ht="15.75" customHeight="1">
      <c r="M968" s="5"/>
    </row>
    <row r="969" ht="15.75" customHeight="1">
      <c r="M969" s="5"/>
    </row>
    <row r="970" ht="15.75" customHeight="1">
      <c r="M970" s="5"/>
    </row>
    <row r="971" ht="15.75" customHeight="1">
      <c r="M971" s="5"/>
    </row>
    <row r="972" ht="15.75" customHeight="1">
      <c r="M972" s="5"/>
    </row>
    <row r="973" ht="15.75" customHeight="1">
      <c r="M973" s="5"/>
    </row>
    <row r="974" ht="15.75" customHeight="1">
      <c r="M974" s="5"/>
    </row>
    <row r="975" ht="15.75" customHeight="1">
      <c r="M975" s="5"/>
    </row>
    <row r="976" ht="15.75" customHeight="1">
      <c r="M976" s="5"/>
    </row>
    <row r="977" ht="15.75" customHeight="1">
      <c r="M977" s="5"/>
    </row>
    <row r="978" ht="15.75" customHeight="1">
      <c r="M978" s="5"/>
    </row>
    <row r="979" ht="15.75" customHeight="1">
      <c r="M979" s="5"/>
    </row>
    <row r="980" ht="15.75" customHeight="1">
      <c r="M980" s="5"/>
    </row>
    <row r="981" ht="15.75" customHeight="1">
      <c r="M981" s="5"/>
    </row>
    <row r="982" ht="15.75" customHeight="1">
      <c r="M982" s="5"/>
    </row>
    <row r="983" ht="15.75" customHeight="1">
      <c r="M983" s="5"/>
    </row>
    <row r="984" ht="15.75" customHeight="1">
      <c r="M984" s="5"/>
    </row>
    <row r="985" ht="15.75" customHeight="1">
      <c r="M985" s="5"/>
    </row>
    <row r="986" ht="15.75" customHeight="1">
      <c r="M986" s="5"/>
    </row>
    <row r="987" ht="15.75" customHeight="1">
      <c r="M987" s="5"/>
    </row>
    <row r="988" ht="15.75" customHeight="1">
      <c r="M988" s="5"/>
    </row>
    <row r="989" ht="15.75" customHeight="1">
      <c r="M989" s="5"/>
    </row>
    <row r="990" ht="15.75" customHeight="1">
      <c r="M990" s="5"/>
    </row>
    <row r="991" ht="15.75" customHeight="1">
      <c r="M991" s="5"/>
    </row>
    <row r="992" ht="15.75" customHeight="1">
      <c r="M992" s="5"/>
    </row>
    <row r="993" ht="15.75" customHeight="1">
      <c r="M993" s="5"/>
    </row>
    <row r="994" ht="15.75" customHeight="1">
      <c r="M994" s="5"/>
    </row>
    <row r="995" ht="15.75" customHeight="1">
      <c r="M995" s="5"/>
    </row>
    <row r="996" ht="15.75" customHeight="1">
      <c r="M996" s="5"/>
    </row>
    <row r="997" ht="15.75" customHeight="1">
      <c r="M997" s="5"/>
    </row>
    <row r="998" ht="15.75" customHeight="1">
      <c r="M998" s="5"/>
    </row>
    <row r="999" ht="15.75" customHeight="1">
      <c r="M999" s="5"/>
    </row>
    <row r="1000" ht="15.75" customHeight="1">
      <c r="M1000" s="5"/>
    </row>
  </sheetData>
  <autoFilter ref="$A$1:$M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57"/>
    <col customWidth="1" min="3" max="3" width="25.57"/>
    <col customWidth="1" min="4" max="4" width="30.29"/>
    <col customWidth="1" min="5" max="5" width="10.29"/>
    <col customWidth="1" min="6" max="6" width="22.0"/>
    <col customWidth="1" min="7" max="7" width="14.29"/>
    <col customWidth="1" min="8" max="8" width="26.43"/>
    <col customWidth="1" min="9" max="9" width="15.0"/>
    <col customWidth="1" min="10" max="10" width="16.57"/>
    <col customWidth="1" min="11" max="11" width="11.43"/>
    <col customWidth="1" min="12" max="12" width="13.71"/>
    <col customWidth="1" min="13" max="13" width="12.86"/>
    <col customWidth="1" min="14" max="14" width="18.57"/>
    <col customWidth="1" min="15" max="15" width="19.29"/>
    <col customWidth="1" min="16" max="16" width="8.14"/>
    <col customWidth="1" min="17" max="17" width="10.43"/>
    <col customWidth="1" min="18" max="18" width="14.57"/>
    <col customWidth="1" min="19" max="19" width="12.0"/>
    <col customWidth="1" min="20" max="20" width="22.29"/>
    <col customWidth="1" min="21" max="21" width="26.0"/>
    <col customWidth="1" min="22" max="22" width="29.14"/>
    <col customWidth="1" min="23" max="24" width="26.29"/>
    <col customWidth="1" min="25" max="25" width="12.86"/>
    <col customWidth="1" min="26" max="26" width="15.71"/>
    <col customWidth="1" min="27" max="27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158</v>
      </c>
      <c r="B2" s="1" t="s">
        <v>28</v>
      </c>
      <c r="C2" s="1" t="s">
        <v>29</v>
      </c>
      <c r="D2" s="1" t="s">
        <v>30</v>
      </c>
      <c r="E2" s="1" t="s">
        <v>31</v>
      </c>
      <c r="F2" s="1">
        <v>9.28142523E8</v>
      </c>
      <c r="G2" s="1" t="s">
        <v>123</v>
      </c>
      <c r="H2" s="1" t="s">
        <v>159</v>
      </c>
      <c r="I2" s="2">
        <v>45658.0</v>
      </c>
      <c r="J2" s="2">
        <v>45658.0</v>
      </c>
      <c r="K2" s="1" t="s">
        <v>34</v>
      </c>
      <c r="L2" s="1" t="s">
        <v>34</v>
      </c>
      <c r="M2" s="1" t="s">
        <v>36</v>
      </c>
      <c r="N2" s="1" t="s">
        <v>160</v>
      </c>
      <c r="O2" s="1">
        <v>1.0</v>
      </c>
      <c r="P2" s="3">
        <v>1.0</v>
      </c>
      <c r="Q2" s="1">
        <v>1.0</v>
      </c>
      <c r="R2" s="2">
        <v>45658.0</v>
      </c>
      <c r="S2" s="2">
        <v>45689.0</v>
      </c>
      <c r="T2" s="4">
        <v>0.0</v>
      </c>
      <c r="U2" s="4">
        <v>50.0</v>
      </c>
      <c r="V2" s="4">
        <v>50.0</v>
      </c>
      <c r="W2" s="4">
        <v>0.0</v>
      </c>
      <c r="X2" s="4">
        <v>0.0</v>
      </c>
      <c r="Y2" s="4">
        <v>0.0</v>
      </c>
      <c r="Z2" s="4">
        <v>50.0</v>
      </c>
      <c r="AA2" s="1" t="s">
        <v>34</v>
      </c>
    </row>
    <row r="3">
      <c r="A3" s="1" t="s">
        <v>158</v>
      </c>
      <c r="B3" s="1" t="s">
        <v>28</v>
      </c>
      <c r="C3" s="1" t="s">
        <v>29</v>
      </c>
      <c r="D3" s="1" t="s">
        <v>30</v>
      </c>
      <c r="E3" s="1" t="s">
        <v>31</v>
      </c>
      <c r="F3" s="1">
        <v>9.28150906E8</v>
      </c>
      <c r="G3" s="1" t="s">
        <v>123</v>
      </c>
      <c r="H3" s="1" t="s">
        <v>126</v>
      </c>
      <c r="I3" s="2">
        <v>45748.0</v>
      </c>
      <c r="J3" s="2">
        <v>45748.0</v>
      </c>
      <c r="K3" s="1" t="s">
        <v>34</v>
      </c>
      <c r="L3" s="1" t="s">
        <v>34</v>
      </c>
      <c r="M3" s="1" t="s">
        <v>36</v>
      </c>
      <c r="N3" s="1" t="s">
        <v>160</v>
      </c>
      <c r="O3" s="1">
        <v>1.0</v>
      </c>
      <c r="P3" s="3">
        <v>1.0</v>
      </c>
      <c r="Q3" s="1">
        <v>1.0</v>
      </c>
      <c r="R3" s="2">
        <v>45748.0</v>
      </c>
      <c r="S3" s="2">
        <v>45778.0</v>
      </c>
      <c r="T3" s="4">
        <v>0.0</v>
      </c>
      <c r="U3" s="4">
        <v>50.0</v>
      </c>
      <c r="V3" s="4">
        <v>50.0</v>
      </c>
      <c r="W3" s="4">
        <v>0.0</v>
      </c>
      <c r="X3" s="4">
        <v>0.0</v>
      </c>
      <c r="Y3" s="4">
        <v>0.0</v>
      </c>
      <c r="Z3" s="4">
        <v>50.0</v>
      </c>
      <c r="AA3" s="1" t="s">
        <v>34</v>
      </c>
    </row>
    <row r="4">
      <c r="A4" s="1" t="s">
        <v>158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9.28150919E8</v>
      </c>
      <c r="G4" s="1" t="s">
        <v>38</v>
      </c>
      <c r="H4" s="1" t="s">
        <v>127</v>
      </c>
      <c r="I4" s="2">
        <v>45748.0</v>
      </c>
      <c r="J4" s="2">
        <v>45748.0</v>
      </c>
      <c r="K4" s="1" t="s">
        <v>34</v>
      </c>
      <c r="L4" s="1" t="s">
        <v>34</v>
      </c>
      <c r="M4" s="1" t="s">
        <v>36</v>
      </c>
      <c r="N4" s="1" t="s">
        <v>160</v>
      </c>
      <c r="O4" s="1">
        <v>1.0</v>
      </c>
      <c r="P4" s="3">
        <v>1.0</v>
      </c>
      <c r="Q4" s="1">
        <v>1.0</v>
      </c>
      <c r="R4" s="2">
        <v>45748.0</v>
      </c>
      <c r="S4" s="2">
        <v>45778.0</v>
      </c>
      <c r="T4" s="4">
        <v>0.0</v>
      </c>
      <c r="U4" s="4">
        <v>50.0</v>
      </c>
      <c r="V4" s="4">
        <v>50.0</v>
      </c>
      <c r="W4" s="4">
        <v>0.0</v>
      </c>
      <c r="X4" s="4">
        <v>0.0</v>
      </c>
      <c r="Y4" s="4">
        <v>0.0</v>
      </c>
      <c r="Z4" s="4">
        <v>50.0</v>
      </c>
      <c r="AA4" s="1" t="s">
        <v>34</v>
      </c>
    </row>
    <row r="5">
      <c r="A5" s="1" t="s">
        <v>158</v>
      </c>
      <c r="B5" s="1" t="s">
        <v>28</v>
      </c>
      <c r="C5" s="1" t="s">
        <v>29</v>
      </c>
      <c r="D5" s="1" t="s">
        <v>30</v>
      </c>
      <c r="E5" s="1" t="s">
        <v>31</v>
      </c>
      <c r="F5" s="1">
        <v>9.28150959E8</v>
      </c>
      <c r="G5" s="1" t="s">
        <v>40</v>
      </c>
      <c r="H5" s="1" t="s">
        <v>128</v>
      </c>
      <c r="I5" s="2">
        <v>45748.0</v>
      </c>
      <c r="J5" s="2">
        <v>45748.0</v>
      </c>
      <c r="K5" s="1" t="s">
        <v>34</v>
      </c>
      <c r="L5" s="1" t="s">
        <v>34</v>
      </c>
      <c r="M5" s="1" t="s">
        <v>36</v>
      </c>
      <c r="N5" s="1" t="s">
        <v>160</v>
      </c>
      <c r="O5" s="1">
        <v>1.0</v>
      </c>
      <c r="P5" s="3">
        <v>1.0</v>
      </c>
      <c r="Q5" s="1">
        <v>1.0</v>
      </c>
      <c r="R5" s="2">
        <v>45748.0</v>
      </c>
      <c r="S5" s="2">
        <v>45778.0</v>
      </c>
      <c r="T5" s="4">
        <v>0.0</v>
      </c>
      <c r="U5" s="4">
        <v>50.0</v>
      </c>
      <c r="V5" s="4">
        <v>50.0</v>
      </c>
      <c r="W5" s="4">
        <v>0.0</v>
      </c>
      <c r="X5" s="4">
        <v>0.0</v>
      </c>
      <c r="Y5" s="4">
        <v>0.0</v>
      </c>
      <c r="Z5" s="4">
        <v>50.0</v>
      </c>
      <c r="AA5" s="1" t="s">
        <v>34</v>
      </c>
    </row>
    <row r="6">
      <c r="A6" s="1" t="s">
        <v>158</v>
      </c>
      <c r="B6" s="1" t="s">
        <v>28</v>
      </c>
      <c r="C6" s="1" t="s">
        <v>29</v>
      </c>
      <c r="D6" s="1" t="s">
        <v>30</v>
      </c>
      <c r="E6" s="1" t="s">
        <v>31</v>
      </c>
      <c r="F6" s="1">
        <v>9.28151821E8</v>
      </c>
      <c r="G6" s="1" t="s">
        <v>40</v>
      </c>
      <c r="H6" s="1" t="s">
        <v>129</v>
      </c>
      <c r="I6" s="2">
        <v>45778.0</v>
      </c>
      <c r="J6" s="2">
        <v>45778.0</v>
      </c>
      <c r="K6" s="1" t="s">
        <v>34</v>
      </c>
      <c r="L6" s="1" t="s">
        <v>34</v>
      </c>
      <c r="M6" s="1" t="s">
        <v>36</v>
      </c>
      <c r="N6" s="1" t="s">
        <v>160</v>
      </c>
      <c r="O6" s="1">
        <v>1.0</v>
      </c>
      <c r="P6" s="3">
        <v>1.0</v>
      </c>
      <c r="Q6" s="1">
        <v>1.0</v>
      </c>
      <c r="R6" s="2">
        <v>45778.0</v>
      </c>
      <c r="S6" s="2">
        <v>45809.0</v>
      </c>
      <c r="T6" s="4">
        <v>0.0</v>
      </c>
      <c r="U6" s="4">
        <v>50.0</v>
      </c>
      <c r="V6" s="4">
        <v>50.0</v>
      </c>
      <c r="W6" s="4">
        <v>0.0</v>
      </c>
      <c r="X6" s="4">
        <v>0.0</v>
      </c>
      <c r="Y6" s="4">
        <v>0.0</v>
      </c>
      <c r="Z6" s="4">
        <v>50.0</v>
      </c>
      <c r="AA6" s="1" t="s">
        <v>34</v>
      </c>
    </row>
    <row r="7">
      <c r="A7" s="1" t="s">
        <v>158</v>
      </c>
      <c r="B7" s="1" t="s">
        <v>28</v>
      </c>
      <c r="C7" s="1" t="s">
        <v>29</v>
      </c>
      <c r="D7" s="1" t="s">
        <v>30</v>
      </c>
      <c r="E7" s="1" t="s">
        <v>31</v>
      </c>
      <c r="F7" s="1">
        <v>9.28152107E8</v>
      </c>
      <c r="G7" s="1" t="s">
        <v>123</v>
      </c>
      <c r="H7" s="1" t="s">
        <v>41</v>
      </c>
      <c r="I7" s="2">
        <v>45809.0</v>
      </c>
      <c r="J7" s="2">
        <v>45809.0</v>
      </c>
      <c r="K7" s="1" t="s">
        <v>34</v>
      </c>
      <c r="L7" s="1" t="s">
        <v>34</v>
      </c>
      <c r="M7" s="1" t="s">
        <v>36</v>
      </c>
      <c r="N7" s="1" t="s">
        <v>160</v>
      </c>
      <c r="O7" s="1">
        <v>1.0</v>
      </c>
      <c r="P7" s="3">
        <v>1.0</v>
      </c>
      <c r="Q7" s="1">
        <v>1.0</v>
      </c>
      <c r="R7" s="2">
        <v>45809.0</v>
      </c>
      <c r="S7" s="2">
        <v>45839.0</v>
      </c>
      <c r="T7" s="4">
        <v>0.0</v>
      </c>
      <c r="U7" s="4">
        <v>50.0</v>
      </c>
      <c r="V7" s="4">
        <v>50.0</v>
      </c>
      <c r="W7" s="4">
        <v>0.0</v>
      </c>
      <c r="X7" s="4">
        <v>0.0</v>
      </c>
      <c r="Y7" s="4">
        <v>0.0</v>
      </c>
      <c r="Z7" s="4">
        <v>50.0</v>
      </c>
      <c r="AA7" s="1" t="s">
        <v>34</v>
      </c>
    </row>
    <row r="8">
      <c r="A8" s="1" t="s">
        <v>158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9.28154542E8</v>
      </c>
      <c r="G8" s="1" t="s">
        <v>123</v>
      </c>
      <c r="H8" s="1" t="s">
        <v>161</v>
      </c>
      <c r="I8" s="2">
        <v>45931.0</v>
      </c>
      <c r="J8" s="2">
        <v>45931.0</v>
      </c>
      <c r="K8" s="1" t="s">
        <v>34</v>
      </c>
      <c r="L8" s="1" t="s">
        <v>34</v>
      </c>
      <c r="M8" s="1" t="s">
        <v>36</v>
      </c>
      <c r="N8" s="1" t="s">
        <v>160</v>
      </c>
      <c r="O8" s="1">
        <v>1.0</v>
      </c>
      <c r="P8" s="3">
        <v>1.0</v>
      </c>
      <c r="Q8" s="1">
        <v>1.0</v>
      </c>
      <c r="R8" s="2">
        <v>45931.0</v>
      </c>
      <c r="S8" s="2">
        <v>45962.0</v>
      </c>
      <c r="T8" s="4">
        <v>0.0</v>
      </c>
      <c r="U8" s="4">
        <v>50.0</v>
      </c>
      <c r="V8" s="4">
        <v>50.0</v>
      </c>
      <c r="W8" s="4">
        <v>0.0</v>
      </c>
      <c r="X8" s="4">
        <v>0.0</v>
      </c>
      <c r="Y8" s="4">
        <v>0.0</v>
      </c>
      <c r="Z8" s="4">
        <v>50.0</v>
      </c>
      <c r="AA8" s="1" t="s">
        <v>34</v>
      </c>
    </row>
    <row r="9">
      <c r="A9" s="1" t="s">
        <v>158</v>
      </c>
      <c r="B9" s="1" t="s">
        <v>28</v>
      </c>
      <c r="C9" s="1" t="s">
        <v>29</v>
      </c>
      <c r="D9" s="1" t="s">
        <v>162</v>
      </c>
      <c r="E9" s="1" t="s">
        <v>31</v>
      </c>
      <c r="F9" s="1">
        <v>9.28152496E8</v>
      </c>
      <c r="G9" s="1" t="s">
        <v>123</v>
      </c>
      <c r="H9" s="1" t="s">
        <v>163</v>
      </c>
      <c r="I9" s="2">
        <v>45809.0</v>
      </c>
      <c r="J9" s="2">
        <v>45809.0</v>
      </c>
      <c r="K9" s="1" t="s">
        <v>34</v>
      </c>
      <c r="L9" s="1" t="s">
        <v>34</v>
      </c>
      <c r="M9" s="1" t="s">
        <v>36</v>
      </c>
      <c r="N9" s="1" t="s">
        <v>160</v>
      </c>
      <c r="O9" s="1">
        <v>1.0</v>
      </c>
      <c r="P9" s="3">
        <v>1.0</v>
      </c>
      <c r="Q9" s="1">
        <v>1.0</v>
      </c>
      <c r="R9" s="2">
        <v>45809.0</v>
      </c>
      <c r="S9" s="2">
        <v>45839.0</v>
      </c>
      <c r="T9" s="4">
        <v>0.0</v>
      </c>
      <c r="U9" s="4">
        <v>50.0</v>
      </c>
      <c r="V9" s="4">
        <v>50.0</v>
      </c>
      <c r="W9" s="4">
        <v>0.0</v>
      </c>
      <c r="X9" s="4">
        <v>0.0</v>
      </c>
      <c r="Y9" s="4">
        <v>0.0</v>
      </c>
      <c r="Z9" s="4">
        <v>50.0</v>
      </c>
      <c r="AA9" s="1" t="s">
        <v>34</v>
      </c>
    </row>
    <row r="10">
      <c r="A10" s="1" t="s">
        <v>158</v>
      </c>
      <c r="B10" s="1" t="s">
        <v>28</v>
      </c>
      <c r="C10" s="1" t="s">
        <v>29</v>
      </c>
      <c r="D10" s="1" t="s">
        <v>54</v>
      </c>
      <c r="E10" s="1" t="s">
        <v>31</v>
      </c>
      <c r="F10" s="1">
        <v>9.28010745E8</v>
      </c>
      <c r="G10" s="1" t="s">
        <v>71</v>
      </c>
      <c r="H10" s="1" t="s">
        <v>164</v>
      </c>
      <c r="I10" s="2">
        <v>45809.0</v>
      </c>
      <c r="J10" s="2">
        <v>45809.0</v>
      </c>
      <c r="K10" s="1" t="s">
        <v>34</v>
      </c>
      <c r="L10" s="1" t="s">
        <v>48</v>
      </c>
      <c r="M10" s="1" t="s">
        <v>36</v>
      </c>
      <c r="N10" s="1" t="s">
        <v>160</v>
      </c>
      <c r="O10" s="1">
        <v>1.0</v>
      </c>
      <c r="P10" s="3">
        <v>1.0</v>
      </c>
      <c r="Q10" s="1">
        <v>1.0</v>
      </c>
      <c r="R10" s="2">
        <v>45809.0</v>
      </c>
      <c r="S10" s="2">
        <v>45839.0</v>
      </c>
      <c r="T10" s="4">
        <v>0.0</v>
      </c>
      <c r="U10" s="4">
        <v>50.0</v>
      </c>
      <c r="V10" s="4">
        <v>50.0</v>
      </c>
      <c r="W10" s="4">
        <v>0.0</v>
      </c>
      <c r="X10" s="4">
        <v>0.0</v>
      </c>
      <c r="Y10" s="4">
        <v>0.0</v>
      </c>
      <c r="Z10" s="4">
        <v>50.0</v>
      </c>
      <c r="AA10" s="1" t="s">
        <v>34</v>
      </c>
    </row>
    <row r="11">
      <c r="A11" s="1" t="s">
        <v>158</v>
      </c>
      <c r="B11" s="1" t="s">
        <v>28</v>
      </c>
      <c r="C11" s="1" t="s">
        <v>29</v>
      </c>
      <c r="D11" s="1" t="s">
        <v>54</v>
      </c>
      <c r="E11" s="1" t="s">
        <v>31</v>
      </c>
      <c r="F11" s="1">
        <v>9.28055228E8</v>
      </c>
      <c r="G11" s="1" t="s">
        <v>46</v>
      </c>
      <c r="H11" s="1" t="s">
        <v>56</v>
      </c>
      <c r="I11" s="2">
        <v>45870.0</v>
      </c>
      <c r="J11" s="2">
        <v>45870.0</v>
      </c>
      <c r="K11" s="1" t="s">
        <v>34</v>
      </c>
      <c r="L11" s="1" t="s">
        <v>48</v>
      </c>
      <c r="M11" s="1" t="s">
        <v>36</v>
      </c>
      <c r="N11" s="1" t="s">
        <v>160</v>
      </c>
      <c r="O11" s="1">
        <v>1.0</v>
      </c>
      <c r="P11" s="3">
        <v>1.0</v>
      </c>
      <c r="Q11" s="1">
        <v>1.0</v>
      </c>
      <c r="R11" s="2">
        <v>45870.0</v>
      </c>
      <c r="S11" s="2">
        <v>45901.0</v>
      </c>
      <c r="T11" s="4">
        <v>0.0</v>
      </c>
      <c r="U11" s="4">
        <v>50.0</v>
      </c>
      <c r="V11" s="4">
        <v>50.0</v>
      </c>
      <c r="W11" s="4">
        <v>0.0</v>
      </c>
      <c r="X11" s="4">
        <v>0.0</v>
      </c>
      <c r="Y11" s="4">
        <v>0.0</v>
      </c>
      <c r="Z11" s="4">
        <v>50.0</v>
      </c>
      <c r="AA11" s="1" t="s">
        <v>34</v>
      </c>
    </row>
    <row r="12">
      <c r="A12" s="1" t="s">
        <v>158</v>
      </c>
      <c r="B12" s="1" t="s">
        <v>28</v>
      </c>
      <c r="C12" s="1" t="s">
        <v>29</v>
      </c>
      <c r="D12" s="1" t="s">
        <v>54</v>
      </c>
      <c r="E12" s="1" t="s">
        <v>31</v>
      </c>
      <c r="F12" s="1">
        <v>9.2806003E8</v>
      </c>
      <c r="G12" s="1" t="s">
        <v>57</v>
      </c>
      <c r="H12" s="1" t="s">
        <v>58</v>
      </c>
      <c r="I12" s="2">
        <v>45931.0</v>
      </c>
      <c r="J12" s="2">
        <v>45931.0</v>
      </c>
      <c r="K12" s="1" t="s">
        <v>34</v>
      </c>
      <c r="L12" s="1" t="s">
        <v>34</v>
      </c>
      <c r="M12" s="1" t="s">
        <v>36</v>
      </c>
      <c r="N12" s="1" t="s">
        <v>160</v>
      </c>
      <c r="O12" s="1">
        <v>1.0</v>
      </c>
      <c r="P12" s="3">
        <v>1.0</v>
      </c>
      <c r="Q12" s="1">
        <v>1.0</v>
      </c>
      <c r="R12" s="2">
        <v>45931.0</v>
      </c>
      <c r="S12" s="2">
        <v>45962.0</v>
      </c>
      <c r="T12" s="4">
        <v>0.0</v>
      </c>
      <c r="U12" s="4">
        <v>50.0</v>
      </c>
      <c r="V12" s="4">
        <v>50.0</v>
      </c>
      <c r="W12" s="4">
        <v>0.0</v>
      </c>
      <c r="X12" s="4">
        <v>0.0</v>
      </c>
      <c r="Y12" s="4">
        <v>0.0</v>
      </c>
      <c r="Z12" s="4">
        <v>50.0</v>
      </c>
      <c r="AA12" s="1" t="s">
        <v>34</v>
      </c>
    </row>
    <row r="13">
      <c r="A13" s="1" t="s">
        <v>158</v>
      </c>
      <c r="B13" s="1" t="s">
        <v>28</v>
      </c>
      <c r="C13" s="1" t="s">
        <v>29</v>
      </c>
      <c r="D13" s="1" t="s">
        <v>54</v>
      </c>
      <c r="E13" s="1" t="s">
        <v>31</v>
      </c>
      <c r="F13" s="1">
        <v>9.28092285E8</v>
      </c>
      <c r="G13" s="1" t="s">
        <v>71</v>
      </c>
      <c r="H13" s="1" t="s">
        <v>60</v>
      </c>
      <c r="I13" s="2">
        <v>45931.0</v>
      </c>
      <c r="J13" s="2">
        <v>45931.0</v>
      </c>
      <c r="K13" s="1" t="s">
        <v>34</v>
      </c>
      <c r="L13" s="1" t="s">
        <v>48</v>
      </c>
      <c r="M13" s="1" t="s">
        <v>36</v>
      </c>
      <c r="N13" s="1" t="s">
        <v>160</v>
      </c>
      <c r="O13" s="1">
        <v>1.0</v>
      </c>
      <c r="P13" s="3">
        <v>1.0</v>
      </c>
      <c r="Q13" s="1">
        <v>1.0</v>
      </c>
      <c r="R13" s="2">
        <v>45931.0</v>
      </c>
      <c r="S13" s="2">
        <v>45962.0</v>
      </c>
      <c r="T13" s="4">
        <v>0.0</v>
      </c>
      <c r="U13" s="4">
        <v>50.0</v>
      </c>
      <c r="V13" s="4">
        <v>50.0</v>
      </c>
      <c r="W13" s="4">
        <v>0.0</v>
      </c>
      <c r="X13" s="4">
        <v>0.0</v>
      </c>
      <c r="Y13" s="4">
        <v>0.0</v>
      </c>
      <c r="Z13" s="4">
        <v>50.0</v>
      </c>
      <c r="AA13" s="1" t="s">
        <v>34</v>
      </c>
    </row>
    <row r="14">
      <c r="A14" s="1" t="s">
        <v>158</v>
      </c>
      <c r="B14" s="1" t="s">
        <v>28</v>
      </c>
      <c r="C14" s="1" t="s">
        <v>29</v>
      </c>
      <c r="D14" s="1" t="s">
        <v>54</v>
      </c>
      <c r="E14" s="1" t="s">
        <v>31</v>
      </c>
      <c r="F14" s="1">
        <v>9.28093609E8</v>
      </c>
      <c r="G14" s="1" t="s">
        <v>46</v>
      </c>
      <c r="H14" s="1" t="s">
        <v>165</v>
      </c>
      <c r="I14" s="2">
        <v>45689.0</v>
      </c>
      <c r="J14" s="2">
        <v>45689.0</v>
      </c>
      <c r="K14" s="1" t="s">
        <v>34</v>
      </c>
      <c r="L14" s="1" t="s">
        <v>48</v>
      </c>
      <c r="M14" s="1" t="s">
        <v>36</v>
      </c>
      <c r="N14" s="1" t="s">
        <v>160</v>
      </c>
      <c r="O14" s="1">
        <v>1.0</v>
      </c>
      <c r="P14" s="3">
        <v>1.0</v>
      </c>
      <c r="Q14" s="1">
        <v>1.0</v>
      </c>
      <c r="R14" s="2">
        <v>45689.0</v>
      </c>
      <c r="S14" s="2">
        <v>45717.0</v>
      </c>
      <c r="T14" s="4">
        <v>0.0</v>
      </c>
      <c r="U14" s="4">
        <v>50.0</v>
      </c>
      <c r="V14" s="4">
        <v>50.0</v>
      </c>
      <c r="W14" s="4">
        <v>0.0</v>
      </c>
      <c r="X14" s="4">
        <v>0.0</v>
      </c>
      <c r="Y14" s="4">
        <v>0.0</v>
      </c>
      <c r="Z14" s="4">
        <v>50.0</v>
      </c>
      <c r="AA14" s="1" t="s">
        <v>34</v>
      </c>
    </row>
    <row r="15">
      <c r="A15" s="1" t="s">
        <v>158</v>
      </c>
      <c r="B15" s="1" t="s">
        <v>28</v>
      </c>
      <c r="C15" s="1" t="s">
        <v>29</v>
      </c>
      <c r="D15" s="1" t="s">
        <v>54</v>
      </c>
      <c r="E15" s="1" t="s">
        <v>31</v>
      </c>
      <c r="F15" s="1">
        <v>9.28132596E8</v>
      </c>
      <c r="G15" s="1" t="s">
        <v>57</v>
      </c>
      <c r="H15" s="1" t="s">
        <v>64</v>
      </c>
      <c r="I15" s="2">
        <v>45901.0</v>
      </c>
      <c r="J15" s="2">
        <v>45901.0</v>
      </c>
      <c r="K15" s="1" t="s">
        <v>34</v>
      </c>
      <c r="L15" s="1" t="s">
        <v>34</v>
      </c>
      <c r="M15" s="1" t="s">
        <v>36</v>
      </c>
      <c r="N15" s="1" t="s">
        <v>160</v>
      </c>
      <c r="O15" s="1">
        <v>1.0</v>
      </c>
      <c r="P15" s="3">
        <v>1.0</v>
      </c>
      <c r="Q15" s="1">
        <v>1.0</v>
      </c>
      <c r="R15" s="2">
        <v>45901.0</v>
      </c>
      <c r="S15" s="2">
        <v>45931.0</v>
      </c>
      <c r="T15" s="4">
        <v>0.0</v>
      </c>
      <c r="U15" s="4">
        <v>50.0</v>
      </c>
      <c r="V15" s="4">
        <v>50.0</v>
      </c>
      <c r="W15" s="4">
        <v>0.0</v>
      </c>
      <c r="X15" s="4">
        <v>0.0</v>
      </c>
      <c r="Y15" s="4">
        <v>0.0</v>
      </c>
      <c r="Z15" s="4">
        <v>50.0</v>
      </c>
      <c r="AA15" s="1" t="s">
        <v>34</v>
      </c>
    </row>
    <row r="16">
      <c r="A16" s="1" t="s">
        <v>158</v>
      </c>
      <c r="B16" s="1" t="s">
        <v>28</v>
      </c>
      <c r="C16" s="1" t="s">
        <v>29</v>
      </c>
      <c r="D16" s="1" t="s">
        <v>54</v>
      </c>
      <c r="E16" s="1" t="s">
        <v>31</v>
      </c>
      <c r="F16" s="1">
        <v>9.28134465E8</v>
      </c>
      <c r="G16" s="1" t="s">
        <v>57</v>
      </c>
      <c r="H16" s="1" t="s">
        <v>65</v>
      </c>
      <c r="I16" s="2">
        <v>45809.0</v>
      </c>
      <c r="J16" s="2">
        <v>45809.0</v>
      </c>
      <c r="K16" s="1" t="s">
        <v>34</v>
      </c>
      <c r="L16" s="1" t="s">
        <v>34</v>
      </c>
      <c r="M16" s="1" t="s">
        <v>36</v>
      </c>
      <c r="N16" s="1" t="s">
        <v>160</v>
      </c>
      <c r="O16" s="1">
        <v>1.0</v>
      </c>
      <c r="P16" s="3">
        <v>1.0</v>
      </c>
      <c r="Q16" s="1">
        <v>1.0</v>
      </c>
      <c r="R16" s="2">
        <v>45809.0</v>
      </c>
      <c r="S16" s="2">
        <v>45839.0</v>
      </c>
      <c r="T16" s="4">
        <v>0.0</v>
      </c>
      <c r="U16" s="4">
        <v>50.0</v>
      </c>
      <c r="V16" s="4">
        <v>50.0</v>
      </c>
      <c r="W16" s="4">
        <v>0.0</v>
      </c>
      <c r="X16" s="4">
        <v>0.0</v>
      </c>
      <c r="Y16" s="4">
        <v>0.0</v>
      </c>
      <c r="Z16" s="4">
        <v>50.0</v>
      </c>
      <c r="AA16" s="1" t="s">
        <v>34</v>
      </c>
    </row>
    <row r="17">
      <c r="A17" s="1" t="s">
        <v>158</v>
      </c>
      <c r="B17" s="1" t="s">
        <v>28</v>
      </c>
      <c r="C17" s="1" t="s">
        <v>29</v>
      </c>
      <c r="D17" s="1" t="s">
        <v>54</v>
      </c>
      <c r="E17" s="1" t="s">
        <v>31</v>
      </c>
      <c r="F17" s="1">
        <v>9.28136679E8</v>
      </c>
      <c r="G17" s="1" t="s">
        <v>59</v>
      </c>
      <c r="H17" s="1" t="s">
        <v>66</v>
      </c>
      <c r="I17" s="2">
        <v>45839.0</v>
      </c>
      <c r="J17" s="2">
        <v>45839.0</v>
      </c>
      <c r="K17" s="1" t="s">
        <v>34</v>
      </c>
      <c r="L17" s="1" t="s">
        <v>48</v>
      </c>
      <c r="M17" s="1" t="s">
        <v>36</v>
      </c>
      <c r="N17" s="1" t="s">
        <v>160</v>
      </c>
      <c r="O17" s="1">
        <v>1.0</v>
      </c>
      <c r="P17" s="3">
        <v>1.0</v>
      </c>
      <c r="Q17" s="1">
        <v>1.0</v>
      </c>
      <c r="R17" s="2">
        <v>45839.0</v>
      </c>
      <c r="S17" s="2">
        <v>45870.0</v>
      </c>
      <c r="T17" s="4">
        <v>0.0</v>
      </c>
      <c r="U17" s="4">
        <v>50.0</v>
      </c>
      <c r="V17" s="4">
        <v>50.0</v>
      </c>
      <c r="W17" s="4">
        <v>0.0</v>
      </c>
      <c r="X17" s="4">
        <v>0.0</v>
      </c>
      <c r="Y17" s="4">
        <v>0.0</v>
      </c>
      <c r="Z17" s="4">
        <v>50.0</v>
      </c>
      <c r="AA17" s="1" t="s">
        <v>34</v>
      </c>
    </row>
    <row r="18">
      <c r="A18" s="1" t="s">
        <v>158</v>
      </c>
      <c r="B18" s="1" t="s">
        <v>28</v>
      </c>
      <c r="C18" s="1" t="s">
        <v>29</v>
      </c>
      <c r="D18" s="1" t="s">
        <v>54</v>
      </c>
      <c r="E18" s="1" t="s">
        <v>31</v>
      </c>
      <c r="F18" s="1">
        <v>9.28145593E8</v>
      </c>
      <c r="G18" s="1" t="s">
        <v>57</v>
      </c>
      <c r="H18" s="1" t="s">
        <v>138</v>
      </c>
      <c r="I18" s="2">
        <v>45658.0</v>
      </c>
      <c r="J18" s="2">
        <v>45658.0</v>
      </c>
      <c r="K18" s="1" t="s">
        <v>34</v>
      </c>
      <c r="L18" s="1" t="s">
        <v>34</v>
      </c>
      <c r="M18" s="1" t="s">
        <v>36</v>
      </c>
      <c r="N18" s="1" t="s">
        <v>160</v>
      </c>
      <c r="O18" s="1">
        <v>1.0</v>
      </c>
      <c r="P18" s="3">
        <v>1.0</v>
      </c>
      <c r="Q18" s="1">
        <v>1.0</v>
      </c>
      <c r="R18" s="2">
        <v>45658.0</v>
      </c>
      <c r="S18" s="2">
        <v>45689.0</v>
      </c>
      <c r="T18" s="4">
        <v>0.0</v>
      </c>
      <c r="U18" s="4">
        <v>50.0</v>
      </c>
      <c r="V18" s="4">
        <v>50.0</v>
      </c>
      <c r="W18" s="4">
        <v>0.0</v>
      </c>
      <c r="X18" s="4">
        <v>0.0</v>
      </c>
      <c r="Y18" s="4">
        <v>0.0</v>
      </c>
      <c r="Z18" s="4">
        <v>50.0</v>
      </c>
      <c r="AA18" s="1" t="s">
        <v>34</v>
      </c>
    </row>
    <row r="19">
      <c r="A19" s="1" t="s">
        <v>158</v>
      </c>
      <c r="B19" s="1" t="s">
        <v>28</v>
      </c>
      <c r="C19" s="1" t="s">
        <v>29</v>
      </c>
      <c r="D19" s="1" t="s">
        <v>54</v>
      </c>
      <c r="E19" s="1" t="s">
        <v>31</v>
      </c>
      <c r="F19" s="1">
        <v>9.28146737E8</v>
      </c>
      <c r="G19" s="1" t="s">
        <v>59</v>
      </c>
      <c r="H19" s="1" t="s">
        <v>140</v>
      </c>
      <c r="I19" s="2">
        <v>45658.0</v>
      </c>
      <c r="J19" s="2">
        <v>45658.0</v>
      </c>
      <c r="K19" s="1" t="s">
        <v>34</v>
      </c>
      <c r="L19" s="1" t="s">
        <v>48</v>
      </c>
      <c r="M19" s="1" t="s">
        <v>36</v>
      </c>
      <c r="N19" s="1" t="s">
        <v>160</v>
      </c>
      <c r="O19" s="1">
        <v>1.0</v>
      </c>
      <c r="P19" s="3">
        <v>1.0</v>
      </c>
      <c r="Q19" s="1">
        <v>1.0</v>
      </c>
      <c r="R19" s="2">
        <v>45658.0</v>
      </c>
      <c r="S19" s="2">
        <v>45689.0</v>
      </c>
      <c r="T19" s="4">
        <v>0.0</v>
      </c>
      <c r="U19" s="4">
        <v>50.0</v>
      </c>
      <c r="V19" s="4">
        <v>50.0</v>
      </c>
      <c r="W19" s="4">
        <v>0.0</v>
      </c>
      <c r="X19" s="4">
        <v>0.0</v>
      </c>
      <c r="Y19" s="4">
        <v>0.0</v>
      </c>
      <c r="Z19" s="4">
        <v>50.0</v>
      </c>
      <c r="AA19" s="1" t="s">
        <v>34</v>
      </c>
    </row>
    <row r="20">
      <c r="A20" s="1" t="s">
        <v>158</v>
      </c>
      <c r="B20" s="1" t="s">
        <v>28</v>
      </c>
      <c r="C20" s="1" t="s">
        <v>29</v>
      </c>
      <c r="D20" s="1" t="s">
        <v>54</v>
      </c>
      <c r="E20" s="1" t="s">
        <v>31</v>
      </c>
      <c r="F20" s="1">
        <v>9.28149001E8</v>
      </c>
      <c r="G20" s="1" t="s">
        <v>71</v>
      </c>
      <c r="H20" s="1" t="s">
        <v>141</v>
      </c>
      <c r="I20" s="2">
        <v>45689.0</v>
      </c>
      <c r="J20" s="2">
        <v>45689.0</v>
      </c>
      <c r="K20" s="1" t="s">
        <v>34</v>
      </c>
      <c r="L20" s="1" t="s">
        <v>48</v>
      </c>
      <c r="M20" s="1" t="s">
        <v>36</v>
      </c>
      <c r="N20" s="1" t="s">
        <v>160</v>
      </c>
      <c r="O20" s="1">
        <v>1.0</v>
      </c>
      <c r="P20" s="3">
        <v>1.0</v>
      </c>
      <c r="Q20" s="1">
        <v>1.0</v>
      </c>
      <c r="R20" s="2">
        <v>45689.0</v>
      </c>
      <c r="S20" s="2">
        <v>45717.0</v>
      </c>
      <c r="T20" s="4">
        <v>0.0</v>
      </c>
      <c r="U20" s="4">
        <v>50.0</v>
      </c>
      <c r="V20" s="4">
        <v>50.0</v>
      </c>
      <c r="W20" s="4">
        <v>0.0</v>
      </c>
      <c r="X20" s="4">
        <v>0.0</v>
      </c>
      <c r="Y20" s="4">
        <v>0.0</v>
      </c>
      <c r="Z20" s="4">
        <v>50.0</v>
      </c>
      <c r="AA20" s="1" t="s">
        <v>34</v>
      </c>
    </row>
    <row r="21" ht="15.75" customHeight="1">
      <c r="A21" s="1" t="s">
        <v>158</v>
      </c>
      <c r="B21" s="1" t="s">
        <v>28</v>
      </c>
      <c r="C21" s="1" t="s">
        <v>29</v>
      </c>
      <c r="D21" s="1" t="s">
        <v>54</v>
      </c>
      <c r="E21" s="1" t="s">
        <v>31</v>
      </c>
      <c r="F21" s="1">
        <v>9.28149122E8</v>
      </c>
      <c r="G21" s="1" t="s">
        <v>166</v>
      </c>
      <c r="H21" s="1" t="s">
        <v>167</v>
      </c>
      <c r="I21" s="2">
        <v>45689.0</v>
      </c>
      <c r="J21" s="2">
        <v>45689.0</v>
      </c>
      <c r="K21" s="1" t="s">
        <v>34</v>
      </c>
      <c r="L21" s="1" t="s">
        <v>34</v>
      </c>
      <c r="M21" s="1" t="s">
        <v>36</v>
      </c>
      <c r="N21" s="1" t="s">
        <v>160</v>
      </c>
      <c r="O21" s="1">
        <v>1.0</v>
      </c>
      <c r="P21" s="3">
        <v>1.0</v>
      </c>
      <c r="Q21" s="1">
        <v>1.0</v>
      </c>
      <c r="R21" s="2">
        <v>45689.0</v>
      </c>
      <c r="S21" s="2">
        <v>45717.0</v>
      </c>
      <c r="T21" s="4">
        <v>0.0</v>
      </c>
      <c r="U21" s="4">
        <v>50.0</v>
      </c>
      <c r="V21" s="4">
        <v>50.0</v>
      </c>
      <c r="W21" s="4">
        <v>0.0</v>
      </c>
      <c r="X21" s="4">
        <v>0.0</v>
      </c>
      <c r="Y21" s="4">
        <v>0.0</v>
      </c>
      <c r="Z21" s="4">
        <v>50.0</v>
      </c>
      <c r="AA21" s="1" t="s">
        <v>34</v>
      </c>
    </row>
    <row r="22" ht="15.75" customHeight="1">
      <c r="A22" s="1" t="s">
        <v>158</v>
      </c>
      <c r="B22" s="1" t="s">
        <v>28</v>
      </c>
      <c r="C22" s="1" t="s">
        <v>29</v>
      </c>
      <c r="D22" s="1" t="s">
        <v>54</v>
      </c>
      <c r="E22" s="1" t="s">
        <v>31</v>
      </c>
      <c r="F22" s="1">
        <v>9.28149222E8</v>
      </c>
      <c r="G22" s="1" t="s">
        <v>59</v>
      </c>
      <c r="H22" s="1" t="s">
        <v>142</v>
      </c>
      <c r="I22" s="2">
        <v>45689.0</v>
      </c>
      <c r="J22" s="2">
        <v>45689.0</v>
      </c>
      <c r="K22" s="1" t="s">
        <v>34</v>
      </c>
      <c r="L22" s="1" t="s">
        <v>48</v>
      </c>
      <c r="M22" s="1" t="s">
        <v>36</v>
      </c>
      <c r="N22" s="1" t="s">
        <v>160</v>
      </c>
      <c r="O22" s="1">
        <v>1.0</v>
      </c>
      <c r="P22" s="3">
        <v>1.0</v>
      </c>
      <c r="Q22" s="1">
        <v>1.0</v>
      </c>
      <c r="R22" s="2">
        <v>45689.0</v>
      </c>
      <c r="S22" s="2">
        <v>45717.0</v>
      </c>
      <c r="T22" s="4">
        <v>0.0</v>
      </c>
      <c r="U22" s="4">
        <v>50.0</v>
      </c>
      <c r="V22" s="4">
        <v>50.0</v>
      </c>
      <c r="W22" s="4">
        <v>0.0</v>
      </c>
      <c r="X22" s="4">
        <v>0.0</v>
      </c>
      <c r="Y22" s="4">
        <v>0.0</v>
      </c>
      <c r="Z22" s="4">
        <v>50.0</v>
      </c>
      <c r="AA22" s="1" t="s">
        <v>34</v>
      </c>
    </row>
    <row r="23" ht="15.75" customHeight="1">
      <c r="A23" s="1" t="s">
        <v>158</v>
      </c>
      <c r="B23" s="1" t="s">
        <v>28</v>
      </c>
      <c r="C23" s="1" t="s">
        <v>29</v>
      </c>
      <c r="D23" s="1" t="s">
        <v>54</v>
      </c>
      <c r="E23" s="1" t="s">
        <v>31</v>
      </c>
      <c r="F23" s="1">
        <v>9.28149327E8</v>
      </c>
      <c r="G23" s="1" t="s">
        <v>71</v>
      </c>
      <c r="H23" s="1" t="s">
        <v>143</v>
      </c>
      <c r="I23" s="2">
        <v>45689.0</v>
      </c>
      <c r="J23" s="2">
        <v>45689.0</v>
      </c>
      <c r="K23" s="1" t="s">
        <v>34</v>
      </c>
      <c r="L23" s="1" t="s">
        <v>48</v>
      </c>
      <c r="M23" s="1" t="s">
        <v>36</v>
      </c>
      <c r="N23" s="1" t="s">
        <v>160</v>
      </c>
      <c r="O23" s="1">
        <v>1.0</v>
      </c>
      <c r="P23" s="3">
        <v>1.0</v>
      </c>
      <c r="Q23" s="1">
        <v>1.0</v>
      </c>
      <c r="R23" s="2">
        <v>45689.0</v>
      </c>
      <c r="S23" s="2">
        <v>45717.0</v>
      </c>
      <c r="T23" s="4">
        <v>0.0</v>
      </c>
      <c r="U23" s="4">
        <v>50.0</v>
      </c>
      <c r="V23" s="4">
        <v>50.0</v>
      </c>
      <c r="W23" s="4">
        <v>0.0</v>
      </c>
      <c r="X23" s="4">
        <v>0.0</v>
      </c>
      <c r="Y23" s="4">
        <v>0.0</v>
      </c>
      <c r="Z23" s="4">
        <v>50.0</v>
      </c>
      <c r="AA23" s="1" t="s">
        <v>34</v>
      </c>
    </row>
    <row r="24" ht="15.75" customHeight="1">
      <c r="A24" s="1" t="s">
        <v>158</v>
      </c>
      <c r="B24" s="1" t="s">
        <v>28</v>
      </c>
      <c r="C24" s="1" t="s">
        <v>29</v>
      </c>
      <c r="D24" s="1" t="s">
        <v>54</v>
      </c>
      <c r="E24" s="1" t="s">
        <v>31</v>
      </c>
      <c r="F24" s="1">
        <v>9.28149842E8</v>
      </c>
      <c r="G24" s="1" t="s">
        <v>46</v>
      </c>
      <c r="H24" s="1" t="s">
        <v>144</v>
      </c>
      <c r="I24" s="2">
        <v>45717.0</v>
      </c>
      <c r="J24" s="2">
        <v>45717.0</v>
      </c>
      <c r="K24" s="1" t="s">
        <v>34</v>
      </c>
      <c r="L24" s="1" t="s">
        <v>48</v>
      </c>
      <c r="M24" s="1" t="s">
        <v>36</v>
      </c>
      <c r="N24" s="1" t="s">
        <v>160</v>
      </c>
      <c r="O24" s="1">
        <v>1.0</v>
      </c>
      <c r="P24" s="3">
        <v>1.0</v>
      </c>
      <c r="Q24" s="1">
        <v>1.0</v>
      </c>
      <c r="R24" s="2">
        <v>45717.0</v>
      </c>
      <c r="S24" s="2">
        <v>45748.0</v>
      </c>
      <c r="T24" s="4">
        <v>0.0</v>
      </c>
      <c r="U24" s="4">
        <v>50.0</v>
      </c>
      <c r="V24" s="4">
        <v>50.0</v>
      </c>
      <c r="W24" s="4">
        <v>0.0</v>
      </c>
      <c r="X24" s="4">
        <v>0.0</v>
      </c>
      <c r="Y24" s="4">
        <v>0.0</v>
      </c>
      <c r="Z24" s="4">
        <v>50.0</v>
      </c>
      <c r="AA24" s="1" t="s">
        <v>34</v>
      </c>
    </row>
    <row r="25" ht="15.75" customHeight="1">
      <c r="A25" s="1" t="s">
        <v>158</v>
      </c>
      <c r="B25" s="1" t="s">
        <v>28</v>
      </c>
      <c r="C25" s="1" t="s">
        <v>29</v>
      </c>
      <c r="D25" s="1" t="s">
        <v>54</v>
      </c>
      <c r="E25" s="1" t="s">
        <v>31</v>
      </c>
      <c r="F25" s="1">
        <v>9.28149844E8</v>
      </c>
      <c r="G25" s="1" t="s">
        <v>46</v>
      </c>
      <c r="H25" s="1" t="s">
        <v>145</v>
      </c>
      <c r="I25" s="2">
        <v>45717.0</v>
      </c>
      <c r="J25" s="2">
        <v>45717.0</v>
      </c>
      <c r="K25" s="1" t="s">
        <v>34</v>
      </c>
      <c r="L25" s="1" t="s">
        <v>48</v>
      </c>
      <c r="M25" s="1" t="s">
        <v>36</v>
      </c>
      <c r="N25" s="1" t="s">
        <v>160</v>
      </c>
      <c r="O25" s="1">
        <v>1.0</v>
      </c>
      <c r="P25" s="3">
        <v>1.0</v>
      </c>
      <c r="Q25" s="1">
        <v>1.0</v>
      </c>
      <c r="R25" s="2">
        <v>45717.0</v>
      </c>
      <c r="S25" s="2">
        <v>45748.0</v>
      </c>
      <c r="T25" s="4">
        <v>0.0</v>
      </c>
      <c r="U25" s="4">
        <v>50.0</v>
      </c>
      <c r="V25" s="4">
        <v>50.0</v>
      </c>
      <c r="W25" s="4">
        <v>0.0</v>
      </c>
      <c r="X25" s="4">
        <v>0.0</v>
      </c>
      <c r="Y25" s="4">
        <v>0.0</v>
      </c>
      <c r="Z25" s="4">
        <v>50.0</v>
      </c>
      <c r="AA25" s="1" t="s">
        <v>34</v>
      </c>
    </row>
    <row r="26" ht="15.75" customHeight="1">
      <c r="A26" s="1" t="s">
        <v>158</v>
      </c>
      <c r="B26" s="1" t="s">
        <v>28</v>
      </c>
      <c r="C26" s="1" t="s">
        <v>29</v>
      </c>
      <c r="D26" s="1" t="s">
        <v>54</v>
      </c>
      <c r="E26" s="1" t="s">
        <v>31</v>
      </c>
      <c r="F26" s="1">
        <v>9.2814987E8</v>
      </c>
      <c r="G26" s="1" t="s">
        <v>166</v>
      </c>
      <c r="H26" s="1" t="s">
        <v>146</v>
      </c>
      <c r="I26" s="2">
        <v>45717.0</v>
      </c>
      <c r="J26" s="2">
        <v>45717.0</v>
      </c>
      <c r="K26" s="1" t="s">
        <v>34</v>
      </c>
      <c r="L26" s="1" t="s">
        <v>34</v>
      </c>
      <c r="M26" s="1" t="s">
        <v>36</v>
      </c>
      <c r="N26" s="1" t="s">
        <v>160</v>
      </c>
      <c r="O26" s="1">
        <v>1.0</v>
      </c>
      <c r="P26" s="3">
        <v>1.0</v>
      </c>
      <c r="Q26" s="1">
        <v>1.0</v>
      </c>
      <c r="R26" s="2">
        <v>45717.0</v>
      </c>
      <c r="S26" s="2">
        <v>45748.0</v>
      </c>
      <c r="T26" s="4">
        <v>0.0</v>
      </c>
      <c r="U26" s="4">
        <v>50.0</v>
      </c>
      <c r="V26" s="4">
        <v>50.0</v>
      </c>
      <c r="W26" s="4">
        <v>0.0</v>
      </c>
      <c r="X26" s="4">
        <v>0.0</v>
      </c>
      <c r="Y26" s="4">
        <v>0.0</v>
      </c>
      <c r="Z26" s="4">
        <v>50.0</v>
      </c>
      <c r="AA26" s="1" t="s">
        <v>34</v>
      </c>
    </row>
    <row r="27" ht="15.75" customHeight="1">
      <c r="A27" s="1" t="s">
        <v>158</v>
      </c>
      <c r="B27" s="1" t="s">
        <v>28</v>
      </c>
      <c r="C27" s="1" t="s">
        <v>29</v>
      </c>
      <c r="D27" s="1" t="s">
        <v>54</v>
      </c>
      <c r="E27" s="1" t="s">
        <v>31</v>
      </c>
      <c r="F27" s="1">
        <v>9.28150112E8</v>
      </c>
      <c r="G27" s="1" t="s">
        <v>71</v>
      </c>
      <c r="H27" s="1" t="s">
        <v>147</v>
      </c>
      <c r="I27" s="2">
        <v>45717.0</v>
      </c>
      <c r="J27" s="2">
        <v>45717.0</v>
      </c>
      <c r="K27" s="1" t="s">
        <v>34</v>
      </c>
      <c r="L27" s="1" t="s">
        <v>48</v>
      </c>
      <c r="M27" s="1" t="s">
        <v>36</v>
      </c>
      <c r="N27" s="1" t="s">
        <v>160</v>
      </c>
      <c r="O27" s="1">
        <v>1.0</v>
      </c>
      <c r="P27" s="3">
        <v>1.0</v>
      </c>
      <c r="Q27" s="1">
        <v>1.0</v>
      </c>
      <c r="R27" s="2">
        <v>45717.0</v>
      </c>
      <c r="S27" s="2">
        <v>45748.0</v>
      </c>
      <c r="T27" s="4">
        <v>0.0</v>
      </c>
      <c r="U27" s="4">
        <v>50.0</v>
      </c>
      <c r="V27" s="4">
        <v>50.0</v>
      </c>
      <c r="W27" s="4">
        <v>0.0</v>
      </c>
      <c r="X27" s="4">
        <v>0.0</v>
      </c>
      <c r="Y27" s="4">
        <v>0.0</v>
      </c>
      <c r="Z27" s="4">
        <v>50.0</v>
      </c>
      <c r="AA27" s="1" t="s">
        <v>34</v>
      </c>
    </row>
    <row r="28" ht="15.75" customHeight="1">
      <c r="A28" s="1" t="s">
        <v>158</v>
      </c>
      <c r="B28" s="1" t="s">
        <v>28</v>
      </c>
      <c r="C28" s="1" t="s">
        <v>29</v>
      </c>
      <c r="D28" s="1" t="s">
        <v>54</v>
      </c>
      <c r="E28" s="1" t="s">
        <v>31</v>
      </c>
      <c r="F28" s="1">
        <v>9.28150209E8</v>
      </c>
      <c r="G28" s="1" t="s">
        <v>38</v>
      </c>
      <c r="H28" s="1" t="s">
        <v>148</v>
      </c>
      <c r="I28" s="2">
        <v>45717.0</v>
      </c>
      <c r="J28" s="2">
        <v>45717.0</v>
      </c>
      <c r="K28" s="1" t="s">
        <v>34</v>
      </c>
      <c r="L28" s="1" t="s">
        <v>34</v>
      </c>
      <c r="M28" s="1" t="s">
        <v>36</v>
      </c>
      <c r="N28" s="1" t="s">
        <v>160</v>
      </c>
      <c r="O28" s="1">
        <v>1.0</v>
      </c>
      <c r="P28" s="3">
        <v>1.0</v>
      </c>
      <c r="Q28" s="1">
        <v>1.0</v>
      </c>
      <c r="R28" s="2">
        <v>45717.0</v>
      </c>
      <c r="S28" s="2">
        <v>45748.0</v>
      </c>
      <c r="T28" s="4">
        <v>0.0</v>
      </c>
      <c r="U28" s="4">
        <v>50.0</v>
      </c>
      <c r="V28" s="4">
        <v>50.0</v>
      </c>
      <c r="W28" s="4">
        <v>0.0</v>
      </c>
      <c r="X28" s="4">
        <v>0.0</v>
      </c>
      <c r="Y28" s="4">
        <v>0.0</v>
      </c>
      <c r="Z28" s="4">
        <v>50.0</v>
      </c>
      <c r="AA28" s="1" t="s">
        <v>34</v>
      </c>
    </row>
    <row r="29" ht="15.75" customHeight="1">
      <c r="A29" s="1" t="s">
        <v>158</v>
      </c>
      <c r="B29" s="1" t="s">
        <v>28</v>
      </c>
      <c r="C29" s="1" t="s">
        <v>29</v>
      </c>
      <c r="D29" s="1" t="s">
        <v>54</v>
      </c>
      <c r="E29" s="1" t="s">
        <v>31</v>
      </c>
      <c r="F29" s="1">
        <v>9.2815025E8</v>
      </c>
      <c r="G29" s="1" t="s">
        <v>123</v>
      </c>
      <c r="H29" s="1" t="s">
        <v>168</v>
      </c>
      <c r="I29" s="2">
        <v>45809.0</v>
      </c>
      <c r="J29" s="2">
        <v>45809.0</v>
      </c>
      <c r="K29" s="1" t="s">
        <v>34</v>
      </c>
      <c r="L29" s="1" t="s">
        <v>34</v>
      </c>
      <c r="M29" s="1" t="s">
        <v>36</v>
      </c>
      <c r="N29" s="1" t="s">
        <v>160</v>
      </c>
      <c r="O29" s="1">
        <v>1.0</v>
      </c>
      <c r="P29" s="3">
        <v>1.0</v>
      </c>
      <c r="Q29" s="1">
        <v>1.0</v>
      </c>
      <c r="R29" s="2">
        <v>45809.0</v>
      </c>
      <c r="S29" s="2">
        <v>45839.0</v>
      </c>
      <c r="T29" s="4">
        <v>0.0</v>
      </c>
      <c r="U29" s="4">
        <v>50.0</v>
      </c>
      <c r="V29" s="4">
        <v>50.0</v>
      </c>
      <c r="W29" s="4">
        <v>0.0</v>
      </c>
      <c r="X29" s="4">
        <v>0.0</v>
      </c>
      <c r="Y29" s="4">
        <v>0.0</v>
      </c>
      <c r="Z29" s="4">
        <v>50.0</v>
      </c>
      <c r="AA29" s="1" t="s">
        <v>34</v>
      </c>
    </row>
    <row r="30" ht="15.75" customHeight="1">
      <c r="A30" s="1" t="s">
        <v>158</v>
      </c>
      <c r="B30" s="1" t="s">
        <v>28</v>
      </c>
      <c r="C30" s="1" t="s">
        <v>29</v>
      </c>
      <c r="D30" s="1" t="s">
        <v>54</v>
      </c>
      <c r="E30" s="1" t="s">
        <v>31</v>
      </c>
      <c r="F30" s="1">
        <v>9.28150824E8</v>
      </c>
      <c r="G30" s="1" t="s">
        <v>59</v>
      </c>
      <c r="H30" s="1" t="s">
        <v>149</v>
      </c>
      <c r="I30" s="2">
        <v>45748.0</v>
      </c>
      <c r="J30" s="2">
        <v>45748.0</v>
      </c>
      <c r="K30" s="1" t="s">
        <v>34</v>
      </c>
      <c r="L30" s="1" t="s">
        <v>48</v>
      </c>
      <c r="M30" s="1" t="s">
        <v>36</v>
      </c>
      <c r="N30" s="1" t="s">
        <v>160</v>
      </c>
      <c r="O30" s="1">
        <v>1.0</v>
      </c>
      <c r="P30" s="3">
        <v>1.0</v>
      </c>
      <c r="Q30" s="1">
        <v>1.0</v>
      </c>
      <c r="R30" s="2">
        <v>45748.0</v>
      </c>
      <c r="S30" s="2">
        <v>45778.0</v>
      </c>
      <c r="T30" s="4">
        <v>0.0</v>
      </c>
      <c r="U30" s="4">
        <v>50.0</v>
      </c>
      <c r="V30" s="4">
        <v>50.0</v>
      </c>
      <c r="W30" s="4">
        <v>0.0</v>
      </c>
      <c r="X30" s="4">
        <v>0.0</v>
      </c>
      <c r="Y30" s="4">
        <v>0.0</v>
      </c>
      <c r="Z30" s="4">
        <v>50.0</v>
      </c>
      <c r="AA30" s="1" t="s">
        <v>34</v>
      </c>
    </row>
    <row r="31" ht="15.75" customHeight="1">
      <c r="A31" s="1" t="s">
        <v>158</v>
      </c>
      <c r="B31" s="1" t="s">
        <v>28</v>
      </c>
      <c r="C31" s="1" t="s">
        <v>29</v>
      </c>
      <c r="D31" s="1" t="s">
        <v>54</v>
      </c>
      <c r="E31" s="1" t="s">
        <v>31</v>
      </c>
      <c r="F31" s="1">
        <v>9.28150957E8</v>
      </c>
      <c r="G31" s="1" t="s">
        <v>46</v>
      </c>
      <c r="H31" s="1" t="s">
        <v>150</v>
      </c>
      <c r="I31" s="2">
        <v>45748.0</v>
      </c>
      <c r="J31" s="2">
        <v>45748.0</v>
      </c>
      <c r="K31" s="1" t="s">
        <v>34</v>
      </c>
      <c r="L31" s="1" t="s">
        <v>48</v>
      </c>
      <c r="M31" s="1" t="s">
        <v>36</v>
      </c>
      <c r="N31" s="1" t="s">
        <v>160</v>
      </c>
      <c r="O31" s="1">
        <v>1.0</v>
      </c>
      <c r="P31" s="3">
        <v>1.0</v>
      </c>
      <c r="Q31" s="1">
        <v>1.0</v>
      </c>
      <c r="R31" s="2">
        <v>45748.0</v>
      </c>
      <c r="S31" s="2">
        <v>45778.0</v>
      </c>
      <c r="T31" s="4">
        <v>0.0</v>
      </c>
      <c r="U31" s="4">
        <v>50.0</v>
      </c>
      <c r="V31" s="4">
        <v>50.0</v>
      </c>
      <c r="W31" s="4">
        <v>0.0</v>
      </c>
      <c r="X31" s="4">
        <v>0.0</v>
      </c>
      <c r="Y31" s="4">
        <v>0.0</v>
      </c>
      <c r="Z31" s="4">
        <v>50.0</v>
      </c>
      <c r="AA31" s="1" t="s">
        <v>34</v>
      </c>
    </row>
    <row r="32" ht="15.75" customHeight="1">
      <c r="A32" s="1" t="s">
        <v>158</v>
      </c>
      <c r="B32" s="1" t="s">
        <v>28</v>
      </c>
      <c r="C32" s="1" t="s">
        <v>29</v>
      </c>
      <c r="D32" s="1" t="s">
        <v>54</v>
      </c>
      <c r="E32" s="1" t="s">
        <v>31</v>
      </c>
      <c r="F32" s="1">
        <v>9.2815103E8</v>
      </c>
      <c r="G32" s="1" t="s">
        <v>46</v>
      </c>
      <c r="H32" s="1" t="s">
        <v>151</v>
      </c>
      <c r="I32" s="2">
        <v>45748.0</v>
      </c>
      <c r="J32" s="2">
        <v>45748.0</v>
      </c>
      <c r="K32" s="1" t="s">
        <v>34</v>
      </c>
      <c r="L32" s="1" t="s">
        <v>48</v>
      </c>
      <c r="M32" s="1" t="s">
        <v>36</v>
      </c>
      <c r="N32" s="1" t="s">
        <v>160</v>
      </c>
      <c r="O32" s="1">
        <v>1.0</v>
      </c>
      <c r="P32" s="3">
        <v>1.0</v>
      </c>
      <c r="Q32" s="1">
        <v>1.0</v>
      </c>
      <c r="R32" s="2">
        <v>45748.0</v>
      </c>
      <c r="S32" s="2">
        <v>45778.0</v>
      </c>
      <c r="T32" s="4">
        <v>0.0</v>
      </c>
      <c r="U32" s="4">
        <v>50.0</v>
      </c>
      <c r="V32" s="4">
        <v>50.0</v>
      </c>
      <c r="W32" s="4">
        <v>0.0</v>
      </c>
      <c r="X32" s="4">
        <v>0.0</v>
      </c>
      <c r="Y32" s="4">
        <v>0.0</v>
      </c>
      <c r="Z32" s="4">
        <v>50.0</v>
      </c>
      <c r="AA32" s="1" t="s">
        <v>34</v>
      </c>
    </row>
    <row r="33" ht="15.75" customHeight="1">
      <c r="A33" s="1" t="s">
        <v>158</v>
      </c>
      <c r="B33" s="1" t="s">
        <v>28</v>
      </c>
      <c r="C33" s="1" t="s">
        <v>29</v>
      </c>
      <c r="D33" s="1" t="s">
        <v>54</v>
      </c>
      <c r="E33" s="1" t="s">
        <v>31</v>
      </c>
      <c r="F33" s="1">
        <v>9.28151061E8</v>
      </c>
      <c r="G33" s="1" t="s">
        <v>166</v>
      </c>
      <c r="H33" s="1" t="s">
        <v>152</v>
      </c>
      <c r="I33" s="2">
        <v>45748.0</v>
      </c>
      <c r="J33" s="2">
        <v>45748.0</v>
      </c>
      <c r="K33" s="1" t="s">
        <v>34</v>
      </c>
      <c r="L33" s="1" t="s">
        <v>34</v>
      </c>
      <c r="M33" s="1" t="s">
        <v>36</v>
      </c>
      <c r="N33" s="1" t="s">
        <v>160</v>
      </c>
      <c r="O33" s="1">
        <v>1.0</v>
      </c>
      <c r="P33" s="3">
        <v>1.0</v>
      </c>
      <c r="Q33" s="1">
        <v>1.0</v>
      </c>
      <c r="R33" s="2">
        <v>45748.0</v>
      </c>
      <c r="S33" s="2">
        <v>45778.0</v>
      </c>
      <c r="T33" s="4">
        <v>0.0</v>
      </c>
      <c r="U33" s="4">
        <v>50.0</v>
      </c>
      <c r="V33" s="4">
        <v>50.0</v>
      </c>
      <c r="W33" s="4">
        <v>0.0</v>
      </c>
      <c r="X33" s="4">
        <v>0.0</v>
      </c>
      <c r="Y33" s="4">
        <v>0.0</v>
      </c>
      <c r="Z33" s="4">
        <v>50.0</v>
      </c>
      <c r="AA33" s="1" t="s">
        <v>34</v>
      </c>
    </row>
    <row r="34" ht="15.75" customHeight="1">
      <c r="A34" s="1" t="s">
        <v>158</v>
      </c>
      <c r="B34" s="1" t="s">
        <v>28</v>
      </c>
      <c r="C34" s="1" t="s">
        <v>29</v>
      </c>
      <c r="D34" s="1" t="s">
        <v>54</v>
      </c>
      <c r="E34" s="1" t="s">
        <v>31</v>
      </c>
      <c r="F34" s="1">
        <v>9.28151148E8</v>
      </c>
      <c r="G34" s="1" t="s">
        <v>166</v>
      </c>
      <c r="H34" s="1" t="s">
        <v>169</v>
      </c>
      <c r="I34" s="2">
        <v>45748.0</v>
      </c>
      <c r="J34" s="2">
        <v>45748.0</v>
      </c>
      <c r="K34" s="1" t="s">
        <v>34</v>
      </c>
      <c r="L34" s="1" t="s">
        <v>34</v>
      </c>
      <c r="M34" s="1" t="s">
        <v>36</v>
      </c>
      <c r="N34" s="1" t="s">
        <v>160</v>
      </c>
      <c r="O34" s="1">
        <v>1.0</v>
      </c>
      <c r="P34" s="3">
        <v>1.0</v>
      </c>
      <c r="Q34" s="1">
        <v>1.0</v>
      </c>
      <c r="R34" s="2">
        <v>45748.0</v>
      </c>
      <c r="S34" s="2">
        <v>45778.0</v>
      </c>
      <c r="T34" s="4">
        <v>0.0</v>
      </c>
      <c r="U34" s="4">
        <v>50.0</v>
      </c>
      <c r="V34" s="4">
        <v>50.0</v>
      </c>
      <c r="W34" s="4">
        <v>0.0</v>
      </c>
      <c r="X34" s="4">
        <v>0.0</v>
      </c>
      <c r="Y34" s="4">
        <v>0.0</v>
      </c>
      <c r="Z34" s="4">
        <v>50.0</v>
      </c>
      <c r="AA34" s="1" t="s">
        <v>34</v>
      </c>
    </row>
    <row r="35" ht="15.75" customHeight="1">
      <c r="A35" s="1" t="s">
        <v>158</v>
      </c>
      <c r="B35" s="1" t="s">
        <v>28</v>
      </c>
      <c r="C35" s="1" t="s">
        <v>29</v>
      </c>
      <c r="D35" s="1" t="s">
        <v>54</v>
      </c>
      <c r="E35" s="1" t="s">
        <v>31</v>
      </c>
      <c r="F35" s="1">
        <v>9.28151168E8</v>
      </c>
      <c r="G35" s="1" t="s">
        <v>59</v>
      </c>
      <c r="H35" s="1" t="s">
        <v>153</v>
      </c>
      <c r="I35" s="2">
        <v>45748.0</v>
      </c>
      <c r="J35" s="2">
        <v>45748.0</v>
      </c>
      <c r="K35" s="1" t="s">
        <v>34</v>
      </c>
      <c r="L35" s="1" t="s">
        <v>48</v>
      </c>
      <c r="M35" s="1" t="s">
        <v>36</v>
      </c>
      <c r="N35" s="1" t="s">
        <v>160</v>
      </c>
      <c r="O35" s="1">
        <v>1.0</v>
      </c>
      <c r="P35" s="3">
        <v>1.0</v>
      </c>
      <c r="Q35" s="1">
        <v>1.0</v>
      </c>
      <c r="R35" s="2">
        <v>45748.0</v>
      </c>
      <c r="S35" s="2">
        <v>45778.0</v>
      </c>
      <c r="T35" s="4">
        <v>0.0</v>
      </c>
      <c r="U35" s="4">
        <v>50.0</v>
      </c>
      <c r="V35" s="4">
        <v>50.0</v>
      </c>
      <c r="W35" s="4">
        <v>0.0</v>
      </c>
      <c r="X35" s="4">
        <v>0.0</v>
      </c>
      <c r="Y35" s="4">
        <v>0.0</v>
      </c>
      <c r="Z35" s="4">
        <v>50.0</v>
      </c>
      <c r="AA35" s="1" t="s">
        <v>34</v>
      </c>
    </row>
    <row r="36" ht="15.75" customHeight="1">
      <c r="A36" s="1" t="s">
        <v>158</v>
      </c>
      <c r="B36" s="1" t="s">
        <v>28</v>
      </c>
      <c r="C36" s="1" t="s">
        <v>29</v>
      </c>
      <c r="D36" s="1" t="s">
        <v>54</v>
      </c>
      <c r="E36" s="1" t="s">
        <v>31</v>
      </c>
      <c r="F36" s="1">
        <v>9.28151241E8</v>
      </c>
      <c r="G36" s="1" t="s">
        <v>38</v>
      </c>
      <c r="H36" s="1" t="s">
        <v>170</v>
      </c>
      <c r="I36" s="2">
        <v>45748.0</v>
      </c>
      <c r="J36" s="2">
        <v>45748.0</v>
      </c>
      <c r="K36" s="1" t="s">
        <v>34</v>
      </c>
      <c r="L36" s="1" t="s">
        <v>34</v>
      </c>
      <c r="M36" s="1" t="s">
        <v>36</v>
      </c>
      <c r="N36" s="1" t="s">
        <v>160</v>
      </c>
      <c r="O36" s="1">
        <v>1.0</v>
      </c>
      <c r="P36" s="3">
        <v>1.0</v>
      </c>
      <c r="Q36" s="1">
        <v>1.0</v>
      </c>
      <c r="R36" s="2">
        <v>45748.0</v>
      </c>
      <c r="S36" s="2">
        <v>45778.0</v>
      </c>
      <c r="T36" s="4">
        <v>0.0</v>
      </c>
      <c r="U36" s="4">
        <v>50.0</v>
      </c>
      <c r="V36" s="4">
        <v>50.0</v>
      </c>
      <c r="W36" s="4">
        <v>0.0</v>
      </c>
      <c r="X36" s="4">
        <v>0.0</v>
      </c>
      <c r="Y36" s="4">
        <v>0.0</v>
      </c>
      <c r="Z36" s="4">
        <v>50.0</v>
      </c>
      <c r="AA36" s="1" t="s">
        <v>34</v>
      </c>
    </row>
    <row r="37" ht="15.75" customHeight="1">
      <c r="A37" s="1" t="s">
        <v>158</v>
      </c>
      <c r="B37" s="1" t="s">
        <v>28</v>
      </c>
      <c r="C37" s="1" t="s">
        <v>29</v>
      </c>
      <c r="D37" s="1" t="s">
        <v>54</v>
      </c>
      <c r="E37" s="1" t="s">
        <v>31</v>
      </c>
      <c r="F37" s="1">
        <v>9.28152398E8</v>
      </c>
      <c r="G37" s="1" t="s">
        <v>38</v>
      </c>
      <c r="H37" s="1" t="s">
        <v>171</v>
      </c>
      <c r="I37" s="2">
        <v>45809.0</v>
      </c>
      <c r="J37" s="2">
        <v>45809.0</v>
      </c>
      <c r="K37" s="1" t="s">
        <v>34</v>
      </c>
      <c r="L37" s="1" t="s">
        <v>34</v>
      </c>
      <c r="M37" s="1" t="s">
        <v>36</v>
      </c>
      <c r="N37" s="1" t="s">
        <v>160</v>
      </c>
      <c r="O37" s="1">
        <v>1.0</v>
      </c>
      <c r="P37" s="3">
        <v>1.0</v>
      </c>
      <c r="Q37" s="1">
        <v>1.0</v>
      </c>
      <c r="R37" s="2">
        <v>45809.0</v>
      </c>
      <c r="S37" s="2">
        <v>45839.0</v>
      </c>
      <c r="T37" s="4">
        <v>0.0</v>
      </c>
      <c r="U37" s="4">
        <v>50.0</v>
      </c>
      <c r="V37" s="4">
        <v>50.0</v>
      </c>
      <c r="W37" s="4">
        <v>0.0</v>
      </c>
      <c r="X37" s="4">
        <v>0.0</v>
      </c>
      <c r="Y37" s="4">
        <v>0.0</v>
      </c>
      <c r="Z37" s="4">
        <v>50.0</v>
      </c>
      <c r="AA37" s="1" t="s">
        <v>34</v>
      </c>
    </row>
    <row r="38" ht="15.75" customHeight="1">
      <c r="A38" s="1" t="s">
        <v>158</v>
      </c>
      <c r="B38" s="1" t="s">
        <v>28</v>
      </c>
      <c r="C38" s="1" t="s">
        <v>29</v>
      </c>
      <c r="D38" s="1" t="s">
        <v>54</v>
      </c>
      <c r="E38" s="1" t="s">
        <v>31</v>
      </c>
      <c r="F38" s="1">
        <v>9.28152407E8</v>
      </c>
      <c r="G38" s="1" t="s">
        <v>38</v>
      </c>
      <c r="H38" s="1" t="s">
        <v>74</v>
      </c>
      <c r="I38" s="2">
        <v>45809.0</v>
      </c>
      <c r="J38" s="2">
        <v>45809.0</v>
      </c>
      <c r="K38" s="1" t="s">
        <v>34</v>
      </c>
      <c r="L38" s="1" t="s">
        <v>34</v>
      </c>
      <c r="M38" s="1" t="s">
        <v>36</v>
      </c>
      <c r="N38" s="1" t="s">
        <v>160</v>
      </c>
      <c r="O38" s="1">
        <v>1.0</v>
      </c>
      <c r="P38" s="3">
        <v>1.0</v>
      </c>
      <c r="Q38" s="1">
        <v>1.0</v>
      </c>
      <c r="R38" s="2">
        <v>45809.0</v>
      </c>
      <c r="S38" s="2">
        <v>45839.0</v>
      </c>
      <c r="T38" s="4">
        <v>0.0</v>
      </c>
      <c r="U38" s="4">
        <v>50.0</v>
      </c>
      <c r="V38" s="4">
        <v>50.0</v>
      </c>
      <c r="W38" s="4">
        <v>0.0</v>
      </c>
      <c r="X38" s="4">
        <v>0.0</v>
      </c>
      <c r="Y38" s="4">
        <v>0.0</v>
      </c>
      <c r="Z38" s="4">
        <v>50.0</v>
      </c>
      <c r="AA38" s="1" t="s">
        <v>34</v>
      </c>
    </row>
    <row r="39" ht="15.75" customHeight="1">
      <c r="A39" s="1" t="s">
        <v>158</v>
      </c>
      <c r="B39" s="1" t="s">
        <v>28</v>
      </c>
      <c r="C39" s="1" t="s">
        <v>29</v>
      </c>
      <c r="D39" s="1" t="s">
        <v>54</v>
      </c>
      <c r="E39" s="1" t="s">
        <v>31</v>
      </c>
      <c r="F39" s="1">
        <v>9.28153376E8</v>
      </c>
      <c r="G39" s="1" t="s">
        <v>71</v>
      </c>
      <c r="H39" s="1" t="s">
        <v>76</v>
      </c>
      <c r="I39" s="2">
        <v>45870.0</v>
      </c>
      <c r="J39" s="2">
        <v>45870.0</v>
      </c>
      <c r="K39" s="1" t="s">
        <v>34</v>
      </c>
      <c r="L39" s="1" t="s">
        <v>48</v>
      </c>
      <c r="M39" s="1" t="s">
        <v>36</v>
      </c>
      <c r="N39" s="1" t="s">
        <v>160</v>
      </c>
      <c r="O39" s="1">
        <v>1.0</v>
      </c>
      <c r="P39" s="3">
        <v>1.0</v>
      </c>
      <c r="Q39" s="1">
        <v>1.0</v>
      </c>
      <c r="R39" s="2">
        <v>45870.0</v>
      </c>
      <c r="S39" s="2">
        <v>45901.0</v>
      </c>
      <c r="T39" s="4">
        <v>0.0</v>
      </c>
      <c r="U39" s="4">
        <v>50.0</v>
      </c>
      <c r="V39" s="4">
        <v>50.0</v>
      </c>
      <c r="W39" s="4">
        <v>0.0</v>
      </c>
      <c r="X39" s="4">
        <v>0.0</v>
      </c>
      <c r="Y39" s="4">
        <v>0.0</v>
      </c>
      <c r="Z39" s="4">
        <v>50.0</v>
      </c>
      <c r="AA39" s="1" t="s">
        <v>34</v>
      </c>
    </row>
    <row r="40" ht="15.75" customHeight="1">
      <c r="A40" s="1" t="s">
        <v>158</v>
      </c>
      <c r="B40" s="1" t="s">
        <v>28</v>
      </c>
      <c r="C40" s="1" t="s">
        <v>29</v>
      </c>
      <c r="D40" s="1" t="s">
        <v>54</v>
      </c>
      <c r="E40" s="1" t="s">
        <v>31</v>
      </c>
      <c r="F40" s="1">
        <v>9.28153462E8</v>
      </c>
      <c r="G40" s="1" t="s">
        <v>71</v>
      </c>
      <c r="H40" s="1" t="s">
        <v>77</v>
      </c>
      <c r="I40" s="2">
        <v>45870.0</v>
      </c>
      <c r="J40" s="2">
        <v>45870.0</v>
      </c>
      <c r="K40" s="1" t="s">
        <v>34</v>
      </c>
      <c r="L40" s="1" t="s">
        <v>48</v>
      </c>
      <c r="M40" s="1" t="s">
        <v>36</v>
      </c>
      <c r="N40" s="1" t="s">
        <v>160</v>
      </c>
      <c r="O40" s="1">
        <v>1.0</v>
      </c>
      <c r="P40" s="3">
        <v>1.0</v>
      </c>
      <c r="Q40" s="1">
        <v>1.0</v>
      </c>
      <c r="R40" s="2">
        <v>45870.0</v>
      </c>
      <c r="S40" s="2">
        <v>45901.0</v>
      </c>
      <c r="T40" s="4">
        <v>0.0</v>
      </c>
      <c r="U40" s="4">
        <v>50.0</v>
      </c>
      <c r="V40" s="4">
        <v>50.0</v>
      </c>
      <c r="W40" s="4">
        <v>0.0</v>
      </c>
      <c r="X40" s="4">
        <v>0.0</v>
      </c>
      <c r="Y40" s="4">
        <v>0.0</v>
      </c>
      <c r="Z40" s="4">
        <v>50.0</v>
      </c>
      <c r="AA40" s="1" t="s">
        <v>34</v>
      </c>
    </row>
    <row r="41" ht="15.75" customHeight="1">
      <c r="A41" s="1" t="s">
        <v>158</v>
      </c>
      <c r="B41" s="1" t="s">
        <v>28</v>
      </c>
      <c r="C41" s="1" t="s">
        <v>29</v>
      </c>
      <c r="D41" s="1" t="s">
        <v>54</v>
      </c>
      <c r="E41" s="1" t="s">
        <v>31</v>
      </c>
      <c r="F41" s="1">
        <v>9.28153709E8</v>
      </c>
      <c r="G41" s="1" t="s">
        <v>46</v>
      </c>
      <c r="H41" s="1" t="s">
        <v>80</v>
      </c>
      <c r="I41" s="2">
        <v>45870.0</v>
      </c>
      <c r="J41" s="2">
        <v>45870.0</v>
      </c>
      <c r="K41" s="1" t="s">
        <v>34</v>
      </c>
      <c r="L41" s="1" t="s">
        <v>48</v>
      </c>
      <c r="M41" s="1" t="s">
        <v>36</v>
      </c>
      <c r="N41" s="1" t="s">
        <v>160</v>
      </c>
      <c r="O41" s="1">
        <v>1.0</v>
      </c>
      <c r="P41" s="3">
        <v>1.0</v>
      </c>
      <c r="Q41" s="1">
        <v>1.0</v>
      </c>
      <c r="R41" s="2">
        <v>45870.0</v>
      </c>
      <c r="S41" s="2">
        <v>45901.0</v>
      </c>
      <c r="T41" s="4">
        <v>0.0</v>
      </c>
      <c r="U41" s="4">
        <v>50.0</v>
      </c>
      <c r="V41" s="4">
        <v>50.0</v>
      </c>
      <c r="W41" s="4">
        <v>0.0</v>
      </c>
      <c r="X41" s="4">
        <v>0.0</v>
      </c>
      <c r="Y41" s="4">
        <v>0.0</v>
      </c>
      <c r="Z41" s="4">
        <v>50.0</v>
      </c>
      <c r="AA41" s="1" t="s">
        <v>34</v>
      </c>
    </row>
    <row r="42" ht="15.75" customHeight="1">
      <c r="A42" s="1" t="s">
        <v>158</v>
      </c>
      <c r="B42" s="1" t="s">
        <v>28</v>
      </c>
      <c r="C42" s="1" t="s">
        <v>29</v>
      </c>
      <c r="D42" s="1" t="s">
        <v>54</v>
      </c>
      <c r="E42" s="1" t="s">
        <v>31</v>
      </c>
      <c r="F42" s="1">
        <v>9.2815397E8</v>
      </c>
      <c r="G42" s="1" t="s">
        <v>38</v>
      </c>
      <c r="H42" s="1" t="s">
        <v>81</v>
      </c>
      <c r="I42" s="2">
        <v>45901.0</v>
      </c>
      <c r="J42" s="2">
        <v>45901.0</v>
      </c>
      <c r="K42" s="1" t="s">
        <v>34</v>
      </c>
      <c r="L42" s="1" t="s">
        <v>34</v>
      </c>
      <c r="M42" s="1" t="s">
        <v>36</v>
      </c>
      <c r="N42" s="1" t="s">
        <v>160</v>
      </c>
      <c r="O42" s="1">
        <v>1.0</v>
      </c>
      <c r="P42" s="3">
        <v>1.0</v>
      </c>
      <c r="Q42" s="1">
        <v>1.0</v>
      </c>
      <c r="R42" s="2">
        <v>45901.0</v>
      </c>
      <c r="S42" s="2">
        <v>45931.0</v>
      </c>
      <c r="T42" s="4">
        <v>0.0</v>
      </c>
      <c r="U42" s="4">
        <v>50.0</v>
      </c>
      <c r="V42" s="4">
        <v>50.0</v>
      </c>
      <c r="W42" s="4">
        <v>0.0</v>
      </c>
      <c r="X42" s="4">
        <v>0.0</v>
      </c>
      <c r="Y42" s="4">
        <v>0.0</v>
      </c>
      <c r="Z42" s="4">
        <v>50.0</v>
      </c>
      <c r="AA42" s="1" t="s">
        <v>34</v>
      </c>
    </row>
    <row r="43" ht="15.75" customHeight="1">
      <c r="A43" s="1" t="s">
        <v>158</v>
      </c>
      <c r="B43" s="1" t="s">
        <v>28</v>
      </c>
      <c r="C43" s="1" t="s">
        <v>29</v>
      </c>
      <c r="D43" s="1" t="s">
        <v>54</v>
      </c>
      <c r="E43" s="1" t="s">
        <v>31</v>
      </c>
      <c r="F43" s="1">
        <v>9.28153971E8</v>
      </c>
      <c r="G43" s="1" t="s">
        <v>46</v>
      </c>
      <c r="H43" s="1" t="s">
        <v>172</v>
      </c>
      <c r="I43" s="2">
        <v>45901.0</v>
      </c>
      <c r="J43" s="2">
        <v>45901.0</v>
      </c>
      <c r="K43" s="1" t="s">
        <v>34</v>
      </c>
      <c r="L43" s="1" t="s">
        <v>48</v>
      </c>
      <c r="M43" s="1" t="s">
        <v>36</v>
      </c>
      <c r="N43" s="1" t="s">
        <v>160</v>
      </c>
      <c r="O43" s="1">
        <v>1.0</v>
      </c>
      <c r="P43" s="3">
        <v>1.0</v>
      </c>
      <c r="Q43" s="1">
        <v>1.0</v>
      </c>
      <c r="R43" s="2">
        <v>45901.0</v>
      </c>
      <c r="S43" s="2">
        <v>45931.0</v>
      </c>
      <c r="T43" s="4">
        <v>0.0</v>
      </c>
      <c r="U43" s="4">
        <v>50.0</v>
      </c>
      <c r="V43" s="4">
        <v>50.0</v>
      </c>
      <c r="W43" s="4">
        <v>0.0</v>
      </c>
      <c r="X43" s="4">
        <v>0.0</v>
      </c>
      <c r="Y43" s="4">
        <v>0.0</v>
      </c>
      <c r="Z43" s="4">
        <v>50.0</v>
      </c>
      <c r="AA43" s="1" t="s">
        <v>34</v>
      </c>
    </row>
    <row r="44" ht="15.75" customHeight="1">
      <c r="A44" s="1" t="s">
        <v>158</v>
      </c>
      <c r="B44" s="1" t="s">
        <v>28</v>
      </c>
      <c r="C44" s="1" t="s">
        <v>29</v>
      </c>
      <c r="D44" s="1" t="s">
        <v>54</v>
      </c>
      <c r="E44" s="1" t="s">
        <v>31</v>
      </c>
      <c r="F44" s="1">
        <v>9.28154477E8</v>
      </c>
      <c r="G44" s="1" t="s">
        <v>71</v>
      </c>
      <c r="H44" s="1" t="s">
        <v>173</v>
      </c>
      <c r="I44" s="2">
        <v>45931.0</v>
      </c>
      <c r="J44" s="2">
        <v>45931.0</v>
      </c>
      <c r="K44" s="1" t="s">
        <v>34</v>
      </c>
      <c r="L44" s="1" t="s">
        <v>48</v>
      </c>
      <c r="M44" s="1" t="s">
        <v>36</v>
      </c>
      <c r="N44" s="1" t="s">
        <v>160</v>
      </c>
      <c r="O44" s="1">
        <v>1.0</v>
      </c>
      <c r="P44" s="3">
        <v>1.0</v>
      </c>
      <c r="Q44" s="1">
        <v>1.0</v>
      </c>
      <c r="R44" s="2">
        <v>45931.0</v>
      </c>
      <c r="S44" s="2">
        <v>45962.0</v>
      </c>
      <c r="T44" s="4">
        <v>0.0</v>
      </c>
      <c r="U44" s="4">
        <v>50.0</v>
      </c>
      <c r="V44" s="4">
        <v>50.0</v>
      </c>
      <c r="W44" s="4">
        <v>0.0</v>
      </c>
      <c r="X44" s="4">
        <v>0.0</v>
      </c>
      <c r="Y44" s="4">
        <v>0.0</v>
      </c>
      <c r="Z44" s="4">
        <v>50.0</v>
      </c>
      <c r="AA44" s="1" t="s">
        <v>34</v>
      </c>
    </row>
    <row r="45" ht="15.75" customHeight="1">
      <c r="A45" s="1" t="s">
        <v>158</v>
      </c>
      <c r="B45" s="1" t="s">
        <v>28</v>
      </c>
      <c r="C45" s="1" t="s">
        <v>29</v>
      </c>
      <c r="D45" s="1" t="s">
        <v>54</v>
      </c>
      <c r="E45" s="1" t="s">
        <v>31</v>
      </c>
      <c r="F45" s="1">
        <v>9.28154536E8</v>
      </c>
      <c r="G45" s="1" t="s">
        <v>57</v>
      </c>
      <c r="H45" s="1" t="s">
        <v>83</v>
      </c>
      <c r="I45" s="2">
        <v>45931.0</v>
      </c>
      <c r="J45" s="2">
        <v>45931.0</v>
      </c>
      <c r="K45" s="1" t="s">
        <v>34</v>
      </c>
      <c r="L45" s="1" t="s">
        <v>34</v>
      </c>
      <c r="M45" s="1" t="s">
        <v>36</v>
      </c>
      <c r="N45" s="1" t="s">
        <v>160</v>
      </c>
      <c r="O45" s="1">
        <v>1.0</v>
      </c>
      <c r="P45" s="3">
        <v>1.0</v>
      </c>
      <c r="Q45" s="1">
        <v>1.0</v>
      </c>
      <c r="R45" s="2">
        <v>45931.0</v>
      </c>
      <c r="S45" s="2">
        <v>45962.0</v>
      </c>
      <c r="T45" s="4">
        <v>0.0</v>
      </c>
      <c r="U45" s="4">
        <v>50.0</v>
      </c>
      <c r="V45" s="4">
        <v>50.0</v>
      </c>
      <c r="W45" s="4">
        <v>0.0</v>
      </c>
      <c r="X45" s="4">
        <v>0.0</v>
      </c>
      <c r="Y45" s="4">
        <v>0.0</v>
      </c>
      <c r="Z45" s="4">
        <v>50.0</v>
      </c>
      <c r="AA45" s="1" t="s">
        <v>34</v>
      </c>
    </row>
    <row r="46" ht="15.75" customHeight="1">
      <c r="A46" s="1" t="s">
        <v>158</v>
      </c>
      <c r="B46" s="1" t="s">
        <v>28</v>
      </c>
      <c r="C46" s="1" t="s">
        <v>29</v>
      </c>
      <c r="D46" s="1" t="s">
        <v>54</v>
      </c>
      <c r="E46" s="1" t="s">
        <v>31</v>
      </c>
      <c r="F46" s="1">
        <v>9.28154571E8</v>
      </c>
      <c r="G46" s="1" t="s">
        <v>71</v>
      </c>
      <c r="H46" s="1" t="s">
        <v>84</v>
      </c>
      <c r="I46" s="2">
        <v>45931.0</v>
      </c>
      <c r="J46" s="2">
        <v>45931.0</v>
      </c>
      <c r="K46" s="1" t="s">
        <v>34</v>
      </c>
      <c r="L46" s="1" t="s">
        <v>48</v>
      </c>
      <c r="M46" s="1" t="s">
        <v>36</v>
      </c>
      <c r="N46" s="1" t="s">
        <v>160</v>
      </c>
      <c r="O46" s="1">
        <v>1.0</v>
      </c>
      <c r="P46" s="3">
        <v>1.0</v>
      </c>
      <c r="Q46" s="1">
        <v>1.0</v>
      </c>
      <c r="R46" s="2">
        <v>45931.0</v>
      </c>
      <c r="S46" s="2">
        <v>45962.0</v>
      </c>
      <c r="T46" s="4">
        <v>0.0</v>
      </c>
      <c r="U46" s="4">
        <v>50.0</v>
      </c>
      <c r="V46" s="4">
        <v>50.0</v>
      </c>
      <c r="W46" s="4">
        <v>0.0</v>
      </c>
      <c r="X46" s="4">
        <v>0.0</v>
      </c>
      <c r="Y46" s="4">
        <v>0.0</v>
      </c>
      <c r="Z46" s="4">
        <v>50.0</v>
      </c>
      <c r="AA46" s="1" t="s">
        <v>34</v>
      </c>
    </row>
    <row r="47" ht="15.75" customHeight="1">
      <c r="A47" s="1" t="s">
        <v>158</v>
      </c>
      <c r="B47" s="1" t="s">
        <v>28</v>
      </c>
      <c r="C47" s="1" t="s">
        <v>29</v>
      </c>
      <c r="D47" s="1" t="s">
        <v>54</v>
      </c>
      <c r="E47" s="1" t="s">
        <v>31</v>
      </c>
      <c r="F47" s="1">
        <v>9.28154572E8</v>
      </c>
      <c r="G47" s="1" t="s">
        <v>59</v>
      </c>
      <c r="H47" s="1" t="s">
        <v>85</v>
      </c>
      <c r="I47" s="2">
        <v>45931.0</v>
      </c>
      <c r="J47" s="2">
        <v>45931.0</v>
      </c>
      <c r="K47" s="1" t="s">
        <v>34</v>
      </c>
      <c r="L47" s="1" t="s">
        <v>48</v>
      </c>
      <c r="M47" s="1" t="s">
        <v>36</v>
      </c>
      <c r="N47" s="1" t="s">
        <v>160</v>
      </c>
      <c r="O47" s="1">
        <v>1.0</v>
      </c>
      <c r="P47" s="3">
        <v>1.0</v>
      </c>
      <c r="Q47" s="1">
        <v>1.0</v>
      </c>
      <c r="R47" s="2">
        <v>45931.0</v>
      </c>
      <c r="S47" s="2">
        <v>45962.0</v>
      </c>
      <c r="T47" s="4">
        <v>0.0</v>
      </c>
      <c r="U47" s="4">
        <v>50.0</v>
      </c>
      <c r="V47" s="4">
        <v>50.0</v>
      </c>
      <c r="W47" s="4">
        <v>0.0</v>
      </c>
      <c r="X47" s="4">
        <v>0.0</v>
      </c>
      <c r="Y47" s="4">
        <v>0.0</v>
      </c>
      <c r="Z47" s="4">
        <v>50.0</v>
      </c>
      <c r="AA47" s="1" t="s">
        <v>34</v>
      </c>
    </row>
    <row r="48" ht="15.75" customHeight="1">
      <c r="A48" s="1" t="s">
        <v>158</v>
      </c>
      <c r="B48" s="1" t="s">
        <v>28</v>
      </c>
      <c r="C48" s="1" t="s">
        <v>29</v>
      </c>
      <c r="D48" s="1" t="s">
        <v>54</v>
      </c>
      <c r="E48" s="1" t="s">
        <v>31</v>
      </c>
      <c r="F48" s="1">
        <v>9.28154927E8</v>
      </c>
      <c r="G48" s="1" t="s">
        <v>71</v>
      </c>
      <c r="H48" s="1" t="s">
        <v>174</v>
      </c>
      <c r="I48" s="2">
        <v>45931.0</v>
      </c>
      <c r="J48" s="2">
        <v>45931.0</v>
      </c>
      <c r="K48" s="1" t="s">
        <v>34</v>
      </c>
      <c r="L48" s="1" t="s">
        <v>48</v>
      </c>
      <c r="M48" s="1" t="s">
        <v>36</v>
      </c>
      <c r="N48" s="1" t="s">
        <v>160</v>
      </c>
      <c r="O48" s="1">
        <v>1.0</v>
      </c>
      <c r="P48" s="3">
        <v>1.0</v>
      </c>
      <c r="Q48" s="1">
        <v>1.0</v>
      </c>
      <c r="R48" s="2">
        <v>45931.0</v>
      </c>
      <c r="S48" s="2">
        <v>45962.0</v>
      </c>
      <c r="T48" s="4">
        <v>0.0</v>
      </c>
      <c r="U48" s="4">
        <v>50.0</v>
      </c>
      <c r="V48" s="4">
        <v>50.0</v>
      </c>
      <c r="W48" s="4">
        <v>0.0</v>
      </c>
      <c r="X48" s="4">
        <v>0.0</v>
      </c>
      <c r="Y48" s="4">
        <v>0.0</v>
      </c>
      <c r="Z48" s="4">
        <v>50.0</v>
      </c>
      <c r="AA48" s="1" t="s">
        <v>34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.29"/>
    <col customWidth="1" min="3" max="3" width="12.71"/>
    <col customWidth="1" min="4" max="4" width="22.0"/>
    <col customWidth="1" min="5" max="5" width="26.43"/>
    <col customWidth="1" min="6" max="6" width="29.14"/>
    <col customWidth="1" min="7" max="7" width="8.71"/>
    <col customWidth="1" min="8" max="8" width="11.0"/>
    <col customWidth="1" min="9" max="9" width="52.29"/>
    <col customWidth="1" min="10" max="26" width="8.71"/>
  </cols>
  <sheetData>
    <row r="1">
      <c r="A1" s="1" t="s">
        <v>0</v>
      </c>
      <c r="D1" s="1" t="s">
        <v>5</v>
      </c>
      <c r="E1" s="1" t="s">
        <v>7</v>
      </c>
      <c r="F1" s="1" t="s">
        <v>21</v>
      </c>
    </row>
    <row r="2">
      <c r="A2" s="1" t="s">
        <v>158</v>
      </c>
      <c r="B2" s="1" t="s">
        <v>175</v>
      </c>
      <c r="C2" s="1">
        <v>8307933.0</v>
      </c>
      <c r="D2" s="1">
        <v>9.28142523E8</v>
      </c>
      <c r="E2" s="1" t="s">
        <v>159</v>
      </c>
      <c r="F2" s="4">
        <v>50.0</v>
      </c>
      <c r="G2" s="1" t="str">
        <f t="shared" ref="G2:G48" si="1">CONCATENATE("-",F2)</f>
        <v>-50</v>
      </c>
      <c r="H2" s="1" t="s">
        <v>176</v>
      </c>
      <c r="I2" s="1" t="str">
        <f t="shared" ref="I2:I48" si="2">CONCATENATE(H2," ",A2, " ",E2,"-",D2)</f>
        <v>BCBS of MT BONUS ANDERSON, WENDY-928142523</v>
      </c>
    </row>
    <row r="3">
      <c r="A3" s="1" t="s">
        <v>158</v>
      </c>
      <c r="B3" s="1" t="s">
        <v>175</v>
      </c>
      <c r="C3" s="1">
        <v>8307933.0</v>
      </c>
      <c r="D3" s="1">
        <v>9.28150906E8</v>
      </c>
      <c r="E3" s="1" t="s">
        <v>126</v>
      </c>
      <c r="F3" s="4">
        <v>50.0</v>
      </c>
      <c r="G3" s="1" t="str">
        <f t="shared" si="1"/>
        <v>-50</v>
      </c>
      <c r="H3" s="1" t="s">
        <v>176</v>
      </c>
      <c r="I3" s="1" t="str">
        <f t="shared" si="2"/>
        <v>BCBS of MT BONUS BARTRAM, DONALD-928150906</v>
      </c>
    </row>
    <row r="4">
      <c r="A4" s="1" t="s">
        <v>158</v>
      </c>
      <c r="B4" s="1" t="s">
        <v>175</v>
      </c>
      <c r="C4" s="1">
        <v>8307933.0</v>
      </c>
      <c r="D4" s="1">
        <v>9.28150919E8</v>
      </c>
      <c r="E4" s="1" t="s">
        <v>127</v>
      </c>
      <c r="F4" s="4">
        <v>50.0</v>
      </c>
      <c r="G4" s="1" t="str">
        <f t="shared" si="1"/>
        <v>-50</v>
      </c>
      <c r="H4" s="1" t="s">
        <v>176</v>
      </c>
      <c r="I4" s="1" t="str">
        <f t="shared" si="2"/>
        <v>BCBS of MT BONUS BARTRAM, BRIDGER-928150919</v>
      </c>
    </row>
    <row r="5">
      <c r="A5" s="1" t="s">
        <v>158</v>
      </c>
      <c r="B5" s="1" t="s">
        <v>175</v>
      </c>
      <c r="C5" s="1">
        <v>8307933.0</v>
      </c>
      <c r="D5" s="1">
        <v>9.28150959E8</v>
      </c>
      <c r="E5" s="1" t="s">
        <v>128</v>
      </c>
      <c r="F5" s="4">
        <v>50.0</v>
      </c>
      <c r="G5" s="1" t="str">
        <f t="shared" si="1"/>
        <v>-50</v>
      </c>
      <c r="H5" s="1" t="s">
        <v>176</v>
      </c>
      <c r="I5" s="1" t="str">
        <f t="shared" si="2"/>
        <v>BCBS of MT BONUS OBERG, RYAN-928150959</v>
      </c>
    </row>
    <row r="6">
      <c r="A6" s="1" t="s">
        <v>158</v>
      </c>
      <c r="B6" s="1" t="s">
        <v>175</v>
      </c>
      <c r="C6" s="1">
        <v>8307933.0</v>
      </c>
      <c r="D6" s="1">
        <v>9.28151821E8</v>
      </c>
      <c r="E6" s="1" t="s">
        <v>129</v>
      </c>
      <c r="F6" s="4">
        <v>50.0</v>
      </c>
      <c r="G6" s="1" t="str">
        <f t="shared" si="1"/>
        <v>-50</v>
      </c>
      <c r="H6" s="1" t="s">
        <v>176</v>
      </c>
      <c r="I6" s="1" t="str">
        <f t="shared" si="2"/>
        <v>BCBS of MT BONUS OBERG, ALEXIS-928151821</v>
      </c>
    </row>
    <row r="7">
      <c r="A7" s="1" t="s">
        <v>158</v>
      </c>
      <c r="B7" s="1" t="s">
        <v>175</v>
      </c>
      <c r="C7" s="1">
        <v>8307933.0</v>
      </c>
      <c r="D7" s="1">
        <v>9.28152107E8</v>
      </c>
      <c r="E7" s="1" t="s">
        <v>41</v>
      </c>
      <c r="F7" s="4">
        <v>50.0</v>
      </c>
      <c r="G7" s="1" t="str">
        <f t="shared" si="1"/>
        <v>-50</v>
      </c>
      <c r="H7" s="1" t="s">
        <v>176</v>
      </c>
      <c r="I7" s="1" t="str">
        <f t="shared" si="2"/>
        <v>BCBS of MT BONUS COVERDELL, RYAN-928152107</v>
      </c>
    </row>
    <row r="8">
      <c r="A8" s="1" t="s">
        <v>158</v>
      </c>
      <c r="B8" s="1" t="s">
        <v>175</v>
      </c>
      <c r="C8" s="1">
        <v>8307933.0</v>
      </c>
      <c r="D8" s="1">
        <v>9.28154542E8</v>
      </c>
      <c r="E8" s="1" t="s">
        <v>161</v>
      </c>
      <c r="F8" s="4">
        <v>50.0</v>
      </c>
      <c r="G8" s="1" t="str">
        <f t="shared" si="1"/>
        <v>-50</v>
      </c>
      <c r="H8" s="1" t="s">
        <v>176</v>
      </c>
      <c r="I8" s="1" t="str">
        <f t="shared" si="2"/>
        <v>BCBS of MT BONUS NISWANGER, GRACE-928154542</v>
      </c>
    </row>
    <row r="9">
      <c r="A9" s="1" t="s">
        <v>158</v>
      </c>
      <c r="B9" s="1" t="s">
        <v>177</v>
      </c>
      <c r="C9" s="1">
        <v>1.6683808E7</v>
      </c>
      <c r="D9" s="1">
        <v>9.28152496E8</v>
      </c>
      <c r="E9" s="1" t="s">
        <v>163</v>
      </c>
      <c r="F9" s="4">
        <v>50.0</v>
      </c>
      <c r="G9" s="1" t="str">
        <f t="shared" si="1"/>
        <v>-50</v>
      </c>
      <c r="H9" s="1" t="s">
        <v>176</v>
      </c>
      <c r="I9" s="1" t="str">
        <f t="shared" si="2"/>
        <v>BCBS of MT BONUS WINDER, AMY-928152496</v>
      </c>
    </row>
    <row r="10">
      <c r="A10" s="1" t="s">
        <v>158</v>
      </c>
      <c r="B10" s="1" t="s">
        <v>178</v>
      </c>
      <c r="C10" s="1">
        <v>371819.0</v>
      </c>
      <c r="D10" s="1">
        <v>9.28010745E8</v>
      </c>
      <c r="E10" s="1" t="s">
        <v>164</v>
      </c>
      <c r="F10" s="4">
        <v>50.0</v>
      </c>
      <c r="G10" s="1" t="str">
        <f t="shared" si="1"/>
        <v>-50</v>
      </c>
      <c r="H10" s="1" t="s">
        <v>176</v>
      </c>
      <c r="I10" s="1" t="str">
        <f t="shared" si="2"/>
        <v>BCBS of MT BONUS BERGER, TIFANNY-928010745</v>
      </c>
    </row>
    <row r="11">
      <c r="A11" s="1" t="s">
        <v>158</v>
      </c>
      <c r="B11" s="1" t="s">
        <v>178</v>
      </c>
      <c r="C11" s="1">
        <v>371819.0</v>
      </c>
      <c r="D11" s="1">
        <v>9.28055228E8</v>
      </c>
      <c r="E11" s="1" t="s">
        <v>56</v>
      </c>
      <c r="F11" s="4">
        <v>50.0</v>
      </c>
      <c r="G11" s="1" t="str">
        <f t="shared" si="1"/>
        <v>-50</v>
      </c>
      <c r="H11" s="1" t="s">
        <v>176</v>
      </c>
      <c r="I11" s="1" t="str">
        <f t="shared" si="2"/>
        <v>BCBS of MT BONUS DAVIS, LEO-928055228</v>
      </c>
    </row>
    <row r="12">
      <c r="A12" s="1" t="s">
        <v>158</v>
      </c>
      <c r="B12" s="1" t="s">
        <v>178</v>
      </c>
      <c r="C12" s="1">
        <v>371819.0</v>
      </c>
      <c r="D12" s="1">
        <v>9.2806003E8</v>
      </c>
      <c r="E12" s="1" t="s">
        <v>58</v>
      </c>
      <c r="F12" s="4">
        <v>50.0</v>
      </c>
      <c r="G12" s="1" t="str">
        <f t="shared" si="1"/>
        <v>-50</v>
      </c>
      <c r="H12" s="1" t="s">
        <v>176</v>
      </c>
      <c r="I12" s="1" t="str">
        <f t="shared" si="2"/>
        <v>BCBS of MT BONUS YELLOWTAIL, IVAN-928060030</v>
      </c>
    </row>
    <row r="13">
      <c r="A13" s="1" t="s">
        <v>158</v>
      </c>
      <c r="B13" s="1" t="s">
        <v>178</v>
      </c>
      <c r="C13" s="1">
        <v>371819.0</v>
      </c>
      <c r="D13" s="1">
        <v>9.28092285E8</v>
      </c>
      <c r="E13" s="1" t="s">
        <v>60</v>
      </c>
      <c r="F13" s="4">
        <v>50.0</v>
      </c>
      <c r="G13" s="1" t="str">
        <f t="shared" si="1"/>
        <v>-50</v>
      </c>
      <c r="H13" s="1" t="s">
        <v>176</v>
      </c>
      <c r="I13" s="1" t="str">
        <f t="shared" si="2"/>
        <v>BCBS of MT BONUS BIERLE, TINA-928092285</v>
      </c>
    </row>
    <row r="14">
      <c r="A14" s="1" t="s">
        <v>158</v>
      </c>
      <c r="B14" s="1" t="s">
        <v>178</v>
      </c>
      <c r="C14" s="1">
        <v>371819.0</v>
      </c>
      <c r="D14" s="1">
        <v>9.28093609E8</v>
      </c>
      <c r="E14" s="1" t="s">
        <v>165</v>
      </c>
      <c r="F14" s="4">
        <v>50.0</v>
      </c>
      <c r="G14" s="1" t="str">
        <f t="shared" si="1"/>
        <v>-50</v>
      </c>
      <c r="H14" s="1" t="s">
        <v>176</v>
      </c>
      <c r="I14" s="1" t="str">
        <f t="shared" si="2"/>
        <v>BCBS of MT BONUS BRADLEY, SHANNON-928093609</v>
      </c>
    </row>
    <row r="15">
      <c r="A15" s="1" t="s">
        <v>158</v>
      </c>
      <c r="B15" s="1" t="s">
        <v>178</v>
      </c>
      <c r="C15" s="1">
        <v>371819.0</v>
      </c>
      <c r="D15" s="1">
        <v>9.28132596E8</v>
      </c>
      <c r="E15" s="1" t="s">
        <v>64</v>
      </c>
      <c r="F15" s="4">
        <v>50.0</v>
      </c>
      <c r="G15" s="1" t="str">
        <f t="shared" si="1"/>
        <v>-50</v>
      </c>
      <c r="H15" s="1" t="s">
        <v>176</v>
      </c>
      <c r="I15" s="1" t="str">
        <f t="shared" si="2"/>
        <v>BCBS of MT BONUS SCHEAFFER, RODERICK-928132596</v>
      </c>
    </row>
    <row r="16">
      <c r="A16" s="1" t="s">
        <v>158</v>
      </c>
      <c r="B16" s="1" t="s">
        <v>178</v>
      </c>
      <c r="C16" s="1">
        <v>371819.0</v>
      </c>
      <c r="D16" s="1">
        <v>9.28134465E8</v>
      </c>
      <c r="E16" s="1" t="s">
        <v>65</v>
      </c>
      <c r="F16" s="4">
        <v>50.0</v>
      </c>
      <c r="G16" s="1" t="str">
        <f t="shared" si="1"/>
        <v>-50</v>
      </c>
      <c r="H16" s="1" t="s">
        <v>176</v>
      </c>
      <c r="I16" s="1" t="str">
        <f t="shared" si="2"/>
        <v>BCBS of MT BONUS HAMMER, ANNIE-928134465</v>
      </c>
    </row>
    <row r="17">
      <c r="A17" s="1" t="s">
        <v>158</v>
      </c>
      <c r="B17" s="1" t="s">
        <v>178</v>
      </c>
      <c r="C17" s="1">
        <v>371819.0</v>
      </c>
      <c r="D17" s="1">
        <v>9.28136679E8</v>
      </c>
      <c r="E17" s="1" t="s">
        <v>66</v>
      </c>
      <c r="F17" s="4">
        <v>50.0</v>
      </c>
      <c r="G17" s="1" t="str">
        <f t="shared" si="1"/>
        <v>-50</v>
      </c>
      <c r="H17" s="1" t="s">
        <v>176</v>
      </c>
      <c r="I17" s="1" t="str">
        <f t="shared" si="2"/>
        <v>BCBS of MT BONUS JOHNSON, DEBRA-928136679</v>
      </c>
    </row>
    <row r="18">
      <c r="A18" s="1" t="s">
        <v>158</v>
      </c>
      <c r="B18" s="1" t="s">
        <v>178</v>
      </c>
      <c r="C18" s="1">
        <v>371819.0</v>
      </c>
      <c r="D18" s="1">
        <v>9.28145593E8</v>
      </c>
      <c r="E18" s="1" t="s">
        <v>138</v>
      </c>
      <c r="F18" s="4">
        <v>50.0</v>
      </c>
      <c r="G18" s="1" t="str">
        <f t="shared" si="1"/>
        <v>-50</v>
      </c>
      <c r="H18" s="1" t="s">
        <v>176</v>
      </c>
      <c r="I18" s="1" t="str">
        <f t="shared" si="2"/>
        <v>BCBS of MT BONUS MCCOLLUM, BOWEN LEE-928145593</v>
      </c>
    </row>
    <row r="19">
      <c r="A19" s="1" t="s">
        <v>158</v>
      </c>
      <c r="B19" s="1" t="s">
        <v>178</v>
      </c>
      <c r="C19" s="1">
        <v>371819.0</v>
      </c>
      <c r="D19" s="1">
        <v>9.28146737E8</v>
      </c>
      <c r="E19" s="1" t="s">
        <v>140</v>
      </c>
      <c r="F19" s="4">
        <v>50.0</v>
      </c>
      <c r="G19" s="1" t="str">
        <f t="shared" si="1"/>
        <v>-50</v>
      </c>
      <c r="H19" s="1" t="s">
        <v>176</v>
      </c>
      <c r="I19" s="1" t="str">
        <f t="shared" si="2"/>
        <v>BCBS of MT BONUS SPOTTEDBEAR, JESSEY-928146737</v>
      </c>
    </row>
    <row r="20">
      <c r="A20" s="1" t="s">
        <v>158</v>
      </c>
      <c r="B20" s="1" t="s">
        <v>178</v>
      </c>
      <c r="C20" s="1">
        <v>371819.0</v>
      </c>
      <c r="D20" s="1">
        <v>9.28149001E8</v>
      </c>
      <c r="E20" s="1" t="s">
        <v>141</v>
      </c>
      <c r="F20" s="4">
        <v>50.0</v>
      </c>
      <c r="G20" s="1" t="str">
        <f t="shared" si="1"/>
        <v>-50</v>
      </c>
      <c r="H20" s="1" t="s">
        <v>176</v>
      </c>
      <c r="I20" s="1" t="str">
        <f t="shared" si="2"/>
        <v>BCBS of MT BONUS PLAINFEATHER, BENITA-928149001</v>
      </c>
    </row>
    <row r="21" ht="15.75" customHeight="1">
      <c r="A21" s="1" t="s">
        <v>158</v>
      </c>
      <c r="B21" s="1" t="s">
        <v>178</v>
      </c>
      <c r="C21" s="1">
        <v>371819.0</v>
      </c>
      <c r="D21" s="1">
        <v>9.28149122E8</v>
      </c>
      <c r="E21" s="1" t="s">
        <v>167</v>
      </c>
      <c r="F21" s="4">
        <v>50.0</v>
      </c>
      <c r="G21" s="1" t="str">
        <f t="shared" si="1"/>
        <v>-50</v>
      </c>
      <c r="H21" s="1" t="s">
        <v>176</v>
      </c>
      <c r="I21" s="1" t="str">
        <f t="shared" si="2"/>
        <v>BCBS of MT BONUS WOLFCHILD, CHARLOTTE-928149122</v>
      </c>
    </row>
    <row r="22" ht="15.75" customHeight="1">
      <c r="A22" s="1" t="s">
        <v>158</v>
      </c>
      <c r="B22" s="1" t="s">
        <v>178</v>
      </c>
      <c r="C22" s="1">
        <v>371819.0</v>
      </c>
      <c r="D22" s="1">
        <v>9.28149222E8</v>
      </c>
      <c r="E22" s="1" t="s">
        <v>142</v>
      </c>
      <c r="F22" s="4">
        <v>50.0</v>
      </c>
      <c r="G22" s="1" t="str">
        <f t="shared" si="1"/>
        <v>-50</v>
      </c>
      <c r="H22" s="1" t="s">
        <v>176</v>
      </c>
      <c r="I22" s="1" t="str">
        <f t="shared" si="2"/>
        <v>BCBS of MT BONUS RUNNING CRANE, STEPHEN-928149222</v>
      </c>
    </row>
    <row r="23" ht="15.75" customHeight="1">
      <c r="A23" s="1" t="s">
        <v>158</v>
      </c>
      <c r="B23" s="1" t="s">
        <v>178</v>
      </c>
      <c r="C23" s="1">
        <v>371819.0</v>
      </c>
      <c r="D23" s="1">
        <v>9.28149327E8</v>
      </c>
      <c r="E23" s="1" t="s">
        <v>143</v>
      </c>
      <c r="F23" s="4">
        <v>50.0</v>
      </c>
      <c r="G23" s="1" t="str">
        <f t="shared" si="1"/>
        <v>-50</v>
      </c>
      <c r="H23" s="1" t="s">
        <v>176</v>
      </c>
      <c r="I23" s="1" t="str">
        <f t="shared" si="2"/>
        <v>BCBS of MT BONUS BUCKLES, DENISE-928149327</v>
      </c>
    </row>
    <row r="24" ht="15.75" customHeight="1">
      <c r="A24" s="1" t="s">
        <v>158</v>
      </c>
      <c r="B24" s="1" t="s">
        <v>178</v>
      </c>
      <c r="C24" s="1">
        <v>371819.0</v>
      </c>
      <c r="D24" s="1">
        <v>9.28149842E8</v>
      </c>
      <c r="E24" s="1" t="s">
        <v>144</v>
      </c>
      <c r="F24" s="4">
        <v>50.0</v>
      </c>
      <c r="G24" s="1" t="str">
        <f t="shared" si="1"/>
        <v>-50</v>
      </c>
      <c r="H24" s="1" t="s">
        <v>176</v>
      </c>
      <c r="I24" s="1" t="str">
        <f t="shared" si="2"/>
        <v>BCBS of MT BONUS PLAINFEATHER, LEVI-928149842</v>
      </c>
    </row>
    <row r="25" ht="15.75" customHeight="1">
      <c r="A25" s="1" t="s">
        <v>158</v>
      </c>
      <c r="B25" s="1" t="s">
        <v>178</v>
      </c>
      <c r="C25" s="1">
        <v>371819.0</v>
      </c>
      <c r="D25" s="1">
        <v>9.28149844E8</v>
      </c>
      <c r="E25" s="1" t="s">
        <v>145</v>
      </c>
      <c r="F25" s="4">
        <v>50.0</v>
      </c>
      <c r="G25" s="1" t="str">
        <f t="shared" si="1"/>
        <v>-50</v>
      </c>
      <c r="H25" s="1" t="s">
        <v>176</v>
      </c>
      <c r="I25" s="1" t="str">
        <f t="shared" si="2"/>
        <v>BCBS of MT BONUS JEFFERSON, RYAN-928149844</v>
      </c>
    </row>
    <row r="26" ht="15.75" customHeight="1">
      <c r="A26" s="1" t="s">
        <v>158</v>
      </c>
      <c r="B26" s="1" t="s">
        <v>178</v>
      </c>
      <c r="C26" s="1">
        <v>371819.0</v>
      </c>
      <c r="D26" s="1">
        <v>9.2814987E8</v>
      </c>
      <c r="E26" s="1" t="s">
        <v>146</v>
      </c>
      <c r="F26" s="4">
        <v>50.0</v>
      </c>
      <c r="G26" s="1" t="str">
        <f t="shared" si="1"/>
        <v>-50</v>
      </c>
      <c r="H26" s="1" t="s">
        <v>176</v>
      </c>
      <c r="I26" s="1" t="str">
        <f t="shared" si="2"/>
        <v>BCBS of MT BONUS BUCK, KELLEY-928149870</v>
      </c>
    </row>
    <row r="27" ht="15.75" customHeight="1">
      <c r="A27" s="1" t="s">
        <v>158</v>
      </c>
      <c r="B27" s="1" t="s">
        <v>178</v>
      </c>
      <c r="C27" s="1">
        <v>371819.0</v>
      </c>
      <c r="D27" s="1">
        <v>9.28150112E8</v>
      </c>
      <c r="E27" s="1" t="s">
        <v>147</v>
      </c>
      <c r="F27" s="4">
        <v>50.0</v>
      </c>
      <c r="G27" s="1" t="str">
        <f t="shared" si="1"/>
        <v>-50</v>
      </c>
      <c r="H27" s="1" t="s">
        <v>176</v>
      </c>
      <c r="I27" s="1" t="str">
        <f t="shared" si="2"/>
        <v>BCBS of MT BONUS HUNTER, TINA-928150112</v>
      </c>
    </row>
    <row r="28" ht="15.75" customHeight="1">
      <c r="A28" s="1" t="s">
        <v>158</v>
      </c>
      <c r="B28" s="1" t="s">
        <v>178</v>
      </c>
      <c r="C28" s="1">
        <v>371819.0</v>
      </c>
      <c r="D28" s="1">
        <v>9.28150209E8</v>
      </c>
      <c r="E28" s="1" t="s">
        <v>148</v>
      </c>
      <c r="F28" s="4">
        <v>50.0</v>
      </c>
      <c r="G28" s="1" t="str">
        <f t="shared" si="1"/>
        <v>-50</v>
      </c>
      <c r="H28" s="1" t="s">
        <v>176</v>
      </c>
      <c r="I28" s="1" t="str">
        <f t="shared" si="2"/>
        <v>BCBS of MT BONUS LAFORGE DUST, LILLY-928150209</v>
      </c>
    </row>
    <row r="29" ht="15.75" customHeight="1">
      <c r="A29" s="1" t="s">
        <v>158</v>
      </c>
      <c r="B29" s="1" t="s">
        <v>178</v>
      </c>
      <c r="C29" s="1">
        <v>371819.0</v>
      </c>
      <c r="D29" s="1">
        <v>9.2815025E8</v>
      </c>
      <c r="E29" s="1" t="s">
        <v>168</v>
      </c>
      <c r="F29" s="4">
        <v>50.0</v>
      </c>
      <c r="G29" s="1" t="str">
        <f t="shared" si="1"/>
        <v>-50</v>
      </c>
      <c r="H29" s="1" t="s">
        <v>176</v>
      </c>
      <c r="I29" s="1" t="str">
        <f t="shared" si="2"/>
        <v>BCBS of MT BONUS LAFORGE DUST, JOSIAH-928150250</v>
      </c>
    </row>
    <row r="30" ht="15.75" customHeight="1">
      <c r="A30" s="1" t="s">
        <v>158</v>
      </c>
      <c r="B30" s="1" t="s">
        <v>178</v>
      </c>
      <c r="C30" s="1">
        <v>371819.0</v>
      </c>
      <c r="D30" s="1">
        <v>9.28150824E8</v>
      </c>
      <c r="E30" s="1" t="s">
        <v>149</v>
      </c>
      <c r="F30" s="4">
        <v>50.0</v>
      </c>
      <c r="G30" s="1" t="str">
        <f t="shared" si="1"/>
        <v>-50</v>
      </c>
      <c r="H30" s="1" t="s">
        <v>176</v>
      </c>
      <c r="I30" s="1" t="str">
        <f t="shared" si="2"/>
        <v>BCBS of MT BONUS ALEXANDER, MILTON-928150824</v>
      </c>
    </row>
    <row r="31" ht="15.75" customHeight="1">
      <c r="A31" s="1" t="s">
        <v>158</v>
      </c>
      <c r="B31" s="1" t="s">
        <v>178</v>
      </c>
      <c r="C31" s="1">
        <v>371819.0</v>
      </c>
      <c r="D31" s="1">
        <v>9.28150957E8</v>
      </c>
      <c r="E31" s="1" t="s">
        <v>150</v>
      </c>
      <c r="F31" s="4">
        <v>50.0</v>
      </c>
      <c r="G31" s="1" t="str">
        <f t="shared" si="1"/>
        <v>-50</v>
      </c>
      <c r="H31" s="1" t="s">
        <v>176</v>
      </c>
      <c r="I31" s="1" t="str">
        <f t="shared" si="2"/>
        <v>BCBS of MT BONUS GREATWALKER, CRYSTAL-928150957</v>
      </c>
    </row>
    <row r="32" ht="15.75" customHeight="1">
      <c r="A32" s="1" t="s">
        <v>158</v>
      </c>
      <c r="B32" s="1" t="s">
        <v>178</v>
      </c>
      <c r="C32" s="1">
        <v>371819.0</v>
      </c>
      <c r="D32" s="1">
        <v>9.2815103E8</v>
      </c>
      <c r="E32" s="1" t="s">
        <v>151</v>
      </c>
      <c r="F32" s="4">
        <v>50.0</v>
      </c>
      <c r="G32" s="1" t="str">
        <f t="shared" si="1"/>
        <v>-50</v>
      </c>
      <c r="H32" s="1" t="s">
        <v>176</v>
      </c>
      <c r="I32" s="1" t="str">
        <f t="shared" si="2"/>
        <v>BCBS of MT BONUS HALL, STACY-928151030</v>
      </c>
    </row>
    <row r="33" ht="15.75" customHeight="1">
      <c r="A33" s="1" t="s">
        <v>158</v>
      </c>
      <c r="B33" s="1" t="s">
        <v>178</v>
      </c>
      <c r="C33" s="1">
        <v>371819.0</v>
      </c>
      <c r="D33" s="1">
        <v>9.28151061E8</v>
      </c>
      <c r="E33" s="1" t="s">
        <v>152</v>
      </c>
      <c r="F33" s="4">
        <v>50.0</v>
      </c>
      <c r="G33" s="1" t="str">
        <f t="shared" si="1"/>
        <v>-50</v>
      </c>
      <c r="H33" s="1" t="s">
        <v>176</v>
      </c>
      <c r="I33" s="1" t="str">
        <f t="shared" si="2"/>
        <v>BCBS of MT BONUS HEALY, KELLY-928151061</v>
      </c>
    </row>
    <row r="34" ht="15.75" customHeight="1">
      <c r="A34" s="1" t="s">
        <v>158</v>
      </c>
      <c r="B34" s="1" t="s">
        <v>178</v>
      </c>
      <c r="C34" s="1">
        <v>371819.0</v>
      </c>
      <c r="D34" s="1">
        <v>9.28151148E8</v>
      </c>
      <c r="E34" s="1" t="s">
        <v>169</v>
      </c>
      <c r="F34" s="4">
        <v>50.0</v>
      </c>
      <c r="G34" s="1" t="str">
        <f t="shared" si="1"/>
        <v>-50</v>
      </c>
      <c r="H34" s="1" t="s">
        <v>176</v>
      </c>
      <c r="I34" s="1" t="str">
        <f t="shared" si="2"/>
        <v>BCBS of MT BONUS MAHKUK-MALATARE, VICKIE-928151148</v>
      </c>
    </row>
    <row r="35" ht="15.75" customHeight="1">
      <c r="A35" s="1" t="s">
        <v>158</v>
      </c>
      <c r="B35" s="1" t="s">
        <v>178</v>
      </c>
      <c r="C35" s="1">
        <v>371819.0</v>
      </c>
      <c r="D35" s="1">
        <v>9.28151168E8</v>
      </c>
      <c r="E35" s="1" t="s">
        <v>153</v>
      </c>
      <c r="F35" s="4">
        <v>50.0</v>
      </c>
      <c r="G35" s="1" t="str">
        <f t="shared" si="1"/>
        <v>-50</v>
      </c>
      <c r="H35" s="1" t="s">
        <v>176</v>
      </c>
      <c r="I35" s="1" t="str">
        <f t="shared" si="2"/>
        <v>BCBS of MT BONUS WALKS, DELBERT-928151168</v>
      </c>
    </row>
    <row r="36" ht="15.75" customHeight="1">
      <c r="A36" s="1" t="s">
        <v>158</v>
      </c>
      <c r="B36" s="1" t="s">
        <v>178</v>
      </c>
      <c r="C36" s="1">
        <v>371819.0</v>
      </c>
      <c r="D36" s="1">
        <v>9.28151241E8</v>
      </c>
      <c r="E36" s="1" t="s">
        <v>170</v>
      </c>
      <c r="F36" s="4">
        <v>50.0</v>
      </c>
      <c r="G36" s="1" t="str">
        <f t="shared" si="1"/>
        <v>-50</v>
      </c>
      <c r="H36" s="1" t="s">
        <v>176</v>
      </c>
      <c r="I36" s="1" t="str">
        <f t="shared" si="2"/>
        <v>BCBS of MT BONUS KAULEY, JOSEPH-928151241</v>
      </c>
    </row>
    <row r="37" ht="15.75" customHeight="1">
      <c r="A37" s="1" t="s">
        <v>158</v>
      </c>
      <c r="B37" s="1" t="s">
        <v>178</v>
      </c>
      <c r="C37" s="1">
        <v>371819.0</v>
      </c>
      <c r="D37" s="1">
        <v>9.28152398E8</v>
      </c>
      <c r="E37" s="1" t="s">
        <v>171</v>
      </c>
      <c r="F37" s="4">
        <v>50.0</v>
      </c>
      <c r="G37" s="1" t="str">
        <f t="shared" si="1"/>
        <v>-50</v>
      </c>
      <c r="H37" s="1" t="s">
        <v>176</v>
      </c>
      <c r="I37" s="1" t="str">
        <f t="shared" si="2"/>
        <v>BCBS of MT BONUS EAGLEFEATHERS, MYCHAL-928152398</v>
      </c>
    </row>
    <row r="38" ht="15.75" customHeight="1">
      <c r="A38" s="1" t="s">
        <v>158</v>
      </c>
      <c r="B38" s="1" t="s">
        <v>178</v>
      </c>
      <c r="C38" s="1">
        <v>371819.0</v>
      </c>
      <c r="D38" s="1">
        <v>9.28152407E8</v>
      </c>
      <c r="E38" s="1" t="s">
        <v>74</v>
      </c>
      <c r="F38" s="4">
        <v>50.0</v>
      </c>
      <c r="G38" s="1" t="str">
        <f t="shared" si="1"/>
        <v>-50</v>
      </c>
      <c r="H38" s="1" t="s">
        <v>176</v>
      </c>
      <c r="I38" s="1" t="str">
        <f t="shared" si="2"/>
        <v>BCBS of MT BONUS JOHNSON, KRIS-928152407</v>
      </c>
    </row>
    <row r="39" ht="15.75" customHeight="1">
      <c r="A39" s="1" t="s">
        <v>158</v>
      </c>
      <c r="B39" s="1" t="s">
        <v>178</v>
      </c>
      <c r="C39" s="1">
        <v>371819.0</v>
      </c>
      <c r="D39" s="1">
        <v>9.28153376E8</v>
      </c>
      <c r="E39" s="1" t="s">
        <v>76</v>
      </c>
      <c r="F39" s="4">
        <v>50.0</v>
      </c>
      <c r="G39" s="1" t="str">
        <f t="shared" si="1"/>
        <v>-50</v>
      </c>
      <c r="H39" s="1" t="s">
        <v>176</v>
      </c>
      <c r="I39" s="1" t="str">
        <f t="shared" si="2"/>
        <v>BCBS of MT BONUS EAGLE-SPEAKER, CLIFFORD-928153376</v>
      </c>
    </row>
    <row r="40" ht="15.75" customHeight="1">
      <c r="A40" s="1" t="s">
        <v>158</v>
      </c>
      <c r="B40" s="1" t="s">
        <v>178</v>
      </c>
      <c r="C40" s="1">
        <v>371819.0</v>
      </c>
      <c r="D40" s="1">
        <v>9.28153462E8</v>
      </c>
      <c r="E40" s="1" t="s">
        <v>77</v>
      </c>
      <c r="F40" s="4">
        <v>50.0</v>
      </c>
      <c r="G40" s="1" t="str">
        <f t="shared" si="1"/>
        <v>-50</v>
      </c>
      <c r="H40" s="1" t="s">
        <v>176</v>
      </c>
      <c r="I40" s="1" t="str">
        <f t="shared" si="2"/>
        <v>BCBS of MT BONUS BIGLAKE, TODD-928153462</v>
      </c>
    </row>
    <row r="41" ht="15.75" customHeight="1">
      <c r="A41" s="1" t="s">
        <v>158</v>
      </c>
      <c r="B41" s="1" t="s">
        <v>178</v>
      </c>
      <c r="C41" s="1">
        <v>371819.0</v>
      </c>
      <c r="D41" s="1">
        <v>9.28153709E8</v>
      </c>
      <c r="E41" s="1" t="s">
        <v>80</v>
      </c>
      <c r="F41" s="4">
        <v>50.0</v>
      </c>
      <c r="G41" s="1" t="str">
        <f t="shared" si="1"/>
        <v>-50</v>
      </c>
      <c r="H41" s="1" t="s">
        <v>176</v>
      </c>
      <c r="I41" s="1" t="str">
        <f t="shared" si="2"/>
        <v>BCBS of MT BONUS FILESTEEL, CONNIE-928153709</v>
      </c>
    </row>
    <row r="42" ht="15.75" customHeight="1">
      <c r="A42" s="1" t="s">
        <v>158</v>
      </c>
      <c r="B42" s="1" t="s">
        <v>178</v>
      </c>
      <c r="C42" s="1">
        <v>371819.0</v>
      </c>
      <c r="D42" s="1">
        <v>9.2815397E8</v>
      </c>
      <c r="E42" s="1" t="s">
        <v>81</v>
      </c>
      <c r="F42" s="4">
        <v>50.0</v>
      </c>
      <c r="G42" s="1" t="str">
        <f t="shared" si="1"/>
        <v>-50</v>
      </c>
      <c r="H42" s="1" t="s">
        <v>176</v>
      </c>
      <c r="I42" s="1" t="str">
        <f t="shared" si="2"/>
        <v>BCBS of MT BONUS BIGLAKE, KODI-928153970</v>
      </c>
    </row>
    <row r="43" ht="15.75" customHeight="1">
      <c r="A43" s="1" t="s">
        <v>158</v>
      </c>
      <c r="B43" s="1" t="s">
        <v>178</v>
      </c>
      <c r="C43" s="1">
        <v>371819.0</v>
      </c>
      <c r="D43" s="1">
        <v>9.28153971E8</v>
      </c>
      <c r="E43" s="1" t="s">
        <v>172</v>
      </c>
      <c r="F43" s="4">
        <v>50.0</v>
      </c>
      <c r="G43" s="1" t="str">
        <f t="shared" si="1"/>
        <v>-50</v>
      </c>
      <c r="H43" s="1" t="s">
        <v>176</v>
      </c>
      <c r="I43" s="1" t="str">
        <f t="shared" si="2"/>
        <v>BCBS of MT BONUS SMART ENEMY, DARIAN-928153971</v>
      </c>
    </row>
    <row r="44" ht="15.75" customHeight="1">
      <c r="A44" s="1" t="s">
        <v>158</v>
      </c>
      <c r="B44" s="1" t="s">
        <v>178</v>
      </c>
      <c r="C44" s="1">
        <v>371819.0</v>
      </c>
      <c r="D44" s="1">
        <v>9.28154477E8</v>
      </c>
      <c r="E44" s="1" t="s">
        <v>173</v>
      </c>
      <c r="F44" s="4">
        <v>50.0</v>
      </c>
      <c r="G44" s="1" t="str">
        <f t="shared" si="1"/>
        <v>-50</v>
      </c>
      <c r="H44" s="1" t="s">
        <v>176</v>
      </c>
      <c r="I44" s="1" t="str">
        <f t="shared" si="2"/>
        <v>BCBS of MT BONUS DAY CHILD, JUSTIN-928154477</v>
      </c>
    </row>
    <row r="45" ht="15.75" customHeight="1">
      <c r="A45" s="1" t="s">
        <v>158</v>
      </c>
      <c r="B45" s="1" t="s">
        <v>178</v>
      </c>
      <c r="C45" s="1">
        <v>371819.0</v>
      </c>
      <c r="D45" s="1">
        <v>9.28154536E8</v>
      </c>
      <c r="E45" s="1" t="s">
        <v>83</v>
      </c>
      <c r="F45" s="4">
        <v>50.0</v>
      </c>
      <c r="G45" s="1" t="str">
        <f t="shared" si="1"/>
        <v>-50</v>
      </c>
      <c r="H45" s="1" t="s">
        <v>176</v>
      </c>
      <c r="I45" s="1" t="str">
        <f t="shared" si="2"/>
        <v>BCBS of MT BONUS ENICK, JOHN-928154536</v>
      </c>
    </row>
    <row r="46" ht="15.75" customHeight="1">
      <c r="A46" s="1" t="s">
        <v>158</v>
      </c>
      <c r="B46" s="1" t="s">
        <v>178</v>
      </c>
      <c r="C46" s="1">
        <v>371819.0</v>
      </c>
      <c r="D46" s="1">
        <v>9.28154571E8</v>
      </c>
      <c r="E46" s="1" t="s">
        <v>84</v>
      </c>
      <c r="F46" s="4">
        <v>50.0</v>
      </c>
      <c r="G46" s="1" t="str">
        <f t="shared" si="1"/>
        <v>-50</v>
      </c>
      <c r="H46" s="1" t="s">
        <v>176</v>
      </c>
      <c r="I46" s="1" t="str">
        <f t="shared" si="2"/>
        <v>BCBS of MT BONUS HASTHEEAGLE, JAEDA-928154571</v>
      </c>
    </row>
    <row r="47" ht="15.75" customHeight="1">
      <c r="A47" s="1" t="s">
        <v>158</v>
      </c>
      <c r="B47" s="1" t="s">
        <v>178</v>
      </c>
      <c r="C47" s="1">
        <v>371819.0</v>
      </c>
      <c r="D47" s="1">
        <v>9.28154572E8</v>
      </c>
      <c r="E47" s="1" t="s">
        <v>85</v>
      </c>
      <c r="F47" s="4">
        <v>50.0</v>
      </c>
      <c r="G47" s="1" t="str">
        <f t="shared" si="1"/>
        <v>-50</v>
      </c>
      <c r="H47" s="1" t="s">
        <v>176</v>
      </c>
      <c r="I47" s="1" t="str">
        <f t="shared" si="2"/>
        <v>BCBS of MT BONUS GOODSON, RAFAEL-928154572</v>
      </c>
    </row>
    <row r="48" ht="15.75" customHeight="1">
      <c r="A48" s="1" t="s">
        <v>158</v>
      </c>
      <c r="B48" s="1" t="s">
        <v>178</v>
      </c>
      <c r="C48" s="1">
        <v>371819.0</v>
      </c>
      <c r="D48" s="1">
        <v>9.28154927E8</v>
      </c>
      <c r="E48" s="1" t="s">
        <v>174</v>
      </c>
      <c r="F48" s="4">
        <v>50.0</v>
      </c>
      <c r="G48" s="1" t="str">
        <f t="shared" si="1"/>
        <v>-50</v>
      </c>
      <c r="H48" s="1" t="s">
        <v>176</v>
      </c>
      <c r="I48" s="1" t="str">
        <f t="shared" si="2"/>
        <v>BCBS of MT BONUS WALKSNICE, SEPTEMBER-928154927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2026-05-21T10:12:13Z</dcterms:created>
  <dc:creator>JB Infotech</dc:creator>
</cp:coreProperties>
</file>