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MT/2025/1-17-25/"/>
    </mc:Choice>
  </mc:AlternateContent>
  <xr:revisionPtr revIDLastSave="0" documentId="13_ncr:1_{8D6F462B-2ED5-4E48-8E06-560FBBCFE41D}" xr6:coauthVersionLast="47" xr6:coauthVersionMax="47" xr10:uidLastSave="{00000000-0000-0000-0000-000000000000}"/>
  <bookViews>
    <workbookView xWindow="0" yWindow="500" windowWidth="19200" windowHeight="193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3" i="2"/>
</calcChain>
</file>

<file path=xl/sharedStrings.xml><?xml version="1.0" encoding="utf-8"?>
<sst xmlns="http://schemas.openxmlformats.org/spreadsheetml/2006/main" count="511" uniqueCount="133">
  <si>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</si>
  <si>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</si>
  <si>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</si>
  <si>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</si>
  <si>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</si>
  <si>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</si>
  <si>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</si>
  <si>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</si>
  <si>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family val="2"/>
      </rPr>
      <t xml:space="preserve">
For Period: December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</si>
  <si>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</si>
  <si>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</si>
  <si>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</si>
  <si>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</si>
  <si>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</si>
  <si>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</si>
  <si>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</si>
  <si>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</si>
  <si>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</si>
  <si>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</si>
  <si>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</si>
  <si>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</si>
  <si>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</si>
  <si>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</si>
  <si>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</si>
  <si>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</si>
  <si>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</si>
  <si>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</si>
  <si>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</si>
  <si>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</si>
  <si>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</si>
  <si>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</si>
  <si>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</si>
  <si>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</si>
  <si>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</si>
  <si>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</si>
  <si>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</si>
  <si>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MS1901</t>
  </si>
  <si>
    <t>2</t>
  </si>
  <si>
    <t>000928127138</t>
  </si>
  <si>
    <t>OSBORNE, DAVID</t>
  </si>
  <si>
    <t>P</t>
  </si>
  <si>
    <t>002,131.70</t>
  </si>
  <si>
    <t>20250201</t>
  </si>
  <si>
    <t>20240101</t>
  </si>
  <si>
    <t>013</t>
  </si>
  <si>
    <t>BLUEFOCUSPOS^</t>
  </si>
  <si>
    <t>N</t>
  </si>
  <si>
    <t>$01.00</t>
  </si>
  <si>
    <t>020.00</t>
  </si>
  <si>
    <t>000,040.00</t>
  </si>
  <si>
    <t>0.0000</t>
  </si>
  <si>
    <t>000,000.00</t>
  </si>
  <si>
    <t>107866948</t>
  </si>
  <si>
    <t>1</t>
  </si>
  <si>
    <t>000928127769</t>
  </si>
  <si>
    <t>DEAN, BRENDA</t>
  </si>
  <si>
    <t>000,949.16</t>
  </si>
  <si>
    <t>000,020.00</t>
  </si>
  <si>
    <t>MS1301</t>
  </si>
  <si>
    <t>3</t>
  </si>
  <si>
    <t>000928139663</t>
  </si>
  <si>
    <t>SMITH, JASON</t>
  </si>
  <si>
    <t>001,183.24</t>
  </si>
  <si>
    <t>20240801</t>
  </si>
  <si>
    <t>006</t>
  </si>
  <si>
    <t>000,060.00</t>
  </si>
  <si>
    <t>107879366-SU-MICHELA ROZMAN</t>
  </si>
  <si>
    <t>MB1903</t>
  </si>
  <si>
    <t>000928116889</t>
  </si>
  <si>
    <t>BICKLER, TIMOTHY</t>
  </si>
  <si>
    <t>000,706.01</t>
  </si>
  <si>
    <t>20220501</t>
  </si>
  <si>
    <t>033</t>
  </si>
  <si>
    <t>107879366</t>
  </si>
  <si>
    <t>1-</t>
  </si>
  <si>
    <t>000,706.01-</t>
  </si>
  <si>
    <t>000,020.00-</t>
  </si>
  <si>
    <t>107944689-SU-JOEL N LEE</t>
  </si>
  <si>
    <t>000928132686</t>
  </si>
  <si>
    <t>BOYD, TYLER</t>
  </si>
  <si>
    <t>000,430.56</t>
  </si>
  <si>
    <t>107944689</t>
  </si>
  <si>
    <t>107949125-SU-JONATHAN ALOFF</t>
  </si>
  <si>
    <t>000928141308</t>
  </si>
  <si>
    <t>LOFF, MARK</t>
  </si>
  <si>
    <t>002,140.42</t>
  </si>
  <si>
    <t>20241001</t>
  </si>
  <si>
    <t>004</t>
  </si>
  <si>
    <t>107949125</t>
  </si>
  <si>
    <t>107952427-SU-THOMAS PARDUE</t>
  </si>
  <si>
    <t>MB1900</t>
  </si>
  <si>
    <t>000928101630</t>
  </si>
  <si>
    <t>BLACKIE, IRVIN</t>
  </si>
  <si>
    <t>000,842.17</t>
  </si>
  <si>
    <t>20240401</t>
  </si>
  <si>
    <t>010</t>
  </si>
  <si>
    <t>PPO</t>
  </si>
  <si>
    <t>107952427</t>
  </si>
  <si>
    <t>000928143304</t>
  </si>
  <si>
    <t>SORKNESS, KIMBERLY</t>
  </si>
  <si>
    <t>000,459.46</t>
  </si>
  <si>
    <t>20241201</t>
  </si>
  <si>
    <t>002</t>
  </si>
  <si>
    <t>000928144933</t>
  </si>
  <si>
    <t>MEDICINETOP, JOHNNY</t>
  </si>
  <si>
    <t>000,473.00</t>
  </si>
  <si>
    <t>20250101</t>
  </si>
  <si>
    <t>001</t>
  </si>
  <si>
    <t>MB1303</t>
  </si>
  <si>
    <t>000928145593</t>
  </si>
  <si>
    <t>MCCOLLUM, BOWEN LEE</t>
  </si>
  <si>
    <t>000,424.93</t>
  </si>
  <si>
    <t>000928146255</t>
  </si>
  <si>
    <t>DECOCK, RICKY</t>
  </si>
  <si>
    <t>001,189.72</t>
  </si>
  <si>
    <t>MB1302</t>
  </si>
  <si>
    <t>000928146307</t>
  </si>
  <si>
    <t>CLARK, THERESA</t>
  </si>
  <si>
    <t>000,751.72</t>
  </si>
  <si>
    <t>MB1901</t>
  </si>
  <si>
    <t>000928146493</t>
  </si>
  <si>
    <t>RUNNINGFISHER, YOUNGBILL</t>
  </si>
  <si>
    <t>001,333.19</t>
  </si>
  <si>
    <t>MB1301</t>
  </si>
  <si>
    <t>000928146737</t>
  </si>
  <si>
    <t>SPOTTEDBEAR, JESSEY</t>
  </si>
  <si>
    <t>001,218.75</t>
  </si>
  <si>
    <t>GREGORY K TEIPEL</t>
  </si>
  <si>
    <t>MICHELA ROZMAN</t>
  </si>
  <si>
    <t>JOEL N LEE</t>
  </si>
  <si>
    <t>JONATHAN ALOFF</t>
  </si>
  <si>
    <t>THOMAS PARDUE</t>
  </si>
  <si>
    <t>371819Street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</si>
</sst>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8" fillId="3" borderId="1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/>
    </xf>
    <xf numFmtId="0" fontId="9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4" fontId="9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34"/>
  <sheetViews>
    <sheetView showGridLines="0" workbookViewId="0">
      <selection sqref="A1:XFD1048576"/>
    </sheetView>
  </sheetViews>
  <sheetFormatPr baseColWidth="10" defaultColWidth="6.83203125" defaultRowHeight="12.75" customHeight="1" x14ac:dyDescent="0.15"/>
  <cols>
    <col min="1" max="1" width="10.5" customWidth="1"/>
    <col min="2" max="2" width="2.1640625" customWidth="1"/>
    <col min="3" max="3" width="9.5" customWidth="1"/>
    <col min="4" max="4" width="2" customWidth="1"/>
    <col min="5" max="5" width="10.1640625" customWidth="1"/>
    <col min="6" max="6" width="1.1640625" customWidth="1"/>
    <col min="7" max="7" width="1.5" customWidth="1"/>
    <col min="8" max="8" width="27.1640625" customWidth="1"/>
    <col min="9" max="9" width="22" customWidth="1"/>
    <col min="10" max="10" width="8.6640625" customWidth="1"/>
    <col min="11" max="11" width="10.33203125" customWidth="1"/>
    <col min="12" max="12" width="10.5" customWidth="1"/>
    <col min="13" max="14" width="1.1640625" customWidth="1"/>
    <col min="15" max="15" width="11.6640625" customWidth="1"/>
    <col min="16" max="16" width="20.6640625" customWidth="1"/>
    <col min="17" max="17" width="2.33203125" customWidth="1"/>
    <col min="18" max="18" width="18.83203125" customWidth="1"/>
    <col min="19" max="19" width="10" customWidth="1"/>
    <col min="20" max="20" width="5" customWidth="1"/>
    <col min="21" max="21" width="8.5" customWidth="1"/>
    <col min="22" max="22" width="13.1640625" customWidth="1"/>
    <col min="23" max="23" width="14.1640625" customWidth="1"/>
    <col min="24" max="24" width="11.6640625" customWidth="1"/>
    <col min="25" max="25" width="5" customWidth="1"/>
    <col min="26" max="26" width="20.5" customWidth="1"/>
    <col min="27" max="33" width="13.5" customWidth="1"/>
    <col min="34" max="34" width="6.83203125" customWidth="1"/>
  </cols>
  <sheetData>
    <row r="1" spans="1:33" ht="11.25" customHeight="1" x14ac:dyDescent="0.15"/>
    <row r="2" spans="1:33" ht="6" customHeight="1" x14ac:dyDescent="0.15"/>
    <row r="3" spans="1:33" ht="6.75" customHeight="1" x14ac:dyDescent="0.15">
      <c r="R3" s="9" t="s">
        <v>0</v>
      </c>
      <c r="S3" s="9"/>
      <c r="T3" s="9"/>
    </row>
    <row r="4" spans="1:33" ht="6.75" customHeight="1" x14ac:dyDescent="0.15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15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15">
      <c r="Q6" s="12" t="s">
        <v>3</v>
      </c>
      <c r="R6" s="12"/>
      <c r="S6" s="12"/>
      <c r="T6" s="12"/>
    </row>
    <row r="7" spans="1:33" ht="7.5" customHeight="1" x14ac:dyDescent="0.15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15">
      <c r="A8" s="10"/>
      <c r="C8" s="11"/>
      <c r="D8" s="11"/>
      <c r="E8" s="11"/>
      <c r="F8" s="11"/>
      <c r="G8" s="11"/>
    </row>
    <row r="9" spans="1:33" ht="13.5" customHeight="1" x14ac:dyDescent="0.15">
      <c r="A9" s="1" t="s">
        <v>6</v>
      </c>
      <c r="C9" s="11" t="s">
        <v>7</v>
      </c>
      <c r="D9" s="11"/>
    </row>
    <row r="10" spans="1:33" ht="12" customHeight="1" x14ac:dyDescent="0.15"/>
    <row r="11" spans="1:33" ht="25.5" customHeight="1" x14ac:dyDescent="0.15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1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15">
      <c r="A13" s="8" t="s">
        <v>9</v>
      </c>
      <c r="B13" s="8" t="s">
        <v>10</v>
      </c>
      <c r="C13" s="8"/>
      <c r="D13" s="8" t="s">
        <v>11</v>
      </c>
      <c r="E13" s="8"/>
      <c r="F13" s="8" t="s">
        <v>12</v>
      </c>
      <c r="G13" s="8"/>
      <c r="H13" s="8"/>
      <c r="I13" s="8"/>
      <c r="J13" s="8" t="s">
        <v>13</v>
      </c>
      <c r="K13" s="8" t="s">
        <v>14</v>
      </c>
      <c r="L13" s="8" t="s">
        <v>15</v>
      </c>
      <c r="N13" s="8" t="s">
        <v>16</v>
      </c>
      <c r="O13" s="8"/>
      <c r="P13" s="8" t="s">
        <v>17</v>
      </c>
      <c r="Q13" s="8"/>
      <c r="R13" s="8"/>
      <c r="S13" s="8" t="s">
        <v>18</v>
      </c>
      <c r="T13" s="8" t="s">
        <v>19</v>
      </c>
      <c r="U13" s="8"/>
      <c r="V13" s="8" t="s">
        <v>20</v>
      </c>
      <c r="W13" s="8" t="s">
        <v>21</v>
      </c>
      <c r="X13" s="8" t="s">
        <v>22</v>
      </c>
      <c r="Y13" s="8" t="s">
        <v>23</v>
      </c>
      <c r="Z13" s="8"/>
      <c r="AA13" s="8" t="s">
        <v>24</v>
      </c>
      <c r="AB13" s="8" t="s">
        <v>25</v>
      </c>
      <c r="AC13" s="8" t="s">
        <v>26</v>
      </c>
      <c r="AD13" s="8" t="s">
        <v>27</v>
      </c>
      <c r="AE13" s="8" t="s">
        <v>28</v>
      </c>
      <c r="AF13" s="8" t="s">
        <v>29</v>
      </c>
      <c r="AG13" s="8" t="s">
        <v>30</v>
      </c>
    </row>
    <row r="14" spans="1:33" ht="14.25" customHeight="1" x14ac:dyDescent="0.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0.75" customHeight="1" x14ac:dyDescent="0.15">
      <c r="L15" s="8"/>
      <c r="N15" s="8"/>
      <c r="O15" s="8"/>
    </row>
    <row r="16" spans="1:33" ht="12.75" customHeight="1" x14ac:dyDescent="0.15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51</v>
      </c>
      <c r="AG16" s="4" t="s">
        <v>52</v>
      </c>
    </row>
    <row r="17" spans="1:33" ht="14.25" customHeight="1" x14ac:dyDescent="0.15"/>
    <row r="18" spans="1:33" ht="16.5" customHeight="1" x14ac:dyDescent="0.15">
      <c r="A18" s="2" t="s">
        <v>31</v>
      </c>
      <c r="B18" s="5" t="s">
        <v>32</v>
      </c>
      <c r="C18" s="5"/>
      <c r="D18" s="5"/>
      <c r="E18" s="6" t="s">
        <v>33</v>
      </c>
      <c r="F18" s="6"/>
      <c r="G18" s="7" t="s">
        <v>34</v>
      </c>
      <c r="H18" s="7"/>
      <c r="I18" s="7"/>
      <c r="J18" s="3" t="s">
        <v>35</v>
      </c>
      <c r="K18" s="4" t="s">
        <v>36</v>
      </c>
      <c r="L18" s="4" t="s">
        <v>53</v>
      </c>
      <c r="N18" s="7" t="s">
        <v>54</v>
      </c>
      <c r="O18" s="7"/>
      <c r="P18" s="7" t="s">
        <v>55</v>
      </c>
      <c r="Q18" s="7"/>
      <c r="R18" s="7"/>
      <c r="S18" s="3" t="s">
        <v>40</v>
      </c>
      <c r="T18" s="7" t="s">
        <v>56</v>
      </c>
      <c r="U18" s="7"/>
      <c r="V18" s="4" t="s">
        <v>42</v>
      </c>
      <c r="W18" s="4" t="s">
        <v>43</v>
      </c>
      <c r="X18" s="4" t="s">
        <v>44</v>
      </c>
      <c r="Y18" s="7" t="s">
        <v>45</v>
      </c>
      <c r="Z18" s="7"/>
      <c r="AA18" s="4" t="s">
        <v>46</v>
      </c>
      <c r="AB18" s="4" t="s">
        <v>47</v>
      </c>
      <c r="AC18" s="4" t="s">
        <v>48</v>
      </c>
      <c r="AD18" s="4" t="s">
        <v>57</v>
      </c>
      <c r="AE18" s="4" t="s">
        <v>50</v>
      </c>
      <c r="AF18" s="4" t="s">
        <v>51</v>
      </c>
      <c r="AG18" s="4" t="s">
        <v>52</v>
      </c>
    </row>
    <row r="19" spans="1:33" ht="16.5" customHeight="1" x14ac:dyDescent="0.15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34</v>
      </c>
      <c r="H19" s="7"/>
      <c r="I19" s="7"/>
      <c r="J19" s="3" t="s">
        <v>35</v>
      </c>
      <c r="K19" s="4" t="s">
        <v>58</v>
      </c>
      <c r="L19" s="4" t="s">
        <v>59</v>
      </c>
      <c r="N19" s="7" t="s">
        <v>60</v>
      </c>
      <c r="O19" s="7"/>
      <c r="P19" s="7" t="s">
        <v>61</v>
      </c>
      <c r="Q19" s="7"/>
      <c r="R19" s="7"/>
      <c r="S19" s="3" t="s">
        <v>40</v>
      </c>
      <c r="T19" s="7" t="s">
        <v>62</v>
      </c>
      <c r="U19" s="7"/>
      <c r="V19" s="4" t="s">
        <v>42</v>
      </c>
      <c r="W19" s="4" t="s">
        <v>63</v>
      </c>
      <c r="X19" s="4" t="s">
        <v>64</v>
      </c>
      <c r="Y19" s="7" t="s">
        <v>45</v>
      </c>
      <c r="Z19" s="7"/>
      <c r="AA19" s="4" t="s">
        <v>46</v>
      </c>
      <c r="AB19" s="4" t="s">
        <v>47</v>
      </c>
      <c r="AC19" s="4" t="s">
        <v>48</v>
      </c>
      <c r="AD19" s="4" t="s">
        <v>65</v>
      </c>
      <c r="AE19" s="4" t="s">
        <v>50</v>
      </c>
      <c r="AF19" s="4" t="s">
        <v>51</v>
      </c>
      <c r="AG19" s="4" t="s">
        <v>52</v>
      </c>
    </row>
    <row r="20" spans="1:33" ht="16.5" customHeight="1" x14ac:dyDescent="0.15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66</v>
      </c>
      <c r="H20" s="7"/>
      <c r="I20" s="7"/>
      <c r="J20" s="3" t="s">
        <v>35</v>
      </c>
      <c r="K20" s="4" t="s">
        <v>67</v>
      </c>
      <c r="L20" s="4" t="s">
        <v>53</v>
      </c>
      <c r="N20" s="7" t="s">
        <v>68</v>
      </c>
      <c r="O20" s="7"/>
      <c r="P20" s="7" t="s">
        <v>69</v>
      </c>
      <c r="Q20" s="7"/>
      <c r="R20" s="7"/>
      <c r="S20" s="3" t="s">
        <v>40</v>
      </c>
      <c r="T20" s="7" t="s">
        <v>70</v>
      </c>
      <c r="U20" s="7"/>
      <c r="V20" s="4" t="s">
        <v>42</v>
      </c>
      <c r="W20" s="4" t="s">
        <v>71</v>
      </c>
      <c r="X20" s="4" t="s">
        <v>72</v>
      </c>
      <c r="Y20" s="7" t="s">
        <v>45</v>
      </c>
      <c r="Z20" s="7"/>
      <c r="AA20" s="4" t="s">
        <v>46</v>
      </c>
      <c r="AB20" s="4" t="s">
        <v>47</v>
      </c>
      <c r="AC20" s="4" t="s">
        <v>48</v>
      </c>
      <c r="AD20" s="4" t="s">
        <v>57</v>
      </c>
      <c r="AE20" s="4" t="s">
        <v>50</v>
      </c>
      <c r="AF20" s="4" t="s">
        <v>51</v>
      </c>
      <c r="AG20" s="4" t="s">
        <v>73</v>
      </c>
    </row>
    <row r="21" spans="1:33" ht="16.5" customHeight="1" x14ac:dyDescent="0.15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66</v>
      </c>
      <c r="H21" s="7"/>
      <c r="I21" s="7"/>
      <c r="J21" s="3" t="s">
        <v>35</v>
      </c>
      <c r="K21" s="4" t="s">
        <v>67</v>
      </c>
      <c r="L21" s="4" t="s">
        <v>53</v>
      </c>
      <c r="N21" s="7" t="s">
        <v>68</v>
      </c>
      <c r="O21" s="7"/>
      <c r="P21" s="7" t="s">
        <v>69</v>
      </c>
      <c r="Q21" s="7"/>
      <c r="R21" s="7"/>
      <c r="S21" s="3" t="s">
        <v>40</v>
      </c>
      <c r="T21" s="7" t="s">
        <v>70</v>
      </c>
      <c r="U21" s="7"/>
      <c r="V21" s="4" t="s">
        <v>42</v>
      </c>
      <c r="W21" s="4" t="s">
        <v>71</v>
      </c>
      <c r="X21" s="4" t="s">
        <v>72</v>
      </c>
      <c r="Y21" s="7" t="s">
        <v>45</v>
      </c>
      <c r="Z21" s="7"/>
      <c r="AA21" s="4" t="s">
        <v>46</v>
      </c>
      <c r="AB21" s="4" t="s">
        <v>47</v>
      </c>
      <c r="AC21" s="4" t="s">
        <v>48</v>
      </c>
      <c r="AD21" s="4" t="s">
        <v>57</v>
      </c>
      <c r="AE21" s="4" t="s">
        <v>50</v>
      </c>
      <c r="AF21" s="4" t="s">
        <v>51</v>
      </c>
      <c r="AG21" s="4" t="s">
        <v>73</v>
      </c>
    </row>
    <row r="22" spans="1:33" ht="16.5" customHeight="1" x14ac:dyDescent="0.15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66</v>
      </c>
      <c r="H22" s="7"/>
      <c r="I22" s="7"/>
      <c r="J22" s="3" t="s">
        <v>35</v>
      </c>
      <c r="K22" s="4" t="s">
        <v>67</v>
      </c>
      <c r="L22" s="4" t="s">
        <v>74</v>
      </c>
      <c r="N22" s="7" t="s">
        <v>68</v>
      </c>
      <c r="O22" s="7"/>
      <c r="P22" s="7" t="s">
        <v>69</v>
      </c>
      <c r="Q22" s="7"/>
      <c r="R22" s="7"/>
      <c r="S22" s="3" t="s">
        <v>40</v>
      </c>
      <c r="T22" s="7" t="s">
        <v>75</v>
      </c>
      <c r="U22" s="7"/>
      <c r="V22" s="4" t="s">
        <v>42</v>
      </c>
      <c r="W22" s="4" t="s">
        <v>71</v>
      </c>
      <c r="X22" s="4" t="s">
        <v>72</v>
      </c>
      <c r="Y22" s="7" t="s">
        <v>45</v>
      </c>
      <c r="Z22" s="7"/>
      <c r="AA22" s="4" t="s">
        <v>46</v>
      </c>
      <c r="AB22" s="4" t="s">
        <v>47</v>
      </c>
      <c r="AC22" s="4" t="s">
        <v>48</v>
      </c>
      <c r="AD22" s="4" t="s">
        <v>76</v>
      </c>
      <c r="AE22" s="4" t="s">
        <v>50</v>
      </c>
      <c r="AF22" s="4" t="s">
        <v>51</v>
      </c>
      <c r="AG22" s="4" t="s">
        <v>73</v>
      </c>
    </row>
    <row r="23" spans="1:33" ht="16.5" customHeight="1" x14ac:dyDescent="0.15">
      <c r="A23" s="2" t="s">
        <v>31</v>
      </c>
      <c r="B23" s="5" t="s">
        <v>32</v>
      </c>
      <c r="C23" s="5"/>
      <c r="D23" s="5"/>
      <c r="E23" s="6" t="s">
        <v>33</v>
      </c>
      <c r="F23" s="6"/>
      <c r="G23" s="7" t="s">
        <v>77</v>
      </c>
      <c r="H23" s="7"/>
      <c r="I23" s="7"/>
      <c r="J23" s="3" t="s">
        <v>35</v>
      </c>
      <c r="K23" s="4" t="s">
        <v>36</v>
      </c>
      <c r="L23" s="4" t="s">
        <v>53</v>
      </c>
      <c r="N23" s="7" t="s">
        <v>78</v>
      </c>
      <c r="O23" s="7"/>
      <c r="P23" s="7" t="s">
        <v>79</v>
      </c>
      <c r="Q23" s="7"/>
      <c r="R23" s="7"/>
      <c r="S23" s="3" t="s">
        <v>40</v>
      </c>
      <c r="T23" s="7" t="s">
        <v>80</v>
      </c>
      <c r="U23" s="7"/>
      <c r="V23" s="4" t="s">
        <v>42</v>
      </c>
      <c r="W23" s="4" t="s">
        <v>43</v>
      </c>
      <c r="X23" s="4" t="s">
        <v>44</v>
      </c>
      <c r="Y23" s="7" t="s">
        <v>45</v>
      </c>
      <c r="Z23" s="7"/>
      <c r="AA23" s="4" t="s">
        <v>46</v>
      </c>
      <c r="AB23" s="4" t="s">
        <v>47</v>
      </c>
      <c r="AC23" s="4" t="s">
        <v>48</v>
      </c>
      <c r="AD23" s="4" t="s">
        <v>57</v>
      </c>
      <c r="AE23" s="4" t="s">
        <v>50</v>
      </c>
      <c r="AF23" s="4" t="s">
        <v>51</v>
      </c>
      <c r="AG23" s="4" t="s">
        <v>81</v>
      </c>
    </row>
    <row r="24" spans="1:33" ht="16.5" customHeight="1" x14ac:dyDescent="0.15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82</v>
      </c>
      <c r="H24" s="7"/>
      <c r="I24" s="7"/>
      <c r="J24" s="3" t="s">
        <v>35</v>
      </c>
      <c r="K24" s="4" t="s">
        <v>67</v>
      </c>
      <c r="L24" s="4" t="s">
        <v>37</v>
      </c>
      <c r="N24" s="7" t="s">
        <v>83</v>
      </c>
      <c r="O24" s="7"/>
      <c r="P24" s="7" t="s">
        <v>84</v>
      </c>
      <c r="Q24" s="7"/>
      <c r="R24" s="7"/>
      <c r="S24" s="3" t="s">
        <v>40</v>
      </c>
      <c r="T24" s="7" t="s">
        <v>85</v>
      </c>
      <c r="U24" s="7"/>
      <c r="V24" s="4" t="s">
        <v>42</v>
      </c>
      <c r="W24" s="4" t="s">
        <v>86</v>
      </c>
      <c r="X24" s="4" t="s">
        <v>87</v>
      </c>
      <c r="Y24" s="7" t="s">
        <v>45</v>
      </c>
      <c r="Z24" s="7"/>
      <c r="AA24" s="4" t="s">
        <v>46</v>
      </c>
      <c r="AB24" s="4" t="s">
        <v>47</v>
      </c>
      <c r="AC24" s="4" t="s">
        <v>48</v>
      </c>
      <c r="AD24" s="4" t="s">
        <v>49</v>
      </c>
      <c r="AE24" s="4" t="s">
        <v>50</v>
      </c>
      <c r="AF24" s="4" t="s">
        <v>51</v>
      </c>
      <c r="AG24" s="4" t="s">
        <v>88</v>
      </c>
    </row>
    <row r="25" spans="1:33" ht="16.5" customHeight="1" x14ac:dyDescent="0.15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89</v>
      </c>
      <c r="H25" s="7"/>
      <c r="I25" s="7"/>
      <c r="J25" s="3" t="s">
        <v>35</v>
      </c>
      <c r="K25" s="4" t="s">
        <v>90</v>
      </c>
      <c r="L25" s="4" t="s">
        <v>53</v>
      </c>
      <c r="N25" s="7" t="s">
        <v>91</v>
      </c>
      <c r="O25" s="7"/>
      <c r="P25" s="7" t="s">
        <v>92</v>
      </c>
      <c r="Q25" s="7"/>
      <c r="R25" s="7"/>
      <c r="S25" s="3" t="s">
        <v>40</v>
      </c>
      <c r="T25" s="7" t="s">
        <v>93</v>
      </c>
      <c r="U25" s="7"/>
      <c r="V25" s="4" t="s">
        <v>42</v>
      </c>
      <c r="W25" s="4" t="s">
        <v>94</v>
      </c>
      <c r="X25" s="4" t="s">
        <v>95</v>
      </c>
      <c r="Y25" s="7" t="s">
        <v>96</v>
      </c>
      <c r="Z25" s="7"/>
      <c r="AA25" s="4" t="s">
        <v>46</v>
      </c>
      <c r="AB25" s="4" t="s">
        <v>47</v>
      </c>
      <c r="AC25" s="4" t="s">
        <v>48</v>
      </c>
      <c r="AD25" s="4" t="s">
        <v>57</v>
      </c>
      <c r="AE25" s="4" t="s">
        <v>50</v>
      </c>
      <c r="AF25" s="4" t="s">
        <v>51</v>
      </c>
      <c r="AG25" s="4" t="s">
        <v>97</v>
      </c>
    </row>
    <row r="26" spans="1:33" ht="16.5" customHeight="1" x14ac:dyDescent="0.15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89</v>
      </c>
      <c r="H26" s="7"/>
      <c r="I26" s="7"/>
      <c r="J26" s="3" t="s">
        <v>35</v>
      </c>
      <c r="K26" s="4" t="s">
        <v>67</v>
      </c>
      <c r="L26" s="4" t="s">
        <v>53</v>
      </c>
      <c r="N26" s="7" t="s">
        <v>98</v>
      </c>
      <c r="O26" s="7"/>
      <c r="P26" s="7" t="s">
        <v>99</v>
      </c>
      <c r="Q26" s="7"/>
      <c r="R26" s="7"/>
      <c r="S26" s="3" t="s">
        <v>40</v>
      </c>
      <c r="T26" s="7" t="s">
        <v>100</v>
      </c>
      <c r="U26" s="7"/>
      <c r="V26" s="4" t="s">
        <v>42</v>
      </c>
      <c r="W26" s="4" t="s">
        <v>101</v>
      </c>
      <c r="X26" s="4" t="s">
        <v>102</v>
      </c>
      <c r="Y26" s="7" t="s">
        <v>45</v>
      </c>
      <c r="Z26" s="7"/>
      <c r="AA26" s="4" t="s">
        <v>46</v>
      </c>
      <c r="AB26" s="4" t="s">
        <v>47</v>
      </c>
      <c r="AC26" s="4" t="s">
        <v>48</v>
      </c>
      <c r="AD26" s="4" t="s">
        <v>57</v>
      </c>
      <c r="AE26" s="4" t="s">
        <v>50</v>
      </c>
      <c r="AF26" s="4" t="s">
        <v>51</v>
      </c>
      <c r="AG26" s="4" t="s">
        <v>97</v>
      </c>
    </row>
    <row r="27" spans="1:33" ht="16.5" customHeight="1" x14ac:dyDescent="0.15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89</v>
      </c>
      <c r="H27" s="7"/>
      <c r="I27" s="7"/>
      <c r="J27" s="3" t="s">
        <v>35</v>
      </c>
      <c r="K27" s="4" t="s">
        <v>67</v>
      </c>
      <c r="L27" s="4" t="s">
        <v>53</v>
      </c>
      <c r="N27" s="7" t="s">
        <v>103</v>
      </c>
      <c r="O27" s="7"/>
      <c r="P27" s="7" t="s">
        <v>104</v>
      </c>
      <c r="Q27" s="7"/>
      <c r="R27" s="7"/>
      <c r="S27" s="3" t="s">
        <v>40</v>
      </c>
      <c r="T27" s="7" t="s">
        <v>105</v>
      </c>
      <c r="U27" s="7"/>
      <c r="V27" s="4" t="s">
        <v>42</v>
      </c>
      <c r="W27" s="4" t="s">
        <v>106</v>
      </c>
      <c r="X27" s="4" t="s">
        <v>107</v>
      </c>
      <c r="Y27" s="7" t="s">
        <v>45</v>
      </c>
      <c r="Z27" s="7"/>
      <c r="AA27" s="4" t="s">
        <v>46</v>
      </c>
      <c r="AB27" s="4" t="s">
        <v>47</v>
      </c>
      <c r="AC27" s="4" t="s">
        <v>48</v>
      </c>
      <c r="AD27" s="4" t="s">
        <v>57</v>
      </c>
      <c r="AE27" s="4" t="s">
        <v>50</v>
      </c>
      <c r="AF27" s="4" t="s">
        <v>51</v>
      </c>
      <c r="AG27" s="4" t="s">
        <v>97</v>
      </c>
    </row>
    <row r="28" spans="1:33" ht="16.5" customHeight="1" x14ac:dyDescent="0.15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89</v>
      </c>
      <c r="H28" s="7"/>
      <c r="I28" s="7"/>
      <c r="J28" s="3" t="s">
        <v>35</v>
      </c>
      <c r="K28" s="4" t="s">
        <v>108</v>
      </c>
      <c r="L28" s="4" t="s">
        <v>37</v>
      </c>
      <c r="N28" s="7" t="s">
        <v>109</v>
      </c>
      <c r="O28" s="7"/>
      <c r="P28" s="7" t="s">
        <v>110</v>
      </c>
      <c r="Q28" s="7"/>
      <c r="R28" s="7"/>
      <c r="S28" s="3" t="s">
        <v>40</v>
      </c>
      <c r="T28" s="7" t="s">
        <v>111</v>
      </c>
      <c r="U28" s="7"/>
      <c r="V28" s="4" t="s">
        <v>42</v>
      </c>
      <c r="W28" s="4" t="s">
        <v>106</v>
      </c>
      <c r="X28" s="4" t="s">
        <v>107</v>
      </c>
      <c r="Y28" s="7" t="s">
        <v>45</v>
      </c>
      <c r="Z28" s="7"/>
      <c r="AA28" s="4" t="s">
        <v>46</v>
      </c>
      <c r="AB28" s="4" t="s">
        <v>47</v>
      </c>
      <c r="AC28" s="4" t="s">
        <v>48</v>
      </c>
      <c r="AD28" s="4" t="s">
        <v>49</v>
      </c>
      <c r="AE28" s="4" t="s">
        <v>50</v>
      </c>
      <c r="AF28" s="4" t="s">
        <v>51</v>
      </c>
      <c r="AG28" s="4" t="s">
        <v>97</v>
      </c>
    </row>
    <row r="29" spans="1:33" ht="16.5" customHeight="1" x14ac:dyDescent="0.15">
      <c r="A29" s="2" t="s">
        <v>31</v>
      </c>
      <c r="B29" s="5" t="s">
        <v>32</v>
      </c>
      <c r="C29" s="5"/>
      <c r="D29" s="5"/>
      <c r="E29" s="6" t="s">
        <v>33</v>
      </c>
      <c r="F29" s="6"/>
      <c r="G29" s="7" t="s">
        <v>89</v>
      </c>
      <c r="H29" s="7"/>
      <c r="I29" s="7"/>
      <c r="J29" s="3" t="s">
        <v>35</v>
      </c>
      <c r="K29" s="4" t="s">
        <v>58</v>
      </c>
      <c r="L29" s="4" t="s">
        <v>37</v>
      </c>
      <c r="N29" s="7" t="s">
        <v>112</v>
      </c>
      <c r="O29" s="7"/>
      <c r="P29" s="7" t="s">
        <v>113</v>
      </c>
      <c r="Q29" s="7"/>
      <c r="R29" s="7"/>
      <c r="S29" s="3" t="s">
        <v>40</v>
      </c>
      <c r="T29" s="7" t="s">
        <v>114</v>
      </c>
      <c r="U29" s="7"/>
      <c r="V29" s="4" t="s">
        <v>42</v>
      </c>
      <c r="W29" s="4" t="s">
        <v>101</v>
      </c>
      <c r="X29" s="4" t="s">
        <v>102</v>
      </c>
      <c r="Y29" s="7" t="s">
        <v>45</v>
      </c>
      <c r="Z29" s="7"/>
      <c r="AA29" s="4" t="s">
        <v>46</v>
      </c>
      <c r="AB29" s="4" t="s">
        <v>47</v>
      </c>
      <c r="AC29" s="4" t="s">
        <v>48</v>
      </c>
      <c r="AD29" s="4" t="s">
        <v>49</v>
      </c>
      <c r="AE29" s="4" t="s">
        <v>50</v>
      </c>
      <c r="AF29" s="4" t="s">
        <v>51</v>
      </c>
      <c r="AG29" s="4" t="s">
        <v>97</v>
      </c>
    </row>
    <row r="30" spans="1:33" ht="16.5" customHeight="1" x14ac:dyDescent="0.15">
      <c r="A30" s="2" t="s">
        <v>31</v>
      </c>
      <c r="B30" s="5" t="s">
        <v>32</v>
      </c>
      <c r="C30" s="5"/>
      <c r="D30" s="5"/>
      <c r="E30" s="6" t="s">
        <v>33</v>
      </c>
      <c r="F30" s="6"/>
      <c r="G30" s="7" t="s">
        <v>89</v>
      </c>
      <c r="H30" s="7"/>
      <c r="I30" s="7"/>
      <c r="J30" s="3" t="s">
        <v>35</v>
      </c>
      <c r="K30" s="4" t="s">
        <v>115</v>
      </c>
      <c r="L30" s="4" t="s">
        <v>53</v>
      </c>
      <c r="N30" s="7" t="s">
        <v>116</v>
      </c>
      <c r="O30" s="7"/>
      <c r="P30" s="7" t="s">
        <v>117</v>
      </c>
      <c r="Q30" s="7"/>
      <c r="R30" s="7"/>
      <c r="S30" s="3" t="s">
        <v>40</v>
      </c>
      <c r="T30" s="7" t="s">
        <v>118</v>
      </c>
      <c r="U30" s="7"/>
      <c r="V30" s="4" t="s">
        <v>42</v>
      </c>
      <c r="W30" s="4" t="s">
        <v>106</v>
      </c>
      <c r="X30" s="4" t="s">
        <v>107</v>
      </c>
      <c r="Y30" s="7" t="s">
        <v>45</v>
      </c>
      <c r="Z30" s="7"/>
      <c r="AA30" s="4" t="s">
        <v>46</v>
      </c>
      <c r="AB30" s="4" t="s">
        <v>47</v>
      </c>
      <c r="AC30" s="4" t="s">
        <v>48</v>
      </c>
      <c r="AD30" s="4" t="s">
        <v>57</v>
      </c>
      <c r="AE30" s="4" t="s">
        <v>50</v>
      </c>
      <c r="AF30" s="4" t="s">
        <v>51</v>
      </c>
      <c r="AG30" s="4" t="s">
        <v>97</v>
      </c>
    </row>
    <row r="31" spans="1:33" ht="16.5" customHeight="1" x14ac:dyDescent="0.15">
      <c r="A31" s="2" t="s">
        <v>31</v>
      </c>
      <c r="B31" s="5" t="s">
        <v>32</v>
      </c>
      <c r="C31" s="5"/>
      <c r="D31" s="5"/>
      <c r="E31" s="6" t="s">
        <v>33</v>
      </c>
      <c r="F31" s="6"/>
      <c r="G31" s="7" t="s">
        <v>89</v>
      </c>
      <c r="H31" s="7"/>
      <c r="I31" s="7"/>
      <c r="J31" s="3" t="s">
        <v>35</v>
      </c>
      <c r="K31" s="4" t="s">
        <v>119</v>
      </c>
      <c r="L31" s="4" t="s">
        <v>37</v>
      </c>
      <c r="N31" s="7" t="s">
        <v>120</v>
      </c>
      <c r="O31" s="7"/>
      <c r="P31" s="7" t="s">
        <v>121</v>
      </c>
      <c r="Q31" s="7"/>
      <c r="R31" s="7"/>
      <c r="S31" s="3" t="s">
        <v>40</v>
      </c>
      <c r="T31" s="7" t="s">
        <v>122</v>
      </c>
      <c r="U31" s="7"/>
      <c r="V31" s="4" t="s">
        <v>42</v>
      </c>
      <c r="W31" s="4" t="s">
        <v>106</v>
      </c>
      <c r="X31" s="4" t="s">
        <v>107</v>
      </c>
      <c r="Y31" s="7" t="s">
        <v>96</v>
      </c>
      <c r="Z31" s="7"/>
      <c r="AA31" s="4" t="s">
        <v>46</v>
      </c>
      <c r="AB31" s="4" t="s">
        <v>47</v>
      </c>
      <c r="AC31" s="4" t="s">
        <v>48</v>
      </c>
      <c r="AD31" s="4" t="s">
        <v>49</v>
      </c>
      <c r="AE31" s="4" t="s">
        <v>50</v>
      </c>
      <c r="AF31" s="4" t="s">
        <v>51</v>
      </c>
      <c r="AG31" s="4" t="s">
        <v>97</v>
      </c>
    </row>
    <row r="32" spans="1:33" ht="16.5" customHeight="1" x14ac:dyDescent="0.15">
      <c r="A32" s="2" t="s">
        <v>31</v>
      </c>
      <c r="B32" s="5" t="s">
        <v>32</v>
      </c>
      <c r="C32" s="5"/>
      <c r="D32" s="5"/>
      <c r="E32" s="6" t="s">
        <v>33</v>
      </c>
      <c r="F32" s="6"/>
      <c r="G32" s="7" t="s">
        <v>89</v>
      </c>
      <c r="H32" s="7"/>
      <c r="I32" s="7"/>
      <c r="J32" s="3" t="s">
        <v>35</v>
      </c>
      <c r="K32" s="4" t="s">
        <v>123</v>
      </c>
      <c r="L32" s="4" t="s">
        <v>37</v>
      </c>
      <c r="N32" s="7" t="s">
        <v>124</v>
      </c>
      <c r="O32" s="7"/>
      <c r="P32" s="7" t="s">
        <v>125</v>
      </c>
      <c r="Q32" s="7"/>
      <c r="R32" s="7"/>
      <c r="S32" s="3" t="s">
        <v>40</v>
      </c>
      <c r="T32" s="7" t="s">
        <v>126</v>
      </c>
      <c r="U32" s="7"/>
      <c r="V32" s="4" t="s">
        <v>42</v>
      </c>
      <c r="W32" s="4" t="s">
        <v>106</v>
      </c>
      <c r="X32" s="4" t="s">
        <v>107</v>
      </c>
      <c r="Y32" s="7" t="s">
        <v>96</v>
      </c>
      <c r="Z32" s="7"/>
      <c r="AA32" s="4" t="s">
        <v>46</v>
      </c>
      <c r="AB32" s="4" t="s">
        <v>47</v>
      </c>
      <c r="AC32" s="4" t="s">
        <v>48</v>
      </c>
      <c r="AD32" s="4" t="s">
        <v>49</v>
      </c>
      <c r="AE32" s="4" t="s">
        <v>50</v>
      </c>
      <c r="AF32" s="4" t="s">
        <v>51</v>
      </c>
      <c r="AG32" s="4" t="s">
        <v>97</v>
      </c>
    </row>
    <row r="33" customFormat="1" ht="409.5" customHeight="1" x14ac:dyDescent="0.15"/>
    <row r="34" customFormat="1" ht="12" customHeight="1" x14ac:dyDescent="0.15"/>
  </sheetData>
  <mergeCells count="142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2:D32"/>
    <mergeCell ref="E32:F32"/>
    <mergeCell ref="G32:I32"/>
    <mergeCell ref="N32:O32"/>
    <mergeCell ref="P32:R32"/>
    <mergeCell ref="T32:U32"/>
    <mergeCell ref="Y32:Z32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62967-888F-0748-AA79-80AB168910B2}">
  <dimension ref="A1:U18"/>
  <sheetViews>
    <sheetView tabSelected="1" topLeftCell="K1" workbookViewId="0">
      <selection activeCell="Q22" sqref="Q22"/>
    </sheetView>
  </sheetViews>
  <sheetFormatPr baseColWidth="10" defaultColWidth="6.83203125" defaultRowHeight="15" customHeight="1" x14ac:dyDescent="0.15"/>
  <cols>
    <col min="1" max="1" width="26.83203125" style="15" bestFit="1" customWidth="1"/>
    <col min="2" max="2" width="26.83203125" style="15" customWidth="1"/>
    <col min="3" max="3" width="15" style="15" bestFit="1" customWidth="1"/>
    <col min="4" max="4" width="11.1640625" style="15" bestFit="1" customWidth="1"/>
    <col min="5" max="5" width="11.1640625" style="15" customWidth="1"/>
    <col min="6" max="6" width="20.6640625" style="15" customWidth="1"/>
    <col min="7" max="7" width="11.1640625" style="15" bestFit="1" customWidth="1"/>
    <col min="8" max="8" width="14.83203125" style="15" customWidth="1"/>
    <col min="9" max="9" width="10.1640625" style="15" bestFit="1" customWidth="1"/>
    <col min="10" max="10" width="14.83203125" style="15" bestFit="1" customWidth="1"/>
    <col min="11" max="11" width="11.1640625" style="15" bestFit="1" customWidth="1"/>
    <col min="12" max="12" width="11.1640625" style="15" customWidth="1"/>
    <col min="13" max="13" width="10.33203125" style="15" bestFit="1" customWidth="1"/>
    <col min="14" max="14" width="17.1640625" style="15" bestFit="1" customWidth="1"/>
    <col min="15" max="15" width="11.33203125" style="15" bestFit="1" customWidth="1"/>
    <col min="16" max="16" width="13" style="15" bestFit="1" customWidth="1"/>
    <col min="17" max="18" width="13.6640625" style="15" bestFit="1" customWidth="1"/>
    <col min="19" max="19" width="6.6640625" style="15" bestFit="1" customWidth="1"/>
    <col min="20" max="16384" width="6.83203125" style="15"/>
  </cols>
  <sheetData>
    <row r="1" spans="1:21" ht="15" customHeight="1" x14ac:dyDescent="0.15">
      <c r="A1" s="14"/>
      <c r="B1" s="14"/>
      <c r="C1" s="14" t="s">
        <v>15</v>
      </c>
      <c r="D1" s="14" t="s">
        <v>16</v>
      </c>
      <c r="E1" s="14"/>
      <c r="F1" s="14" t="s">
        <v>17</v>
      </c>
      <c r="G1" s="14" t="s">
        <v>18</v>
      </c>
      <c r="H1" s="14" t="s">
        <v>19</v>
      </c>
      <c r="I1" s="14" t="s">
        <v>20</v>
      </c>
      <c r="J1" s="14"/>
      <c r="K1" s="14" t="s">
        <v>21</v>
      </c>
      <c r="L1" s="14"/>
      <c r="M1" s="14" t="s">
        <v>22</v>
      </c>
      <c r="N1" s="14" t="s">
        <v>23</v>
      </c>
      <c r="O1" s="14" t="s">
        <v>24</v>
      </c>
      <c r="P1" s="14" t="s">
        <v>25</v>
      </c>
      <c r="Q1" s="14" t="s">
        <v>26</v>
      </c>
      <c r="R1" s="14" t="s">
        <v>27</v>
      </c>
      <c r="S1" s="14" t="s">
        <v>28</v>
      </c>
    </row>
    <row r="2" spans="1:21" ht="15" customHeight="1" x14ac:dyDescent="0.1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1" ht="15" customHeight="1" x14ac:dyDescent="0.15">
      <c r="A3" s="15" t="s">
        <v>127</v>
      </c>
      <c r="B3" s="15">
        <v>8307933</v>
      </c>
      <c r="C3" s="16">
        <v>2</v>
      </c>
      <c r="D3" s="16">
        <v>928127138</v>
      </c>
      <c r="E3" s="16" t="str">
        <f>CONCATENATE(D3,5)</f>
        <v>9281271385</v>
      </c>
      <c r="F3" s="17" t="s">
        <v>39</v>
      </c>
      <c r="G3" s="17" t="s">
        <v>40</v>
      </c>
      <c r="H3" s="18">
        <v>2131.6999999999998</v>
      </c>
      <c r="I3" s="16">
        <v>20250201</v>
      </c>
      <c r="J3" s="16" t="str">
        <f>TEXT(DATE(LEFT(I3,4), MID(I3,5,2), RIGHT(I3,2)), "M/d/yyyy")</f>
        <v>2/1/2025</v>
      </c>
      <c r="K3" s="16">
        <v>20240101</v>
      </c>
      <c r="L3" s="16" t="str">
        <f>TEXT(DATE(LEFT(K3,4), MID(K3,5,2), RIGHT(K3,2)), "M/d/yyyy")</f>
        <v>1/1/2024</v>
      </c>
      <c r="M3" s="16">
        <v>13</v>
      </c>
      <c r="N3" s="17" t="s">
        <v>45</v>
      </c>
      <c r="O3" s="17" t="s">
        <v>46</v>
      </c>
      <c r="P3" s="17" t="s">
        <v>47</v>
      </c>
      <c r="Q3" s="16">
        <v>20</v>
      </c>
      <c r="R3" s="17">
        <v>40</v>
      </c>
      <c r="S3" s="16">
        <v>0</v>
      </c>
      <c r="U3" s="17"/>
    </row>
    <row r="4" spans="1:21" ht="15" customHeight="1" x14ac:dyDescent="0.15">
      <c r="A4" s="15" t="s">
        <v>127</v>
      </c>
      <c r="B4" s="15">
        <v>8307933</v>
      </c>
      <c r="C4" s="16">
        <v>1</v>
      </c>
      <c r="D4" s="16">
        <v>928127769</v>
      </c>
      <c r="E4" s="16" t="str">
        <f t="shared" ref="E4:E18" si="0">CONCATENATE(D4,5)</f>
        <v>9281277695</v>
      </c>
      <c r="F4" s="17" t="s">
        <v>55</v>
      </c>
      <c r="G4" s="17" t="s">
        <v>40</v>
      </c>
      <c r="H4" s="17" t="s">
        <v>56</v>
      </c>
      <c r="I4" s="16">
        <v>20250201</v>
      </c>
      <c r="J4" s="16" t="str">
        <f t="shared" ref="J4:J18" si="1">TEXT(DATE(LEFT(I4,4), MID(I4,5,2), RIGHT(I4,2)), "M/d/yyyy")</f>
        <v>2/1/2025</v>
      </c>
      <c r="K4" s="16">
        <v>20240101</v>
      </c>
      <c r="L4" s="16" t="str">
        <f t="shared" ref="L4:L18" si="2">TEXT(DATE(LEFT(K4,4), MID(K4,5,2), RIGHT(K4,2)), "M/d/yyyy")</f>
        <v>1/1/2024</v>
      </c>
      <c r="M4" s="16">
        <v>13</v>
      </c>
      <c r="N4" s="17" t="s">
        <v>45</v>
      </c>
      <c r="O4" s="17" t="s">
        <v>46</v>
      </c>
      <c r="P4" s="17" t="s">
        <v>47</v>
      </c>
      <c r="Q4" s="16">
        <v>20</v>
      </c>
      <c r="R4" s="17">
        <v>20</v>
      </c>
      <c r="S4" s="16">
        <v>0</v>
      </c>
      <c r="U4" s="17"/>
    </row>
    <row r="5" spans="1:21" ht="15" customHeight="1" x14ac:dyDescent="0.15">
      <c r="A5" s="15" t="s">
        <v>127</v>
      </c>
      <c r="B5" s="15">
        <v>8307933</v>
      </c>
      <c r="C5" s="16">
        <v>3</v>
      </c>
      <c r="D5" s="16">
        <v>928139663</v>
      </c>
      <c r="E5" s="16" t="str">
        <f t="shared" si="0"/>
        <v>9281396635</v>
      </c>
      <c r="F5" s="17" t="s">
        <v>61</v>
      </c>
      <c r="G5" s="17" t="s">
        <v>40</v>
      </c>
      <c r="H5" s="18">
        <v>1183.24</v>
      </c>
      <c r="I5" s="16">
        <v>20250201</v>
      </c>
      <c r="J5" s="16" t="str">
        <f t="shared" si="1"/>
        <v>2/1/2025</v>
      </c>
      <c r="K5" s="16">
        <v>20240801</v>
      </c>
      <c r="L5" s="16" t="str">
        <f t="shared" si="2"/>
        <v>8/1/2024</v>
      </c>
      <c r="M5" s="16">
        <v>6</v>
      </c>
      <c r="N5" s="17" t="s">
        <v>45</v>
      </c>
      <c r="O5" s="17" t="s">
        <v>46</v>
      </c>
      <c r="P5" s="17" t="s">
        <v>47</v>
      </c>
      <c r="Q5" s="16">
        <v>20</v>
      </c>
      <c r="R5" s="17">
        <v>60</v>
      </c>
      <c r="S5" s="16">
        <v>0</v>
      </c>
      <c r="U5" s="17"/>
    </row>
    <row r="6" spans="1:21" ht="15" customHeight="1" x14ac:dyDescent="0.15">
      <c r="A6" s="15" t="s">
        <v>128</v>
      </c>
      <c r="B6" s="15">
        <v>19206583</v>
      </c>
      <c r="C6" s="16">
        <v>1</v>
      </c>
      <c r="D6" s="16">
        <v>928116889</v>
      </c>
      <c r="E6" s="16" t="str">
        <f t="shared" si="0"/>
        <v>9281168895</v>
      </c>
      <c r="F6" s="17" t="s">
        <v>69</v>
      </c>
      <c r="G6" s="17" t="s">
        <v>40</v>
      </c>
      <c r="H6" s="17" t="s">
        <v>70</v>
      </c>
      <c r="I6" s="16">
        <v>20250201</v>
      </c>
      <c r="J6" s="16" t="str">
        <f t="shared" si="1"/>
        <v>2/1/2025</v>
      </c>
      <c r="K6" s="16">
        <v>20220501</v>
      </c>
      <c r="L6" s="16" t="str">
        <f t="shared" si="2"/>
        <v>5/1/2022</v>
      </c>
      <c r="M6" s="16">
        <v>33</v>
      </c>
      <c r="N6" s="17" t="s">
        <v>45</v>
      </c>
      <c r="O6" s="17" t="s">
        <v>46</v>
      </c>
      <c r="P6" s="17" t="s">
        <v>47</v>
      </c>
      <c r="Q6" s="16">
        <v>20</v>
      </c>
      <c r="R6" s="17">
        <v>20</v>
      </c>
      <c r="S6" s="16">
        <v>0</v>
      </c>
      <c r="U6" s="17"/>
    </row>
    <row r="7" spans="1:21" ht="15" customHeight="1" x14ac:dyDescent="0.15">
      <c r="A7" s="15" t="s">
        <v>128</v>
      </c>
      <c r="B7" s="15">
        <v>19206583</v>
      </c>
      <c r="C7" s="16">
        <v>1</v>
      </c>
      <c r="D7" s="16">
        <v>928116889</v>
      </c>
      <c r="E7" s="16" t="str">
        <f t="shared" si="0"/>
        <v>9281168895</v>
      </c>
      <c r="F7" s="17" t="s">
        <v>69</v>
      </c>
      <c r="G7" s="17" t="s">
        <v>40</v>
      </c>
      <c r="H7" s="17" t="s">
        <v>70</v>
      </c>
      <c r="I7" s="16">
        <v>20250201</v>
      </c>
      <c r="J7" s="16" t="str">
        <f t="shared" si="1"/>
        <v>2/1/2025</v>
      </c>
      <c r="K7" s="16">
        <v>20220501</v>
      </c>
      <c r="L7" s="16" t="str">
        <f t="shared" si="2"/>
        <v>5/1/2022</v>
      </c>
      <c r="M7" s="16">
        <v>33</v>
      </c>
      <c r="N7" s="17" t="s">
        <v>45</v>
      </c>
      <c r="O7" s="17" t="s">
        <v>46</v>
      </c>
      <c r="P7" s="17" t="s">
        <v>47</v>
      </c>
      <c r="Q7" s="16">
        <v>20</v>
      </c>
      <c r="R7" s="17">
        <v>20</v>
      </c>
      <c r="S7" s="16">
        <v>0</v>
      </c>
      <c r="U7" s="17"/>
    </row>
    <row r="8" spans="1:21" ht="15" customHeight="1" x14ac:dyDescent="0.15">
      <c r="A8" s="15" t="s">
        <v>128</v>
      </c>
      <c r="B8" s="15">
        <v>19206583</v>
      </c>
      <c r="C8" s="17" t="s">
        <v>74</v>
      </c>
      <c r="D8" s="16">
        <v>928116889</v>
      </c>
      <c r="E8" s="16" t="str">
        <f t="shared" si="0"/>
        <v>9281168895</v>
      </c>
      <c r="F8" s="17" t="s">
        <v>69</v>
      </c>
      <c r="G8" s="17" t="s">
        <v>40</v>
      </c>
      <c r="H8" s="17" t="s">
        <v>75</v>
      </c>
      <c r="I8" s="16">
        <v>20250201</v>
      </c>
      <c r="J8" s="16" t="str">
        <f t="shared" si="1"/>
        <v>2/1/2025</v>
      </c>
      <c r="K8" s="16">
        <v>20220501</v>
      </c>
      <c r="L8" s="16" t="str">
        <f t="shared" si="2"/>
        <v>5/1/2022</v>
      </c>
      <c r="M8" s="16">
        <v>33</v>
      </c>
      <c r="N8" s="17" t="s">
        <v>45</v>
      </c>
      <c r="O8" s="17" t="s">
        <v>46</v>
      </c>
      <c r="P8" s="17" t="s">
        <v>47</v>
      </c>
      <c r="Q8" s="16">
        <v>20</v>
      </c>
      <c r="R8" s="17">
        <v>-20</v>
      </c>
      <c r="S8" s="16">
        <v>0</v>
      </c>
      <c r="U8" s="17"/>
    </row>
    <row r="9" spans="1:21" ht="15" customHeight="1" x14ac:dyDescent="0.15">
      <c r="A9" s="15" t="s">
        <v>129</v>
      </c>
      <c r="B9" s="15">
        <v>6634327</v>
      </c>
      <c r="C9" s="16">
        <v>1</v>
      </c>
      <c r="D9" s="16">
        <v>928132686</v>
      </c>
      <c r="E9" s="16" t="str">
        <f t="shared" si="0"/>
        <v>9281326865</v>
      </c>
      <c r="F9" s="17" t="s">
        <v>79</v>
      </c>
      <c r="G9" s="17" t="s">
        <v>40</v>
      </c>
      <c r="H9" s="17" t="s">
        <v>80</v>
      </c>
      <c r="I9" s="16">
        <v>20250201</v>
      </c>
      <c r="J9" s="16" t="str">
        <f t="shared" si="1"/>
        <v>2/1/2025</v>
      </c>
      <c r="K9" s="16">
        <v>20240101</v>
      </c>
      <c r="L9" s="16" t="str">
        <f t="shared" si="2"/>
        <v>1/1/2024</v>
      </c>
      <c r="M9" s="16">
        <v>13</v>
      </c>
      <c r="N9" s="17" t="s">
        <v>45</v>
      </c>
      <c r="O9" s="17" t="s">
        <v>46</v>
      </c>
      <c r="P9" s="17" t="s">
        <v>47</v>
      </c>
      <c r="Q9" s="16">
        <v>20</v>
      </c>
      <c r="R9" s="17">
        <v>20</v>
      </c>
      <c r="S9" s="16">
        <v>0</v>
      </c>
      <c r="U9" s="17"/>
    </row>
    <row r="10" spans="1:21" ht="15" customHeight="1" x14ac:dyDescent="0.15">
      <c r="A10" s="15" t="s">
        <v>130</v>
      </c>
      <c r="B10" s="15">
        <v>16683808</v>
      </c>
      <c r="C10" s="16">
        <v>2</v>
      </c>
      <c r="D10" s="16">
        <v>928141308</v>
      </c>
      <c r="E10" s="16" t="str">
        <f t="shared" si="0"/>
        <v>9281413085</v>
      </c>
      <c r="F10" s="17" t="s">
        <v>84</v>
      </c>
      <c r="G10" s="17" t="s">
        <v>40</v>
      </c>
      <c r="H10" s="18">
        <v>2140.42</v>
      </c>
      <c r="I10" s="16">
        <v>20250201</v>
      </c>
      <c r="J10" s="16" t="str">
        <f t="shared" si="1"/>
        <v>2/1/2025</v>
      </c>
      <c r="K10" s="16">
        <v>20241001</v>
      </c>
      <c r="L10" s="16" t="str">
        <f t="shared" si="2"/>
        <v>10/1/2024</v>
      </c>
      <c r="M10" s="16">
        <v>4</v>
      </c>
      <c r="N10" s="17" t="s">
        <v>45</v>
      </c>
      <c r="O10" s="17" t="s">
        <v>46</v>
      </c>
      <c r="P10" s="17" t="s">
        <v>47</v>
      </c>
      <c r="Q10" s="16">
        <v>20</v>
      </c>
      <c r="R10" s="17">
        <v>40</v>
      </c>
      <c r="S10" s="16">
        <v>0</v>
      </c>
      <c r="U10" s="17"/>
    </row>
    <row r="11" spans="1:21" ht="15" customHeight="1" x14ac:dyDescent="0.15">
      <c r="A11" s="15" t="s">
        <v>131</v>
      </c>
      <c r="B11" s="15">
        <v>371819</v>
      </c>
      <c r="C11" s="16">
        <v>1</v>
      </c>
      <c r="D11" s="16">
        <v>928101630</v>
      </c>
      <c r="E11" s="16" t="str">
        <f t="shared" si="0"/>
        <v>9281016305</v>
      </c>
      <c r="F11" s="17" t="s">
        <v>92</v>
      </c>
      <c r="G11" s="17" t="s">
        <v>40</v>
      </c>
      <c r="H11" s="17" t="s">
        <v>93</v>
      </c>
      <c r="I11" s="16">
        <v>20250201</v>
      </c>
      <c r="J11" s="16" t="str">
        <f t="shared" si="1"/>
        <v>2/1/2025</v>
      </c>
      <c r="K11" s="16">
        <v>20240401</v>
      </c>
      <c r="L11" s="16" t="str">
        <f t="shared" si="2"/>
        <v>4/1/2024</v>
      </c>
      <c r="M11" s="16">
        <v>10</v>
      </c>
      <c r="N11" s="17" t="s">
        <v>96</v>
      </c>
      <c r="O11" s="17" t="s">
        <v>46</v>
      </c>
      <c r="P11" s="17" t="s">
        <v>47</v>
      </c>
      <c r="Q11" s="16">
        <v>20</v>
      </c>
      <c r="R11" s="17">
        <v>20</v>
      </c>
      <c r="S11" s="16">
        <v>0</v>
      </c>
      <c r="U11" s="17"/>
    </row>
    <row r="12" spans="1:21" ht="15" customHeight="1" x14ac:dyDescent="0.15">
      <c r="A12" s="15" t="s">
        <v>131</v>
      </c>
      <c r="B12" s="15" t="s">
        <v>132</v>
      </c>
      <c r="C12" s="16">
        <v>1</v>
      </c>
      <c r="D12" s="16">
        <v>928143304</v>
      </c>
      <c r="E12" s="16" t="str">
        <f t="shared" si="0"/>
        <v>9281433045</v>
      </c>
      <c r="F12" s="17" t="s">
        <v>99</v>
      </c>
      <c r="G12" s="17" t="s">
        <v>40</v>
      </c>
      <c r="H12" s="17" t="s">
        <v>100</v>
      </c>
      <c r="I12" s="16">
        <v>20250201</v>
      </c>
      <c r="J12" s="16" t="str">
        <f t="shared" si="1"/>
        <v>2/1/2025</v>
      </c>
      <c r="K12" s="16">
        <v>20241201</v>
      </c>
      <c r="L12" s="16" t="str">
        <f t="shared" si="2"/>
        <v>12/1/2024</v>
      </c>
      <c r="M12" s="16">
        <v>2</v>
      </c>
      <c r="N12" s="17" t="s">
        <v>45</v>
      </c>
      <c r="O12" s="17" t="s">
        <v>46</v>
      </c>
      <c r="P12" s="17" t="s">
        <v>47</v>
      </c>
      <c r="Q12" s="16">
        <v>20</v>
      </c>
      <c r="R12" s="17">
        <v>20</v>
      </c>
      <c r="S12" s="16">
        <v>0</v>
      </c>
      <c r="U12" s="17"/>
    </row>
    <row r="13" spans="1:21" ht="15" customHeight="1" x14ac:dyDescent="0.15">
      <c r="A13" s="15" t="s">
        <v>131</v>
      </c>
      <c r="B13" s="15" t="s">
        <v>132</v>
      </c>
      <c r="C13" s="16">
        <v>1</v>
      </c>
      <c r="D13" s="16">
        <v>928144933</v>
      </c>
      <c r="E13" s="16" t="str">
        <f t="shared" si="0"/>
        <v>9281449335</v>
      </c>
      <c r="F13" s="17" t="s">
        <v>104</v>
      </c>
      <c r="G13" s="17" t="s">
        <v>40</v>
      </c>
      <c r="H13" s="17" t="s">
        <v>105</v>
      </c>
      <c r="I13" s="16">
        <v>20250201</v>
      </c>
      <c r="J13" s="16" t="str">
        <f t="shared" si="1"/>
        <v>2/1/2025</v>
      </c>
      <c r="K13" s="16">
        <v>20250101</v>
      </c>
      <c r="L13" s="16" t="str">
        <f t="shared" si="2"/>
        <v>1/1/2025</v>
      </c>
      <c r="M13" s="16">
        <v>1</v>
      </c>
      <c r="N13" s="17" t="s">
        <v>45</v>
      </c>
      <c r="O13" s="17" t="s">
        <v>46</v>
      </c>
      <c r="P13" s="17" t="s">
        <v>47</v>
      </c>
      <c r="Q13" s="16">
        <v>20</v>
      </c>
      <c r="R13" s="17">
        <v>20</v>
      </c>
      <c r="S13" s="16">
        <v>0</v>
      </c>
      <c r="U13" s="17"/>
    </row>
    <row r="14" spans="1:21" ht="15" customHeight="1" x14ac:dyDescent="0.15">
      <c r="A14" s="15" t="s">
        <v>131</v>
      </c>
      <c r="B14" s="15" t="s">
        <v>132</v>
      </c>
      <c r="C14" s="16">
        <v>2</v>
      </c>
      <c r="D14" s="16">
        <v>928145593</v>
      </c>
      <c r="E14" s="16" t="str">
        <f t="shared" si="0"/>
        <v>9281455935</v>
      </c>
      <c r="F14" s="17" t="s">
        <v>110</v>
      </c>
      <c r="G14" s="17" t="s">
        <v>40</v>
      </c>
      <c r="H14" s="17" t="s">
        <v>111</v>
      </c>
      <c r="I14" s="16">
        <v>20250201</v>
      </c>
      <c r="J14" s="16" t="str">
        <f t="shared" si="1"/>
        <v>2/1/2025</v>
      </c>
      <c r="K14" s="16">
        <v>20250101</v>
      </c>
      <c r="L14" s="16" t="str">
        <f t="shared" si="2"/>
        <v>1/1/2025</v>
      </c>
      <c r="M14" s="16">
        <v>1</v>
      </c>
      <c r="N14" s="17" t="s">
        <v>45</v>
      </c>
      <c r="O14" s="17" t="s">
        <v>46</v>
      </c>
      <c r="P14" s="17" t="s">
        <v>47</v>
      </c>
      <c r="Q14" s="16">
        <v>20</v>
      </c>
      <c r="R14" s="17">
        <v>40</v>
      </c>
      <c r="S14" s="16">
        <v>0</v>
      </c>
      <c r="U14" s="17"/>
    </row>
    <row r="15" spans="1:21" ht="15" customHeight="1" x14ac:dyDescent="0.15">
      <c r="A15" s="15" t="s">
        <v>131</v>
      </c>
      <c r="B15" s="15" t="s">
        <v>132</v>
      </c>
      <c r="C15" s="16">
        <v>2</v>
      </c>
      <c r="D15" s="16">
        <v>928146255</v>
      </c>
      <c r="E15" s="16" t="str">
        <f t="shared" si="0"/>
        <v>9281462555</v>
      </c>
      <c r="F15" s="17" t="s">
        <v>113</v>
      </c>
      <c r="G15" s="17" t="s">
        <v>40</v>
      </c>
      <c r="H15" s="18">
        <v>1189.72</v>
      </c>
      <c r="I15" s="16">
        <v>20250201</v>
      </c>
      <c r="J15" s="16" t="str">
        <f t="shared" si="1"/>
        <v>2/1/2025</v>
      </c>
      <c r="K15" s="16">
        <v>20241201</v>
      </c>
      <c r="L15" s="16" t="str">
        <f t="shared" si="2"/>
        <v>12/1/2024</v>
      </c>
      <c r="M15" s="16">
        <v>2</v>
      </c>
      <c r="N15" s="17" t="s">
        <v>45</v>
      </c>
      <c r="O15" s="17" t="s">
        <v>46</v>
      </c>
      <c r="P15" s="17" t="s">
        <v>47</v>
      </c>
      <c r="Q15" s="16">
        <v>20</v>
      </c>
      <c r="R15" s="17">
        <v>40</v>
      </c>
      <c r="S15" s="16">
        <v>0</v>
      </c>
      <c r="U15" s="17"/>
    </row>
    <row r="16" spans="1:21" ht="15" customHeight="1" x14ac:dyDescent="0.15">
      <c r="A16" s="15" t="s">
        <v>131</v>
      </c>
      <c r="B16" s="15" t="s">
        <v>132</v>
      </c>
      <c r="C16" s="16">
        <v>1</v>
      </c>
      <c r="D16" s="16">
        <v>928146307</v>
      </c>
      <c r="E16" s="16" t="str">
        <f t="shared" si="0"/>
        <v>9281463075</v>
      </c>
      <c r="F16" s="17" t="s">
        <v>117</v>
      </c>
      <c r="G16" s="17" t="s">
        <v>40</v>
      </c>
      <c r="H16" s="17" t="s">
        <v>118</v>
      </c>
      <c r="I16" s="16">
        <v>20250201</v>
      </c>
      <c r="J16" s="16" t="str">
        <f t="shared" si="1"/>
        <v>2/1/2025</v>
      </c>
      <c r="K16" s="16">
        <v>20250101</v>
      </c>
      <c r="L16" s="16" t="str">
        <f t="shared" si="2"/>
        <v>1/1/2025</v>
      </c>
      <c r="M16" s="16">
        <v>1</v>
      </c>
      <c r="N16" s="17" t="s">
        <v>45</v>
      </c>
      <c r="O16" s="17" t="s">
        <v>46</v>
      </c>
      <c r="P16" s="17" t="s">
        <v>47</v>
      </c>
      <c r="Q16" s="16">
        <v>20</v>
      </c>
      <c r="R16" s="17">
        <v>20</v>
      </c>
      <c r="S16" s="16">
        <v>0</v>
      </c>
      <c r="U16" s="17"/>
    </row>
    <row r="17" spans="1:21" ht="15" customHeight="1" x14ac:dyDescent="0.15">
      <c r="A17" s="15" t="s">
        <v>131</v>
      </c>
      <c r="B17" s="15" t="s">
        <v>132</v>
      </c>
      <c r="C17" s="16">
        <v>2</v>
      </c>
      <c r="D17" s="16">
        <v>928146493</v>
      </c>
      <c r="E17" s="16" t="str">
        <f t="shared" si="0"/>
        <v>9281464935</v>
      </c>
      <c r="F17" s="17" t="s">
        <v>121</v>
      </c>
      <c r="G17" s="17" t="s">
        <v>40</v>
      </c>
      <c r="H17" s="18">
        <v>1333.19</v>
      </c>
      <c r="I17" s="16">
        <v>20250201</v>
      </c>
      <c r="J17" s="16" t="str">
        <f t="shared" si="1"/>
        <v>2/1/2025</v>
      </c>
      <c r="K17" s="16">
        <v>20250101</v>
      </c>
      <c r="L17" s="16" t="str">
        <f t="shared" si="2"/>
        <v>1/1/2025</v>
      </c>
      <c r="M17" s="16">
        <v>1</v>
      </c>
      <c r="N17" s="17" t="s">
        <v>96</v>
      </c>
      <c r="O17" s="17" t="s">
        <v>46</v>
      </c>
      <c r="P17" s="17" t="s">
        <v>47</v>
      </c>
      <c r="Q17" s="16">
        <v>20</v>
      </c>
      <c r="R17" s="17">
        <v>40</v>
      </c>
      <c r="S17" s="16">
        <v>0</v>
      </c>
      <c r="U17" s="17"/>
    </row>
    <row r="18" spans="1:21" ht="15" customHeight="1" x14ac:dyDescent="0.15">
      <c r="A18" s="15" t="s">
        <v>131</v>
      </c>
      <c r="B18" s="15" t="s">
        <v>132</v>
      </c>
      <c r="C18" s="16">
        <v>2</v>
      </c>
      <c r="D18" s="16">
        <v>928146737</v>
      </c>
      <c r="E18" s="16" t="str">
        <f t="shared" si="0"/>
        <v>9281467375</v>
      </c>
      <c r="F18" s="17" t="s">
        <v>125</v>
      </c>
      <c r="G18" s="17" t="s">
        <v>40</v>
      </c>
      <c r="H18" s="18">
        <v>1218.75</v>
      </c>
      <c r="I18" s="16">
        <v>20250201</v>
      </c>
      <c r="J18" s="16" t="str">
        <f t="shared" si="1"/>
        <v>2/1/2025</v>
      </c>
      <c r="K18" s="16">
        <v>20250101</v>
      </c>
      <c r="L18" s="16" t="str">
        <f t="shared" si="2"/>
        <v>1/1/2025</v>
      </c>
      <c r="M18" s="16">
        <v>1</v>
      </c>
      <c r="N18" s="17" t="s">
        <v>96</v>
      </c>
      <c r="O18" s="17" t="s">
        <v>46</v>
      </c>
      <c r="P18" s="17" t="s">
        <v>47</v>
      </c>
      <c r="Q18" s="16">
        <v>20</v>
      </c>
      <c r="R18" s="17">
        <v>40</v>
      </c>
      <c r="S18" s="16">
        <v>0</v>
      </c>
      <c r="U18" s="17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 Irene Cabel</cp:lastModifiedBy>
  <dcterms:created xsi:type="dcterms:W3CDTF">2025-01-23T16:41:07Z</dcterms:created>
  <dcterms:modified xsi:type="dcterms:W3CDTF">2025-01-26T17:13:34Z</dcterms:modified>
</cp:coreProperties>
</file>