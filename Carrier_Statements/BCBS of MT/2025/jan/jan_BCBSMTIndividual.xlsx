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2-19-25\"/>
    </mc:Choice>
  </mc:AlternateContent>
  <xr:revisionPtr revIDLastSave="0" documentId="13_ncr:1_{84DD7C1E-D287-4FD5-B024-DD3CAF81D3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" i="2"/>
  <c r="I3" i="2"/>
</calcChain>
</file>

<file path=xl/sharedStrings.xml><?xml version="1.0" encoding="utf-8"?>
<sst xmlns="http://schemas.openxmlformats.org/spreadsheetml/2006/main" count="872" uniqueCount="177">
  <si>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</si>
  <si>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</si>
  <si>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</si>
  <si>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</si>
  <si>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</si>
  <si>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</si>
  <si>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</si>
  <si>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</si>
  <si>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January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</si>
  <si>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</si>
  <si>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</si>
  <si>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</si>
  <si>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</si>
  <si>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</si>
  <si>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</si>
  <si>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</si>
  <si>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</si>
  <si>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</si>
  <si>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</si>
  <si>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</si>
  <si>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</si>
  <si>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</si>
  <si>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</si>
  <si>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</si>
  <si>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</si>
  <si>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</si>
  <si>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</si>
  <si>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</si>
  <si>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</si>
  <si>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</si>
  <si>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</si>
  <si>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</si>
  <si>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</si>
  <si>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</si>
  <si>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</si>
  <si>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</si>
  <si>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</si>
  <si>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</si>
  <si>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</si>
  <si>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</si>
  <si>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</si>
  <si>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</si>
  <si>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20250301</t>
  </si>
  <si>
    <t>20240101</t>
  </si>
  <si>
    <t>014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</si>
  <si>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</si>
  <si>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</si>
  <si>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</si>
  <si>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</si>
  <si>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</si>
  <si>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</si>
  <si>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</si>
  <si>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</si>
  <si>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</si>
  <si>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</si>
  <si>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</si>
  <si>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</si>
  <si>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</si>
  <si>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</si>
  <si>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</si>
  <si>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</si>
  <si>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</si>
  <si>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</si>
  <si>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</si>
  <si>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007</t>
  </si>
  <si>
    <t>000,060.00</t>
  </si>
  <si>
    <t>000928142523</t>
  </si>
  <si>
    <t>ANDERSON, WENDY</t>
  </si>
  <si>
    <t>001,043.33</t>
  </si>
  <si>
    <t>20250101</t>
  </si>
  <si>
    <t>002</t>
  </si>
  <si>
    <t>107879366-SU-MICHELA ROZMAN</t>
  </si>
  <si>
    <t>MB1903</t>
  </si>
  <si>
    <t>000928116889</t>
  </si>
  <si>
    <t>BICKLER, TIMOTHY</t>
  </si>
  <si>
    <t>000,706.01</t>
  </si>
  <si>
    <t>20220501</t>
  </si>
  <si>
    <t>034</t>
  </si>
  <si>
    <t>107879366</t>
  </si>
  <si>
    <t>1-</t>
  </si>
  <si>
    <t>000,706.01-</t>
  </si>
  <si>
    <t>20250201</t>
  </si>
  <si>
    <t>033</t>
  </si>
  <si>
    <t>000,020.00-</t>
  </si>
  <si>
    <t>107944689-SU-JOEL N LEE</t>
  </si>
  <si>
    <t>000928132686</t>
  </si>
  <si>
    <t>BOYD, TYLER</t>
  </si>
  <si>
    <t>000,430.56</t>
  </si>
  <si>
    <t>107944689</t>
  </si>
  <si>
    <t>107949125-SU-JONATHAN ALOFF</t>
  </si>
  <si>
    <t>000928141308</t>
  </si>
  <si>
    <t>LOFF, MARK</t>
  </si>
  <si>
    <t>002,140.42</t>
  </si>
  <si>
    <t>20241001</t>
  </si>
  <si>
    <t>005</t>
  </si>
  <si>
    <t>107949125</t>
  </si>
  <si>
    <t>107952427-SU-THOMAS PARDUE</t>
  </si>
  <si>
    <t>MB1900</t>
  </si>
  <si>
    <t>000928093609</t>
  </si>
  <si>
    <t>BRADLEY, SHANNON</t>
  </si>
  <si>
    <t>000,770.69</t>
  </si>
  <si>
    <t>001</t>
  </si>
  <si>
    <t>PPO</t>
  </si>
  <si>
    <t>107952427</t>
  </si>
  <si>
    <t>000928101630</t>
  </si>
  <si>
    <t>BLACKIE, IRVIN</t>
  </si>
  <si>
    <t>000,842.17</t>
  </si>
  <si>
    <t>20240401</t>
  </si>
  <si>
    <t>011</t>
  </si>
  <si>
    <t>MB1901</t>
  </si>
  <si>
    <t>000928101904</t>
  </si>
  <si>
    <t>GILROY, WALTER</t>
  </si>
  <si>
    <t>000,930.96</t>
  </si>
  <si>
    <t>013</t>
  </si>
  <si>
    <t>000928131718</t>
  </si>
  <si>
    <t>MARTIN, LUCINDA</t>
  </si>
  <si>
    <t>000,673.23</t>
  </si>
  <si>
    <t>MB1303</t>
  </si>
  <si>
    <t>000928131795</t>
  </si>
  <si>
    <t>TAKES HORSE, PIUS</t>
  </si>
  <si>
    <t>000,673.07</t>
  </si>
  <si>
    <t>000928143304</t>
  </si>
  <si>
    <t>SORKNESS, KIMBERLY</t>
  </si>
  <si>
    <t>000,459.46</t>
  </si>
  <si>
    <t>20241201</t>
  </si>
  <si>
    <t>003</t>
  </si>
  <si>
    <t>000928144933</t>
  </si>
  <si>
    <t>MEDICINETOP, JOHNNY</t>
  </si>
  <si>
    <t>000,473.00</t>
  </si>
  <si>
    <t>000928145593</t>
  </si>
  <si>
    <t>MCCOLLUM, BOWEN LEE</t>
  </si>
  <si>
    <t>000,424.93</t>
  </si>
  <si>
    <t>MB1302</t>
  </si>
  <si>
    <t>000928146307</t>
  </si>
  <si>
    <t>CLARK, THERESA</t>
  </si>
  <si>
    <t>000,751.72</t>
  </si>
  <si>
    <t>000,751.72-</t>
  </si>
  <si>
    <t>000928146493</t>
  </si>
  <si>
    <t>RUNNINGFISHER, YOUNGBILL</t>
  </si>
  <si>
    <t>001,333.19</t>
  </si>
  <si>
    <t>MB1301</t>
  </si>
  <si>
    <t>000928146737</t>
  </si>
  <si>
    <t>SPOTTEDBEAR, JESSEY</t>
  </si>
  <si>
    <t>001,218.75</t>
  </si>
  <si>
    <t>000928148102</t>
  </si>
  <si>
    <t>AZURE, JESSIE</t>
  </si>
  <si>
    <t>001,038.70</t>
  </si>
  <si>
    <t>000928148806</t>
  </si>
  <si>
    <t>TORRALBA, TONY</t>
  </si>
  <si>
    <t>000,851.95</t>
  </si>
  <si>
    <t>4</t>
  </si>
  <si>
    <t>000928149001</t>
  </si>
  <si>
    <t>PLAINFEATHER, BENITA</t>
  </si>
  <si>
    <t>002,198.32</t>
  </si>
  <si>
    <t>000,080.00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</si>
  <si>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</si>
  <si>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</si>
  <si>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</si>
  <si>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</si>
  <si>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</si>
  <si>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</si>
  <si>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</si>
  <si>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</si>
  <si>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</si>
  <si>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706.01-</t>
  </si>
  <si>
    <t>751.72-</t>
  </si>
  <si>
    <t>SU</t>
  </si>
  <si>
    <t>GREGORY K TEIPEL</t>
  </si>
  <si>
    <t>MICHELA ROZMAN</t>
  </si>
  <si>
    <t>JOEL N LEE</t>
  </si>
  <si>
    <t>JONATHAN ALOFF</t>
  </si>
  <si>
    <t>THOMAS PARDUE</t>
  </si>
  <si>
    <t>371819Street</t>
  </si>
  <si>
    <t>BCBS of MT 2025</t>
  </si>
  <si>
    <t>[PMPM=2]</t>
  </si>
  <si>
    <t>[PMPM=3]</t>
  </si>
  <si>
    <t>[PMPM=4]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</si>
</sst>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4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vertical="top"/>
    </xf>
    <xf numFmtId="0" fontId="0" fillId="0" borderId="0" xfId="0" applyFill="1"/>
    <xf numFmtId="0" fontId="8" fillId="0" borderId="0" xfId="0" applyFont="1" applyFill="1" applyAlignment="1">
      <alignment horizontal="right"/>
    </xf>
    <xf numFmtId="0" fontId="6" fillId="0" borderId="0" xfId="0" applyNumberFormat="1" applyFont="1" applyFill="1" applyAlignment="1">
      <alignment horizontal="right" vertical="top"/>
    </xf>
    <xf numFmtId="0" fontId="6" fillId="0" borderId="0" xfId="0" applyNumberFormat="1" applyFont="1" applyFill="1" applyAlignment="1">
      <alignment vertical="top"/>
    </xf>
    <xf numFmtId="0" fontId="6" fillId="0" borderId="0" xfId="0" applyFont="1" applyFill="1" applyAlignment="1">
      <alignment vertical="top"/>
    </xf>
    <xf numFmtId="4" fontId="6" fillId="0" borderId="0" xfId="0" applyNumberFormat="1" applyFont="1" applyFill="1" applyAlignment="1">
      <alignment vertical="top"/>
    </xf>
    <xf numFmtId="8" fontId="6" fillId="0" borderId="0" xfId="0" applyNumberFormat="1" applyFont="1" applyFill="1" applyAlignment="1">
      <alignment horizontal="right" vertical="top"/>
    </xf>
    <xf numFmtId="0" fontId="6" fillId="0" borderId="0" xfId="0" applyFont="1" applyFill="1" applyAlignment="1">
      <alignment horizontal="right" vertical="top"/>
    </xf>
    <xf numFmtId="0" fontId="9" fillId="0" borderId="0" xfId="0" applyFont="1" applyFill="1" applyAlignment="1">
      <alignment horizontal="right"/>
    </xf>
    <xf numFmtId="0" fontId="10" fillId="0" borderId="0" xfId="0" applyFont="1" applyFill="1" applyAlignment="1">
      <alignment horizontal="right"/>
    </xf>
    <xf numFmtId="8" fontId="6" fillId="0" borderId="0" xfId="0" applyNumberFormat="1" applyFont="1" applyFill="1" applyAlignment="1">
      <alignment vertical="top"/>
    </xf>
    <xf numFmtId="0" fontId="0" fillId="0" borderId="0" xfId="0" applyFill="1" applyAlignment="1">
      <alignment horizontal="right"/>
    </xf>
    <xf numFmtId="0" fontId="11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horizontal="right" vertical="top" wrapText="1"/>
    </xf>
    <xf numFmtId="0" fontId="12" fillId="0" borderId="0" xfId="0" applyFont="1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7"/>
  <sheetViews>
    <sheetView showGridLines="0" tabSelected="1" topLeftCell="A10" workbookViewId="0">
      <selection activeCell="N24" sqref="N24:O24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L18" s="4" t="s">
        <v>53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56</v>
      </c>
      <c r="U18" s="7"/>
      <c r="V18" s="4" t="s">
        <v>42</v>
      </c>
      <c r="W18" s="4" t="s">
        <v>43</v>
      </c>
      <c r="X18" s="4" t="s">
        <v>44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58</v>
      </c>
      <c r="L19" s="4" t="s">
        <v>59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62</v>
      </c>
      <c r="U19" s="7"/>
      <c r="V19" s="4" t="s">
        <v>42</v>
      </c>
      <c r="W19" s="4" t="s">
        <v>63</v>
      </c>
      <c r="X19" s="4" t="s">
        <v>64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36</v>
      </c>
      <c r="L20" s="4" t="s">
        <v>53</v>
      </c>
      <c r="N20" s="7" t="s">
        <v>66</v>
      </c>
      <c r="O20" s="7"/>
      <c r="P20" s="7" t="s">
        <v>67</v>
      </c>
      <c r="Q20" s="7"/>
      <c r="R20" s="7"/>
      <c r="S20" s="3" t="s">
        <v>40</v>
      </c>
      <c r="T20" s="7" t="s">
        <v>68</v>
      </c>
      <c r="U20" s="7"/>
      <c r="V20" s="4" t="s">
        <v>42</v>
      </c>
      <c r="W20" s="4" t="s">
        <v>69</v>
      </c>
      <c r="X20" s="4" t="s">
        <v>70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71</v>
      </c>
      <c r="H21" s="7"/>
      <c r="I21" s="7"/>
      <c r="J21" s="3" t="s">
        <v>35</v>
      </c>
      <c r="K21" s="4" t="s">
        <v>72</v>
      </c>
      <c r="L21" s="4" t="s">
        <v>53</v>
      </c>
      <c r="N21" s="7" t="s">
        <v>73</v>
      </c>
      <c r="O21" s="7"/>
      <c r="P21" s="7" t="s">
        <v>74</v>
      </c>
      <c r="Q21" s="7"/>
      <c r="R21" s="7"/>
      <c r="S21" s="3" t="s">
        <v>40</v>
      </c>
      <c r="T21" s="7" t="s">
        <v>75</v>
      </c>
      <c r="U21" s="7"/>
      <c r="V21" s="4" t="s">
        <v>42</v>
      </c>
      <c r="W21" s="4" t="s">
        <v>76</v>
      </c>
      <c r="X21" s="4" t="s">
        <v>77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57</v>
      </c>
      <c r="AE21" s="4" t="s">
        <v>50</v>
      </c>
      <c r="AF21" s="4" t="s">
        <v>51</v>
      </c>
      <c r="AG21" s="4" t="s">
        <v>78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71</v>
      </c>
      <c r="H22" s="7"/>
      <c r="I22" s="7"/>
      <c r="J22" s="3" t="s">
        <v>35</v>
      </c>
      <c r="K22" s="4" t="s">
        <v>72</v>
      </c>
      <c r="L22" s="4" t="s">
        <v>79</v>
      </c>
      <c r="N22" s="7" t="s">
        <v>73</v>
      </c>
      <c r="O22" s="7"/>
      <c r="P22" s="7" t="s">
        <v>74</v>
      </c>
      <c r="Q22" s="7"/>
      <c r="R22" s="7"/>
      <c r="S22" s="3" t="s">
        <v>40</v>
      </c>
      <c r="T22" s="7" t="s">
        <v>80</v>
      </c>
      <c r="U22" s="7"/>
      <c r="V22" s="4" t="s">
        <v>81</v>
      </c>
      <c r="W22" s="4" t="s">
        <v>76</v>
      </c>
      <c r="X22" s="4" t="s">
        <v>82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83</v>
      </c>
      <c r="AE22" s="4" t="s">
        <v>50</v>
      </c>
      <c r="AF22" s="4" t="s">
        <v>51</v>
      </c>
      <c r="AG22" s="4" t="s">
        <v>78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71</v>
      </c>
      <c r="H23" s="7"/>
      <c r="I23" s="7"/>
      <c r="J23" s="3" t="s">
        <v>35</v>
      </c>
      <c r="K23" s="4" t="s">
        <v>72</v>
      </c>
      <c r="L23" s="4" t="s">
        <v>53</v>
      </c>
      <c r="N23" s="7" t="s">
        <v>73</v>
      </c>
      <c r="O23" s="7"/>
      <c r="P23" s="7" t="s">
        <v>74</v>
      </c>
      <c r="Q23" s="7"/>
      <c r="R23" s="7"/>
      <c r="S23" s="3" t="s">
        <v>40</v>
      </c>
      <c r="T23" s="7" t="s">
        <v>75</v>
      </c>
      <c r="U23" s="7"/>
      <c r="V23" s="4" t="s">
        <v>81</v>
      </c>
      <c r="W23" s="4" t="s">
        <v>76</v>
      </c>
      <c r="X23" s="4" t="s">
        <v>82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57</v>
      </c>
      <c r="AE23" s="4" t="s">
        <v>50</v>
      </c>
      <c r="AF23" s="4" t="s">
        <v>51</v>
      </c>
      <c r="AG23" s="4" t="s">
        <v>78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84</v>
      </c>
      <c r="H24" s="7"/>
      <c r="I24" s="7"/>
      <c r="J24" s="3" t="s">
        <v>35</v>
      </c>
      <c r="K24" s="4" t="s">
        <v>36</v>
      </c>
      <c r="L24" s="4" t="s">
        <v>53</v>
      </c>
      <c r="N24" s="7" t="s">
        <v>85</v>
      </c>
      <c r="O24" s="7"/>
      <c r="P24" s="7" t="s">
        <v>86</v>
      </c>
      <c r="Q24" s="7"/>
      <c r="R24" s="7"/>
      <c r="S24" s="3" t="s">
        <v>40</v>
      </c>
      <c r="T24" s="7" t="s">
        <v>87</v>
      </c>
      <c r="U24" s="7"/>
      <c r="V24" s="4" t="s">
        <v>42</v>
      </c>
      <c r="W24" s="4" t="s">
        <v>43</v>
      </c>
      <c r="X24" s="4" t="s">
        <v>44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57</v>
      </c>
      <c r="AE24" s="4" t="s">
        <v>50</v>
      </c>
      <c r="AF24" s="4" t="s">
        <v>51</v>
      </c>
      <c r="AG24" s="4" t="s">
        <v>88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89</v>
      </c>
      <c r="H25" s="7"/>
      <c r="I25" s="7"/>
      <c r="J25" s="3" t="s">
        <v>35</v>
      </c>
      <c r="K25" s="4" t="s">
        <v>72</v>
      </c>
      <c r="L25" s="4" t="s">
        <v>37</v>
      </c>
      <c r="N25" s="7" t="s">
        <v>90</v>
      </c>
      <c r="O25" s="7"/>
      <c r="P25" s="7" t="s">
        <v>91</v>
      </c>
      <c r="Q25" s="7"/>
      <c r="R25" s="7"/>
      <c r="S25" s="3" t="s">
        <v>40</v>
      </c>
      <c r="T25" s="7" t="s">
        <v>92</v>
      </c>
      <c r="U25" s="7"/>
      <c r="V25" s="4" t="s">
        <v>42</v>
      </c>
      <c r="W25" s="4" t="s">
        <v>93</v>
      </c>
      <c r="X25" s="4" t="s">
        <v>94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51</v>
      </c>
      <c r="AG25" s="4" t="s">
        <v>95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96</v>
      </c>
      <c r="H26" s="7"/>
      <c r="I26" s="7"/>
      <c r="J26" s="3" t="s">
        <v>35</v>
      </c>
      <c r="K26" s="4" t="s">
        <v>97</v>
      </c>
      <c r="L26" s="4" t="s">
        <v>53</v>
      </c>
      <c r="N26" s="7" t="s">
        <v>98</v>
      </c>
      <c r="O26" s="7"/>
      <c r="P26" s="7" t="s">
        <v>99</v>
      </c>
      <c r="Q26" s="7"/>
      <c r="R26" s="7"/>
      <c r="S26" s="3" t="s">
        <v>40</v>
      </c>
      <c r="T26" s="7" t="s">
        <v>100</v>
      </c>
      <c r="U26" s="7"/>
      <c r="V26" s="4" t="s">
        <v>42</v>
      </c>
      <c r="W26" s="4" t="s">
        <v>81</v>
      </c>
      <c r="X26" s="4" t="s">
        <v>101</v>
      </c>
      <c r="Y26" s="7" t="s">
        <v>102</v>
      </c>
      <c r="Z26" s="7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103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96</v>
      </c>
      <c r="H27" s="7"/>
      <c r="I27" s="7"/>
      <c r="J27" s="3" t="s">
        <v>35</v>
      </c>
      <c r="K27" s="4" t="s">
        <v>97</v>
      </c>
      <c r="L27" s="4" t="s">
        <v>53</v>
      </c>
      <c r="N27" s="7" t="s">
        <v>104</v>
      </c>
      <c r="O27" s="7"/>
      <c r="P27" s="7" t="s">
        <v>105</v>
      </c>
      <c r="Q27" s="7"/>
      <c r="R27" s="7"/>
      <c r="S27" s="3" t="s">
        <v>40</v>
      </c>
      <c r="T27" s="7" t="s">
        <v>106</v>
      </c>
      <c r="U27" s="7"/>
      <c r="V27" s="4" t="s">
        <v>42</v>
      </c>
      <c r="W27" s="4" t="s">
        <v>107</v>
      </c>
      <c r="X27" s="4" t="s">
        <v>108</v>
      </c>
      <c r="Y27" s="7" t="s">
        <v>102</v>
      </c>
      <c r="Z27" s="7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103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96</v>
      </c>
      <c r="H28" s="7"/>
      <c r="I28" s="7"/>
      <c r="J28" s="3" t="s">
        <v>35</v>
      </c>
      <c r="K28" s="4" t="s">
        <v>109</v>
      </c>
      <c r="L28" s="4" t="s">
        <v>53</v>
      </c>
      <c r="N28" s="7" t="s">
        <v>110</v>
      </c>
      <c r="O28" s="7"/>
      <c r="P28" s="7" t="s">
        <v>111</v>
      </c>
      <c r="Q28" s="7"/>
      <c r="R28" s="7"/>
      <c r="S28" s="3" t="s">
        <v>40</v>
      </c>
      <c r="T28" s="7" t="s">
        <v>112</v>
      </c>
      <c r="U28" s="7"/>
      <c r="V28" s="4" t="s">
        <v>42</v>
      </c>
      <c r="W28" s="4" t="s">
        <v>43</v>
      </c>
      <c r="X28" s="4" t="s">
        <v>44</v>
      </c>
      <c r="Y28" s="7" t="s">
        <v>102</v>
      </c>
      <c r="Z28" s="7"/>
      <c r="AA28" s="4" t="s">
        <v>46</v>
      </c>
      <c r="AB28" s="4" t="s">
        <v>47</v>
      </c>
      <c r="AC28" s="4" t="s">
        <v>48</v>
      </c>
      <c r="AD28" s="4" t="s">
        <v>57</v>
      </c>
      <c r="AE28" s="4" t="s">
        <v>50</v>
      </c>
      <c r="AF28" s="4" t="s">
        <v>51</v>
      </c>
      <c r="AG28" s="4" t="s">
        <v>103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96</v>
      </c>
      <c r="H29" s="7"/>
      <c r="I29" s="7"/>
      <c r="J29" s="3" t="s">
        <v>35</v>
      </c>
      <c r="K29" s="4" t="s">
        <v>109</v>
      </c>
      <c r="L29" s="4" t="s">
        <v>53</v>
      </c>
      <c r="N29" s="7" t="s">
        <v>110</v>
      </c>
      <c r="O29" s="7"/>
      <c r="P29" s="7" t="s">
        <v>111</v>
      </c>
      <c r="Q29" s="7"/>
      <c r="R29" s="7"/>
      <c r="S29" s="3" t="s">
        <v>40</v>
      </c>
      <c r="T29" s="7" t="s">
        <v>112</v>
      </c>
      <c r="U29" s="7"/>
      <c r="V29" s="4" t="s">
        <v>81</v>
      </c>
      <c r="W29" s="4" t="s">
        <v>43</v>
      </c>
      <c r="X29" s="4" t="s">
        <v>113</v>
      </c>
      <c r="Y29" s="7" t="s">
        <v>102</v>
      </c>
      <c r="Z29" s="7"/>
      <c r="AA29" s="4" t="s">
        <v>46</v>
      </c>
      <c r="AB29" s="4" t="s">
        <v>47</v>
      </c>
      <c r="AC29" s="4" t="s">
        <v>48</v>
      </c>
      <c r="AD29" s="4" t="s">
        <v>57</v>
      </c>
      <c r="AE29" s="4" t="s">
        <v>50</v>
      </c>
      <c r="AF29" s="4" t="s">
        <v>51</v>
      </c>
      <c r="AG29" s="4" t="s">
        <v>103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96</v>
      </c>
      <c r="H30" s="7"/>
      <c r="I30" s="7"/>
      <c r="J30" s="3" t="s">
        <v>35</v>
      </c>
      <c r="K30" s="4" t="s">
        <v>97</v>
      </c>
      <c r="L30" s="4" t="s">
        <v>53</v>
      </c>
      <c r="N30" s="7" t="s">
        <v>114</v>
      </c>
      <c r="O30" s="7"/>
      <c r="P30" s="7" t="s">
        <v>115</v>
      </c>
      <c r="Q30" s="7"/>
      <c r="R30" s="7"/>
      <c r="S30" s="3" t="s">
        <v>40</v>
      </c>
      <c r="T30" s="7" t="s">
        <v>116</v>
      </c>
      <c r="U30" s="7"/>
      <c r="V30" s="4" t="s">
        <v>42</v>
      </c>
      <c r="W30" s="4" t="s">
        <v>43</v>
      </c>
      <c r="X30" s="4" t="s">
        <v>44</v>
      </c>
      <c r="Y30" s="7" t="s">
        <v>102</v>
      </c>
      <c r="Z30" s="7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103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96</v>
      </c>
      <c r="H31" s="7"/>
      <c r="I31" s="7"/>
      <c r="J31" s="3" t="s">
        <v>35</v>
      </c>
      <c r="K31" s="4" t="s">
        <v>117</v>
      </c>
      <c r="L31" s="4" t="s">
        <v>37</v>
      </c>
      <c r="N31" s="7" t="s">
        <v>118</v>
      </c>
      <c r="O31" s="7"/>
      <c r="P31" s="7" t="s">
        <v>119</v>
      </c>
      <c r="Q31" s="7"/>
      <c r="R31" s="7"/>
      <c r="S31" s="3" t="s">
        <v>40</v>
      </c>
      <c r="T31" s="7" t="s">
        <v>120</v>
      </c>
      <c r="U31" s="7"/>
      <c r="V31" s="4" t="s">
        <v>42</v>
      </c>
      <c r="W31" s="4" t="s">
        <v>43</v>
      </c>
      <c r="X31" s="4" t="s">
        <v>44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51</v>
      </c>
      <c r="AG31" s="4" t="s">
        <v>103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96</v>
      </c>
      <c r="H32" s="7"/>
      <c r="I32" s="7"/>
      <c r="J32" s="3" t="s">
        <v>35</v>
      </c>
      <c r="K32" s="4" t="s">
        <v>117</v>
      </c>
      <c r="L32" s="4" t="s">
        <v>37</v>
      </c>
      <c r="N32" s="7" t="s">
        <v>118</v>
      </c>
      <c r="O32" s="7"/>
      <c r="P32" s="7" t="s">
        <v>119</v>
      </c>
      <c r="Q32" s="7"/>
      <c r="R32" s="7"/>
      <c r="S32" s="3" t="s">
        <v>40</v>
      </c>
      <c r="T32" s="7" t="s">
        <v>120</v>
      </c>
      <c r="U32" s="7"/>
      <c r="V32" s="4" t="s">
        <v>81</v>
      </c>
      <c r="W32" s="4" t="s">
        <v>43</v>
      </c>
      <c r="X32" s="4" t="s">
        <v>113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51</v>
      </c>
      <c r="AG32" s="4" t="s">
        <v>103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96</v>
      </c>
      <c r="H33" s="7"/>
      <c r="I33" s="7"/>
      <c r="J33" s="3" t="s">
        <v>35</v>
      </c>
      <c r="K33" s="4" t="s">
        <v>72</v>
      </c>
      <c r="L33" s="4" t="s">
        <v>53</v>
      </c>
      <c r="N33" s="7" t="s">
        <v>121</v>
      </c>
      <c r="O33" s="7"/>
      <c r="P33" s="7" t="s">
        <v>122</v>
      </c>
      <c r="Q33" s="7"/>
      <c r="R33" s="7"/>
      <c r="S33" s="3" t="s">
        <v>40</v>
      </c>
      <c r="T33" s="7" t="s">
        <v>123</v>
      </c>
      <c r="U33" s="7"/>
      <c r="V33" s="4" t="s">
        <v>42</v>
      </c>
      <c r="W33" s="4" t="s">
        <v>124</v>
      </c>
      <c r="X33" s="4" t="s">
        <v>125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57</v>
      </c>
      <c r="AE33" s="4" t="s">
        <v>50</v>
      </c>
      <c r="AF33" s="4" t="s">
        <v>51</v>
      </c>
      <c r="AG33" s="4" t="s">
        <v>103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96</v>
      </c>
      <c r="H34" s="7"/>
      <c r="I34" s="7"/>
      <c r="J34" s="3" t="s">
        <v>35</v>
      </c>
      <c r="K34" s="4" t="s">
        <v>72</v>
      </c>
      <c r="L34" s="4" t="s">
        <v>53</v>
      </c>
      <c r="N34" s="7" t="s">
        <v>126</v>
      </c>
      <c r="O34" s="7"/>
      <c r="P34" s="7" t="s">
        <v>127</v>
      </c>
      <c r="Q34" s="7"/>
      <c r="R34" s="7"/>
      <c r="S34" s="3" t="s">
        <v>40</v>
      </c>
      <c r="T34" s="7" t="s">
        <v>128</v>
      </c>
      <c r="U34" s="7"/>
      <c r="V34" s="4" t="s">
        <v>42</v>
      </c>
      <c r="W34" s="4" t="s">
        <v>69</v>
      </c>
      <c r="X34" s="4" t="s">
        <v>70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57</v>
      </c>
      <c r="AE34" s="4" t="s">
        <v>50</v>
      </c>
      <c r="AF34" s="4" t="s">
        <v>51</v>
      </c>
      <c r="AG34" s="4" t="s">
        <v>103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96</v>
      </c>
      <c r="H35" s="7"/>
      <c r="I35" s="7"/>
      <c r="J35" s="3" t="s">
        <v>35</v>
      </c>
      <c r="K35" s="4" t="s">
        <v>117</v>
      </c>
      <c r="L35" s="4" t="s">
        <v>37</v>
      </c>
      <c r="N35" s="7" t="s">
        <v>129</v>
      </c>
      <c r="O35" s="7"/>
      <c r="P35" s="7" t="s">
        <v>130</v>
      </c>
      <c r="Q35" s="7"/>
      <c r="R35" s="7"/>
      <c r="S35" s="3" t="s">
        <v>40</v>
      </c>
      <c r="T35" s="7" t="s">
        <v>131</v>
      </c>
      <c r="U35" s="7"/>
      <c r="V35" s="4" t="s">
        <v>42</v>
      </c>
      <c r="W35" s="4" t="s">
        <v>69</v>
      </c>
      <c r="X35" s="4" t="s">
        <v>70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51</v>
      </c>
      <c r="AG35" s="4" t="s">
        <v>103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96</v>
      </c>
      <c r="H36" s="7"/>
      <c r="I36" s="7"/>
      <c r="J36" s="3" t="s">
        <v>35</v>
      </c>
      <c r="K36" s="4" t="s">
        <v>132</v>
      </c>
      <c r="L36" s="4" t="s">
        <v>53</v>
      </c>
      <c r="N36" s="7" t="s">
        <v>133</v>
      </c>
      <c r="O36" s="7"/>
      <c r="P36" s="7" t="s">
        <v>134</v>
      </c>
      <c r="Q36" s="7"/>
      <c r="R36" s="7"/>
      <c r="S36" s="3" t="s">
        <v>40</v>
      </c>
      <c r="T36" s="7" t="s">
        <v>135</v>
      </c>
      <c r="U36" s="7"/>
      <c r="V36" s="4" t="s">
        <v>42</v>
      </c>
      <c r="W36" s="4" t="s">
        <v>69</v>
      </c>
      <c r="X36" s="4" t="s">
        <v>70</v>
      </c>
      <c r="Y36" s="7" t="s">
        <v>45</v>
      </c>
      <c r="Z36" s="7"/>
      <c r="AA36" s="4" t="s">
        <v>46</v>
      </c>
      <c r="AB36" s="4" t="s">
        <v>47</v>
      </c>
      <c r="AC36" s="4" t="s">
        <v>48</v>
      </c>
      <c r="AD36" s="4" t="s">
        <v>57</v>
      </c>
      <c r="AE36" s="4" t="s">
        <v>50</v>
      </c>
      <c r="AF36" s="4" t="s">
        <v>51</v>
      </c>
      <c r="AG36" s="4" t="s">
        <v>103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96</v>
      </c>
      <c r="H37" s="7"/>
      <c r="I37" s="7"/>
      <c r="J37" s="3" t="s">
        <v>35</v>
      </c>
      <c r="K37" s="4" t="s">
        <v>132</v>
      </c>
      <c r="L37" s="4" t="s">
        <v>79</v>
      </c>
      <c r="N37" s="7" t="s">
        <v>133</v>
      </c>
      <c r="O37" s="7"/>
      <c r="P37" s="7" t="s">
        <v>134</v>
      </c>
      <c r="Q37" s="7"/>
      <c r="R37" s="7"/>
      <c r="S37" s="3" t="s">
        <v>40</v>
      </c>
      <c r="T37" s="7" t="s">
        <v>136</v>
      </c>
      <c r="U37" s="7"/>
      <c r="V37" s="4" t="s">
        <v>42</v>
      </c>
      <c r="W37" s="4" t="s">
        <v>69</v>
      </c>
      <c r="X37" s="4" t="s">
        <v>70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83</v>
      </c>
      <c r="AE37" s="4" t="s">
        <v>50</v>
      </c>
      <c r="AF37" s="4" t="s">
        <v>51</v>
      </c>
      <c r="AG37" s="4" t="s">
        <v>103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96</v>
      </c>
      <c r="H38" s="7"/>
      <c r="I38" s="7"/>
      <c r="J38" s="3" t="s">
        <v>35</v>
      </c>
      <c r="K38" s="4" t="s">
        <v>109</v>
      </c>
      <c r="L38" s="4" t="s">
        <v>37</v>
      </c>
      <c r="N38" s="7" t="s">
        <v>137</v>
      </c>
      <c r="O38" s="7"/>
      <c r="P38" s="7" t="s">
        <v>138</v>
      </c>
      <c r="Q38" s="7"/>
      <c r="R38" s="7"/>
      <c r="S38" s="3" t="s">
        <v>40</v>
      </c>
      <c r="T38" s="7" t="s">
        <v>139</v>
      </c>
      <c r="U38" s="7"/>
      <c r="V38" s="4" t="s">
        <v>42</v>
      </c>
      <c r="W38" s="4" t="s">
        <v>69</v>
      </c>
      <c r="X38" s="4" t="s">
        <v>70</v>
      </c>
      <c r="Y38" s="7" t="s">
        <v>102</v>
      </c>
      <c r="Z38" s="7"/>
      <c r="AA38" s="4" t="s">
        <v>46</v>
      </c>
      <c r="AB38" s="4" t="s">
        <v>47</v>
      </c>
      <c r="AC38" s="4" t="s">
        <v>48</v>
      </c>
      <c r="AD38" s="4" t="s">
        <v>49</v>
      </c>
      <c r="AE38" s="4" t="s">
        <v>50</v>
      </c>
      <c r="AF38" s="4" t="s">
        <v>51</v>
      </c>
      <c r="AG38" s="4" t="s">
        <v>103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96</v>
      </c>
      <c r="H39" s="7"/>
      <c r="I39" s="7"/>
      <c r="J39" s="3" t="s">
        <v>35</v>
      </c>
      <c r="K39" s="4" t="s">
        <v>140</v>
      </c>
      <c r="L39" s="4" t="s">
        <v>37</v>
      </c>
      <c r="N39" s="7" t="s">
        <v>141</v>
      </c>
      <c r="O39" s="7"/>
      <c r="P39" s="7" t="s">
        <v>142</v>
      </c>
      <c r="Q39" s="7"/>
      <c r="R39" s="7"/>
      <c r="S39" s="3" t="s">
        <v>40</v>
      </c>
      <c r="T39" s="7" t="s">
        <v>143</v>
      </c>
      <c r="U39" s="7"/>
      <c r="V39" s="4" t="s">
        <v>42</v>
      </c>
      <c r="W39" s="4" t="s">
        <v>69</v>
      </c>
      <c r="X39" s="4" t="s">
        <v>70</v>
      </c>
      <c r="Y39" s="7" t="s">
        <v>102</v>
      </c>
      <c r="Z39" s="7"/>
      <c r="AA39" s="4" t="s">
        <v>46</v>
      </c>
      <c r="AB39" s="4" t="s">
        <v>47</v>
      </c>
      <c r="AC39" s="4" t="s">
        <v>48</v>
      </c>
      <c r="AD39" s="4" t="s">
        <v>49</v>
      </c>
      <c r="AE39" s="4" t="s">
        <v>50</v>
      </c>
      <c r="AF39" s="4" t="s">
        <v>51</v>
      </c>
      <c r="AG39" s="4" t="s">
        <v>103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96</v>
      </c>
      <c r="H40" s="7"/>
      <c r="I40" s="7"/>
      <c r="J40" s="3" t="s">
        <v>35</v>
      </c>
      <c r="K40" s="4" t="s">
        <v>109</v>
      </c>
      <c r="L40" s="4" t="s">
        <v>53</v>
      </c>
      <c r="N40" s="7" t="s">
        <v>144</v>
      </c>
      <c r="O40" s="7"/>
      <c r="P40" s="7" t="s">
        <v>145</v>
      </c>
      <c r="Q40" s="7"/>
      <c r="R40" s="7"/>
      <c r="S40" s="3" t="s">
        <v>40</v>
      </c>
      <c r="T40" s="7" t="s">
        <v>146</v>
      </c>
      <c r="U40" s="7"/>
      <c r="V40" s="4" t="s">
        <v>42</v>
      </c>
      <c r="W40" s="4" t="s">
        <v>81</v>
      </c>
      <c r="X40" s="4" t="s">
        <v>101</v>
      </c>
      <c r="Y40" s="7" t="s">
        <v>102</v>
      </c>
      <c r="Z40" s="7"/>
      <c r="AA40" s="4" t="s">
        <v>46</v>
      </c>
      <c r="AB40" s="4" t="s">
        <v>47</v>
      </c>
      <c r="AC40" s="4" t="s">
        <v>48</v>
      </c>
      <c r="AD40" s="4" t="s">
        <v>57</v>
      </c>
      <c r="AE40" s="4" t="s">
        <v>50</v>
      </c>
      <c r="AF40" s="4" t="s">
        <v>51</v>
      </c>
      <c r="AG40" s="4" t="s">
        <v>103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96</v>
      </c>
      <c r="H41" s="7"/>
      <c r="I41" s="7"/>
      <c r="J41" s="3" t="s">
        <v>35</v>
      </c>
      <c r="K41" s="4" t="s">
        <v>109</v>
      </c>
      <c r="L41" s="4" t="s">
        <v>53</v>
      </c>
      <c r="N41" s="7" t="s">
        <v>147</v>
      </c>
      <c r="O41" s="7"/>
      <c r="P41" s="7" t="s">
        <v>148</v>
      </c>
      <c r="Q41" s="7"/>
      <c r="R41" s="7"/>
      <c r="S41" s="3" t="s">
        <v>40</v>
      </c>
      <c r="T41" s="7" t="s">
        <v>149</v>
      </c>
      <c r="U41" s="7"/>
      <c r="V41" s="4" t="s">
        <v>42</v>
      </c>
      <c r="W41" s="4" t="s">
        <v>81</v>
      </c>
      <c r="X41" s="4" t="s">
        <v>101</v>
      </c>
      <c r="Y41" s="7" t="s">
        <v>102</v>
      </c>
      <c r="Z41" s="7"/>
      <c r="AA41" s="4" t="s">
        <v>46</v>
      </c>
      <c r="AB41" s="4" t="s">
        <v>47</v>
      </c>
      <c r="AC41" s="4" t="s">
        <v>48</v>
      </c>
      <c r="AD41" s="4" t="s">
        <v>57</v>
      </c>
      <c r="AE41" s="4" t="s">
        <v>50</v>
      </c>
      <c r="AF41" s="4" t="s">
        <v>51</v>
      </c>
      <c r="AG41" s="4" t="s">
        <v>103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96</v>
      </c>
      <c r="H42" s="7"/>
      <c r="I42" s="7"/>
      <c r="J42" s="3" t="s">
        <v>35</v>
      </c>
      <c r="K42" s="4" t="s">
        <v>109</v>
      </c>
      <c r="L42" s="4" t="s">
        <v>150</v>
      </c>
      <c r="N42" s="7" t="s">
        <v>151</v>
      </c>
      <c r="O42" s="7"/>
      <c r="P42" s="7" t="s">
        <v>152</v>
      </c>
      <c r="Q42" s="7"/>
      <c r="R42" s="7"/>
      <c r="S42" s="3" t="s">
        <v>40</v>
      </c>
      <c r="T42" s="7" t="s">
        <v>153</v>
      </c>
      <c r="U42" s="7"/>
      <c r="V42" s="4" t="s">
        <v>42</v>
      </c>
      <c r="W42" s="4" t="s">
        <v>81</v>
      </c>
      <c r="X42" s="4" t="s">
        <v>101</v>
      </c>
      <c r="Y42" s="7" t="s">
        <v>102</v>
      </c>
      <c r="Z42" s="7"/>
      <c r="AA42" s="4" t="s">
        <v>46</v>
      </c>
      <c r="AB42" s="4" t="s">
        <v>47</v>
      </c>
      <c r="AC42" s="4" t="s">
        <v>48</v>
      </c>
      <c r="AD42" s="4" t="s">
        <v>154</v>
      </c>
      <c r="AE42" s="4" t="s">
        <v>50</v>
      </c>
      <c r="AF42" s="4" t="s">
        <v>51</v>
      </c>
      <c r="AG42" s="4" t="s">
        <v>103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96</v>
      </c>
      <c r="H43" s="7"/>
      <c r="I43" s="7"/>
      <c r="J43" s="3" t="s">
        <v>35</v>
      </c>
      <c r="K43" s="4" t="s">
        <v>155</v>
      </c>
      <c r="L43" s="4" t="s">
        <v>53</v>
      </c>
      <c r="N43" s="7" t="s">
        <v>156</v>
      </c>
      <c r="O43" s="7"/>
      <c r="P43" s="7" t="s">
        <v>157</v>
      </c>
      <c r="Q43" s="7"/>
      <c r="R43" s="7"/>
      <c r="S43" s="3" t="s">
        <v>40</v>
      </c>
      <c r="T43" s="7" t="s">
        <v>158</v>
      </c>
      <c r="U43" s="7"/>
      <c r="V43" s="4" t="s">
        <v>42</v>
      </c>
      <c r="W43" s="4" t="s">
        <v>81</v>
      </c>
      <c r="X43" s="4" t="s">
        <v>101</v>
      </c>
      <c r="Y43" s="7" t="s">
        <v>45</v>
      </c>
      <c r="Z43" s="7"/>
      <c r="AA43" s="4" t="s">
        <v>46</v>
      </c>
      <c r="AB43" s="4" t="s">
        <v>47</v>
      </c>
      <c r="AC43" s="4" t="s">
        <v>48</v>
      </c>
      <c r="AD43" s="4" t="s">
        <v>57</v>
      </c>
      <c r="AE43" s="4" t="s">
        <v>50</v>
      </c>
      <c r="AF43" s="4" t="s">
        <v>51</v>
      </c>
      <c r="AG43" s="4" t="s">
        <v>103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96</v>
      </c>
      <c r="H44" s="7"/>
      <c r="I44" s="7"/>
      <c r="J44" s="3" t="s">
        <v>35</v>
      </c>
      <c r="K44" s="4" t="s">
        <v>140</v>
      </c>
      <c r="L44" s="4" t="s">
        <v>53</v>
      </c>
      <c r="N44" s="7" t="s">
        <v>159</v>
      </c>
      <c r="O44" s="7"/>
      <c r="P44" s="7" t="s">
        <v>160</v>
      </c>
      <c r="Q44" s="7"/>
      <c r="R44" s="7"/>
      <c r="S44" s="3" t="s">
        <v>40</v>
      </c>
      <c r="T44" s="7" t="s">
        <v>161</v>
      </c>
      <c r="U44" s="7"/>
      <c r="V44" s="4" t="s">
        <v>42</v>
      </c>
      <c r="W44" s="4" t="s">
        <v>81</v>
      </c>
      <c r="X44" s="4" t="s">
        <v>101</v>
      </c>
      <c r="Y44" s="7" t="s">
        <v>102</v>
      </c>
      <c r="Z44" s="7"/>
      <c r="AA44" s="4" t="s">
        <v>46</v>
      </c>
      <c r="AB44" s="4" t="s">
        <v>47</v>
      </c>
      <c r="AC44" s="4" t="s">
        <v>48</v>
      </c>
      <c r="AD44" s="4" t="s">
        <v>57</v>
      </c>
      <c r="AE44" s="4" t="s">
        <v>50</v>
      </c>
      <c r="AF44" s="4" t="s">
        <v>51</v>
      </c>
      <c r="AG44" s="4" t="s">
        <v>103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96</v>
      </c>
      <c r="H45" s="7"/>
      <c r="I45" s="7"/>
      <c r="J45" s="3" t="s">
        <v>35</v>
      </c>
      <c r="K45" s="4" t="s">
        <v>109</v>
      </c>
      <c r="L45" s="4" t="s">
        <v>53</v>
      </c>
      <c r="N45" s="7" t="s">
        <v>162</v>
      </c>
      <c r="O45" s="7"/>
      <c r="P45" s="7" t="s">
        <v>163</v>
      </c>
      <c r="Q45" s="7"/>
      <c r="R45" s="7"/>
      <c r="S45" s="3" t="s">
        <v>40</v>
      </c>
      <c r="T45" s="7" t="s">
        <v>149</v>
      </c>
      <c r="U45" s="7"/>
      <c r="V45" s="4" t="s">
        <v>42</v>
      </c>
      <c r="W45" s="4" t="s">
        <v>81</v>
      </c>
      <c r="X45" s="4" t="s">
        <v>101</v>
      </c>
      <c r="Y45" s="7" t="s">
        <v>102</v>
      </c>
      <c r="Z45" s="7"/>
      <c r="AA45" s="4" t="s">
        <v>46</v>
      </c>
      <c r="AB45" s="4" t="s">
        <v>47</v>
      </c>
      <c r="AC45" s="4" t="s">
        <v>48</v>
      </c>
      <c r="AD45" s="4" t="s">
        <v>57</v>
      </c>
      <c r="AE45" s="4" t="s">
        <v>50</v>
      </c>
      <c r="AF45" s="4" t="s">
        <v>51</v>
      </c>
      <c r="AG45" s="4" t="s">
        <v>103</v>
      </c>
    </row>
    <row r="46" spans="1:33" ht="409.6" customHeight="1" x14ac:dyDescent="0.2"/>
    <row r="47" spans="1:33" ht="12" customHeight="1" x14ac:dyDescent="0.2"/>
  </sheetData>
  <mergeCells count="233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A845-C6F8-4A2F-85E5-83E9A30909B9}">
  <dimension ref="A1:Q31"/>
  <sheetViews>
    <sheetView workbookViewId="0">
      <selection activeCell="Q3" sqref="Q3:Q28"/>
    </sheetView>
  </sheetViews>
  <sheetFormatPr defaultColWidth="6.85546875" defaultRowHeight="15" customHeight="1" x14ac:dyDescent="0.2"/>
  <cols>
    <col min="1" max="1" width="30.7109375" style="15" bestFit="1" customWidth="1"/>
    <col min="2" max="2" width="30.7109375" style="26" customWidth="1"/>
    <col min="3" max="3" width="10.5703125" style="15" customWidth="1"/>
    <col min="4" max="4" width="13.140625" style="15" bestFit="1" customWidth="1"/>
    <col min="5" max="5" width="13.140625" style="15" customWidth="1"/>
    <col min="6" max="6" width="20.7109375" style="15" customWidth="1"/>
    <col min="7" max="7" width="15.85546875" style="15" bestFit="1" customWidth="1"/>
    <col min="8" max="8" width="11.140625" style="15" bestFit="1" customWidth="1"/>
    <col min="9" max="9" width="11.140625" style="15" customWidth="1"/>
    <col min="10" max="11" width="14.140625" style="15" customWidth="1"/>
    <col min="12" max="12" width="16" style="15" bestFit="1" customWidth="1"/>
    <col min="13" max="14" width="13.42578125" style="15" customWidth="1"/>
    <col min="15" max="15" width="13.5703125" style="15" customWidth="1"/>
    <col min="16" max="16" width="16" style="15" bestFit="1" customWidth="1"/>
    <col min="17" max="16384" width="6.85546875" style="15"/>
  </cols>
  <sheetData>
    <row r="1" spans="1:17" s="29" customFormat="1" ht="15" customHeight="1" x14ac:dyDescent="0.2">
      <c r="A1" s="27"/>
      <c r="B1" s="28"/>
      <c r="C1" s="27" t="s">
        <v>15</v>
      </c>
      <c r="D1" s="27" t="s">
        <v>16</v>
      </c>
      <c r="E1" s="27"/>
      <c r="F1" s="27" t="s">
        <v>17</v>
      </c>
      <c r="G1" s="27" t="s">
        <v>19</v>
      </c>
      <c r="H1" s="27" t="s">
        <v>20</v>
      </c>
      <c r="I1" s="27"/>
      <c r="J1" s="27" t="s">
        <v>21</v>
      </c>
      <c r="K1" s="27"/>
      <c r="L1" s="27" t="s">
        <v>23</v>
      </c>
      <c r="M1" s="27" t="s">
        <v>25</v>
      </c>
      <c r="N1" s="27" t="s">
        <v>26</v>
      </c>
      <c r="O1" s="27" t="s">
        <v>27</v>
      </c>
    </row>
    <row r="2" spans="1:17" s="29" customFormat="1" ht="15" customHeight="1" x14ac:dyDescent="0.2">
      <c r="A2" s="27"/>
      <c r="B2" s="28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7" ht="15" customHeight="1" x14ac:dyDescent="0.2">
      <c r="A3" s="15" t="s">
        <v>167</v>
      </c>
      <c r="B3" s="16">
        <v>8307933</v>
      </c>
      <c r="C3" s="17">
        <v>2</v>
      </c>
      <c r="D3" s="18">
        <v>928127138</v>
      </c>
      <c r="E3" s="18" t="str">
        <f>CONCATENATE(D3,5)</f>
        <v>9281271385</v>
      </c>
      <c r="F3" s="19" t="s">
        <v>39</v>
      </c>
      <c r="G3" s="20">
        <v>2131.6999999999998</v>
      </c>
      <c r="H3" s="17">
        <v>20250301</v>
      </c>
      <c r="I3" s="17" t="str">
        <f>TEXT(DATE(LEFT(H3,4), MID(H3,5,2), RIGHT(H3,2)), "M/d/yyyy")</f>
        <v>3/1/2025</v>
      </c>
      <c r="J3" s="17">
        <v>20240101</v>
      </c>
      <c r="K3" s="17" t="str">
        <f>TEXT(DATE(LEFT(J3,4), MID(J3,5,2), RIGHT(J3,2)), "M/d/yyyy")</f>
        <v>1/1/2024</v>
      </c>
      <c r="L3" s="19" t="s">
        <v>45</v>
      </c>
      <c r="M3" s="21">
        <v>1</v>
      </c>
      <c r="N3" s="17">
        <v>20</v>
      </c>
      <c r="O3" s="22">
        <v>40</v>
      </c>
      <c r="P3" s="15" t="s">
        <v>173</v>
      </c>
      <c r="Q3" s="30" t="s">
        <v>174</v>
      </c>
    </row>
    <row r="4" spans="1:17" ht="15" customHeight="1" x14ac:dyDescent="0.2">
      <c r="A4" s="15" t="s">
        <v>167</v>
      </c>
      <c r="B4" s="16">
        <v>8307933</v>
      </c>
      <c r="C4" s="17">
        <v>1</v>
      </c>
      <c r="D4" s="18">
        <v>928127769</v>
      </c>
      <c r="E4" s="18" t="str">
        <f t="shared" ref="E4:E31" si="0">CONCATENATE(D4,5)</f>
        <v>9281277695</v>
      </c>
      <c r="F4" s="19" t="s">
        <v>55</v>
      </c>
      <c r="G4" s="19">
        <v>949.16</v>
      </c>
      <c r="H4" s="17">
        <v>20250301</v>
      </c>
      <c r="I4" s="17" t="str">
        <f t="shared" ref="I4:I31" si="1">TEXT(DATE(LEFT(H4,4), MID(H4,5,2), RIGHT(H4,2)), "M/d/yyyy")</f>
        <v>3/1/2025</v>
      </c>
      <c r="J4" s="17">
        <v>20240101</v>
      </c>
      <c r="K4" s="17" t="str">
        <f t="shared" ref="K4:K31" si="2">TEXT(DATE(LEFT(J4,4), MID(J4,5,2), RIGHT(J4,2)), "M/d/yyyy")</f>
        <v>1/1/2024</v>
      </c>
      <c r="L4" s="19" t="s">
        <v>45</v>
      </c>
      <c r="M4" s="21">
        <v>1</v>
      </c>
      <c r="N4" s="17">
        <v>20</v>
      </c>
      <c r="O4" s="22">
        <v>20</v>
      </c>
      <c r="P4" s="15" t="s">
        <v>173</v>
      </c>
    </row>
    <row r="5" spans="1:17" ht="15" customHeight="1" x14ac:dyDescent="0.2">
      <c r="A5" s="15" t="s">
        <v>167</v>
      </c>
      <c r="B5" s="16">
        <v>8307933</v>
      </c>
      <c r="C5" s="17">
        <v>3</v>
      </c>
      <c r="D5" s="18">
        <v>928139663</v>
      </c>
      <c r="E5" s="18" t="str">
        <f t="shared" si="0"/>
        <v>9281396635</v>
      </c>
      <c r="F5" s="19" t="s">
        <v>61</v>
      </c>
      <c r="G5" s="20">
        <v>1183.24</v>
      </c>
      <c r="H5" s="17">
        <v>20250301</v>
      </c>
      <c r="I5" s="17" t="str">
        <f t="shared" si="1"/>
        <v>3/1/2025</v>
      </c>
      <c r="J5" s="17">
        <v>20240801</v>
      </c>
      <c r="K5" s="17" t="str">
        <f t="shared" si="2"/>
        <v>8/1/2024</v>
      </c>
      <c r="L5" s="19" t="s">
        <v>45</v>
      </c>
      <c r="M5" s="21">
        <v>1</v>
      </c>
      <c r="N5" s="17">
        <v>20</v>
      </c>
      <c r="O5" s="22">
        <v>60</v>
      </c>
      <c r="P5" s="15" t="s">
        <v>173</v>
      </c>
      <c r="Q5" s="30" t="s">
        <v>175</v>
      </c>
    </row>
    <row r="6" spans="1:17" ht="15" customHeight="1" x14ac:dyDescent="0.2">
      <c r="A6" s="15" t="s">
        <v>167</v>
      </c>
      <c r="B6" s="16">
        <v>8307933</v>
      </c>
      <c r="C6" s="17">
        <v>1</v>
      </c>
      <c r="D6" s="18">
        <v>928142523</v>
      </c>
      <c r="E6" s="18" t="str">
        <f t="shared" si="0"/>
        <v>9281425235</v>
      </c>
      <c r="F6" s="19" t="s">
        <v>67</v>
      </c>
      <c r="G6" s="20">
        <v>1043.33</v>
      </c>
      <c r="H6" s="17">
        <v>20250301</v>
      </c>
      <c r="I6" s="17" t="str">
        <f t="shared" si="1"/>
        <v>3/1/2025</v>
      </c>
      <c r="J6" s="17">
        <v>20250101</v>
      </c>
      <c r="K6" s="17" t="str">
        <f t="shared" si="2"/>
        <v>1/1/2025</v>
      </c>
      <c r="L6" s="19" t="s">
        <v>45</v>
      </c>
      <c r="M6" s="21">
        <v>1</v>
      </c>
      <c r="N6" s="17">
        <v>20</v>
      </c>
      <c r="O6" s="22">
        <v>20</v>
      </c>
      <c r="P6" s="15" t="s">
        <v>173</v>
      </c>
    </row>
    <row r="7" spans="1:17" ht="15" customHeight="1" x14ac:dyDescent="0.25">
      <c r="A7" s="15" t="s">
        <v>168</v>
      </c>
      <c r="B7" s="23">
        <v>19206583</v>
      </c>
      <c r="C7" s="17">
        <v>1</v>
      </c>
      <c r="D7" s="18">
        <v>928116889</v>
      </c>
      <c r="E7" s="18" t="str">
        <f t="shared" si="0"/>
        <v>9281168895</v>
      </c>
      <c r="F7" s="19" t="s">
        <v>74</v>
      </c>
      <c r="G7" s="19">
        <v>706.01</v>
      </c>
      <c r="H7" s="17">
        <v>20250301</v>
      </c>
      <c r="I7" s="17" t="str">
        <f t="shared" si="1"/>
        <v>3/1/2025</v>
      </c>
      <c r="J7" s="17">
        <v>20220501</v>
      </c>
      <c r="K7" s="17" t="str">
        <f t="shared" si="2"/>
        <v>5/1/2022</v>
      </c>
      <c r="L7" s="19" t="s">
        <v>45</v>
      </c>
      <c r="M7" s="21">
        <v>1</v>
      </c>
      <c r="N7" s="17">
        <v>20</v>
      </c>
      <c r="O7" s="22">
        <v>20</v>
      </c>
      <c r="P7" s="15" t="s">
        <v>173</v>
      </c>
    </row>
    <row r="8" spans="1:17" ht="15" customHeight="1" x14ac:dyDescent="0.25">
      <c r="A8" s="15" t="s">
        <v>168</v>
      </c>
      <c r="B8" s="23">
        <v>19206583</v>
      </c>
      <c r="C8" s="22" t="s">
        <v>79</v>
      </c>
      <c r="D8" s="18">
        <v>928116889</v>
      </c>
      <c r="E8" s="18" t="str">
        <f t="shared" si="0"/>
        <v>9281168895</v>
      </c>
      <c r="F8" s="19" t="s">
        <v>74</v>
      </c>
      <c r="G8" s="19" t="s">
        <v>164</v>
      </c>
      <c r="H8" s="17">
        <v>20250201</v>
      </c>
      <c r="I8" s="17" t="str">
        <f t="shared" si="1"/>
        <v>2/1/2025</v>
      </c>
      <c r="J8" s="17">
        <v>20220501</v>
      </c>
      <c r="K8" s="17" t="str">
        <f t="shared" si="2"/>
        <v>5/1/2022</v>
      </c>
      <c r="L8" s="19" t="s">
        <v>45</v>
      </c>
      <c r="M8" s="21">
        <v>1</v>
      </c>
      <c r="N8" s="17">
        <v>20</v>
      </c>
      <c r="O8" s="22">
        <v>-20</v>
      </c>
      <c r="P8" s="15" t="s">
        <v>173</v>
      </c>
    </row>
    <row r="9" spans="1:17" ht="15" customHeight="1" x14ac:dyDescent="0.25">
      <c r="A9" s="15" t="s">
        <v>168</v>
      </c>
      <c r="B9" s="23">
        <v>19206583</v>
      </c>
      <c r="C9" s="17">
        <v>1</v>
      </c>
      <c r="D9" s="18">
        <v>928116889</v>
      </c>
      <c r="E9" s="18" t="str">
        <f t="shared" si="0"/>
        <v>9281168895</v>
      </c>
      <c r="F9" s="19" t="s">
        <v>74</v>
      </c>
      <c r="G9" s="19">
        <v>706.01</v>
      </c>
      <c r="H9" s="17">
        <v>20250201</v>
      </c>
      <c r="I9" s="17" t="str">
        <f t="shared" si="1"/>
        <v>2/1/2025</v>
      </c>
      <c r="J9" s="17">
        <v>20220501</v>
      </c>
      <c r="K9" s="17" t="str">
        <f t="shared" si="2"/>
        <v>5/1/2022</v>
      </c>
      <c r="L9" s="19" t="s">
        <v>45</v>
      </c>
      <c r="M9" s="21">
        <v>1</v>
      </c>
      <c r="N9" s="17">
        <v>20</v>
      </c>
      <c r="O9" s="22">
        <v>20</v>
      </c>
      <c r="P9" s="15" t="s">
        <v>173</v>
      </c>
    </row>
    <row r="10" spans="1:17" ht="15" customHeight="1" x14ac:dyDescent="0.2">
      <c r="A10" s="15" t="s">
        <v>169</v>
      </c>
      <c r="B10" s="24">
        <v>6634327</v>
      </c>
      <c r="C10" s="17">
        <v>1</v>
      </c>
      <c r="D10" s="18">
        <v>928132686</v>
      </c>
      <c r="E10" s="18" t="str">
        <f t="shared" si="0"/>
        <v>9281326865</v>
      </c>
      <c r="F10" s="19" t="s">
        <v>86</v>
      </c>
      <c r="G10" s="19">
        <v>430.56</v>
      </c>
      <c r="H10" s="17">
        <v>20250301</v>
      </c>
      <c r="I10" s="17" t="str">
        <f t="shared" si="1"/>
        <v>3/1/2025</v>
      </c>
      <c r="J10" s="17">
        <v>20240101</v>
      </c>
      <c r="K10" s="17" t="str">
        <f t="shared" si="2"/>
        <v>1/1/2024</v>
      </c>
      <c r="L10" s="19" t="s">
        <v>45</v>
      </c>
      <c r="M10" s="21">
        <v>1</v>
      </c>
      <c r="N10" s="17">
        <v>20</v>
      </c>
      <c r="O10" s="22">
        <v>20</v>
      </c>
      <c r="P10" s="15" t="s">
        <v>173</v>
      </c>
    </row>
    <row r="11" spans="1:17" ht="15" customHeight="1" x14ac:dyDescent="0.2">
      <c r="A11" s="15" t="s">
        <v>170</v>
      </c>
      <c r="B11" s="24">
        <v>16683808</v>
      </c>
      <c r="C11" s="18">
        <v>2</v>
      </c>
      <c r="D11" s="18">
        <v>928141308</v>
      </c>
      <c r="E11" s="18" t="str">
        <f t="shared" si="0"/>
        <v>9281413085</v>
      </c>
      <c r="F11" s="19" t="s">
        <v>91</v>
      </c>
      <c r="G11" s="20">
        <v>2140.42</v>
      </c>
      <c r="H11" s="18">
        <v>20250301</v>
      </c>
      <c r="I11" s="17" t="str">
        <f t="shared" si="1"/>
        <v>3/1/2025</v>
      </c>
      <c r="J11" s="18">
        <v>20241001</v>
      </c>
      <c r="K11" s="17" t="str">
        <f t="shared" si="2"/>
        <v>10/1/2024</v>
      </c>
      <c r="L11" s="19" t="s">
        <v>45</v>
      </c>
      <c r="M11" s="25">
        <v>1</v>
      </c>
      <c r="N11" s="18">
        <v>20</v>
      </c>
      <c r="O11" s="19">
        <v>40</v>
      </c>
      <c r="P11" s="15" t="s">
        <v>173</v>
      </c>
      <c r="Q11" s="30" t="s">
        <v>174</v>
      </c>
    </row>
    <row r="12" spans="1:17" ht="15" customHeight="1" x14ac:dyDescent="0.2">
      <c r="A12" s="15" t="s">
        <v>171</v>
      </c>
      <c r="B12" s="26">
        <v>371819</v>
      </c>
      <c r="C12" s="18">
        <v>1</v>
      </c>
      <c r="D12" s="18">
        <v>928093609</v>
      </c>
      <c r="E12" s="18" t="str">
        <f t="shared" si="0"/>
        <v>9280936095</v>
      </c>
      <c r="F12" s="19" t="s">
        <v>99</v>
      </c>
      <c r="G12" s="19">
        <v>770.69</v>
      </c>
      <c r="H12" s="18">
        <v>20250301</v>
      </c>
      <c r="I12" s="17" t="str">
        <f t="shared" si="1"/>
        <v>3/1/2025</v>
      </c>
      <c r="J12" s="18">
        <v>20250201</v>
      </c>
      <c r="K12" s="17" t="str">
        <f t="shared" si="2"/>
        <v>2/1/2025</v>
      </c>
      <c r="L12" s="19" t="s">
        <v>102</v>
      </c>
      <c r="M12" s="25">
        <v>1</v>
      </c>
      <c r="N12" s="18">
        <v>20</v>
      </c>
      <c r="O12" s="19">
        <v>20</v>
      </c>
      <c r="P12" s="15" t="s">
        <v>173</v>
      </c>
    </row>
    <row r="13" spans="1:17" ht="15" customHeight="1" x14ac:dyDescent="0.2">
      <c r="A13" s="15" t="s">
        <v>171</v>
      </c>
      <c r="B13" s="26" t="s">
        <v>172</v>
      </c>
      <c r="C13" s="17">
        <v>1</v>
      </c>
      <c r="D13" s="18">
        <v>928101630</v>
      </c>
      <c r="E13" s="18" t="str">
        <f t="shared" si="0"/>
        <v>9281016305</v>
      </c>
      <c r="F13" s="19" t="s">
        <v>105</v>
      </c>
      <c r="G13" s="19">
        <v>842.17</v>
      </c>
      <c r="H13" s="17">
        <v>20250301</v>
      </c>
      <c r="I13" s="17" t="str">
        <f t="shared" si="1"/>
        <v>3/1/2025</v>
      </c>
      <c r="J13" s="17">
        <v>20240401</v>
      </c>
      <c r="K13" s="17" t="str">
        <f t="shared" si="2"/>
        <v>4/1/2024</v>
      </c>
      <c r="L13" s="19" t="s">
        <v>102</v>
      </c>
      <c r="M13" s="21">
        <v>1</v>
      </c>
      <c r="N13" s="17">
        <v>20</v>
      </c>
      <c r="O13" s="22">
        <v>20</v>
      </c>
      <c r="P13" s="15" t="s">
        <v>173</v>
      </c>
    </row>
    <row r="14" spans="1:17" ht="15" customHeight="1" x14ac:dyDescent="0.2">
      <c r="A14" s="15" t="s">
        <v>171</v>
      </c>
      <c r="B14" s="26" t="s">
        <v>172</v>
      </c>
      <c r="C14" s="17">
        <v>1</v>
      </c>
      <c r="D14" s="18">
        <v>928101904</v>
      </c>
      <c r="E14" s="18" t="str">
        <f t="shared" si="0"/>
        <v>9281019045</v>
      </c>
      <c r="F14" s="19" t="s">
        <v>111</v>
      </c>
      <c r="G14" s="19">
        <v>930.96</v>
      </c>
      <c r="H14" s="17">
        <v>20250301</v>
      </c>
      <c r="I14" s="17" t="str">
        <f t="shared" si="1"/>
        <v>3/1/2025</v>
      </c>
      <c r="J14" s="17">
        <v>20240101</v>
      </c>
      <c r="K14" s="17" t="str">
        <f t="shared" si="2"/>
        <v>1/1/2024</v>
      </c>
      <c r="L14" s="19" t="s">
        <v>102</v>
      </c>
      <c r="M14" s="21">
        <v>1</v>
      </c>
      <c r="N14" s="17">
        <v>20</v>
      </c>
      <c r="O14" s="22">
        <v>20</v>
      </c>
      <c r="P14" s="15" t="s">
        <v>173</v>
      </c>
    </row>
    <row r="15" spans="1:17" ht="15" customHeight="1" x14ac:dyDescent="0.2">
      <c r="A15" s="15" t="s">
        <v>171</v>
      </c>
      <c r="B15" s="26" t="s">
        <v>172</v>
      </c>
      <c r="C15" s="17">
        <v>1</v>
      </c>
      <c r="D15" s="18">
        <v>928101904</v>
      </c>
      <c r="E15" s="18" t="str">
        <f t="shared" si="0"/>
        <v>9281019045</v>
      </c>
      <c r="F15" s="19" t="s">
        <v>111</v>
      </c>
      <c r="G15" s="19">
        <v>930.96</v>
      </c>
      <c r="H15" s="17">
        <v>20250201</v>
      </c>
      <c r="I15" s="17" t="str">
        <f t="shared" si="1"/>
        <v>2/1/2025</v>
      </c>
      <c r="J15" s="17">
        <v>20240101</v>
      </c>
      <c r="K15" s="17" t="str">
        <f t="shared" si="2"/>
        <v>1/1/2024</v>
      </c>
      <c r="L15" s="19" t="s">
        <v>102</v>
      </c>
      <c r="M15" s="21">
        <v>1</v>
      </c>
      <c r="N15" s="17">
        <v>20</v>
      </c>
      <c r="O15" s="22">
        <v>20</v>
      </c>
      <c r="P15" s="15" t="s">
        <v>173</v>
      </c>
    </row>
    <row r="16" spans="1:17" ht="15" customHeight="1" x14ac:dyDescent="0.2">
      <c r="A16" s="15" t="s">
        <v>171</v>
      </c>
      <c r="B16" s="26" t="s">
        <v>172</v>
      </c>
      <c r="C16" s="17">
        <v>1</v>
      </c>
      <c r="D16" s="18">
        <v>928131718</v>
      </c>
      <c r="E16" s="18" t="str">
        <f t="shared" si="0"/>
        <v>9281317185</v>
      </c>
      <c r="F16" s="19" t="s">
        <v>115</v>
      </c>
      <c r="G16" s="19">
        <v>673.23</v>
      </c>
      <c r="H16" s="17">
        <v>20250301</v>
      </c>
      <c r="I16" s="17" t="str">
        <f t="shared" si="1"/>
        <v>3/1/2025</v>
      </c>
      <c r="J16" s="17">
        <v>20240101</v>
      </c>
      <c r="K16" s="17" t="str">
        <f t="shared" si="2"/>
        <v>1/1/2024</v>
      </c>
      <c r="L16" s="19" t="s">
        <v>102</v>
      </c>
      <c r="M16" s="21">
        <v>1</v>
      </c>
      <c r="N16" s="17">
        <v>20</v>
      </c>
      <c r="O16" s="22">
        <v>20</v>
      </c>
      <c r="P16" s="15" t="s">
        <v>173</v>
      </c>
    </row>
    <row r="17" spans="1:17" ht="15" customHeight="1" x14ac:dyDescent="0.2">
      <c r="A17" s="15" t="s">
        <v>171</v>
      </c>
      <c r="B17" s="26" t="s">
        <v>172</v>
      </c>
      <c r="C17" s="17">
        <v>2</v>
      </c>
      <c r="D17" s="18">
        <v>928131795</v>
      </c>
      <c r="E17" s="18" t="str">
        <f t="shared" si="0"/>
        <v>9281317955</v>
      </c>
      <c r="F17" s="19" t="s">
        <v>119</v>
      </c>
      <c r="G17" s="19">
        <v>673.07</v>
      </c>
      <c r="H17" s="17">
        <v>20250301</v>
      </c>
      <c r="I17" s="17" t="str">
        <f t="shared" si="1"/>
        <v>3/1/2025</v>
      </c>
      <c r="J17" s="17">
        <v>20240101</v>
      </c>
      <c r="K17" s="17" t="str">
        <f t="shared" si="2"/>
        <v>1/1/2024</v>
      </c>
      <c r="L17" s="19" t="s">
        <v>45</v>
      </c>
      <c r="M17" s="21">
        <v>1</v>
      </c>
      <c r="N17" s="17">
        <v>20</v>
      </c>
      <c r="O17" s="22">
        <v>40</v>
      </c>
      <c r="P17" s="15" t="s">
        <v>173</v>
      </c>
      <c r="Q17" s="30" t="s">
        <v>174</v>
      </c>
    </row>
    <row r="18" spans="1:17" ht="15" customHeight="1" x14ac:dyDescent="0.2">
      <c r="A18" s="15" t="s">
        <v>171</v>
      </c>
      <c r="B18" s="26" t="s">
        <v>172</v>
      </c>
      <c r="C18" s="17">
        <v>2</v>
      </c>
      <c r="D18" s="18">
        <v>928131795</v>
      </c>
      <c r="E18" s="18" t="str">
        <f t="shared" si="0"/>
        <v>9281317955</v>
      </c>
      <c r="F18" s="19" t="s">
        <v>119</v>
      </c>
      <c r="G18" s="19">
        <v>673.07</v>
      </c>
      <c r="H18" s="17">
        <v>20250201</v>
      </c>
      <c r="I18" s="17" t="str">
        <f t="shared" si="1"/>
        <v>2/1/2025</v>
      </c>
      <c r="J18" s="17">
        <v>20240101</v>
      </c>
      <c r="K18" s="17" t="str">
        <f t="shared" si="2"/>
        <v>1/1/2024</v>
      </c>
      <c r="L18" s="19" t="s">
        <v>45</v>
      </c>
      <c r="M18" s="21">
        <v>1</v>
      </c>
      <c r="N18" s="17">
        <v>20</v>
      </c>
      <c r="O18" s="22">
        <v>40</v>
      </c>
      <c r="P18" s="15" t="s">
        <v>173</v>
      </c>
      <c r="Q18" s="30" t="s">
        <v>174</v>
      </c>
    </row>
    <row r="19" spans="1:17" ht="15" customHeight="1" x14ac:dyDescent="0.2">
      <c r="A19" s="15" t="s">
        <v>171</v>
      </c>
      <c r="B19" s="26">
        <v>371819</v>
      </c>
      <c r="C19" s="17">
        <v>1</v>
      </c>
      <c r="D19" s="18">
        <v>928143304</v>
      </c>
      <c r="E19" s="18" t="str">
        <f t="shared" si="0"/>
        <v>9281433045</v>
      </c>
      <c r="F19" s="19" t="s">
        <v>122</v>
      </c>
      <c r="G19" s="19">
        <v>459.46</v>
      </c>
      <c r="H19" s="17">
        <v>20250301</v>
      </c>
      <c r="I19" s="17" t="str">
        <f t="shared" si="1"/>
        <v>3/1/2025</v>
      </c>
      <c r="J19" s="17">
        <v>20241201</v>
      </c>
      <c r="K19" s="17" t="str">
        <f t="shared" si="2"/>
        <v>12/1/2024</v>
      </c>
      <c r="L19" s="19" t="s">
        <v>45</v>
      </c>
      <c r="M19" s="21">
        <v>1</v>
      </c>
      <c r="N19" s="17">
        <v>20</v>
      </c>
      <c r="O19" s="22">
        <v>20</v>
      </c>
      <c r="P19" s="15" t="s">
        <v>173</v>
      </c>
    </row>
    <row r="20" spans="1:17" ht="15" customHeight="1" x14ac:dyDescent="0.2">
      <c r="A20" s="15" t="s">
        <v>171</v>
      </c>
      <c r="B20" s="26">
        <v>371819</v>
      </c>
      <c r="C20" s="17">
        <v>1</v>
      </c>
      <c r="D20" s="18">
        <v>928144933</v>
      </c>
      <c r="E20" s="18" t="str">
        <f t="shared" si="0"/>
        <v>9281449335</v>
      </c>
      <c r="F20" s="19" t="s">
        <v>127</v>
      </c>
      <c r="G20" s="19">
        <v>473</v>
      </c>
      <c r="H20" s="17">
        <v>20250301</v>
      </c>
      <c r="I20" s="17" t="str">
        <f t="shared" si="1"/>
        <v>3/1/2025</v>
      </c>
      <c r="J20" s="17">
        <v>20250101</v>
      </c>
      <c r="K20" s="17" t="str">
        <f t="shared" si="2"/>
        <v>1/1/2025</v>
      </c>
      <c r="L20" s="19" t="s">
        <v>45</v>
      </c>
      <c r="M20" s="21">
        <v>1</v>
      </c>
      <c r="N20" s="17">
        <v>20</v>
      </c>
      <c r="O20" s="22">
        <v>20</v>
      </c>
      <c r="P20" s="15" t="s">
        <v>173</v>
      </c>
    </row>
    <row r="21" spans="1:17" ht="15" customHeight="1" x14ac:dyDescent="0.2">
      <c r="A21" s="15" t="s">
        <v>171</v>
      </c>
      <c r="B21" s="26">
        <v>371819</v>
      </c>
      <c r="C21" s="17">
        <v>2</v>
      </c>
      <c r="D21" s="18">
        <v>928145593</v>
      </c>
      <c r="E21" s="18" t="str">
        <f t="shared" si="0"/>
        <v>9281455935</v>
      </c>
      <c r="F21" s="19" t="s">
        <v>130</v>
      </c>
      <c r="G21" s="19">
        <v>424.93</v>
      </c>
      <c r="H21" s="17">
        <v>20250301</v>
      </c>
      <c r="I21" s="17" t="str">
        <f t="shared" si="1"/>
        <v>3/1/2025</v>
      </c>
      <c r="J21" s="17">
        <v>20250101</v>
      </c>
      <c r="K21" s="17" t="str">
        <f t="shared" si="2"/>
        <v>1/1/2025</v>
      </c>
      <c r="L21" s="19" t="s">
        <v>45</v>
      </c>
      <c r="M21" s="21">
        <v>1</v>
      </c>
      <c r="N21" s="17">
        <v>20</v>
      </c>
      <c r="O21" s="22">
        <v>40</v>
      </c>
      <c r="P21" s="15" t="s">
        <v>173</v>
      </c>
      <c r="Q21" s="30" t="s">
        <v>174</v>
      </c>
    </row>
    <row r="22" spans="1:17" ht="15" customHeight="1" x14ac:dyDescent="0.2">
      <c r="A22" s="15" t="s">
        <v>171</v>
      </c>
      <c r="B22" s="26">
        <v>371819</v>
      </c>
      <c r="C22" s="17">
        <v>1</v>
      </c>
      <c r="D22" s="18">
        <v>928146307</v>
      </c>
      <c r="E22" s="18" t="str">
        <f t="shared" si="0"/>
        <v>9281463075</v>
      </c>
      <c r="F22" s="19" t="s">
        <v>134</v>
      </c>
      <c r="G22" s="19">
        <v>751.72</v>
      </c>
      <c r="H22" s="17">
        <v>20250301</v>
      </c>
      <c r="I22" s="17" t="str">
        <f t="shared" si="1"/>
        <v>3/1/2025</v>
      </c>
      <c r="J22" s="17">
        <v>20250101</v>
      </c>
      <c r="K22" s="17" t="str">
        <f t="shared" si="2"/>
        <v>1/1/2025</v>
      </c>
      <c r="L22" s="19" t="s">
        <v>45</v>
      </c>
      <c r="M22" s="21">
        <v>1</v>
      </c>
      <c r="N22" s="17">
        <v>20</v>
      </c>
      <c r="O22" s="22">
        <v>20</v>
      </c>
      <c r="P22" s="15" t="s">
        <v>173</v>
      </c>
    </row>
    <row r="23" spans="1:17" ht="15" customHeight="1" x14ac:dyDescent="0.2">
      <c r="A23" s="15" t="s">
        <v>171</v>
      </c>
      <c r="B23" s="26">
        <v>371819</v>
      </c>
      <c r="C23" s="22" t="s">
        <v>79</v>
      </c>
      <c r="D23" s="18">
        <v>928146307</v>
      </c>
      <c r="E23" s="18" t="str">
        <f t="shared" si="0"/>
        <v>9281463075</v>
      </c>
      <c r="F23" s="19" t="s">
        <v>134</v>
      </c>
      <c r="G23" s="19" t="s">
        <v>165</v>
      </c>
      <c r="H23" s="17">
        <v>20250301</v>
      </c>
      <c r="I23" s="17" t="str">
        <f t="shared" si="1"/>
        <v>3/1/2025</v>
      </c>
      <c r="J23" s="17">
        <v>20250101</v>
      </c>
      <c r="K23" s="17" t="str">
        <f t="shared" si="2"/>
        <v>1/1/2025</v>
      </c>
      <c r="L23" s="19" t="s">
        <v>45</v>
      </c>
      <c r="M23" s="21">
        <v>1</v>
      </c>
      <c r="N23" s="17">
        <v>20</v>
      </c>
      <c r="O23" s="22">
        <v>-20</v>
      </c>
      <c r="P23" s="15" t="s">
        <v>173</v>
      </c>
    </row>
    <row r="24" spans="1:17" ht="15" customHeight="1" x14ac:dyDescent="0.2">
      <c r="A24" s="15" t="s">
        <v>171</v>
      </c>
      <c r="B24" s="26">
        <v>371819</v>
      </c>
      <c r="C24" s="17">
        <v>2</v>
      </c>
      <c r="D24" s="18">
        <v>928146493</v>
      </c>
      <c r="E24" s="18" t="str">
        <f t="shared" si="0"/>
        <v>9281464935</v>
      </c>
      <c r="F24" s="19" t="s">
        <v>138</v>
      </c>
      <c r="G24" s="20">
        <v>1333.19</v>
      </c>
      <c r="H24" s="17">
        <v>20250301</v>
      </c>
      <c r="I24" s="17" t="str">
        <f t="shared" si="1"/>
        <v>3/1/2025</v>
      </c>
      <c r="J24" s="17">
        <v>20250101</v>
      </c>
      <c r="K24" s="17" t="str">
        <f t="shared" si="2"/>
        <v>1/1/2025</v>
      </c>
      <c r="L24" s="19" t="s">
        <v>102</v>
      </c>
      <c r="M24" s="21">
        <v>1</v>
      </c>
      <c r="N24" s="17">
        <v>20</v>
      </c>
      <c r="O24" s="22">
        <v>40</v>
      </c>
      <c r="P24" s="15" t="s">
        <v>173</v>
      </c>
      <c r="Q24" s="30" t="s">
        <v>174</v>
      </c>
    </row>
    <row r="25" spans="1:17" ht="15" customHeight="1" x14ac:dyDescent="0.2">
      <c r="A25" s="15" t="s">
        <v>171</v>
      </c>
      <c r="B25" s="26">
        <v>371819</v>
      </c>
      <c r="C25" s="17">
        <v>2</v>
      </c>
      <c r="D25" s="18">
        <v>928146737</v>
      </c>
      <c r="E25" s="18" t="str">
        <f t="shared" si="0"/>
        <v>9281467375</v>
      </c>
      <c r="F25" s="19" t="s">
        <v>142</v>
      </c>
      <c r="G25" s="20">
        <v>1218.75</v>
      </c>
      <c r="H25" s="17">
        <v>20250301</v>
      </c>
      <c r="I25" s="17" t="str">
        <f t="shared" si="1"/>
        <v>3/1/2025</v>
      </c>
      <c r="J25" s="17">
        <v>20250101</v>
      </c>
      <c r="K25" s="17" t="str">
        <f t="shared" si="2"/>
        <v>1/1/2025</v>
      </c>
      <c r="L25" s="19" t="s">
        <v>102</v>
      </c>
      <c r="M25" s="21">
        <v>1</v>
      </c>
      <c r="N25" s="17">
        <v>20</v>
      </c>
      <c r="O25" s="22">
        <v>40</v>
      </c>
      <c r="P25" s="15" t="s">
        <v>173</v>
      </c>
      <c r="Q25" s="30" t="s">
        <v>174</v>
      </c>
    </row>
    <row r="26" spans="1:17" ht="15" customHeight="1" x14ac:dyDescent="0.2">
      <c r="A26" s="15" t="s">
        <v>171</v>
      </c>
      <c r="B26" s="26">
        <v>371819</v>
      </c>
      <c r="C26" s="17">
        <v>1</v>
      </c>
      <c r="D26" s="18">
        <v>928148102</v>
      </c>
      <c r="E26" s="18" t="str">
        <f t="shared" si="0"/>
        <v>9281481025</v>
      </c>
      <c r="F26" s="19" t="s">
        <v>145</v>
      </c>
      <c r="G26" s="20">
        <v>1038.7</v>
      </c>
      <c r="H26" s="17">
        <v>20250301</v>
      </c>
      <c r="I26" s="17" t="str">
        <f t="shared" si="1"/>
        <v>3/1/2025</v>
      </c>
      <c r="J26" s="17">
        <v>20250201</v>
      </c>
      <c r="K26" s="17" t="str">
        <f t="shared" si="2"/>
        <v>2/1/2025</v>
      </c>
      <c r="L26" s="19" t="s">
        <v>102</v>
      </c>
      <c r="M26" s="21">
        <v>1</v>
      </c>
      <c r="N26" s="17">
        <v>20</v>
      </c>
      <c r="O26" s="22">
        <v>20</v>
      </c>
      <c r="P26" s="15" t="s">
        <v>173</v>
      </c>
    </row>
    <row r="27" spans="1:17" ht="15" customHeight="1" x14ac:dyDescent="0.2">
      <c r="A27" s="15" t="s">
        <v>171</v>
      </c>
      <c r="B27" s="26">
        <v>371819</v>
      </c>
      <c r="C27" s="17">
        <v>1</v>
      </c>
      <c r="D27" s="18">
        <v>928148806</v>
      </c>
      <c r="E27" s="18" t="str">
        <f t="shared" si="0"/>
        <v>9281488065</v>
      </c>
      <c r="F27" s="19" t="s">
        <v>148</v>
      </c>
      <c r="G27" s="19">
        <v>851.95</v>
      </c>
      <c r="H27" s="17">
        <v>20250301</v>
      </c>
      <c r="I27" s="17" t="str">
        <f t="shared" si="1"/>
        <v>3/1/2025</v>
      </c>
      <c r="J27" s="17">
        <v>20250201</v>
      </c>
      <c r="K27" s="17" t="str">
        <f t="shared" si="2"/>
        <v>2/1/2025</v>
      </c>
      <c r="L27" s="19" t="s">
        <v>102</v>
      </c>
      <c r="M27" s="21">
        <v>1</v>
      </c>
      <c r="N27" s="17">
        <v>20</v>
      </c>
      <c r="O27" s="22">
        <v>20</v>
      </c>
      <c r="P27" s="15" t="s">
        <v>173</v>
      </c>
    </row>
    <row r="28" spans="1:17" ht="15" customHeight="1" x14ac:dyDescent="0.2">
      <c r="A28" s="15" t="s">
        <v>171</v>
      </c>
      <c r="B28" s="26">
        <v>371819</v>
      </c>
      <c r="C28" s="17">
        <v>4</v>
      </c>
      <c r="D28" s="18">
        <v>928149001</v>
      </c>
      <c r="E28" s="18" t="str">
        <f t="shared" si="0"/>
        <v>9281490015</v>
      </c>
      <c r="F28" s="19" t="s">
        <v>152</v>
      </c>
      <c r="G28" s="20">
        <v>2198.3200000000002</v>
      </c>
      <c r="H28" s="17">
        <v>20250301</v>
      </c>
      <c r="I28" s="17" t="str">
        <f t="shared" si="1"/>
        <v>3/1/2025</v>
      </c>
      <c r="J28" s="17">
        <v>20250201</v>
      </c>
      <c r="K28" s="17" t="str">
        <f t="shared" si="2"/>
        <v>2/1/2025</v>
      </c>
      <c r="L28" s="19" t="s">
        <v>102</v>
      </c>
      <c r="M28" s="21">
        <v>1</v>
      </c>
      <c r="N28" s="17">
        <v>20</v>
      </c>
      <c r="O28" s="22">
        <v>80</v>
      </c>
      <c r="P28" s="15" t="s">
        <v>173</v>
      </c>
      <c r="Q28" s="30" t="s">
        <v>176</v>
      </c>
    </row>
    <row r="29" spans="1:17" ht="15" customHeight="1" x14ac:dyDescent="0.2">
      <c r="A29" s="15" t="s">
        <v>171</v>
      </c>
      <c r="B29" s="26">
        <v>371819</v>
      </c>
      <c r="C29" s="17">
        <v>1</v>
      </c>
      <c r="D29" s="18">
        <v>928149122</v>
      </c>
      <c r="E29" s="18" t="str">
        <f t="shared" si="0"/>
        <v>9281491225</v>
      </c>
      <c r="F29" s="19" t="s">
        <v>157</v>
      </c>
      <c r="G29" s="20">
        <v>1037.1300000000001</v>
      </c>
      <c r="H29" s="17">
        <v>20250301</v>
      </c>
      <c r="I29" s="17" t="str">
        <f t="shared" si="1"/>
        <v>3/1/2025</v>
      </c>
      <c r="J29" s="17">
        <v>20250201</v>
      </c>
      <c r="K29" s="17" t="str">
        <f t="shared" si="2"/>
        <v>2/1/2025</v>
      </c>
      <c r="L29" s="19" t="s">
        <v>45</v>
      </c>
      <c r="M29" s="21">
        <v>1</v>
      </c>
      <c r="N29" s="17">
        <v>20</v>
      </c>
      <c r="O29" s="22">
        <v>20</v>
      </c>
      <c r="P29" s="15" t="s">
        <v>173</v>
      </c>
    </row>
    <row r="30" spans="1:17" ht="15" customHeight="1" x14ac:dyDescent="0.2">
      <c r="A30" s="15" t="s">
        <v>171</v>
      </c>
      <c r="B30" s="26">
        <v>371819</v>
      </c>
      <c r="C30" s="17">
        <v>1</v>
      </c>
      <c r="D30" s="18">
        <v>928149222</v>
      </c>
      <c r="E30" s="18" t="str">
        <f t="shared" si="0"/>
        <v>9281492225</v>
      </c>
      <c r="F30" s="19" t="s">
        <v>160</v>
      </c>
      <c r="G30" s="19">
        <v>882.48</v>
      </c>
      <c r="H30" s="17">
        <v>20250301</v>
      </c>
      <c r="I30" s="17" t="str">
        <f t="shared" si="1"/>
        <v>3/1/2025</v>
      </c>
      <c r="J30" s="17">
        <v>20250201</v>
      </c>
      <c r="K30" s="17" t="str">
        <f t="shared" si="2"/>
        <v>2/1/2025</v>
      </c>
      <c r="L30" s="19" t="s">
        <v>102</v>
      </c>
      <c r="M30" s="21">
        <v>1</v>
      </c>
      <c r="N30" s="17">
        <v>20</v>
      </c>
      <c r="O30" s="22">
        <v>20</v>
      </c>
      <c r="P30" s="15" t="s">
        <v>173</v>
      </c>
    </row>
    <row r="31" spans="1:17" ht="15" customHeight="1" x14ac:dyDescent="0.2">
      <c r="A31" s="15" t="s">
        <v>171</v>
      </c>
      <c r="B31" s="26">
        <v>371819</v>
      </c>
      <c r="C31" s="17">
        <v>1</v>
      </c>
      <c r="D31" s="18">
        <v>928149327</v>
      </c>
      <c r="E31" s="18" t="str">
        <f t="shared" si="0"/>
        <v>9281493275</v>
      </c>
      <c r="F31" s="19" t="s">
        <v>163</v>
      </c>
      <c r="G31" s="19">
        <v>851.95</v>
      </c>
      <c r="H31" s="17">
        <v>20250301</v>
      </c>
      <c r="I31" s="17" t="str">
        <f t="shared" si="1"/>
        <v>3/1/2025</v>
      </c>
      <c r="J31" s="17">
        <v>20250201</v>
      </c>
      <c r="K31" s="17" t="str">
        <f t="shared" si="2"/>
        <v>2/1/2025</v>
      </c>
      <c r="L31" s="19" t="s">
        <v>102</v>
      </c>
      <c r="M31" s="21">
        <v>1</v>
      </c>
      <c r="N31" s="17">
        <v>20</v>
      </c>
      <c r="O31" s="22">
        <v>20</v>
      </c>
      <c r="P31" s="15" t="s">
        <v>173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8EA9-1D33-4FA9-93AC-84FF06E8AE52}">
  <dimension ref="A1:C29"/>
  <sheetViews>
    <sheetView workbookViewId="0">
      <selection activeCell="C1" sqref="C1:C29"/>
    </sheetView>
  </sheetViews>
  <sheetFormatPr defaultRowHeight="12.75" x14ac:dyDescent="0.2"/>
  <sheetData>
    <row r="1" spans="1:3" x14ac:dyDescent="0.2">
      <c r="A1" s="14">
        <v>107866948</v>
      </c>
      <c r="B1" t="s">
        <v>166</v>
      </c>
      <c r="C1" t="s">
        <v>167</v>
      </c>
    </row>
    <row r="2" spans="1:3" x14ac:dyDescent="0.2">
      <c r="A2" s="14">
        <v>107866948</v>
      </c>
      <c r="B2" t="s">
        <v>166</v>
      </c>
      <c r="C2" t="s">
        <v>167</v>
      </c>
    </row>
    <row r="3" spans="1:3" x14ac:dyDescent="0.2">
      <c r="A3" s="14">
        <v>107866948</v>
      </c>
      <c r="B3" t="s">
        <v>166</v>
      </c>
      <c r="C3" t="s">
        <v>167</v>
      </c>
    </row>
    <row r="4" spans="1:3" x14ac:dyDescent="0.2">
      <c r="A4" s="14">
        <v>107866948</v>
      </c>
      <c r="B4" t="s">
        <v>166</v>
      </c>
      <c r="C4" t="s">
        <v>167</v>
      </c>
    </row>
    <row r="5" spans="1:3" x14ac:dyDescent="0.2">
      <c r="A5" s="14">
        <v>107879366</v>
      </c>
      <c r="B5" t="s">
        <v>166</v>
      </c>
      <c r="C5" t="s">
        <v>168</v>
      </c>
    </row>
    <row r="6" spans="1:3" x14ac:dyDescent="0.2">
      <c r="A6" s="14">
        <v>107879366</v>
      </c>
      <c r="B6" t="s">
        <v>166</v>
      </c>
      <c r="C6" t="s">
        <v>168</v>
      </c>
    </row>
    <row r="7" spans="1:3" x14ac:dyDescent="0.2">
      <c r="A7" s="14">
        <v>107879366</v>
      </c>
      <c r="B7" t="s">
        <v>166</v>
      </c>
      <c r="C7" t="s">
        <v>168</v>
      </c>
    </row>
    <row r="8" spans="1:3" x14ac:dyDescent="0.2">
      <c r="A8" s="14">
        <v>107944689</v>
      </c>
      <c r="B8" t="s">
        <v>166</v>
      </c>
      <c r="C8" t="s">
        <v>169</v>
      </c>
    </row>
    <row r="9" spans="1:3" x14ac:dyDescent="0.2">
      <c r="A9" s="14">
        <v>107949125</v>
      </c>
      <c r="B9" t="s">
        <v>166</v>
      </c>
      <c r="C9" t="s">
        <v>170</v>
      </c>
    </row>
    <row r="10" spans="1:3" x14ac:dyDescent="0.2">
      <c r="A10" s="14">
        <v>107952427</v>
      </c>
      <c r="B10" t="s">
        <v>166</v>
      </c>
      <c r="C10" t="s">
        <v>171</v>
      </c>
    </row>
    <row r="11" spans="1:3" x14ac:dyDescent="0.2">
      <c r="A11" s="14">
        <v>107952427</v>
      </c>
      <c r="B11" t="s">
        <v>166</v>
      </c>
      <c r="C11" t="s">
        <v>171</v>
      </c>
    </row>
    <row r="12" spans="1:3" x14ac:dyDescent="0.2">
      <c r="A12" s="14">
        <v>107952427</v>
      </c>
      <c r="B12" t="s">
        <v>166</v>
      </c>
      <c r="C12" t="s">
        <v>171</v>
      </c>
    </row>
    <row r="13" spans="1:3" x14ac:dyDescent="0.2">
      <c r="A13" s="14">
        <v>107952427</v>
      </c>
      <c r="B13" t="s">
        <v>166</v>
      </c>
      <c r="C13" t="s">
        <v>171</v>
      </c>
    </row>
    <row r="14" spans="1:3" x14ac:dyDescent="0.2">
      <c r="A14" s="14">
        <v>107952427</v>
      </c>
      <c r="B14" t="s">
        <v>166</v>
      </c>
      <c r="C14" t="s">
        <v>171</v>
      </c>
    </row>
    <row r="15" spans="1:3" x14ac:dyDescent="0.2">
      <c r="A15" s="14">
        <v>107952427</v>
      </c>
      <c r="B15" t="s">
        <v>166</v>
      </c>
      <c r="C15" t="s">
        <v>171</v>
      </c>
    </row>
    <row r="16" spans="1:3" x14ac:dyDescent="0.2">
      <c r="A16" s="14">
        <v>107952427</v>
      </c>
      <c r="B16" t="s">
        <v>166</v>
      </c>
      <c r="C16" t="s">
        <v>171</v>
      </c>
    </row>
    <row r="17" spans="1:3" x14ac:dyDescent="0.2">
      <c r="A17" s="14">
        <v>107952427</v>
      </c>
      <c r="B17" t="s">
        <v>166</v>
      </c>
      <c r="C17" t="s">
        <v>171</v>
      </c>
    </row>
    <row r="18" spans="1:3" x14ac:dyDescent="0.2">
      <c r="A18" s="14">
        <v>107952427</v>
      </c>
      <c r="B18" t="s">
        <v>166</v>
      </c>
      <c r="C18" t="s">
        <v>171</v>
      </c>
    </row>
    <row r="19" spans="1:3" x14ac:dyDescent="0.2">
      <c r="A19" s="14">
        <v>107952427</v>
      </c>
      <c r="B19" t="s">
        <v>166</v>
      </c>
      <c r="C19" t="s">
        <v>171</v>
      </c>
    </row>
    <row r="20" spans="1:3" x14ac:dyDescent="0.2">
      <c r="A20" s="14">
        <v>107952427</v>
      </c>
      <c r="B20" t="s">
        <v>166</v>
      </c>
      <c r="C20" t="s">
        <v>171</v>
      </c>
    </row>
    <row r="21" spans="1:3" x14ac:dyDescent="0.2">
      <c r="A21" s="14">
        <v>107952427</v>
      </c>
      <c r="B21" t="s">
        <v>166</v>
      </c>
      <c r="C21" t="s">
        <v>171</v>
      </c>
    </row>
    <row r="22" spans="1:3" x14ac:dyDescent="0.2">
      <c r="A22" s="14">
        <v>107952427</v>
      </c>
      <c r="B22" t="s">
        <v>166</v>
      </c>
      <c r="C22" t="s">
        <v>171</v>
      </c>
    </row>
    <row r="23" spans="1:3" x14ac:dyDescent="0.2">
      <c r="A23" s="14">
        <v>107952427</v>
      </c>
      <c r="B23" t="s">
        <v>166</v>
      </c>
      <c r="C23" t="s">
        <v>171</v>
      </c>
    </row>
    <row r="24" spans="1:3" x14ac:dyDescent="0.2">
      <c r="A24" s="14">
        <v>107952427</v>
      </c>
      <c r="B24" t="s">
        <v>166</v>
      </c>
      <c r="C24" t="s">
        <v>171</v>
      </c>
    </row>
    <row r="25" spans="1:3" x14ac:dyDescent="0.2">
      <c r="A25" s="14">
        <v>107952427</v>
      </c>
      <c r="B25" t="s">
        <v>166</v>
      </c>
      <c r="C25" t="s">
        <v>171</v>
      </c>
    </row>
    <row r="26" spans="1:3" x14ac:dyDescent="0.2">
      <c r="A26" s="14">
        <v>107952427</v>
      </c>
      <c r="B26" t="s">
        <v>166</v>
      </c>
      <c r="C26" t="s">
        <v>171</v>
      </c>
    </row>
    <row r="27" spans="1:3" x14ac:dyDescent="0.2">
      <c r="A27" s="14">
        <v>107952427</v>
      </c>
      <c r="B27" t="s">
        <v>166</v>
      </c>
      <c r="C27" t="s">
        <v>171</v>
      </c>
    </row>
    <row r="28" spans="1:3" x14ac:dyDescent="0.2">
      <c r="A28" s="14">
        <v>107952427</v>
      </c>
      <c r="B28" t="s">
        <v>166</v>
      </c>
      <c r="C28" t="s">
        <v>171</v>
      </c>
    </row>
    <row r="29" spans="1:3" x14ac:dyDescent="0.2">
      <c r="A29" s="14">
        <v>107952427</v>
      </c>
      <c r="B29" t="s">
        <v>166</v>
      </c>
      <c r="C2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2025-02-19T17:51:45Z</dcterms:created>
  <dcterms:modified xsi:type="dcterms:W3CDTF">2025-02-25T16:15:24Z</dcterms:modified>
</cp:coreProperties>
</file>