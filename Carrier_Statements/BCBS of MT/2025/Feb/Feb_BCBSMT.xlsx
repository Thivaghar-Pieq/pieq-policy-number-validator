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3-19-25\"/>
    </mc:Choice>
  </mc:AlternateContent>
  <xr:revisionPtr revIDLastSave="0" documentId="13_ncr:1_{8B9FB34D-80B9-4797-AAA0-89D58340285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4" i="2"/>
  <c r="I5" i="2"/>
  <c r="I6" i="2"/>
  <c r="I7" i="2"/>
  <c r="I8" i="2"/>
  <c r="I9" i="2"/>
  <c r="I10" i="2"/>
  <c r="I19" i="2"/>
  <c r="I33" i="2"/>
  <c r="I34" i="2"/>
  <c r="I35" i="2"/>
  <c r="I36" i="2"/>
  <c r="I30" i="2"/>
  <c r="I26" i="2"/>
  <c r="I27" i="2"/>
  <c r="I31" i="2"/>
  <c r="I32" i="2"/>
  <c r="I28" i="2"/>
  <c r="I29" i="2"/>
  <c r="I20" i="2"/>
  <c r="I21" i="2"/>
  <c r="I22" i="2"/>
  <c r="I23" i="2"/>
  <c r="I24" i="2"/>
  <c r="I25" i="2"/>
  <c r="I11" i="2"/>
  <c r="I12" i="2"/>
  <c r="I13" i="2"/>
  <c r="I14" i="2"/>
  <c r="I15" i="2"/>
  <c r="I16" i="2"/>
  <c r="I17" i="2"/>
  <c r="I18" i="2"/>
  <c r="I4" i="2"/>
  <c r="K5" i="2"/>
  <c r="K6" i="2"/>
  <c r="K7" i="2"/>
  <c r="K8" i="2"/>
  <c r="K9" i="2"/>
  <c r="K10" i="2"/>
  <c r="K19" i="2"/>
  <c r="K33" i="2"/>
  <c r="K34" i="2"/>
  <c r="K35" i="2"/>
  <c r="K36" i="2"/>
  <c r="K30" i="2"/>
  <c r="K26" i="2"/>
  <c r="K27" i="2"/>
  <c r="K31" i="2"/>
  <c r="K32" i="2"/>
  <c r="K28" i="2"/>
  <c r="K29" i="2"/>
  <c r="K20" i="2"/>
  <c r="K21" i="2"/>
  <c r="K22" i="2"/>
  <c r="K23" i="2"/>
  <c r="K24" i="2"/>
  <c r="K25" i="2"/>
  <c r="K11" i="2"/>
  <c r="K12" i="2"/>
  <c r="K13" i="2"/>
  <c r="K14" i="2"/>
  <c r="K15" i="2"/>
  <c r="K16" i="2"/>
  <c r="K17" i="2"/>
  <c r="K18" i="2"/>
  <c r="K4" i="2"/>
</calcChain>
</file>

<file path=xl/sharedStrings.xml><?xml version="1.0" encoding="utf-8"?>
<sst xmlns="http://schemas.openxmlformats.org/spreadsheetml/2006/main" count="934" uniqueCount="192">
  <si>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</si>
  <si>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</si>
  <si>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</si>
  <si>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</si>
  <si>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</si>
  <si>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</si>
  <si>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</si>
  <si>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</si>
  <si>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February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</si>
  <si>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</si>
  <si>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</si>
  <si>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</si>
  <si>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</si>
  <si>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</si>
  <si>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</si>
  <si>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</si>
  <si>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</si>
  <si>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</si>
  <si>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</si>
  <si>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</si>
  <si>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</si>
  <si>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</si>
  <si>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</si>
  <si>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</si>
  <si>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</si>
  <si>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</si>
  <si>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</si>
  <si>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</si>
  <si>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</si>
  <si>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</si>
  <si>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</si>
  <si>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</si>
  <si>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</si>
  <si>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</si>
  <si>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</si>
  <si>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</si>
  <si>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</si>
  <si>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</si>
  <si>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</si>
  <si>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</si>
  <si>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</si>
  <si>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</si>
  <si>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20250401</t>
  </si>
  <si>
    <t>20240101</t>
  </si>
  <si>
    <t>015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</si>
  <si>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</si>
  <si>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</si>
  <si>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</si>
  <si>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</si>
  <si>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</si>
  <si>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</si>
  <si>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</si>
  <si>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</si>
  <si>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</si>
  <si>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</si>
  <si>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</si>
  <si>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</si>
  <si>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</si>
  <si>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</si>
  <si>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</si>
  <si>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</si>
  <si>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</si>
  <si>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</si>
  <si>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</si>
  <si>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008</t>
  </si>
  <si>
    <t>000,060.00</t>
  </si>
  <si>
    <t>000928142523</t>
  </si>
  <si>
    <t>ANDERSON, WENDY</t>
  </si>
  <si>
    <t>001,043.33</t>
  </si>
  <si>
    <t>20250101</t>
  </si>
  <si>
    <t>003</t>
  </si>
  <si>
    <t>107879366-SU-MICHELA ROZMAN</t>
  </si>
  <si>
    <t>MB1903</t>
  </si>
  <si>
    <t>000928116889</t>
  </si>
  <si>
    <t>BICKLER, TIMOTHY</t>
  </si>
  <si>
    <t>000,706.01</t>
  </si>
  <si>
    <t>20220501</t>
  </si>
  <si>
    <t>035</t>
  </si>
  <si>
    <t>107879366</t>
  </si>
  <si>
    <t>107944689-SU-JOEL N LEE</t>
  </si>
  <si>
    <t>000928132686</t>
  </si>
  <si>
    <t>BOYD, TYLER</t>
  </si>
  <si>
    <t>000,430.56</t>
  </si>
  <si>
    <t>107944689</t>
  </si>
  <si>
    <t>107949125-SU-JONATHAN ALOFF</t>
  </si>
  <si>
    <t>000928141308</t>
  </si>
  <si>
    <t>LOFF, MARK</t>
  </si>
  <si>
    <t>002,140.42</t>
  </si>
  <si>
    <t>20241001</t>
  </si>
  <si>
    <t>006</t>
  </si>
  <si>
    <t>107949125</t>
  </si>
  <si>
    <t>107952427-SU-THOMAS PARDUE</t>
  </si>
  <si>
    <t>MB1900</t>
  </si>
  <si>
    <t>000928093609</t>
  </si>
  <si>
    <t>BRADLEY, SHANNON</t>
  </si>
  <si>
    <t>000,770.69</t>
  </si>
  <si>
    <t>20250201</t>
  </si>
  <si>
    <t>002</t>
  </si>
  <si>
    <t>PPO</t>
  </si>
  <si>
    <t>107952427</t>
  </si>
  <si>
    <t>000928101630</t>
  </si>
  <si>
    <t>BLACKIE, IRVIN</t>
  </si>
  <si>
    <t>000,842.17</t>
  </si>
  <si>
    <t>20240401</t>
  </si>
  <si>
    <t>012</t>
  </si>
  <si>
    <t>MB1901</t>
  </si>
  <si>
    <t>000928101904</t>
  </si>
  <si>
    <t>GILROY, WALTER</t>
  </si>
  <si>
    <t>000,930.96</t>
  </si>
  <si>
    <t>000928131718</t>
  </si>
  <si>
    <t>MARTIN, LUCINDA</t>
  </si>
  <si>
    <t>000,744.21</t>
  </si>
  <si>
    <t>MB1303</t>
  </si>
  <si>
    <t>000928131795</t>
  </si>
  <si>
    <t>TAKES HORSE, PIUS</t>
  </si>
  <si>
    <t>000,673.07</t>
  </si>
  <si>
    <t>000928143304</t>
  </si>
  <si>
    <t>SORKNESS, KIMBERLY</t>
  </si>
  <si>
    <t>000,459.46</t>
  </si>
  <si>
    <t>20241201</t>
  </si>
  <si>
    <t>004</t>
  </si>
  <si>
    <t>000928144933</t>
  </si>
  <si>
    <t>MEDICINETOP, JOHNNY</t>
  </si>
  <si>
    <t>000,473.00</t>
  </si>
  <si>
    <t>000928145593</t>
  </si>
  <si>
    <t>MCCOLLUM, BOWEN LEE</t>
  </si>
  <si>
    <t>000,424.93</t>
  </si>
  <si>
    <t>000928146255</t>
  </si>
  <si>
    <t>DECOCK, RICKY</t>
  </si>
  <si>
    <t>001,189.72</t>
  </si>
  <si>
    <t>20250301</t>
  </si>
  <si>
    <t>000928146493</t>
  </si>
  <si>
    <t>RUNNINGFISHER, YOUNGBILL</t>
  </si>
  <si>
    <t>001,333.19</t>
  </si>
  <si>
    <t>MB1301</t>
  </si>
  <si>
    <t>000928146737</t>
  </si>
  <si>
    <t>SPOTTEDBEAR, JESSEY</t>
  </si>
  <si>
    <t>001,218.75</t>
  </si>
  <si>
    <t>000928148102</t>
  </si>
  <si>
    <t>AZURE, JESSIE</t>
  </si>
  <si>
    <t>001,038.70</t>
  </si>
  <si>
    <t>000928148806</t>
  </si>
  <si>
    <t>TORRALBA, TONY</t>
  </si>
  <si>
    <t>000,851.95</t>
  </si>
  <si>
    <t>4</t>
  </si>
  <si>
    <t>000928149001</t>
  </si>
  <si>
    <t>PLAINFEATHER, BENITA</t>
  </si>
  <si>
    <t>002,198.32</t>
  </si>
  <si>
    <t>000,080.00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</si>
  <si>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</si>
  <si>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</si>
  <si>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</si>
  <si>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</si>
  <si>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</si>
  <si>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</si>
  <si>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</si>
  <si>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</si>
  <si>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</si>
  <si>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000928149842</t>
  </si>
  <si>
    <t>PLAINFEATHER, LEVI</t>
  </si>
  <si>
    <t>000,521.26</t>
  </si>
  <si>
    <t>001</t>
  </si>
  <si>
    <t>000928149844</t>
  </si>
  <si>
    <t>JEFFERSON, RYAN</t>
  </si>
  <si>
    <t>000,444.01</t>
  </si>
  <si>
    <t>000928149870</t>
  </si>
  <si>
    <t>BUCK, KELLEY</t>
  </si>
  <si>
    <t>001,090.84</t>
  </si>
  <si>
    <t>000928150112</t>
  </si>
  <si>
    <t>HUNTER, TINA</t>
  </si>
  <si>
    <t>000,991.53</t>
  </si>
  <si>
    <t>000928150140</t>
  </si>
  <si>
    <t>DONEY, ALBERT</t>
  </si>
  <si>
    <t>000928150209</t>
  </si>
  <si>
    <t>LAFORGE DUST, LILLY</t>
  </si>
  <si>
    <t>000,267.16</t>
  </si>
  <si>
    <t>000928150250</t>
  </si>
  <si>
    <t>LAFORGE DUST, JOSIAH</t>
  </si>
  <si>
    <t>000,399.59</t>
  </si>
  <si>
    <t>000928150320</t>
  </si>
  <si>
    <t>HENRY, BRANDI</t>
  </si>
  <si>
    <t>000,669.48</t>
  </si>
  <si>
    <t>GREGORY K TEIPEL</t>
  </si>
  <si>
    <t>MICHELA ROZMAN</t>
  </si>
  <si>
    <t>JOEL N LEE</t>
  </si>
  <si>
    <t>JONATHAN ALOFF</t>
  </si>
  <si>
    <t>THOMAS PARDUE</t>
  </si>
  <si>
    <t>371819Street</t>
  </si>
  <si>
    <t>BCBS of MT 2025</t>
  </si>
  <si>
    <t>[PMPM=2]</t>
  </si>
  <si>
    <t>[PMPM=3]</t>
  </si>
  <si>
    <t>[PMPM=4]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</si>
</sst>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  <xf numFmtId="8" fontId="6" fillId="0" borderId="0" xfId="0" applyNumberFormat="1" applyFont="1" applyAlignment="1">
      <alignment horizontal="left" vertical="top"/>
    </xf>
    <xf numFmtId="0" fontId="5" fillId="3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51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53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56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58</v>
      </c>
      <c r="L19" s="4" t="s">
        <v>59</v>
      </c>
      <c r="N19" s="13" t="s">
        <v>60</v>
      </c>
      <c r="O19" s="13"/>
      <c r="P19" s="13" t="s">
        <v>61</v>
      </c>
      <c r="Q19" s="13"/>
      <c r="R19" s="13"/>
      <c r="S19" s="3" t="s">
        <v>40</v>
      </c>
      <c r="T19" s="13" t="s">
        <v>62</v>
      </c>
      <c r="U19" s="13"/>
      <c r="V19" s="4" t="s">
        <v>42</v>
      </c>
      <c r="W19" s="4" t="s">
        <v>63</v>
      </c>
      <c r="X19" s="4" t="s">
        <v>64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36</v>
      </c>
      <c r="L20" s="4" t="s">
        <v>53</v>
      </c>
      <c r="N20" s="13" t="s">
        <v>66</v>
      </c>
      <c r="O20" s="13"/>
      <c r="P20" s="13" t="s">
        <v>67</v>
      </c>
      <c r="Q20" s="13"/>
      <c r="R20" s="13"/>
      <c r="S20" s="3" t="s">
        <v>40</v>
      </c>
      <c r="T20" s="13" t="s">
        <v>68</v>
      </c>
      <c r="U20" s="13"/>
      <c r="V20" s="4" t="s">
        <v>42</v>
      </c>
      <c r="W20" s="4" t="s">
        <v>69</v>
      </c>
      <c r="X20" s="4" t="s">
        <v>70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71</v>
      </c>
      <c r="H21" s="13"/>
      <c r="I21" s="13"/>
      <c r="J21" s="3" t="s">
        <v>35</v>
      </c>
      <c r="K21" s="4" t="s">
        <v>72</v>
      </c>
      <c r="L21" s="4" t="s">
        <v>53</v>
      </c>
      <c r="N21" s="13" t="s">
        <v>73</v>
      </c>
      <c r="O21" s="13"/>
      <c r="P21" s="13" t="s">
        <v>74</v>
      </c>
      <c r="Q21" s="13"/>
      <c r="R21" s="13"/>
      <c r="S21" s="3" t="s">
        <v>40</v>
      </c>
      <c r="T21" s="13" t="s">
        <v>75</v>
      </c>
      <c r="U21" s="13"/>
      <c r="V21" s="4" t="s">
        <v>42</v>
      </c>
      <c r="W21" s="4" t="s">
        <v>76</v>
      </c>
      <c r="X21" s="4" t="s">
        <v>77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57</v>
      </c>
      <c r="AE21" s="4" t="s">
        <v>50</v>
      </c>
      <c r="AF21" s="4" t="s">
        <v>51</v>
      </c>
      <c r="AG21" s="4" t="s">
        <v>78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79</v>
      </c>
      <c r="H22" s="13"/>
      <c r="I22" s="13"/>
      <c r="J22" s="3" t="s">
        <v>35</v>
      </c>
      <c r="K22" s="4" t="s">
        <v>36</v>
      </c>
      <c r="L22" s="4" t="s">
        <v>53</v>
      </c>
      <c r="N22" s="13" t="s">
        <v>80</v>
      </c>
      <c r="O22" s="13"/>
      <c r="P22" s="13" t="s">
        <v>81</v>
      </c>
      <c r="Q22" s="13"/>
      <c r="R22" s="13"/>
      <c r="S22" s="3" t="s">
        <v>40</v>
      </c>
      <c r="T22" s="13" t="s">
        <v>82</v>
      </c>
      <c r="U22" s="13"/>
      <c r="V22" s="4" t="s">
        <v>42</v>
      </c>
      <c r="W22" s="4" t="s">
        <v>43</v>
      </c>
      <c r="X22" s="4" t="s">
        <v>44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57</v>
      </c>
      <c r="AE22" s="4" t="s">
        <v>50</v>
      </c>
      <c r="AF22" s="4" t="s">
        <v>51</v>
      </c>
      <c r="AG22" s="4" t="s">
        <v>83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84</v>
      </c>
      <c r="H23" s="13"/>
      <c r="I23" s="13"/>
      <c r="J23" s="3" t="s">
        <v>35</v>
      </c>
      <c r="K23" s="4" t="s">
        <v>72</v>
      </c>
      <c r="L23" s="4" t="s">
        <v>37</v>
      </c>
      <c r="N23" s="13" t="s">
        <v>85</v>
      </c>
      <c r="O23" s="13"/>
      <c r="P23" s="13" t="s">
        <v>86</v>
      </c>
      <c r="Q23" s="13"/>
      <c r="R23" s="13"/>
      <c r="S23" s="3" t="s">
        <v>40</v>
      </c>
      <c r="T23" s="13" t="s">
        <v>87</v>
      </c>
      <c r="U23" s="13"/>
      <c r="V23" s="4" t="s">
        <v>42</v>
      </c>
      <c r="W23" s="4" t="s">
        <v>88</v>
      </c>
      <c r="X23" s="4" t="s">
        <v>89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51</v>
      </c>
      <c r="AG23" s="4" t="s">
        <v>90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91</v>
      </c>
      <c r="H24" s="13"/>
      <c r="I24" s="13"/>
      <c r="J24" s="3" t="s">
        <v>35</v>
      </c>
      <c r="K24" s="4" t="s">
        <v>92</v>
      </c>
      <c r="L24" s="4" t="s">
        <v>53</v>
      </c>
      <c r="N24" s="13" t="s">
        <v>93</v>
      </c>
      <c r="O24" s="13"/>
      <c r="P24" s="13" t="s">
        <v>94</v>
      </c>
      <c r="Q24" s="13"/>
      <c r="R24" s="13"/>
      <c r="S24" s="3" t="s">
        <v>40</v>
      </c>
      <c r="T24" s="13" t="s">
        <v>95</v>
      </c>
      <c r="U24" s="13"/>
      <c r="V24" s="4" t="s">
        <v>42</v>
      </c>
      <c r="W24" s="4" t="s">
        <v>96</v>
      </c>
      <c r="X24" s="4" t="s">
        <v>97</v>
      </c>
      <c r="Y24" s="13" t="s">
        <v>98</v>
      </c>
      <c r="Z24" s="13"/>
      <c r="AA24" s="4" t="s">
        <v>46</v>
      </c>
      <c r="AB24" s="4" t="s">
        <v>47</v>
      </c>
      <c r="AC24" s="4" t="s">
        <v>48</v>
      </c>
      <c r="AD24" s="4" t="s">
        <v>57</v>
      </c>
      <c r="AE24" s="4" t="s">
        <v>50</v>
      </c>
      <c r="AF24" s="4" t="s">
        <v>51</v>
      </c>
      <c r="AG24" s="4" t="s">
        <v>99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91</v>
      </c>
      <c r="H25" s="13"/>
      <c r="I25" s="13"/>
      <c r="J25" s="3" t="s">
        <v>35</v>
      </c>
      <c r="K25" s="4" t="s">
        <v>92</v>
      </c>
      <c r="L25" s="4" t="s">
        <v>53</v>
      </c>
      <c r="N25" s="13" t="s">
        <v>100</v>
      </c>
      <c r="O25" s="13"/>
      <c r="P25" s="13" t="s">
        <v>101</v>
      </c>
      <c r="Q25" s="13"/>
      <c r="R25" s="13"/>
      <c r="S25" s="3" t="s">
        <v>40</v>
      </c>
      <c r="T25" s="13" t="s">
        <v>102</v>
      </c>
      <c r="U25" s="13"/>
      <c r="V25" s="4" t="s">
        <v>42</v>
      </c>
      <c r="W25" s="4" t="s">
        <v>103</v>
      </c>
      <c r="X25" s="4" t="s">
        <v>104</v>
      </c>
      <c r="Y25" s="13" t="s">
        <v>98</v>
      </c>
      <c r="Z25" s="13"/>
      <c r="AA25" s="4" t="s">
        <v>46</v>
      </c>
      <c r="AB25" s="4" t="s">
        <v>47</v>
      </c>
      <c r="AC25" s="4" t="s">
        <v>48</v>
      </c>
      <c r="AD25" s="4" t="s">
        <v>57</v>
      </c>
      <c r="AE25" s="4" t="s">
        <v>50</v>
      </c>
      <c r="AF25" s="4" t="s">
        <v>51</v>
      </c>
      <c r="AG25" s="4" t="s">
        <v>99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91</v>
      </c>
      <c r="H26" s="13"/>
      <c r="I26" s="13"/>
      <c r="J26" s="3" t="s">
        <v>35</v>
      </c>
      <c r="K26" s="4" t="s">
        <v>105</v>
      </c>
      <c r="L26" s="4" t="s">
        <v>53</v>
      </c>
      <c r="N26" s="13" t="s">
        <v>106</v>
      </c>
      <c r="O26" s="13"/>
      <c r="P26" s="13" t="s">
        <v>107</v>
      </c>
      <c r="Q26" s="13"/>
      <c r="R26" s="13"/>
      <c r="S26" s="3" t="s">
        <v>40</v>
      </c>
      <c r="T26" s="13" t="s">
        <v>108</v>
      </c>
      <c r="U26" s="13"/>
      <c r="V26" s="4" t="s">
        <v>42</v>
      </c>
      <c r="W26" s="4" t="s">
        <v>43</v>
      </c>
      <c r="X26" s="4" t="s">
        <v>44</v>
      </c>
      <c r="Y26" s="13" t="s">
        <v>98</v>
      </c>
      <c r="Z26" s="13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99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91</v>
      </c>
      <c r="H27" s="13"/>
      <c r="I27" s="13"/>
      <c r="J27" s="3" t="s">
        <v>35</v>
      </c>
      <c r="K27" s="4" t="s">
        <v>105</v>
      </c>
      <c r="L27" s="4" t="s">
        <v>53</v>
      </c>
      <c r="N27" s="13" t="s">
        <v>109</v>
      </c>
      <c r="O27" s="13"/>
      <c r="P27" s="13" t="s">
        <v>110</v>
      </c>
      <c r="Q27" s="13"/>
      <c r="R27" s="13"/>
      <c r="S27" s="3" t="s">
        <v>40</v>
      </c>
      <c r="T27" s="13" t="s">
        <v>111</v>
      </c>
      <c r="U27" s="13"/>
      <c r="V27" s="4" t="s">
        <v>42</v>
      </c>
      <c r="W27" s="4" t="s">
        <v>43</v>
      </c>
      <c r="X27" s="4" t="s">
        <v>44</v>
      </c>
      <c r="Y27" s="13" t="s">
        <v>98</v>
      </c>
      <c r="Z27" s="13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99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91</v>
      </c>
      <c r="H28" s="13"/>
      <c r="I28" s="13"/>
      <c r="J28" s="3" t="s">
        <v>35</v>
      </c>
      <c r="K28" s="4" t="s">
        <v>112</v>
      </c>
      <c r="L28" s="4" t="s">
        <v>37</v>
      </c>
      <c r="N28" s="13" t="s">
        <v>113</v>
      </c>
      <c r="O28" s="13"/>
      <c r="P28" s="13" t="s">
        <v>114</v>
      </c>
      <c r="Q28" s="13"/>
      <c r="R28" s="13"/>
      <c r="S28" s="3" t="s">
        <v>40</v>
      </c>
      <c r="T28" s="13" t="s">
        <v>115</v>
      </c>
      <c r="U28" s="13"/>
      <c r="V28" s="4" t="s">
        <v>42</v>
      </c>
      <c r="W28" s="4" t="s">
        <v>43</v>
      </c>
      <c r="X28" s="4" t="s">
        <v>44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51</v>
      </c>
      <c r="AG28" s="4" t="s">
        <v>99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91</v>
      </c>
      <c r="H29" s="13"/>
      <c r="I29" s="13"/>
      <c r="J29" s="3" t="s">
        <v>35</v>
      </c>
      <c r="K29" s="4" t="s">
        <v>72</v>
      </c>
      <c r="L29" s="4" t="s">
        <v>53</v>
      </c>
      <c r="N29" s="13" t="s">
        <v>116</v>
      </c>
      <c r="O29" s="13"/>
      <c r="P29" s="13" t="s">
        <v>117</v>
      </c>
      <c r="Q29" s="13"/>
      <c r="R29" s="13"/>
      <c r="S29" s="3" t="s">
        <v>40</v>
      </c>
      <c r="T29" s="13" t="s">
        <v>118</v>
      </c>
      <c r="U29" s="13"/>
      <c r="V29" s="4" t="s">
        <v>42</v>
      </c>
      <c r="W29" s="4" t="s">
        <v>119</v>
      </c>
      <c r="X29" s="4" t="s">
        <v>120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57</v>
      </c>
      <c r="AE29" s="4" t="s">
        <v>50</v>
      </c>
      <c r="AF29" s="4" t="s">
        <v>51</v>
      </c>
      <c r="AG29" s="4" t="s">
        <v>99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91</v>
      </c>
      <c r="H30" s="13"/>
      <c r="I30" s="13"/>
      <c r="J30" s="3" t="s">
        <v>35</v>
      </c>
      <c r="K30" s="4" t="s">
        <v>72</v>
      </c>
      <c r="L30" s="4" t="s">
        <v>53</v>
      </c>
      <c r="N30" s="13" t="s">
        <v>121</v>
      </c>
      <c r="O30" s="13"/>
      <c r="P30" s="13" t="s">
        <v>122</v>
      </c>
      <c r="Q30" s="13"/>
      <c r="R30" s="13"/>
      <c r="S30" s="3" t="s">
        <v>40</v>
      </c>
      <c r="T30" s="13" t="s">
        <v>123</v>
      </c>
      <c r="U30" s="13"/>
      <c r="V30" s="4" t="s">
        <v>42</v>
      </c>
      <c r="W30" s="4" t="s">
        <v>69</v>
      </c>
      <c r="X30" s="4" t="s">
        <v>70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99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91</v>
      </c>
      <c r="H31" s="13"/>
      <c r="I31" s="13"/>
      <c r="J31" s="3" t="s">
        <v>35</v>
      </c>
      <c r="K31" s="4" t="s">
        <v>112</v>
      </c>
      <c r="L31" s="4" t="s">
        <v>37</v>
      </c>
      <c r="N31" s="13" t="s">
        <v>124</v>
      </c>
      <c r="O31" s="13"/>
      <c r="P31" s="13" t="s">
        <v>125</v>
      </c>
      <c r="Q31" s="13"/>
      <c r="R31" s="13"/>
      <c r="S31" s="3" t="s">
        <v>40</v>
      </c>
      <c r="T31" s="13" t="s">
        <v>126</v>
      </c>
      <c r="U31" s="13"/>
      <c r="V31" s="4" t="s">
        <v>42</v>
      </c>
      <c r="W31" s="4" t="s">
        <v>69</v>
      </c>
      <c r="X31" s="4" t="s">
        <v>70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51</v>
      </c>
      <c r="AG31" s="4" t="s">
        <v>99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91</v>
      </c>
      <c r="H32" s="13"/>
      <c r="I32" s="13"/>
      <c r="J32" s="3" t="s">
        <v>35</v>
      </c>
      <c r="K32" s="4" t="s">
        <v>58</v>
      </c>
      <c r="L32" s="4" t="s">
        <v>37</v>
      </c>
      <c r="N32" s="13" t="s">
        <v>127</v>
      </c>
      <c r="O32" s="13"/>
      <c r="P32" s="13" t="s">
        <v>128</v>
      </c>
      <c r="Q32" s="13"/>
      <c r="R32" s="13"/>
      <c r="S32" s="3" t="s">
        <v>40</v>
      </c>
      <c r="T32" s="13" t="s">
        <v>129</v>
      </c>
      <c r="U32" s="13"/>
      <c r="V32" s="4" t="s">
        <v>42</v>
      </c>
      <c r="W32" s="4" t="s">
        <v>119</v>
      </c>
      <c r="X32" s="4" t="s">
        <v>120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49</v>
      </c>
      <c r="AE32" s="4" t="s">
        <v>50</v>
      </c>
      <c r="AF32" s="4" t="s">
        <v>51</v>
      </c>
      <c r="AG32" s="4" t="s">
        <v>99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91</v>
      </c>
      <c r="H33" s="13"/>
      <c r="I33" s="13"/>
      <c r="J33" s="3" t="s">
        <v>35</v>
      </c>
      <c r="K33" s="4" t="s">
        <v>58</v>
      </c>
      <c r="L33" s="4" t="s">
        <v>37</v>
      </c>
      <c r="N33" s="13" t="s">
        <v>127</v>
      </c>
      <c r="O33" s="13"/>
      <c r="P33" s="13" t="s">
        <v>128</v>
      </c>
      <c r="Q33" s="13"/>
      <c r="R33" s="13"/>
      <c r="S33" s="3" t="s">
        <v>40</v>
      </c>
      <c r="T33" s="13" t="s">
        <v>129</v>
      </c>
      <c r="U33" s="13"/>
      <c r="V33" s="4" t="s">
        <v>130</v>
      </c>
      <c r="W33" s="4" t="s">
        <v>119</v>
      </c>
      <c r="X33" s="4" t="s">
        <v>70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49</v>
      </c>
      <c r="AE33" s="4" t="s">
        <v>50</v>
      </c>
      <c r="AF33" s="4" t="s">
        <v>51</v>
      </c>
      <c r="AG33" s="4" t="s">
        <v>99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91</v>
      </c>
      <c r="H34" s="13"/>
      <c r="I34" s="13"/>
      <c r="J34" s="3" t="s">
        <v>35</v>
      </c>
      <c r="K34" s="4" t="s">
        <v>105</v>
      </c>
      <c r="L34" s="4" t="s">
        <v>37</v>
      </c>
      <c r="N34" s="13" t="s">
        <v>131</v>
      </c>
      <c r="O34" s="13"/>
      <c r="P34" s="13" t="s">
        <v>132</v>
      </c>
      <c r="Q34" s="13"/>
      <c r="R34" s="13"/>
      <c r="S34" s="3" t="s">
        <v>40</v>
      </c>
      <c r="T34" s="13" t="s">
        <v>133</v>
      </c>
      <c r="U34" s="13"/>
      <c r="V34" s="4" t="s">
        <v>42</v>
      </c>
      <c r="W34" s="4" t="s">
        <v>69</v>
      </c>
      <c r="X34" s="4" t="s">
        <v>70</v>
      </c>
      <c r="Y34" s="13" t="s">
        <v>98</v>
      </c>
      <c r="Z34" s="13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51</v>
      </c>
      <c r="AG34" s="4" t="s">
        <v>99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91</v>
      </c>
      <c r="H35" s="13"/>
      <c r="I35" s="13"/>
      <c r="J35" s="3" t="s">
        <v>35</v>
      </c>
      <c r="K35" s="4" t="s">
        <v>134</v>
      </c>
      <c r="L35" s="4" t="s">
        <v>37</v>
      </c>
      <c r="N35" s="13" t="s">
        <v>135</v>
      </c>
      <c r="O35" s="13"/>
      <c r="P35" s="13" t="s">
        <v>136</v>
      </c>
      <c r="Q35" s="13"/>
      <c r="R35" s="13"/>
      <c r="S35" s="3" t="s">
        <v>40</v>
      </c>
      <c r="T35" s="13" t="s">
        <v>137</v>
      </c>
      <c r="U35" s="13"/>
      <c r="V35" s="4" t="s">
        <v>42</v>
      </c>
      <c r="W35" s="4" t="s">
        <v>69</v>
      </c>
      <c r="X35" s="4" t="s">
        <v>70</v>
      </c>
      <c r="Y35" s="13" t="s">
        <v>98</v>
      </c>
      <c r="Z35" s="13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51</v>
      </c>
      <c r="AG35" s="4" t="s">
        <v>99</v>
      </c>
    </row>
    <row r="36" spans="1:33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91</v>
      </c>
      <c r="H36" s="13"/>
      <c r="I36" s="13"/>
      <c r="J36" s="3" t="s">
        <v>35</v>
      </c>
      <c r="K36" s="4" t="s">
        <v>105</v>
      </c>
      <c r="L36" s="4" t="s">
        <v>53</v>
      </c>
      <c r="N36" s="13" t="s">
        <v>138</v>
      </c>
      <c r="O36" s="13"/>
      <c r="P36" s="13" t="s">
        <v>139</v>
      </c>
      <c r="Q36" s="13"/>
      <c r="R36" s="13"/>
      <c r="S36" s="3" t="s">
        <v>40</v>
      </c>
      <c r="T36" s="13" t="s">
        <v>140</v>
      </c>
      <c r="U36" s="13"/>
      <c r="V36" s="4" t="s">
        <v>42</v>
      </c>
      <c r="W36" s="4" t="s">
        <v>96</v>
      </c>
      <c r="X36" s="4" t="s">
        <v>97</v>
      </c>
      <c r="Y36" s="13" t="s">
        <v>98</v>
      </c>
      <c r="Z36" s="13"/>
      <c r="AA36" s="4" t="s">
        <v>46</v>
      </c>
      <c r="AB36" s="4" t="s">
        <v>47</v>
      </c>
      <c r="AC36" s="4" t="s">
        <v>48</v>
      </c>
      <c r="AD36" s="4" t="s">
        <v>57</v>
      </c>
      <c r="AE36" s="4" t="s">
        <v>50</v>
      </c>
      <c r="AF36" s="4" t="s">
        <v>51</v>
      </c>
      <c r="AG36" s="4" t="s">
        <v>99</v>
      </c>
    </row>
    <row r="37" spans="1:33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91</v>
      </c>
      <c r="H37" s="13"/>
      <c r="I37" s="13"/>
      <c r="J37" s="3" t="s">
        <v>35</v>
      </c>
      <c r="K37" s="4" t="s">
        <v>105</v>
      </c>
      <c r="L37" s="4" t="s">
        <v>53</v>
      </c>
      <c r="N37" s="13" t="s">
        <v>141</v>
      </c>
      <c r="O37" s="13"/>
      <c r="P37" s="13" t="s">
        <v>142</v>
      </c>
      <c r="Q37" s="13"/>
      <c r="R37" s="13"/>
      <c r="S37" s="3" t="s">
        <v>40</v>
      </c>
      <c r="T37" s="13" t="s">
        <v>143</v>
      </c>
      <c r="U37" s="13"/>
      <c r="V37" s="4" t="s">
        <v>42</v>
      </c>
      <c r="W37" s="4" t="s">
        <v>96</v>
      </c>
      <c r="X37" s="4" t="s">
        <v>97</v>
      </c>
      <c r="Y37" s="13" t="s">
        <v>98</v>
      </c>
      <c r="Z37" s="13"/>
      <c r="AA37" s="4" t="s">
        <v>46</v>
      </c>
      <c r="AB37" s="4" t="s">
        <v>47</v>
      </c>
      <c r="AC37" s="4" t="s">
        <v>48</v>
      </c>
      <c r="AD37" s="4" t="s">
        <v>57</v>
      </c>
      <c r="AE37" s="4" t="s">
        <v>50</v>
      </c>
      <c r="AF37" s="4" t="s">
        <v>51</v>
      </c>
      <c r="AG37" s="4" t="s">
        <v>99</v>
      </c>
    </row>
    <row r="38" spans="1:33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91</v>
      </c>
      <c r="H38" s="13"/>
      <c r="I38" s="13"/>
      <c r="J38" s="3" t="s">
        <v>35</v>
      </c>
      <c r="K38" s="4" t="s">
        <v>105</v>
      </c>
      <c r="L38" s="4" t="s">
        <v>144</v>
      </c>
      <c r="N38" s="13" t="s">
        <v>145</v>
      </c>
      <c r="O38" s="13"/>
      <c r="P38" s="13" t="s">
        <v>146</v>
      </c>
      <c r="Q38" s="13"/>
      <c r="R38" s="13"/>
      <c r="S38" s="3" t="s">
        <v>40</v>
      </c>
      <c r="T38" s="13" t="s">
        <v>147</v>
      </c>
      <c r="U38" s="13"/>
      <c r="V38" s="4" t="s">
        <v>42</v>
      </c>
      <c r="W38" s="4" t="s">
        <v>96</v>
      </c>
      <c r="X38" s="4" t="s">
        <v>97</v>
      </c>
      <c r="Y38" s="13" t="s">
        <v>98</v>
      </c>
      <c r="Z38" s="13"/>
      <c r="AA38" s="4" t="s">
        <v>46</v>
      </c>
      <c r="AB38" s="4" t="s">
        <v>47</v>
      </c>
      <c r="AC38" s="4" t="s">
        <v>48</v>
      </c>
      <c r="AD38" s="4" t="s">
        <v>148</v>
      </c>
      <c r="AE38" s="4" t="s">
        <v>50</v>
      </c>
      <c r="AF38" s="4" t="s">
        <v>51</v>
      </c>
      <c r="AG38" s="4" t="s">
        <v>99</v>
      </c>
    </row>
    <row r="39" spans="1:33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91</v>
      </c>
      <c r="H39" s="13"/>
      <c r="I39" s="13"/>
      <c r="J39" s="3" t="s">
        <v>35</v>
      </c>
      <c r="K39" s="4" t="s">
        <v>149</v>
      </c>
      <c r="L39" s="4" t="s">
        <v>53</v>
      </c>
      <c r="N39" s="13" t="s">
        <v>150</v>
      </c>
      <c r="O39" s="13"/>
      <c r="P39" s="13" t="s">
        <v>151</v>
      </c>
      <c r="Q39" s="13"/>
      <c r="R39" s="13"/>
      <c r="S39" s="3" t="s">
        <v>40</v>
      </c>
      <c r="T39" s="13" t="s">
        <v>152</v>
      </c>
      <c r="U39" s="13"/>
      <c r="V39" s="4" t="s">
        <v>42</v>
      </c>
      <c r="W39" s="4" t="s">
        <v>96</v>
      </c>
      <c r="X39" s="4" t="s">
        <v>97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57</v>
      </c>
      <c r="AE39" s="4" t="s">
        <v>50</v>
      </c>
      <c r="AF39" s="4" t="s">
        <v>51</v>
      </c>
      <c r="AG39" s="4" t="s">
        <v>99</v>
      </c>
    </row>
    <row r="40" spans="1:33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91</v>
      </c>
      <c r="H40" s="13"/>
      <c r="I40" s="13"/>
      <c r="J40" s="3" t="s">
        <v>35</v>
      </c>
      <c r="K40" s="4" t="s">
        <v>134</v>
      </c>
      <c r="L40" s="4" t="s">
        <v>53</v>
      </c>
      <c r="N40" s="13" t="s">
        <v>153</v>
      </c>
      <c r="O40" s="13"/>
      <c r="P40" s="13" t="s">
        <v>154</v>
      </c>
      <c r="Q40" s="13"/>
      <c r="R40" s="13"/>
      <c r="S40" s="3" t="s">
        <v>40</v>
      </c>
      <c r="T40" s="13" t="s">
        <v>155</v>
      </c>
      <c r="U40" s="13"/>
      <c r="V40" s="4" t="s">
        <v>42</v>
      </c>
      <c r="W40" s="4" t="s">
        <v>96</v>
      </c>
      <c r="X40" s="4" t="s">
        <v>97</v>
      </c>
      <c r="Y40" s="13" t="s">
        <v>98</v>
      </c>
      <c r="Z40" s="13"/>
      <c r="AA40" s="4" t="s">
        <v>46</v>
      </c>
      <c r="AB40" s="4" t="s">
        <v>47</v>
      </c>
      <c r="AC40" s="4" t="s">
        <v>48</v>
      </c>
      <c r="AD40" s="4" t="s">
        <v>57</v>
      </c>
      <c r="AE40" s="4" t="s">
        <v>50</v>
      </c>
      <c r="AF40" s="4" t="s">
        <v>51</v>
      </c>
      <c r="AG40" s="4" t="s">
        <v>99</v>
      </c>
    </row>
    <row r="41" spans="1:33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91</v>
      </c>
      <c r="H41" s="13"/>
      <c r="I41" s="13"/>
      <c r="J41" s="3" t="s">
        <v>35</v>
      </c>
      <c r="K41" s="4" t="s">
        <v>105</v>
      </c>
      <c r="L41" s="4" t="s">
        <v>53</v>
      </c>
      <c r="N41" s="13" t="s">
        <v>156</v>
      </c>
      <c r="O41" s="13"/>
      <c r="P41" s="13" t="s">
        <v>157</v>
      </c>
      <c r="Q41" s="13"/>
      <c r="R41" s="13"/>
      <c r="S41" s="3" t="s">
        <v>40</v>
      </c>
      <c r="T41" s="13" t="s">
        <v>143</v>
      </c>
      <c r="U41" s="13"/>
      <c r="V41" s="4" t="s">
        <v>42</v>
      </c>
      <c r="W41" s="4" t="s">
        <v>96</v>
      </c>
      <c r="X41" s="4" t="s">
        <v>97</v>
      </c>
      <c r="Y41" s="13" t="s">
        <v>98</v>
      </c>
      <c r="Z41" s="13"/>
      <c r="AA41" s="4" t="s">
        <v>46</v>
      </c>
      <c r="AB41" s="4" t="s">
        <v>47</v>
      </c>
      <c r="AC41" s="4" t="s">
        <v>48</v>
      </c>
      <c r="AD41" s="4" t="s">
        <v>57</v>
      </c>
      <c r="AE41" s="4" t="s">
        <v>50</v>
      </c>
      <c r="AF41" s="4" t="s">
        <v>51</v>
      </c>
      <c r="AG41" s="4" t="s">
        <v>99</v>
      </c>
    </row>
    <row r="42" spans="1:33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91</v>
      </c>
      <c r="H42" s="13"/>
      <c r="I42" s="13"/>
      <c r="J42" s="3" t="s">
        <v>35</v>
      </c>
      <c r="K42" s="4" t="s">
        <v>92</v>
      </c>
      <c r="L42" s="4" t="s">
        <v>53</v>
      </c>
      <c r="N42" s="13" t="s">
        <v>158</v>
      </c>
      <c r="O42" s="13"/>
      <c r="P42" s="13" t="s">
        <v>159</v>
      </c>
      <c r="Q42" s="13"/>
      <c r="R42" s="13"/>
      <c r="S42" s="3" t="s">
        <v>40</v>
      </c>
      <c r="T42" s="13" t="s">
        <v>160</v>
      </c>
      <c r="U42" s="13"/>
      <c r="V42" s="4" t="s">
        <v>42</v>
      </c>
      <c r="W42" s="4" t="s">
        <v>130</v>
      </c>
      <c r="X42" s="4" t="s">
        <v>161</v>
      </c>
      <c r="Y42" s="13" t="s">
        <v>98</v>
      </c>
      <c r="Z42" s="13"/>
      <c r="AA42" s="4" t="s">
        <v>46</v>
      </c>
      <c r="AB42" s="4" t="s">
        <v>47</v>
      </c>
      <c r="AC42" s="4" t="s">
        <v>48</v>
      </c>
      <c r="AD42" s="4" t="s">
        <v>57</v>
      </c>
      <c r="AE42" s="4" t="s">
        <v>50</v>
      </c>
      <c r="AF42" s="4" t="s">
        <v>51</v>
      </c>
      <c r="AG42" s="4" t="s">
        <v>99</v>
      </c>
    </row>
    <row r="43" spans="1:33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91</v>
      </c>
      <c r="H43" s="13"/>
      <c r="I43" s="13"/>
      <c r="J43" s="3" t="s">
        <v>35</v>
      </c>
      <c r="K43" s="4" t="s">
        <v>92</v>
      </c>
      <c r="L43" s="4" t="s">
        <v>53</v>
      </c>
      <c r="N43" s="13" t="s">
        <v>162</v>
      </c>
      <c r="O43" s="13"/>
      <c r="P43" s="13" t="s">
        <v>163</v>
      </c>
      <c r="Q43" s="13"/>
      <c r="R43" s="13"/>
      <c r="S43" s="3" t="s">
        <v>40</v>
      </c>
      <c r="T43" s="13" t="s">
        <v>164</v>
      </c>
      <c r="U43" s="13"/>
      <c r="V43" s="4" t="s">
        <v>42</v>
      </c>
      <c r="W43" s="4" t="s">
        <v>130</v>
      </c>
      <c r="X43" s="4" t="s">
        <v>161</v>
      </c>
      <c r="Y43" s="13" t="s">
        <v>98</v>
      </c>
      <c r="Z43" s="13"/>
      <c r="AA43" s="4" t="s">
        <v>46</v>
      </c>
      <c r="AB43" s="4" t="s">
        <v>47</v>
      </c>
      <c r="AC43" s="4" t="s">
        <v>48</v>
      </c>
      <c r="AD43" s="4" t="s">
        <v>57</v>
      </c>
      <c r="AE43" s="4" t="s">
        <v>50</v>
      </c>
      <c r="AF43" s="4" t="s">
        <v>51</v>
      </c>
      <c r="AG43" s="4" t="s">
        <v>99</v>
      </c>
    </row>
    <row r="44" spans="1:33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91</v>
      </c>
      <c r="H44" s="13"/>
      <c r="I44" s="13"/>
      <c r="J44" s="3" t="s">
        <v>35</v>
      </c>
      <c r="K44" s="4" t="s">
        <v>149</v>
      </c>
      <c r="L44" s="4" t="s">
        <v>53</v>
      </c>
      <c r="N44" s="13" t="s">
        <v>165</v>
      </c>
      <c r="O44" s="13"/>
      <c r="P44" s="13" t="s">
        <v>166</v>
      </c>
      <c r="Q44" s="13"/>
      <c r="R44" s="13"/>
      <c r="S44" s="3" t="s">
        <v>40</v>
      </c>
      <c r="T44" s="13" t="s">
        <v>167</v>
      </c>
      <c r="U44" s="13"/>
      <c r="V44" s="4" t="s">
        <v>42</v>
      </c>
      <c r="W44" s="4" t="s">
        <v>130</v>
      </c>
      <c r="X44" s="4" t="s">
        <v>161</v>
      </c>
      <c r="Y44" s="13" t="s">
        <v>45</v>
      </c>
      <c r="Z44" s="13"/>
      <c r="AA44" s="4" t="s">
        <v>46</v>
      </c>
      <c r="AB44" s="4" t="s">
        <v>47</v>
      </c>
      <c r="AC44" s="4" t="s">
        <v>48</v>
      </c>
      <c r="AD44" s="4" t="s">
        <v>57</v>
      </c>
      <c r="AE44" s="4" t="s">
        <v>50</v>
      </c>
      <c r="AF44" s="4" t="s">
        <v>51</v>
      </c>
      <c r="AG44" s="4" t="s">
        <v>99</v>
      </c>
    </row>
    <row r="45" spans="1:33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91</v>
      </c>
      <c r="H45" s="13"/>
      <c r="I45" s="13"/>
      <c r="J45" s="3" t="s">
        <v>35</v>
      </c>
      <c r="K45" s="4" t="s">
        <v>105</v>
      </c>
      <c r="L45" s="4" t="s">
        <v>53</v>
      </c>
      <c r="N45" s="13" t="s">
        <v>168</v>
      </c>
      <c r="O45" s="13"/>
      <c r="P45" s="13" t="s">
        <v>169</v>
      </c>
      <c r="Q45" s="13"/>
      <c r="R45" s="13"/>
      <c r="S45" s="3" t="s">
        <v>40</v>
      </c>
      <c r="T45" s="13" t="s">
        <v>170</v>
      </c>
      <c r="U45" s="13"/>
      <c r="V45" s="4" t="s">
        <v>42</v>
      </c>
      <c r="W45" s="4" t="s">
        <v>130</v>
      </c>
      <c r="X45" s="4" t="s">
        <v>161</v>
      </c>
      <c r="Y45" s="13" t="s">
        <v>98</v>
      </c>
      <c r="Z45" s="13"/>
      <c r="AA45" s="4" t="s">
        <v>46</v>
      </c>
      <c r="AB45" s="4" t="s">
        <v>47</v>
      </c>
      <c r="AC45" s="4" t="s">
        <v>48</v>
      </c>
      <c r="AD45" s="4" t="s">
        <v>57</v>
      </c>
      <c r="AE45" s="4" t="s">
        <v>50</v>
      </c>
      <c r="AF45" s="4" t="s">
        <v>51</v>
      </c>
      <c r="AG45" s="4" t="s">
        <v>99</v>
      </c>
    </row>
    <row r="46" spans="1:33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91</v>
      </c>
      <c r="H46" s="13"/>
      <c r="I46" s="13"/>
      <c r="J46" s="3" t="s">
        <v>35</v>
      </c>
      <c r="K46" s="4" t="s">
        <v>105</v>
      </c>
      <c r="L46" s="4" t="s">
        <v>53</v>
      </c>
      <c r="N46" s="13" t="s">
        <v>171</v>
      </c>
      <c r="O46" s="13"/>
      <c r="P46" s="13" t="s">
        <v>172</v>
      </c>
      <c r="Q46" s="13"/>
      <c r="R46" s="13"/>
      <c r="S46" s="3" t="s">
        <v>40</v>
      </c>
      <c r="T46" s="13" t="s">
        <v>111</v>
      </c>
      <c r="U46" s="13"/>
      <c r="V46" s="4" t="s">
        <v>42</v>
      </c>
      <c r="W46" s="4" t="s">
        <v>130</v>
      </c>
      <c r="X46" s="4" t="s">
        <v>161</v>
      </c>
      <c r="Y46" s="13" t="s">
        <v>98</v>
      </c>
      <c r="Z46" s="13"/>
      <c r="AA46" s="4" t="s">
        <v>46</v>
      </c>
      <c r="AB46" s="4" t="s">
        <v>47</v>
      </c>
      <c r="AC46" s="4" t="s">
        <v>48</v>
      </c>
      <c r="AD46" s="4" t="s">
        <v>57</v>
      </c>
      <c r="AE46" s="4" t="s">
        <v>50</v>
      </c>
      <c r="AF46" s="4" t="s">
        <v>51</v>
      </c>
      <c r="AG46" s="4" t="s">
        <v>99</v>
      </c>
    </row>
    <row r="47" spans="1:33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91</v>
      </c>
      <c r="H47" s="13"/>
      <c r="I47" s="13"/>
      <c r="J47" s="3" t="s">
        <v>35</v>
      </c>
      <c r="K47" s="4" t="s">
        <v>72</v>
      </c>
      <c r="L47" s="4" t="s">
        <v>53</v>
      </c>
      <c r="N47" s="13" t="s">
        <v>173</v>
      </c>
      <c r="O47" s="13"/>
      <c r="P47" s="13" t="s">
        <v>174</v>
      </c>
      <c r="Q47" s="13"/>
      <c r="R47" s="13"/>
      <c r="S47" s="3" t="s">
        <v>40</v>
      </c>
      <c r="T47" s="13" t="s">
        <v>175</v>
      </c>
      <c r="U47" s="13"/>
      <c r="V47" s="4" t="s">
        <v>42</v>
      </c>
      <c r="W47" s="4" t="s">
        <v>130</v>
      </c>
      <c r="X47" s="4" t="s">
        <v>161</v>
      </c>
      <c r="Y47" s="13" t="s">
        <v>45</v>
      </c>
      <c r="Z47" s="13"/>
      <c r="AA47" s="4" t="s">
        <v>46</v>
      </c>
      <c r="AB47" s="4" t="s">
        <v>47</v>
      </c>
      <c r="AC47" s="4" t="s">
        <v>48</v>
      </c>
      <c r="AD47" s="4" t="s">
        <v>57</v>
      </c>
      <c r="AE47" s="4" t="s">
        <v>50</v>
      </c>
      <c r="AF47" s="4" t="s">
        <v>51</v>
      </c>
      <c r="AG47" s="4" t="s">
        <v>99</v>
      </c>
    </row>
    <row r="48" spans="1:33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91</v>
      </c>
      <c r="H48" s="13"/>
      <c r="I48" s="13"/>
      <c r="J48" s="3" t="s">
        <v>35</v>
      </c>
      <c r="K48" s="4" t="s">
        <v>36</v>
      </c>
      <c r="L48" s="4" t="s">
        <v>53</v>
      </c>
      <c r="N48" s="13" t="s">
        <v>176</v>
      </c>
      <c r="O48" s="13"/>
      <c r="P48" s="13" t="s">
        <v>177</v>
      </c>
      <c r="Q48" s="13"/>
      <c r="R48" s="13"/>
      <c r="S48" s="3" t="s">
        <v>40</v>
      </c>
      <c r="T48" s="13" t="s">
        <v>178</v>
      </c>
      <c r="U48" s="13"/>
      <c r="V48" s="4" t="s">
        <v>42</v>
      </c>
      <c r="W48" s="4" t="s">
        <v>130</v>
      </c>
      <c r="X48" s="4" t="s">
        <v>161</v>
      </c>
      <c r="Y48" s="13" t="s">
        <v>45</v>
      </c>
      <c r="Z48" s="13"/>
      <c r="AA48" s="4" t="s">
        <v>46</v>
      </c>
      <c r="AB48" s="4" t="s">
        <v>47</v>
      </c>
      <c r="AC48" s="4" t="s">
        <v>48</v>
      </c>
      <c r="AD48" s="4" t="s">
        <v>57</v>
      </c>
      <c r="AE48" s="4" t="s">
        <v>50</v>
      </c>
      <c r="AF48" s="4" t="s">
        <v>51</v>
      </c>
      <c r="AG48" s="4" t="s">
        <v>99</v>
      </c>
    </row>
    <row r="49" spans="1:33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91</v>
      </c>
      <c r="H49" s="13"/>
      <c r="I49" s="13"/>
      <c r="J49" s="3" t="s">
        <v>35</v>
      </c>
      <c r="K49" s="4" t="s">
        <v>36</v>
      </c>
      <c r="L49" s="4" t="s">
        <v>53</v>
      </c>
      <c r="N49" s="13" t="s">
        <v>179</v>
      </c>
      <c r="O49" s="13"/>
      <c r="P49" s="13" t="s">
        <v>180</v>
      </c>
      <c r="Q49" s="13"/>
      <c r="R49" s="13"/>
      <c r="S49" s="3" t="s">
        <v>40</v>
      </c>
      <c r="T49" s="13" t="s">
        <v>181</v>
      </c>
      <c r="U49" s="13"/>
      <c r="V49" s="4" t="s">
        <v>42</v>
      </c>
      <c r="W49" s="4" t="s">
        <v>130</v>
      </c>
      <c r="X49" s="4" t="s">
        <v>161</v>
      </c>
      <c r="Y49" s="13" t="s">
        <v>45</v>
      </c>
      <c r="Z49" s="13"/>
      <c r="AA49" s="4" t="s">
        <v>46</v>
      </c>
      <c r="AB49" s="4" t="s">
        <v>47</v>
      </c>
      <c r="AC49" s="4" t="s">
        <v>48</v>
      </c>
      <c r="AD49" s="4" t="s">
        <v>57</v>
      </c>
      <c r="AE49" s="4" t="s">
        <v>50</v>
      </c>
      <c r="AF49" s="4" t="s">
        <v>51</v>
      </c>
      <c r="AG49" s="4" t="s">
        <v>99</v>
      </c>
    </row>
    <row r="50" spans="1:33" ht="409.6" customHeight="1" x14ac:dyDescent="0.2"/>
    <row r="51" spans="1:33" ht="12" customHeight="1" x14ac:dyDescent="0.2"/>
  </sheetData>
  <mergeCells count="261"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2D68-04CC-4787-8364-888D37D9E0DB}">
  <dimension ref="A1:Q38"/>
  <sheetViews>
    <sheetView tabSelected="1" topLeftCell="D1" workbookViewId="0">
      <selection activeCell="Q4" sqref="Q4:Q36"/>
    </sheetView>
  </sheetViews>
  <sheetFormatPr defaultColWidth="6.85546875" defaultRowHeight="12.75" x14ac:dyDescent="0.2"/>
  <cols>
    <col min="1" max="1" width="30.7109375" style="15" bestFit="1" customWidth="1"/>
    <col min="2" max="2" width="22" style="15" customWidth="1"/>
    <col min="3" max="3" width="10.5703125" style="15" customWidth="1"/>
    <col min="4" max="4" width="13.140625" style="15" bestFit="1" customWidth="1"/>
    <col min="5" max="5" width="13.140625" style="15" customWidth="1"/>
    <col min="6" max="6" width="26.5703125" style="15" bestFit="1" customWidth="1"/>
    <col min="7" max="7" width="15.85546875" style="15" bestFit="1" customWidth="1"/>
    <col min="8" max="9" width="13.140625" style="15" customWidth="1"/>
    <col min="10" max="11" width="14.140625" style="15" customWidth="1"/>
    <col min="12" max="12" width="16" style="15" bestFit="1" customWidth="1"/>
    <col min="13" max="14" width="13.42578125" style="15" customWidth="1"/>
    <col min="15" max="15" width="13.5703125" style="15" customWidth="1"/>
    <col min="16" max="16" width="16" style="15" bestFit="1" customWidth="1"/>
    <col min="17" max="17" width="11.7109375" style="15" customWidth="1"/>
    <col min="18" max="16384" width="6.85546875" style="15"/>
  </cols>
  <sheetData>
    <row r="1" spans="1:17" ht="12.75" customHeight="1" x14ac:dyDescent="0.2">
      <c r="A1" s="14"/>
      <c r="B1" s="14"/>
      <c r="C1" s="14" t="s">
        <v>15</v>
      </c>
      <c r="D1" s="14" t="s">
        <v>16</v>
      </c>
      <c r="E1" s="14"/>
      <c r="F1" s="14" t="s">
        <v>17</v>
      </c>
      <c r="G1" s="14" t="s">
        <v>19</v>
      </c>
      <c r="H1" s="14" t="s">
        <v>20</v>
      </c>
      <c r="I1" s="14"/>
      <c r="J1" s="14" t="s">
        <v>21</v>
      </c>
      <c r="K1" s="14"/>
      <c r="L1" s="14" t="s">
        <v>23</v>
      </c>
      <c r="M1" s="14" t="s">
        <v>25</v>
      </c>
      <c r="N1" s="14" t="s">
        <v>26</v>
      </c>
      <c r="O1" s="14" t="s">
        <v>27</v>
      </c>
    </row>
    <row r="2" spans="1:17" ht="14.2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7" ht="0.75" customHeight="1" x14ac:dyDescent="0.2">
      <c r="C3" s="14"/>
      <c r="D3" s="14"/>
      <c r="E3" s="19"/>
    </row>
    <row r="4" spans="1:17" ht="12.75" customHeight="1" x14ac:dyDescent="0.2">
      <c r="A4" s="2">
        <v>8307933</v>
      </c>
      <c r="B4" s="2" t="s">
        <v>182</v>
      </c>
      <c r="C4" s="16">
        <v>2</v>
      </c>
      <c r="D4" s="16">
        <v>928127138</v>
      </c>
      <c r="E4" s="16" t="str">
        <f>CONCATENATE(D4,5)</f>
        <v>9281271385</v>
      </c>
      <c r="F4" s="2" t="s">
        <v>39</v>
      </c>
      <c r="G4" s="17">
        <v>2131.6999999999998</v>
      </c>
      <c r="H4" s="16">
        <v>20250401</v>
      </c>
      <c r="I4" s="16" t="str">
        <f>TEXT(DATE(LEFT(H4,4), MID(H4,5,2), RIGHT(H4,2)), "M/d/yyyy")</f>
        <v>4/1/2025</v>
      </c>
      <c r="J4" s="16">
        <v>20240101</v>
      </c>
      <c r="K4" s="16" t="str">
        <f>TEXT(DATE(LEFT(J4,4), MID(J4,5,2), RIGHT(J4,2)), "M/d/yyyy")</f>
        <v>1/1/2024</v>
      </c>
      <c r="L4" s="2" t="s">
        <v>45</v>
      </c>
      <c r="M4" s="18">
        <v>1</v>
      </c>
      <c r="N4" s="16">
        <v>20</v>
      </c>
      <c r="O4" s="2">
        <v>40</v>
      </c>
      <c r="P4" s="15" t="s">
        <v>188</v>
      </c>
      <c r="Q4" s="2" t="s">
        <v>189</v>
      </c>
    </row>
    <row r="5" spans="1:17" ht="16.5" customHeight="1" x14ac:dyDescent="0.2">
      <c r="A5" s="2">
        <v>8307933</v>
      </c>
      <c r="B5" s="2" t="s">
        <v>182</v>
      </c>
      <c r="C5" s="16">
        <v>1</v>
      </c>
      <c r="D5" s="16">
        <v>928127769</v>
      </c>
      <c r="E5" s="16" t="str">
        <f t="shared" ref="E5:E36" si="0">CONCATENATE(D5,5)</f>
        <v>9281277695</v>
      </c>
      <c r="F5" s="2" t="s">
        <v>55</v>
      </c>
      <c r="G5" s="2" t="s">
        <v>56</v>
      </c>
      <c r="H5" s="16">
        <v>20250401</v>
      </c>
      <c r="I5" s="16" t="str">
        <f t="shared" ref="I5:I36" si="1">TEXT(DATE(LEFT(H5,4), MID(H5,5,2), RIGHT(H5,2)), "M/d/yyyy")</f>
        <v>4/1/2025</v>
      </c>
      <c r="J5" s="16">
        <v>20240101</v>
      </c>
      <c r="K5" s="16" t="str">
        <f t="shared" ref="K5:K36" si="2">TEXT(DATE(LEFT(J5,4), MID(J5,5,2), RIGHT(J5,2)), "M/d/yyyy")</f>
        <v>1/1/2024</v>
      </c>
      <c r="L5" s="2" t="s">
        <v>45</v>
      </c>
      <c r="M5" s="18">
        <v>1</v>
      </c>
      <c r="N5" s="16">
        <v>20</v>
      </c>
      <c r="O5" s="2">
        <v>20</v>
      </c>
      <c r="P5" s="15" t="s">
        <v>188</v>
      </c>
      <c r="Q5" s="2"/>
    </row>
    <row r="6" spans="1:17" ht="16.5" customHeight="1" x14ac:dyDescent="0.2">
      <c r="A6" s="2">
        <v>8307933</v>
      </c>
      <c r="B6" s="2" t="s">
        <v>182</v>
      </c>
      <c r="C6" s="16">
        <v>3</v>
      </c>
      <c r="D6" s="16">
        <v>928139663</v>
      </c>
      <c r="E6" s="16" t="str">
        <f t="shared" si="0"/>
        <v>9281396635</v>
      </c>
      <c r="F6" s="2" t="s">
        <v>61</v>
      </c>
      <c r="G6" s="17">
        <v>1183.24</v>
      </c>
      <c r="H6" s="16">
        <v>20250401</v>
      </c>
      <c r="I6" s="16" t="str">
        <f t="shared" si="1"/>
        <v>4/1/2025</v>
      </c>
      <c r="J6" s="16">
        <v>20240801</v>
      </c>
      <c r="K6" s="16" t="str">
        <f t="shared" si="2"/>
        <v>8/1/2024</v>
      </c>
      <c r="L6" s="2" t="s">
        <v>45</v>
      </c>
      <c r="M6" s="18">
        <v>1</v>
      </c>
      <c r="N6" s="16">
        <v>20</v>
      </c>
      <c r="O6" s="2">
        <v>60</v>
      </c>
      <c r="P6" s="15" t="s">
        <v>188</v>
      </c>
      <c r="Q6" s="2" t="s">
        <v>190</v>
      </c>
    </row>
    <row r="7" spans="1:17" ht="16.5" customHeight="1" x14ac:dyDescent="0.2">
      <c r="A7" s="2">
        <v>8307933</v>
      </c>
      <c r="B7" s="2" t="s">
        <v>182</v>
      </c>
      <c r="C7" s="16">
        <v>1</v>
      </c>
      <c r="D7" s="16">
        <v>928142523</v>
      </c>
      <c r="E7" s="16" t="str">
        <f t="shared" si="0"/>
        <v>9281425235</v>
      </c>
      <c r="F7" s="2" t="s">
        <v>67</v>
      </c>
      <c r="G7" s="17">
        <v>1043.33</v>
      </c>
      <c r="H7" s="16">
        <v>20250401</v>
      </c>
      <c r="I7" s="16" t="str">
        <f t="shared" si="1"/>
        <v>4/1/2025</v>
      </c>
      <c r="J7" s="16">
        <v>20250101</v>
      </c>
      <c r="K7" s="16" t="str">
        <f t="shared" si="2"/>
        <v>1/1/2025</v>
      </c>
      <c r="L7" s="2" t="s">
        <v>45</v>
      </c>
      <c r="M7" s="18">
        <v>1</v>
      </c>
      <c r="N7" s="16">
        <v>20</v>
      </c>
      <c r="O7" s="2">
        <v>20</v>
      </c>
      <c r="P7" s="15" t="s">
        <v>188</v>
      </c>
      <c r="Q7" s="2"/>
    </row>
    <row r="8" spans="1:17" ht="16.5" customHeight="1" x14ac:dyDescent="0.2">
      <c r="A8" s="2">
        <v>19206583</v>
      </c>
      <c r="B8" s="2" t="s">
        <v>183</v>
      </c>
      <c r="C8" s="16">
        <v>1</v>
      </c>
      <c r="D8" s="16">
        <v>928116889</v>
      </c>
      <c r="E8" s="16" t="str">
        <f t="shared" si="0"/>
        <v>9281168895</v>
      </c>
      <c r="F8" s="2" t="s">
        <v>74</v>
      </c>
      <c r="G8" s="2" t="s">
        <v>75</v>
      </c>
      <c r="H8" s="16">
        <v>20250401</v>
      </c>
      <c r="I8" s="16" t="str">
        <f t="shared" si="1"/>
        <v>4/1/2025</v>
      </c>
      <c r="J8" s="16">
        <v>20220501</v>
      </c>
      <c r="K8" s="16" t="str">
        <f t="shared" si="2"/>
        <v>5/1/2022</v>
      </c>
      <c r="L8" s="2" t="s">
        <v>45</v>
      </c>
      <c r="M8" s="18">
        <v>1</v>
      </c>
      <c r="N8" s="16">
        <v>20</v>
      </c>
      <c r="O8" s="2">
        <v>20</v>
      </c>
      <c r="P8" s="15" t="s">
        <v>188</v>
      </c>
      <c r="Q8" s="2"/>
    </row>
    <row r="9" spans="1:17" ht="16.5" customHeight="1" x14ac:dyDescent="0.2">
      <c r="A9" s="2">
        <v>6634327</v>
      </c>
      <c r="B9" s="2" t="s">
        <v>184</v>
      </c>
      <c r="C9" s="16">
        <v>1</v>
      </c>
      <c r="D9" s="16">
        <v>928132686</v>
      </c>
      <c r="E9" s="16" t="str">
        <f t="shared" si="0"/>
        <v>9281326865</v>
      </c>
      <c r="F9" s="2" t="s">
        <v>81</v>
      </c>
      <c r="G9" s="2" t="s">
        <v>82</v>
      </c>
      <c r="H9" s="16">
        <v>20250401</v>
      </c>
      <c r="I9" s="16" t="str">
        <f t="shared" si="1"/>
        <v>4/1/2025</v>
      </c>
      <c r="J9" s="16">
        <v>20240101</v>
      </c>
      <c r="K9" s="16" t="str">
        <f t="shared" si="2"/>
        <v>1/1/2024</v>
      </c>
      <c r="L9" s="2" t="s">
        <v>45</v>
      </c>
      <c r="M9" s="18">
        <v>1</v>
      </c>
      <c r="N9" s="16">
        <v>20</v>
      </c>
      <c r="O9" s="2">
        <v>20</v>
      </c>
      <c r="P9" s="15" t="s">
        <v>188</v>
      </c>
      <c r="Q9" s="2"/>
    </row>
    <row r="10" spans="1:17" ht="16.5" customHeight="1" x14ac:dyDescent="0.2">
      <c r="A10" s="2">
        <v>16683808</v>
      </c>
      <c r="B10" s="2" t="s">
        <v>185</v>
      </c>
      <c r="C10" s="16">
        <v>2</v>
      </c>
      <c r="D10" s="16">
        <v>928141308</v>
      </c>
      <c r="E10" s="16" t="str">
        <f t="shared" si="0"/>
        <v>9281413085</v>
      </c>
      <c r="F10" s="2" t="s">
        <v>86</v>
      </c>
      <c r="G10" s="17">
        <v>2140.42</v>
      </c>
      <c r="H10" s="16">
        <v>20250401</v>
      </c>
      <c r="I10" s="16" t="str">
        <f t="shared" si="1"/>
        <v>4/1/2025</v>
      </c>
      <c r="J10" s="16">
        <v>20241001</v>
      </c>
      <c r="K10" s="16" t="str">
        <f t="shared" si="2"/>
        <v>10/1/2024</v>
      </c>
      <c r="L10" s="2" t="s">
        <v>45</v>
      </c>
      <c r="M10" s="18">
        <v>1</v>
      </c>
      <c r="N10" s="16">
        <v>20</v>
      </c>
      <c r="O10" s="2">
        <v>40</v>
      </c>
      <c r="P10" s="15" t="s">
        <v>188</v>
      </c>
      <c r="Q10" s="2" t="s">
        <v>189</v>
      </c>
    </row>
    <row r="11" spans="1:17" ht="16.5" customHeight="1" x14ac:dyDescent="0.2">
      <c r="A11" s="2">
        <v>371819</v>
      </c>
      <c r="B11" s="2" t="s">
        <v>186</v>
      </c>
      <c r="C11" s="16">
        <v>1</v>
      </c>
      <c r="D11" s="16">
        <v>928149842</v>
      </c>
      <c r="E11" s="16" t="str">
        <f t="shared" si="0"/>
        <v>9281498425</v>
      </c>
      <c r="F11" s="2" t="s">
        <v>159</v>
      </c>
      <c r="G11" s="2" t="s">
        <v>160</v>
      </c>
      <c r="H11" s="16">
        <v>20250401</v>
      </c>
      <c r="I11" s="16" t="str">
        <f>TEXT(DATE(LEFT(H11,4), MID(H11,5,2), RIGHT(H11,2)), "M/d/yyyy")</f>
        <v>4/1/2025</v>
      </c>
      <c r="J11" s="16">
        <v>20250301</v>
      </c>
      <c r="K11" s="16" t="str">
        <f>TEXT(DATE(LEFT(J11,4), MID(J11,5,2), RIGHT(J11,2)), "M/d/yyyy")</f>
        <v>3/1/2025</v>
      </c>
      <c r="L11" s="2" t="s">
        <v>98</v>
      </c>
      <c r="M11" s="18">
        <v>1</v>
      </c>
      <c r="N11" s="16">
        <v>20</v>
      </c>
      <c r="O11" s="2">
        <v>20</v>
      </c>
      <c r="P11" s="15" t="s">
        <v>188</v>
      </c>
      <c r="Q11" s="2"/>
    </row>
    <row r="12" spans="1:17" ht="16.5" customHeight="1" x14ac:dyDescent="0.2">
      <c r="A12" s="2">
        <v>371819</v>
      </c>
      <c r="B12" s="2" t="s">
        <v>186</v>
      </c>
      <c r="C12" s="16">
        <v>1</v>
      </c>
      <c r="D12" s="16">
        <v>928149844</v>
      </c>
      <c r="E12" s="16" t="str">
        <f t="shared" si="0"/>
        <v>9281498445</v>
      </c>
      <c r="F12" s="2" t="s">
        <v>163</v>
      </c>
      <c r="G12" s="2" t="s">
        <v>164</v>
      </c>
      <c r="H12" s="16">
        <v>20250401</v>
      </c>
      <c r="I12" s="16" t="str">
        <f>TEXT(DATE(LEFT(H12,4), MID(H12,5,2), RIGHT(H12,2)), "M/d/yyyy")</f>
        <v>4/1/2025</v>
      </c>
      <c r="J12" s="16">
        <v>20250301</v>
      </c>
      <c r="K12" s="16" t="str">
        <f>TEXT(DATE(LEFT(J12,4), MID(J12,5,2), RIGHT(J12,2)), "M/d/yyyy")</f>
        <v>3/1/2025</v>
      </c>
      <c r="L12" s="2" t="s">
        <v>98</v>
      </c>
      <c r="M12" s="18">
        <v>1</v>
      </c>
      <c r="N12" s="16">
        <v>20</v>
      </c>
      <c r="O12" s="2">
        <v>20</v>
      </c>
      <c r="P12" s="15" t="s">
        <v>188</v>
      </c>
      <c r="Q12" s="2"/>
    </row>
    <row r="13" spans="1:17" ht="16.5" customHeight="1" x14ac:dyDescent="0.2">
      <c r="A13" s="2">
        <v>371819</v>
      </c>
      <c r="B13" s="2" t="s">
        <v>186</v>
      </c>
      <c r="C13" s="16">
        <v>1</v>
      </c>
      <c r="D13" s="16">
        <v>928149870</v>
      </c>
      <c r="E13" s="16" t="str">
        <f t="shared" si="0"/>
        <v>9281498705</v>
      </c>
      <c r="F13" s="2" t="s">
        <v>166</v>
      </c>
      <c r="G13" s="17">
        <v>1090.8399999999999</v>
      </c>
      <c r="H13" s="16">
        <v>20250401</v>
      </c>
      <c r="I13" s="16" t="str">
        <f>TEXT(DATE(LEFT(H13,4), MID(H13,5,2), RIGHT(H13,2)), "M/d/yyyy")</f>
        <v>4/1/2025</v>
      </c>
      <c r="J13" s="16">
        <v>20250301</v>
      </c>
      <c r="K13" s="16" t="str">
        <f>TEXT(DATE(LEFT(J13,4), MID(J13,5,2), RIGHT(J13,2)), "M/d/yyyy")</f>
        <v>3/1/2025</v>
      </c>
      <c r="L13" s="2" t="s">
        <v>45</v>
      </c>
      <c r="M13" s="18">
        <v>1</v>
      </c>
      <c r="N13" s="16">
        <v>20</v>
      </c>
      <c r="O13" s="2">
        <v>20</v>
      </c>
      <c r="P13" s="15" t="s">
        <v>188</v>
      </c>
      <c r="Q13" s="2"/>
    </row>
    <row r="14" spans="1:17" ht="16.5" customHeight="1" x14ac:dyDescent="0.2">
      <c r="A14" s="2">
        <v>371819</v>
      </c>
      <c r="B14" s="2" t="s">
        <v>186</v>
      </c>
      <c r="C14" s="16">
        <v>1</v>
      </c>
      <c r="D14" s="16">
        <v>928150112</v>
      </c>
      <c r="E14" s="16" t="str">
        <f t="shared" si="0"/>
        <v>9281501125</v>
      </c>
      <c r="F14" s="2" t="s">
        <v>169</v>
      </c>
      <c r="G14" s="2" t="s">
        <v>170</v>
      </c>
      <c r="H14" s="16">
        <v>20250401</v>
      </c>
      <c r="I14" s="16" t="str">
        <f>TEXT(DATE(LEFT(H14,4), MID(H14,5,2), RIGHT(H14,2)), "M/d/yyyy")</f>
        <v>4/1/2025</v>
      </c>
      <c r="J14" s="16">
        <v>20250301</v>
      </c>
      <c r="K14" s="16" t="str">
        <f>TEXT(DATE(LEFT(J14,4), MID(J14,5,2), RIGHT(J14,2)), "M/d/yyyy")</f>
        <v>3/1/2025</v>
      </c>
      <c r="L14" s="2" t="s">
        <v>98</v>
      </c>
      <c r="M14" s="18">
        <v>1</v>
      </c>
      <c r="N14" s="16">
        <v>20</v>
      </c>
      <c r="O14" s="2">
        <v>20</v>
      </c>
      <c r="P14" s="15" t="s">
        <v>188</v>
      </c>
      <c r="Q14" s="2"/>
    </row>
    <row r="15" spans="1:17" ht="16.5" customHeight="1" x14ac:dyDescent="0.2">
      <c r="A15" s="2">
        <v>371819</v>
      </c>
      <c r="B15" s="2" t="s">
        <v>186</v>
      </c>
      <c r="C15" s="16">
        <v>1</v>
      </c>
      <c r="D15" s="16">
        <v>928150140</v>
      </c>
      <c r="E15" s="16" t="str">
        <f t="shared" si="0"/>
        <v>9281501405</v>
      </c>
      <c r="F15" s="2" t="s">
        <v>172</v>
      </c>
      <c r="G15" s="2" t="s">
        <v>111</v>
      </c>
      <c r="H15" s="16">
        <v>20250401</v>
      </c>
      <c r="I15" s="16" t="str">
        <f>TEXT(DATE(LEFT(H15,4), MID(H15,5,2), RIGHT(H15,2)), "M/d/yyyy")</f>
        <v>4/1/2025</v>
      </c>
      <c r="J15" s="16">
        <v>20250301</v>
      </c>
      <c r="K15" s="16" t="str">
        <f>TEXT(DATE(LEFT(J15,4), MID(J15,5,2), RIGHT(J15,2)), "M/d/yyyy")</f>
        <v>3/1/2025</v>
      </c>
      <c r="L15" s="2" t="s">
        <v>98</v>
      </c>
      <c r="M15" s="18">
        <v>1</v>
      </c>
      <c r="N15" s="16">
        <v>20</v>
      </c>
      <c r="O15" s="2">
        <v>20</v>
      </c>
      <c r="P15" s="15" t="s">
        <v>188</v>
      </c>
      <c r="Q15" s="2"/>
    </row>
    <row r="16" spans="1:17" ht="16.5" customHeight="1" x14ac:dyDescent="0.2">
      <c r="A16" s="2">
        <v>371819</v>
      </c>
      <c r="B16" s="2" t="s">
        <v>186</v>
      </c>
      <c r="C16" s="16">
        <v>1</v>
      </c>
      <c r="D16" s="16">
        <v>928150209</v>
      </c>
      <c r="E16" s="16" t="str">
        <f t="shared" si="0"/>
        <v>9281502095</v>
      </c>
      <c r="F16" s="2" t="s">
        <v>174</v>
      </c>
      <c r="G16" s="2" t="s">
        <v>175</v>
      </c>
      <c r="H16" s="16">
        <v>20250401</v>
      </c>
      <c r="I16" s="16" t="str">
        <f>TEXT(DATE(LEFT(H16,4), MID(H16,5,2), RIGHT(H16,2)), "M/d/yyyy")</f>
        <v>4/1/2025</v>
      </c>
      <c r="J16" s="16">
        <v>20250301</v>
      </c>
      <c r="K16" s="16" t="str">
        <f>TEXT(DATE(LEFT(J16,4), MID(J16,5,2), RIGHT(J16,2)), "M/d/yyyy")</f>
        <v>3/1/2025</v>
      </c>
      <c r="L16" s="2" t="s">
        <v>45</v>
      </c>
      <c r="M16" s="18">
        <v>1</v>
      </c>
      <c r="N16" s="16">
        <v>20</v>
      </c>
      <c r="O16" s="2">
        <v>20</v>
      </c>
      <c r="P16" s="15" t="s">
        <v>188</v>
      </c>
      <c r="Q16" s="2"/>
    </row>
    <row r="17" spans="1:17" ht="16.5" customHeight="1" x14ac:dyDescent="0.2">
      <c r="A17" s="2">
        <v>371819</v>
      </c>
      <c r="B17" s="2" t="s">
        <v>186</v>
      </c>
      <c r="C17" s="16">
        <v>1</v>
      </c>
      <c r="D17" s="16">
        <v>928150250</v>
      </c>
      <c r="E17" s="16" t="str">
        <f t="shared" si="0"/>
        <v>9281502505</v>
      </c>
      <c r="F17" s="2" t="s">
        <v>177</v>
      </c>
      <c r="G17" s="2" t="s">
        <v>178</v>
      </c>
      <c r="H17" s="16">
        <v>20250401</v>
      </c>
      <c r="I17" s="16" t="str">
        <f>TEXT(DATE(LEFT(H17,4), MID(H17,5,2), RIGHT(H17,2)), "M/d/yyyy")</f>
        <v>4/1/2025</v>
      </c>
      <c r="J17" s="16">
        <v>20250301</v>
      </c>
      <c r="K17" s="16" t="str">
        <f>TEXT(DATE(LEFT(J17,4), MID(J17,5,2), RIGHT(J17,2)), "M/d/yyyy")</f>
        <v>3/1/2025</v>
      </c>
      <c r="L17" s="2" t="s">
        <v>45</v>
      </c>
      <c r="M17" s="18">
        <v>1</v>
      </c>
      <c r="N17" s="16">
        <v>20</v>
      </c>
      <c r="O17" s="2">
        <v>20</v>
      </c>
      <c r="P17" s="15" t="s">
        <v>188</v>
      </c>
      <c r="Q17" s="2"/>
    </row>
    <row r="18" spans="1:17" ht="16.5" customHeight="1" x14ac:dyDescent="0.2">
      <c r="A18" s="2">
        <v>371819</v>
      </c>
      <c r="B18" s="2" t="s">
        <v>186</v>
      </c>
      <c r="C18" s="16">
        <v>1</v>
      </c>
      <c r="D18" s="16">
        <v>928150320</v>
      </c>
      <c r="E18" s="16" t="str">
        <f t="shared" si="0"/>
        <v>9281503205</v>
      </c>
      <c r="F18" s="2" t="s">
        <v>180</v>
      </c>
      <c r="G18" s="2" t="s">
        <v>181</v>
      </c>
      <c r="H18" s="16">
        <v>20250401</v>
      </c>
      <c r="I18" s="16" t="str">
        <f>TEXT(DATE(LEFT(H18,4), MID(H18,5,2), RIGHT(H18,2)), "M/d/yyyy")</f>
        <v>4/1/2025</v>
      </c>
      <c r="J18" s="16">
        <v>20250301</v>
      </c>
      <c r="K18" s="16" t="str">
        <f>TEXT(DATE(LEFT(J18,4), MID(J18,5,2), RIGHT(J18,2)), "M/d/yyyy")</f>
        <v>3/1/2025</v>
      </c>
      <c r="L18" s="2" t="s">
        <v>45</v>
      </c>
      <c r="M18" s="18">
        <v>1</v>
      </c>
      <c r="N18" s="16">
        <v>20</v>
      </c>
      <c r="O18" s="2">
        <v>20</v>
      </c>
      <c r="P18" s="15" t="s">
        <v>188</v>
      </c>
      <c r="Q18" s="2"/>
    </row>
    <row r="19" spans="1:17" ht="16.5" customHeight="1" x14ac:dyDescent="0.2">
      <c r="A19" s="2">
        <v>371819</v>
      </c>
      <c r="B19" s="2" t="s">
        <v>186</v>
      </c>
      <c r="C19" s="16">
        <v>1</v>
      </c>
      <c r="D19" s="16">
        <v>928093609</v>
      </c>
      <c r="E19" s="16" t="str">
        <f t="shared" si="0"/>
        <v>9280936095</v>
      </c>
      <c r="F19" s="2" t="s">
        <v>94</v>
      </c>
      <c r="G19" s="2" t="s">
        <v>95</v>
      </c>
      <c r="H19" s="16">
        <v>20250401</v>
      </c>
      <c r="I19" s="16" t="str">
        <f>TEXT(DATE(LEFT(H19,4), MID(H19,5,2), RIGHT(H19,2)), "M/d/yyyy")</f>
        <v>4/1/2025</v>
      </c>
      <c r="J19" s="16">
        <v>20250201</v>
      </c>
      <c r="K19" s="16" t="str">
        <f>TEXT(DATE(LEFT(J19,4), MID(J19,5,2), RIGHT(J19,2)), "M/d/yyyy")</f>
        <v>2/1/2025</v>
      </c>
      <c r="L19" s="2" t="s">
        <v>98</v>
      </c>
      <c r="M19" s="18">
        <v>1</v>
      </c>
      <c r="N19" s="16">
        <v>20</v>
      </c>
      <c r="O19" s="2">
        <v>20</v>
      </c>
      <c r="P19" s="15" t="s">
        <v>188</v>
      </c>
      <c r="Q19" s="2"/>
    </row>
    <row r="20" spans="1:17" ht="16.5" customHeight="1" x14ac:dyDescent="0.2">
      <c r="A20" s="2">
        <v>371819</v>
      </c>
      <c r="B20" s="2" t="s">
        <v>186</v>
      </c>
      <c r="C20" s="16">
        <v>1</v>
      </c>
      <c r="D20" s="16">
        <v>928148102</v>
      </c>
      <c r="E20" s="16" t="str">
        <f t="shared" si="0"/>
        <v>9281481025</v>
      </c>
      <c r="F20" s="2" t="s">
        <v>139</v>
      </c>
      <c r="G20" s="17">
        <v>1038.7</v>
      </c>
      <c r="H20" s="16">
        <v>20250401</v>
      </c>
      <c r="I20" s="16" t="str">
        <f>TEXT(DATE(LEFT(H20,4), MID(H20,5,2), RIGHT(H20,2)), "M/d/yyyy")</f>
        <v>4/1/2025</v>
      </c>
      <c r="J20" s="16">
        <v>20250201</v>
      </c>
      <c r="K20" s="16" t="str">
        <f>TEXT(DATE(LEFT(J20,4), MID(J20,5,2), RIGHT(J20,2)), "M/d/yyyy")</f>
        <v>2/1/2025</v>
      </c>
      <c r="L20" s="2" t="s">
        <v>98</v>
      </c>
      <c r="M20" s="18">
        <v>1</v>
      </c>
      <c r="N20" s="16">
        <v>20</v>
      </c>
      <c r="O20" s="2">
        <v>20</v>
      </c>
      <c r="P20" s="15" t="s">
        <v>188</v>
      </c>
      <c r="Q20" s="2"/>
    </row>
    <row r="21" spans="1:17" ht="16.5" customHeight="1" x14ac:dyDescent="0.2">
      <c r="A21" s="2">
        <v>371819</v>
      </c>
      <c r="B21" s="2" t="s">
        <v>186</v>
      </c>
      <c r="C21" s="16">
        <v>1</v>
      </c>
      <c r="D21" s="16">
        <v>928148806</v>
      </c>
      <c r="E21" s="16" t="str">
        <f t="shared" si="0"/>
        <v>9281488065</v>
      </c>
      <c r="F21" s="2" t="s">
        <v>142</v>
      </c>
      <c r="G21" s="2" t="s">
        <v>143</v>
      </c>
      <c r="H21" s="16">
        <v>20250401</v>
      </c>
      <c r="I21" s="16" t="str">
        <f>TEXT(DATE(LEFT(H21,4), MID(H21,5,2), RIGHT(H21,2)), "M/d/yyyy")</f>
        <v>4/1/2025</v>
      </c>
      <c r="J21" s="16">
        <v>20250201</v>
      </c>
      <c r="K21" s="16" t="str">
        <f>TEXT(DATE(LEFT(J21,4), MID(J21,5,2), RIGHT(J21,2)), "M/d/yyyy")</f>
        <v>2/1/2025</v>
      </c>
      <c r="L21" s="2" t="s">
        <v>98</v>
      </c>
      <c r="M21" s="18">
        <v>1</v>
      </c>
      <c r="N21" s="16">
        <v>20</v>
      </c>
      <c r="O21" s="2">
        <v>20</v>
      </c>
      <c r="P21" s="15" t="s">
        <v>188</v>
      </c>
      <c r="Q21" s="2"/>
    </row>
    <row r="22" spans="1:17" ht="16.5" customHeight="1" x14ac:dyDescent="0.2">
      <c r="A22" s="2">
        <v>371819</v>
      </c>
      <c r="B22" s="2" t="s">
        <v>186</v>
      </c>
      <c r="C22" s="16">
        <v>4</v>
      </c>
      <c r="D22" s="16">
        <v>928149001</v>
      </c>
      <c r="E22" s="16" t="str">
        <f t="shared" si="0"/>
        <v>9281490015</v>
      </c>
      <c r="F22" s="2" t="s">
        <v>146</v>
      </c>
      <c r="G22" s="17">
        <v>2198.3200000000002</v>
      </c>
      <c r="H22" s="16">
        <v>20250401</v>
      </c>
      <c r="I22" s="16" t="str">
        <f>TEXT(DATE(LEFT(H22,4), MID(H22,5,2), RIGHT(H22,2)), "M/d/yyyy")</f>
        <v>4/1/2025</v>
      </c>
      <c r="J22" s="16">
        <v>20250201</v>
      </c>
      <c r="K22" s="16" t="str">
        <f>TEXT(DATE(LEFT(J22,4), MID(J22,5,2), RIGHT(J22,2)), "M/d/yyyy")</f>
        <v>2/1/2025</v>
      </c>
      <c r="L22" s="2" t="s">
        <v>98</v>
      </c>
      <c r="M22" s="18">
        <v>1</v>
      </c>
      <c r="N22" s="16">
        <v>20</v>
      </c>
      <c r="O22" s="2">
        <v>80</v>
      </c>
      <c r="P22" s="15" t="s">
        <v>188</v>
      </c>
      <c r="Q22" s="2" t="s">
        <v>191</v>
      </c>
    </row>
    <row r="23" spans="1:17" ht="16.5" customHeight="1" x14ac:dyDescent="0.2">
      <c r="A23" s="2">
        <v>371819</v>
      </c>
      <c r="B23" s="2" t="s">
        <v>186</v>
      </c>
      <c r="C23" s="16">
        <v>1</v>
      </c>
      <c r="D23" s="16">
        <v>928149122</v>
      </c>
      <c r="E23" s="16" t="str">
        <f t="shared" si="0"/>
        <v>9281491225</v>
      </c>
      <c r="F23" s="2" t="s">
        <v>151</v>
      </c>
      <c r="G23" s="17">
        <v>1037.1300000000001</v>
      </c>
      <c r="H23" s="16">
        <v>20250401</v>
      </c>
      <c r="I23" s="16" t="str">
        <f>TEXT(DATE(LEFT(H23,4), MID(H23,5,2), RIGHT(H23,2)), "M/d/yyyy")</f>
        <v>4/1/2025</v>
      </c>
      <c r="J23" s="16">
        <v>20250201</v>
      </c>
      <c r="K23" s="16" t="str">
        <f>TEXT(DATE(LEFT(J23,4), MID(J23,5,2), RIGHT(J23,2)), "M/d/yyyy")</f>
        <v>2/1/2025</v>
      </c>
      <c r="L23" s="2" t="s">
        <v>45</v>
      </c>
      <c r="M23" s="18">
        <v>1</v>
      </c>
      <c r="N23" s="16">
        <v>20</v>
      </c>
      <c r="O23" s="2">
        <v>20</v>
      </c>
      <c r="P23" s="15" t="s">
        <v>188</v>
      </c>
      <c r="Q23" s="2"/>
    </row>
    <row r="24" spans="1:17" ht="16.5" customHeight="1" x14ac:dyDescent="0.2">
      <c r="A24" s="2">
        <v>371819</v>
      </c>
      <c r="B24" s="2" t="s">
        <v>186</v>
      </c>
      <c r="C24" s="16">
        <v>1</v>
      </c>
      <c r="D24" s="16">
        <v>928149222</v>
      </c>
      <c r="E24" s="16" t="str">
        <f t="shared" si="0"/>
        <v>9281492225</v>
      </c>
      <c r="F24" s="2" t="s">
        <v>154</v>
      </c>
      <c r="G24" s="2" t="s">
        <v>155</v>
      </c>
      <c r="H24" s="16">
        <v>20250401</v>
      </c>
      <c r="I24" s="16" t="str">
        <f>TEXT(DATE(LEFT(H24,4), MID(H24,5,2), RIGHT(H24,2)), "M/d/yyyy")</f>
        <v>4/1/2025</v>
      </c>
      <c r="J24" s="16">
        <v>20250201</v>
      </c>
      <c r="K24" s="16" t="str">
        <f>TEXT(DATE(LEFT(J24,4), MID(J24,5,2), RIGHT(J24,2)), "M/d/yyyy")</f>
        <v>2/1/2025</v>
      </c>
      <c r="L24" s="2" t="s">
        <v>98</v>
      </c>
      <c r="M24" s="18">
        <v>1</v>
      </c>
      <c r="N24" s="16">
        <v>20</v>
      </c>
      <c r="O24" s="2">
        <v>20</v>
      </c>
      <c r="P24" s="15" t="s">
        <v>188</v>
      </c>
      <c r="Q24" s="2"/>
    </row>
    <row r="25" spans="1:17" ht="16.5" customHeight="1" x14ac:dyDescent="0.2">
      <c r="A25" s="2">
        <v>371819</v>
      </c>
      <c r="B25" s="2" t="s">
        <v>186</v>
      </c>
      <c r="C25" s="16">
        <v>1</v>
      </c>
      <c r="D25" s="16">
        <v>928149327</v>
      </c>
      <c r="E25" s="16" t="str">
        <f t="shared" si="0"/>
        <v>9281493275</v>
      </c>
      <c r="F25" s="2" t="s">
        <v>157</v>
      </c>
      <c r="G25" s="2" t="s">
        <v>143</v>
      </c>
      <c r="H25" s="16">
        <v>20250401</v>
      </c>
      <c r="I25" s="16" t="str">
        <f>TEXT(DATE(LEFT(H25,4), MID(H25,5,2), RIGHT(H25,2)), "M/d/yyyy")</f>
        <v>4/1/2025</v>
      </c>
      <c r="J25" s="16">
        <v>20250201</v>
      </c>
      <c r="K25" s="16" t="str">
        <f>TEXT(DATE(LEFT(J25,4), MID(J25,5,2), RIGHT(J25,2)), "M/d/yyyy")</f>
        <v>2/1/2025</v>
      </c>
      <c r="L25" s="2" t="s">
        <v>98</v>
      </c>
      <c r="M25" s="18">
        <v>1</v>
      </c>
      <c r="N25" s="16">
        <v>20</v>
      </c>
      <c r="O25" s="2">
        <v>20</v>
      </c>
      <c r="P25" s="15" t="s">
        <v>188</v>
      </c>
      <c r="Q25" s="2"/>
    </row>
    <row r="26" spans="1:17" ht="16.5" customHeight="1" x14ac:dyDescent="0.2">
      <c r="A26" s="2">
        <v>371819</v>
      </c>
      <c r="B26" s="2" t="s">
        <v>186</v>
      </c>
      <c r="C26" s="16">
        <v>1</v>
      </c>
      <c r="D26" s="16">
        <v>928144933</v>
      </c>
      <c r="E26" s="16" t="str">
        <f t="shared" si="0"/>
        <v>9281449335</v>
      </c>
      <c r="F26" s="2" t="s">
        <v>122</v>
      </c>
      <c r="G26" s="2" t="s">
        <v>123</v>
      </c>
      <c r="H26" s="16">
        <v>20250401</v>
      </c>
      <c r="I26" s="16" t="str">
        <f>TEXT(DATE(LEFT(H26,4), MID(H26,5,2), RIGHT(H26,2)), "M/d/yyyy")</f>
        <v>4/1/2025</v>
      </c>
      <c r="J26" s="16">
        <v>20250101</v>
      </c>
      <c r="K26" s="16" t="str">
        <f>TEXT(DATE(LEFT(J26,4), MID(J26,5,2), RIGHT(J26,2)), "M/d/yyyy")</f>
        <v>1/1/2025</v>
      </c>
      <c r="L26" s="2" t="s">
        <v>45</v>
      </c>
      <c r="M26" s="18">
        <v>1</v>
      </c>
      <c r="N26" s="16">
        <v>20</v>
      </c>
      <c r="O26" s="2">
        <v>20</v>
      </c>
      <c r="P26" s="15" t="s">
        <v>188</v>
      </c>
      <c r="Q26" s="2"/>
    </row>
    <row r="27" spans="1:17" ht="16.5" customHeight="1" x14ac:dyDescent="0.2">
      <c r="A27" s="2">
        <v>371819</v>
      </c>
      <c r="B27" s="2" t="s">
        <v>186</v>
      </c>
      <c r="C27" s="16">
        <v>2</v>
      </c>
      <c r="D27" s="16">
        <v>928145593</v>
      </c>
      <c r="E27" s="16" t="str">
        <f t="shared" si="0"/>
        <v>9281455935</v>
      </c>
      <c r="F27" s="2" t="s">
        <v>125</v>
      </c>
      <c r="G27" s="2" t="s">
        <v>126</v>
      </c>
      <c r="H27" s="16">
        <v>20250401</v>
      </c>
      <c r="I27" s="16" t="str">
        <f>TEXT(DATE(LEFT(H27,4), MID(H27,5,2), RIGHT(H27,2)), "M/d/yyyy")</f>
        <v>4/1/2025</v>
      </c>
      <c r="J27" s="16">
        <v>20250101</v>
      </c>
      <c r="K27" s="16" t="str">
        <f>TEXT(DATE(LEFT(J27,4), MID(J27,5,2), RIGHT(J27,2)), "M/d/yyyy")</f>
        <v>1/1/2025</v>
      </c>
      <c r="L27" s="2" t="s">
        <v>45</v>
      </c>
      <c r="M27" s="18">
        <v>1</v>
      </c>
      <c r="N27" s="16">
        <v>20</v>
      </c>
      <c r="O27" s="2">
        <v>40</v>
      </c>
      <c r="P27" s="15" t="s">
        <v>188</v>
      </c>
      <c r="Q27" s="2" t="s">
        <v>189</v>
      </c>
    </row>
    <row r="28" spans="1:17" ht="16.5" customHeight="1" x14ac:dyDescent="0.2">
      <c r="A28" s="2">
        <v>371819</v>
      </c>
      <c r="B28" s="2" t="s">
        <v>186</v>
      </c>
      <c r="C28" s="16">
        <v>2</v>
      </c>
      <c r="D28" s="16">
        <v>928146493</v>
      </c>
      <c r="E28" s="16" t="str">
        <f t="shared" si="0"/>
        <v>9281464935</v>
      </c>
      <c r="F28" s="2" t="s">
        <v>132</v>
      </c>
      <c r="G28" s="17">
        <v>1333.19</v>
      </c>
      <c r="H28" s="16">
        <v>20250401</v>
      </c>
      <c r="I28" s="16" t="str">
        <f>TEXT(DATE(LEFT(H28,4), MID(H28,5,2), RIGHT(H28,2)), "M/d/yyyy")</f>
        <v>4/1/2025</v>
      </c>
      <c r="J28" s="16">
        <v>20250101</v>
      </c>
      <c r="K28" s="16" t="str">
        <f>TEXT(DATE(LEFT(J28,4), MID(J28,5,2), RIGHT(J28,2)), "M/d/yyyy")</f>
        <v>1/1/2025</v>
      </c>
      <c r="L28" s="2" t="s">
        <v>98</v>
      </c>
      <c r="M28" s="18">
        <v>1</v>
      </c>
      <c r="N28" s="16">
        <v>20</v>
      </c>
      <c r="O28" s="2">
        <v>40</v>
      </c>
      <c r="P28" s="15" t="s">
        <v>188</v>
      </c>
      <c r="Q28" s="2" t="s">
        <v>189</v>
      </c>
    </row>
    <row r="29" spans="1:17" ht="16.5" customHeight="1" x14ac:dyDescent="0.2">
      <c r="A29" s="2">
        <v>371819</v>
      </c>
      <c r="B29" s="2" t="s">
        <v>186</v>
      </c>
      <c r="C29" s="16">
        <v>2</v>
      </c>
      <c r="D29" s="16">
        <v>928146737</v>
      </c>
      <c r="E29" s="16" t="str">
        <f t="shared" si="0"/>
        <v>9281467375</v>
      </c>
      <c r="F29" s="2" t="s">
        <v>136</v>
      </c>
      <c r="G29" s="17">
        <v>1218.75</v>
      </c>
      <c r="H29" s="16">
        <v>20250401</v>
      </c>
      <c r="I29" s="16" t="str">
        <f>TEXT(DATE(LEFT(H29,4), MID(H29,5,2), RIGHT(H29,2)), "M/d/yyyy")</f>
        <v>4/1/2025</v>
      </c>
      <c r="J29" s="16">
        <v>20250101</v>
      </c>
      <c r="K29" s="16" t="str">
        <f>TEXT(DATE(LEFT(J29,4), MID(J29,5,2), RIGHT(J29,2)), "M/d/yyyy")</f>
        <v>1/1/2025</v>
      </c>
      <c r="L29" s="2" t="s">
        <v>98</v>
      </c>
      <c r="M29" s="18">
        <v>1</v>
      </c>
      <c r="N29" s="16">
        <v>20</v>
      </c>
      <c r="O29" s="2">
        <v>40</v>
      </c>
      <c r="P29" s="15" t="s">
        <v>188</v>
      </c>
      <c r="Q29" s="2" t="s">
        <v>189</v>
      </c>
    </row>
    <row r="30" spans="1:17" ht="16.5" customHeight="1" x14ac:dyDescent="0.2">
      <c r="A30" s="2">
        <v>371819</v>
      </c>
      <c r="B30" s="2" t="s">
        <v>186</v>
      </c>
      <c r="C30" s="16">
        <v>1</v>
      </c>
      <c r="D30" s="16">
        <v>928143304</v>
      </c>
      <c r="E30" s="16" t="str">
        <f t="shared" si="0"/>
        <v>9281433045</v>
      </c>
      <c r="F30" s="2" t="s">
        <v>117</v>
      </c>
      <c r="G30" s="2" t="s">
        <v>118</v>
      </c>
      <c r="H30" s="16">
        <v>20250401</v>
      </c>
      <c r="I30" s="16" t="str">
        <f>TEXT(DATE(LEFT(H30,4), MID(H30,5,2), RIGHT(H30,2)), "M/d/yyyy")</f>
        <v>4/1/2025</v>
      </c>
      <c r="J30" s="16">
        <v>20241201</v>
      </c>
      <c r="K30" s="16" t="str">
        <f>TEXT(DATE(LEFT(J30,4), MID(J30,5,2), RIGHT(J30,2)), "M/d/yyyy")</f>
        <v>12/1/2024</v>
      </c>
      <c r="L30" s="2" t="s">
        <v>45</v>
      </c>
      <c r="M30" s="18">
        <v>1</v>
      </c>
      <c r="N30" s="16">
        <v>20</v>
      </c>
      <c r="O30" s="2">
        <v>20</v>
      </c>
      <c r="P30" s="15" t="s">
        <v>188</v>
      </c>
      <c r="Q30" s="2"/>
    </row>
    <row r="31" spans="1:17" ht="16.5" customHeight="1" x14ac:dyDescent="0.2">
      <c r="A31" s="2">
        <v>371819</v>
      </c>
      <c r="B31" s="2" t="s">
        <v>186</v>
      </c>
      <c r="C31" s="16">
        <v>2</v>
      </c>
      <c r="D31" s="16">
        <v>928146255</v>
      </c>
      <c r="E31" s="16" t="str">
        <f t="shared" si="0"/>
        <v>9281462555</v>
      </c>
      <c r="F31" s="2" t="s">
        <v>128</v>
      </c>
      <c r="G31" s="17">
        <v>1189.72</v>
      </c>
      <c r="H31" s="16">
        <v>20250401</v>
      </c>
      <c r="I31" s="16" t="str">
        <f>TEXT(DATE(LEFT(H31,4), MID(H31,5,2), RIGHT(H31,2)), "M/d/yyyy")</f>
        <v>4/1/2025</v>
      </c>
      <c r="J31" s="16">
        <v>20241201</v>
      </c>
      <c r="K31" s="16" t="str">
        <f>TEXT(DATE(LEFT(J31,4), MID(J31,5,2), RIGHT(J31,2)), "M/d/yyyy")</f>
        <v>12/1/2024</v>
      </c>
      <c r="L31" s="2" t="s">
        <v>45</v>
      </c>
      <c r="M31" s="18">
        <v>1</v>
      </c>
      <c r="N31" s="16">
        <v>20</v>
      </c>
      <c r="O31" s="2">
        <v>40</v>
      </c>
      <c r="P31" s="15" t="s">
        <v>188</v>
      </c>
      <c r="Q31" s="2" t="s">
        <v>189</v>
      </c>
    </row>
    <row r="32" spans="1:17" ht="16.5" customHeight="1" x14ac:dyDescent="0.2">
      <c r="A32" s="2">
        <v>371819</v>
      </c>
      <c r="B32" s="2" t="s">
        <v>186</v>
      </c>
      <c r="C32" s="16">
        <v>2</v>
      </c>
      <c r="D32" s="16">
        <v>928146255</v>
      </c>
      <c r="E32" s="16" t="str">
        <f t="shared" si="0"/>
        <v>9281462555</v>
      </c>
      <c r="F32" s="2" t="s">
        <v>128</v>
      </c>
      <c r="G32" s="17">
        <v>1189.72</v>
      </c>
      <c r="H32" s="16">
        <v>20250301</v>
      </c>
      <c r="I32" s="16" t="str">
        <f>TEXT(DATE(LEFT(H32,4), MID(H32,5,2), RIGHT(H32,2)), "M/d/yyyy")</f>
        <v>3/1/2025</v>
      </c>
      <c r="J32" s="16">
        <v>20241201</v>
      </c>
      <c r="K32" s="16" t="str">
        <f>TEXT(DATE(LEFT(J32,4), MID(J32,5,2), RIGHT(J32,2)), "M/d/yyyy")</f>
        <v>12/1/2024</v>
      </c>
      <c r="L32" s="2" t="s">
        <v>45</v>
      </c>
      <c r="M32" s="18">
        <v>1</v>
      </c>
      <c r="N32" s="16">
        <v>20</v>
      </c>
      <c r="O32" s="2">
        <v>40</v>
      </c>
      <c r="P32" s="15" t="s">
        <v>188</v>
      </c>
      <c r="Q32" s="2" t="s">
        <v>189</v>
      </c>
    </row>
    <row r="33" spans="1:17" ht="16.5" customHeight="1" x14ac:dyDescent="0.2">
      <c r="A33" s="2" t="s">
        <v>187</v>
      </c>
      <c r="B33" s="2" t="s">
        <v>186</v>
      </c>
      <c r="C33" s="16">
        <v>1</v>
      </c>
      <c r="D33" s="16">
        <v>928101630</v>
      </c>
      <c r="E33" s="16" t="str">
        <f t="shared" si="0"/>
        <v>9281016305</v>
      </c>
      <c r="F33" s="2" t="s">
        <v>101</v>
      </c>
      <c r="G33" s="2" t="s">
        <v>102</v>
      </c>
      <c r="H33" s="16">
        <v>20250401</v>
      </c>
      <c r="I33" s="16" t="str">
        <f>TEXT(DATE(LEFT(H33,4), MID(H33,5,2), RIGHT(H33,2)), "M/d/yyyy")</f>
        <v>4/1/2025</v>
      </c>
      <c r="J33" s="16">
        <v>20240401</v>
      </c>
      <c r="K33" s="16" t="str">
        <f>TEXT(DATE(LEFT(J33,4), MID(J33,5,2), RIGHT(J33,2)), "M/d/yyyy")</f>
        <v>4/1/2024</v>
      </c>
      <c r="L33" s="2" t="s">
        <v>98</v>
      </c>
      <c r="M33" s="18">
        <v>1</v>
      </c>
      <c r="N33" s="16">
        <v>20</v>
      </c>
      <c r="O33" s="2">
        <v>20</v>
      </c>
      <c r="P33" s="15" t="s">
        <v>188</v>
      </c>
      <c r="Q33" s="2"/>
    </row>
    <row r="34" spans="1:17" ht="16.5" customHeight="1" x14ac:dyDescent="0.2">
      <c r="A34" s="2" t="s">
        <v>187</v>
      </c>
      <c r="B34" s="2" t="s">
        <v>186</v>
      </c>
      <c r="C34" s="16">
        <v>1</v>
      </c>
      <c r="D34" s="16">
        <v>928101904</v>
      </c>
      <c r="E34" s="16" t="str">
        <f t="shared" si="0"/>
        <v>9281019045</v>
      </c>
      <c r="F34" s="2" t="s">
        <v>107</v>
      </c>
      <c r="G34" s="2" t="s">
        <v>108</v>
      </c>
      <c r="H34" s="16">
        <v>20250401</v>
      </c>
      <c r="I34" s="16" t="str">
        <f>TEXT(DATE(LEFT(H34,4), MID(H34,5,2), RIGHT(H34,2)), "M/d/yyyy")</f>
        <v>4/1/2025</v>
      </c>
      <c r="J34" s="16">
        <v>20240101</v>
      </c>
      <c r="K34" s="16" t="str">
        <f>TEXT(DATE(LEFT(J34,4), MID(J34,5,2), RIGHT(J34,2)), "M/d/yyyy")</f>
        <v>1/1/2024</v>
      </c>
      <c r="L34" s="2" t="s">
        <v>98</v>
      </c>
      <c r="M34" s="18">
        <v>1</v>
      </c>
      <c r="N34" s="16">
        <v>20</v>
      </c>
      <c r="O34" s="2">
        <v>20</v>
      </c>
      <c r="P34" s="15" t="s">
        <v>188</v>
      </c>
      <c r="Q34" s="2"/>
    </row>
    <row r="35" spans="1:17" ht="16.5" customHeight="1" x14ac:dyDescent="0.2">
      <c r="A35" s="2" t="s">
        <v>187</v>
      </c>
      <c r="B35" s="2" t="s">
        <v>186</v>
      </c>
      <c r="C35" s="16">
        <v>1</v>
      </c>
      <c r="D35" s="16">
        <v>928131718</v>
      </c>
      <c r="E35" s="16" t="str">
        <f t="shared" si="0"/>
        <v>9281317185</v>
      </c>
      <c r="F35" s="2" t="s">
        <v>110</v>
      </c>
      <c r="G35" s="2" t="s">
        <v>111</v>
      </c>
      <c r="H35" s="16">
        <v>20250401</v>
      </c>
      <c r="I35" s="16" t="str">
        <f>TEXT(DATE(LEFT(H35,4), MID(H35,5,2), RIGHT(H35,2)), "M/d/yyyy")</f>
        <v>4/1/2025</v>
      </c>
      <c r="J35" s="16">
        <v>20240101</v>
      </c>
      <c r="K35" s="16" t="str">
        <f>TEXT(DATE(LEFT(J35,4), MID(J35,5,2), RIGHT(J35,2)), "M/d/yyyy")</f>
        <v>1/1/2024</v>
      </c>
      <c r="L35" s="2" t="s">
        <v>98</v>
      </c>
      <c r="M35" s="18">
        <v>1</v>
      </c>
      <c r="N35" s="16">
        <v>20</v>
      </c>
      <c r="O35" s="2">
        <v>20</v>
      </c>
      <c r="P35" s="15" t="s">
        <v>188</v>
      </c>
      <c r="Q35" s="2"/>
    </row>
    <row r="36" spans="1:17" ht="16.5" customHeight="1" x14ac:dyDescent="0.2">
      <c r="A36" s="2" t="s">
        <v>187</v>
      </c>
      <c r="B36" s="2" t="s">
        <v>186</v>
      </c>
      <c r="C36" s="16">
        <v>2</v>
      </c>
      <c r="D36" s="16">
        <v>928131795</v>
      </c>
      <c r="E36" s="16" t="str">
        <f t="shared" si="0"/>
        <v>9281317955</v>
      </c>
      <c r="F36" s="2" t="s">
        <v>114</v>
      </c>
      <c r="G36" s="2" t="s">
        <v>115</v>
      </c>
      <c r="H36" s="16">
        <v>20250401</v>
      </c>
      <c r="I36" s="16" t="str">
        <f>TEXT(DATE(LEFT(H36,4), MID(H36,5,2), RIGHT(H36,2)), "M/d/yyyy")</f>
        <v>4/1/2025</v>
      </c>
      <c r="J36" s="16">
        <v>20240101</v>
      </c>
      <c r="K36" s="16" t="str">
        <f>TEXT(DATE(LEFT(J36,4), MID(J36,5,2), RIGHT(J36,2)), "M/d/yyyy")</f>
        <v>1/1/2024</v>
      </c>
      <c r="L36" s="2" t="s">
        <v>45</v>
      </c>
      <c r="M36" s="18">
        <v>1</v>
      </c>
      <c r="N36" s="16">
        <v>20</v>
      </c>
      <c r="O36" s="2">
        <v>40</v>
      </c>
      <c r="P36" s="15" t="s">
        <v>188</v>
      </c>
      <c r="Q36" s="2" t="s">
        <v>189</v>
      </c>
    </row>
    <row r="37" spans="1:17" ht="409.6" customHeight="1" x14ac:dyDescent="0.2"/>
    <row r="38" spans="1:17" ht="12" customHeight="1" x14ac:dyDescent="0.2"/>
  </sheetData>
  <sortState xmlns:xlrd2="http://schemas.microsoft.com/office/spreadsheetml/2017/richdata2" ref="A11:AJ36">
    <sortCondition descending="1" ref="K11:K36"/>
  </sortState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2025-03-21T12:18:49Z</dcterms:created>
  <dcterms:modified xsi:type="dcterms:W3CDTF">2025-03-21T15:12:30Z</dcterms:modified>
</cp:coreProperties>
</file>