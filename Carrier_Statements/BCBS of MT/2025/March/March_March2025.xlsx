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2025\March\"/>
    </mc:Choice>
  </mc:AlternateContent>
  <xr:revisionPtr revIDLastSave="0" documentId="13_ncr:1_{4C9C2F02-7A7C-4047-8464-A25D0D1A88EE}" xr6:coauthVersionLast="47" xr6:coauthVersionMax="47" xr10:uidLastSave="{00000000-0000-0000-0000-000000000000}"/>
  <bookViews>
    <workbookView xWindow="28680" yWindow="-2520" windowWidth="29040" windowHeight="164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" i="2"/>
  <c r="K5" i="2"/>
  <c r="K6" i="2"/>
  <c r="K7" i="2"/>
  <c r="K8" i="2"/>
  <c r="K9" i="2"/>
  <c r="K10" i="2"/>
  <c r="K11" i="2"/>
  <c r="K12" i="2"/>
  <c r="K30" i="2"/>
  <c r="K43" i="2"/>
  <c r="K44" i="2"/>
  <c r="K45" i="2"/>
  <c r="K46" i="2"/>
  <c r="K47" i="2"/>
  <c r="K41" i="2"/>
  <c r="K37" i="2"/>
  <c r="K38" i="2"/>
  <c r="K42" i="2"/>
  <c r="K39" i="2"/>
  <c r="K40" i="2"/>
  <c r="K31" i="2"/>
  <c r="K32" i="2"/>
  <c r="K33" i="2"/>
  <c r="K34" i="2"/>
  <c r="K35" i="2"/>
  <c r="K36" i="2"/>
  <c r="K20" i="2"/>
  <c r="K21" i="2"/>
  <c r="K22" i="2"/>
  <c r="K23" i="2"/>
  <c r="K24" i="2"/>
  <c r="K25" i="2"/>
  <c r="K26" i="2"/>
  <c r="K27" i="2"/>
  <c r="K28" i="2"/>
  <c r="K29" i="2"/>
  <c r="K13" i="2"/>
  <c r="K14" i="2"/>
  <c r="K15" i="2"/>
  <c r="K16" i="2"/>
  <c r="K17" i="2"/>
  <c r="K18" i="2"/>
  <c r="K19" i="2"/>
  <c r="K4" i="2"/>
</calcChain>
</file>

<file path=xl/sharedStrings.xml><?xml version="1.0" encoding="utf-8"?>
<sst xmlns="http://schemas.openxmlformats.org/spreadsheetml/2006/main" count="1232" uniqueCount="230">
  <si>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</si>
  <si>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</si>
  <si>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</si>
  <si>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</si>
  <si>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</si>
  <si>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</si>
  <si>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</si>
  <si>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</si>
  <si>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March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</si>
  <si>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</si>
  <si>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</si>
  <si>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</si>
  <si>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</si>
  <si>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</si>
  <si>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</si>
  <si>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</si>
  <si>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</si>
  <si>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</si>
  <si>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</si>
  <si>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</si>
  <si>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</si>
  <si>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</si>
  <si>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</si>
  <si>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</si>
  <si>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</si>
  <si>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</si>
  <si>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</si>
  <si>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</si>
  <si>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</si>
  <si>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</si>
  <si>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</si>
  <si>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</si>
  <si>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</si>
  <si>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</si>
  <si>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</si>
  <si>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</si>
  <si>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MS1901</t>
  </si>
  <si>
    <t>2</t>
  </si>
  <si>
    <t>000928127138</t>
  </si>
  <si>
    <t>OSBORNE, DAVID</t>
  </si>
  <si>
    <t>P</t>
  </si>
  <si>
    <t>002,131.70</t>
  </si>
  <si>
    <t>20250501</t>
  </si>
  <si>
    <t>20240101</t>
  </si>
  <si>
    <t>016</t>
  </si>
  <si>
    <t>BLUEFOCUSPOS^</t>
  </si>
  <si>
    <t>N</t>
  </si>
  <si>
    <t>$01.00</t>
  </si>
  <si>
    <t>020.00</t>
  </si>
  <si>
    <t>000,040.00</t>
  </si>
  <si>
    <t>0.0000</t>
  </si>
  <si>
    <t>000,000.00</t>
  </si>
  <si>
    <t>107866948</t>
  </si>
  <si>
    <t>1</t>
  </si>
  <si>
    <t>000928127769</t>
  </si>
  <si>
    <t>DEAN, BRENDA</t>
  </si>
  <si>
    <t>000,949.16</t>
  </si>
  <si>
    <t>000,020.00</t>
  </si>
  <si>
    <t>MS1301</t>
  </si>
  <si>
    <t>3</t>
  </si>
  <si>
    <t>000928139663</t>
  </si>
  <si>
    <t>SMITH, JASON</t>
  </si>
  <si>
    <t>001,183.24</t>
  </si>
  <si>
    <t>20240801</t>
  </si>
  <si>
    <t>009</t>
  </si>
  <si>
    <t>000,060.00</t>
  </si>
  <si>
    <t>000928142523</t>
  </si>
  <si>
    <t>ANDERSON, WENDY</t>
  </si>
  <si>
    <t>001,043.33</t>
  </si>
  <si>
    <t>20250101</t>
  </si>
  <si>
    <t>004</t>
  </si>
  <si>
    <t>000928150906</t>
  </si>
  <si>
    <t>BARTRAM, DONALD</t>
  </si>
  <si>
    <t>002,334.07</t>
  </si>
  <si>
    <t>20250401</t>
  </si>
  <si>
    <t>001</t>
  </si>
  <si>
    <t>MB1903</t>
  </si>
  <si>
    <t>000928150919</t>
  </si>
  <si>
    <t>BARTRAM, BRIDGER</t>
  </si>
  <si>
    <t>000,302.62</t>
  </si>
  <si>
    <t>107879366-SU-MICHELA ROZMAN</t>
  </si>
  <si>
    <t>000928116889</t>
  </si>
  <si>
    <t>BICKLER, TIMOTHY</t>
  </si>
  <si>
    <t>000,706.01</t>
  </si>
  <si>
    <t>20220501</t>
  </si>
  <si>
    <t>036</t>
  </si>
  <si>
    <t>107879366</t>
  </si>
  <si>
    <t>107944689-SU-JOEL N LEE</t>
  </si>
  <si>
    <t>000928132686</t>
  </si>
  <si>
    <t>BOYD, TYLER</t>
  </si>
  <si>
    <t>000,430.56</t>
  </si>
  <si>
    <t>107944689</t>
  </si>
  <si>
    <t>107949125-SU-JONATHAN ALOFF</t>
  </si>
  <si>
    <t>000928141308</t>
  </si>
  <si>
    <t>LOFF, MARK</t>
  </si>
  <si>
    <t>002,140.42</t>
  </si>
  <si>
    <t>20241001</t>
  </si>
  <si>
    <t>007</t>
  </si>
  <si>
    <t>107949125</t>
  </si>
  <si>
    <t>107952427-SU-THOMAS PARDUE</t>
  </si>
  <si>
    <t>MB1900</t>
  </si>
  <si>
    <t>000928093609</t>
  </si>
  <si>
    <t>BRADLEY, SHANNON</t>
  </si>
  <si>
    <t>000,770.69</t>
  </si>
  <si>
    <t>20250201</t>
  </si>
  <si>
    <t>003</t>
  </si>
  <si>
    <t>PPO</t>
  </si>
  <si>
    <t>107952427</t>
  </si>
  <si>
    <t>000928101630</t>
  </si>
  <si>
    <t>BLACKIE, IRVIN</t>
  </si>
  <si>
    <t>000,842.17</t>
  </si>
  <si>
    <t>20240401</t>
  </si>
  <si>
    <t>013</t>
  </si>
  <si>
    <t>MB1901</t>
  </si>
  <si>
    <t>000928101904</t>
  </si>
  <si>
    <t>GILROY, WALTER</t>
  </si>
  <si>
    <t>000,930.96</t>
  </si>
  <si>
    <t>000928131407</t>
  </si>
  <si>
    <t>WALKS, RANDALL</t>
  </si>
  <si>
    <t>000,367.38</t>
  </si>
  <si>
    <t>000928131718</t>
  </si>
  <si>
    <t>MARTIN, LUCINDA</t>
  </si>
  <si>
    <t>000,744.21</t>
  </si>
  <si>
    <t>MB1303</t>
  </si>
  <si>
    <t>000928131795</t>
  </si>
  <si>
    <t>TAKES HORSE, PIUS</t>
  </si>
  <si>
    <t>000,673.07</t>
  </si>
  <si>
    <t>000928143304</t>
  </si>
  <si>
    <t>SORKNESS, KIMBERLY</t>
  </si>
  <si>
    <t>000,459.46</t>
  </si>
  <si>
    <t>20241201</t>
  </si>
  <si>
    <t>005</t>
  </si>
  <si>
    <t>000928144933</t>
  </si>
  <si>
    <t>MEDICINETOP, JOHNNY</t>
  </si>
  <si>
    <t>000,473.00</t>
  </si>
  <si>
    <t>000928145593</t>
  </si>
  <si>
    <t>MCCOLLUM, BOWEN LEE</t>
  </si>
  <si>
    <t>000,424.93</t>
  </si>
  <si>
    <t>000928146255</t>
  </si>
  <si>
    <t>DECOCK, RICKY</t>
  </si>
  <si>
    <t>001,189.72</t>
  </si>
  <si>
    <t>000928146493</t>
  </si>
  <si>
    <t>RUNNINGFISHER, YOUNGBILL</t>
  </si>
  <si>
    <t>001,333.19</t>
  </si>
  <si>
    <t>MB1301</t>
  </si>
  <si>
    <t>000928146737</t>
  </si>
  <si>
    <t>SPOTTEDBEAR, JESSEY</t>
  </si>
  <si>
    <t>001,218.75</t>
  </si>
  <si>
    <t>000928148102</t>
  </si>
  <si>
    <t>AZURE, JESSIE</t>
  </si>
  <si>
    <t>001,038.70</t>
  </si>
  <si>
    <t>000928148806</t>
  </si>
  <si>
    <t>TORRALBA, TONY</t>
  </si>
  <si>
    <t>000,851.95</t>
  </si>
  <si>
    <t>4</t>
  </si>
  <si>
    <t>000928149001</t>
  </si>
  <si>
    <t>PLAINFEATHER, BENITA</t>
  </si>
  <si>
    <t>002,198.32</t>
  </si>
  <si>
    <t>000,080.00</t>
  </si>
  <si>
    <t>MS1500</t>
  </si>
  <si>
    <t>000928149122</t>
  </si>
  <si>
    <t>WOLFCHILD, CHARLOTTE</t>
  </si>
  <si>
    <t>001,037.13</t>
  </si>
  <si>
    <t>000928149222</t>
  </si>
  <si>
    <t>RUNNING CRANE, STEPHEN</t>
  </si>
  <si>
    <t>000,882.48</t>
  </si>
  <si>
    <t>000928149327</t>
  </si>
  <si>
    <t>BUCKLES, DENISE</t>
  </si>
  <si>
    <t>000928149842</t>
  </si>
  <si>
    <t>PLAINFEATHER, LEVI</t>
  </si>
  <si>
    <t>000,521.26</t>
  </si>
  <si>
    <t>20250301</t>
  </si>
  <si>
    <t>002</t>
  </si>
  <si>
    <t>000928149844</t>
  </si>
  <si>
    <t>JEFFERSON, RYAN</t>
  </si>
  <si>
    <t>000,444.01</t>
  </si>
  <si>
    <t>000928149870</t>
  </si>
  <si>
    <t>BUCK, KELLEY</t>
  </si>
  <si>
    <t>001,090.84</t>
  </si>
  <si>
    <t>000928150112</t>
  </si>
  <si>
    <t>HUNTER, TINA</t>
  </si>
  <si>
    <t>000,991.53</t>
  </si>
  <si>
    <t>000928150140</t>
  </si>
  <si>
    <t>DONEY, ALBERT</t>
  </si>
  <si>
    <t>000928150209</t>
  </si>
  <si>
    <t>LAFORGE DUST, LILLY</t>
  </si>
  <si>
    <t>000,267.16</t>
  </si>
  <si>
    <t>1-</t>
  </si>
  <si>
    <t>000928150250</t>
  </si>
  <si>
    <t>LAFORGE DUST, JOSIAH</t>
  </si>
  <si>
    <t>000,335.14-</t>
  </si>
  <si>
    <t>000,020.00-</t>
  </si>
  <si>
    <t>000928150320</t>
  </si>
  <si>
    <t>HENRY, BRANDI</t>
  </si>
  <si>
    <t>000,669.48-</t>
  </si>
  <si>
    <t>000,669.48</t>
  </si>
  <si>
    <t>000,367.13-</t>
  </si>
  <si>
    <t>000928150824</t>
  </si>
  <si>
    <t>ALEXANDER, MILTON</t>
  </si>
  <si>
    <t>000,501.19</t>
  </si>
  <si>
    <t>000928151030</t>
  </si>
  <si>
    <t>HALL, STACY</t>
  </si>
  <si>
    <t>000,697.79</t>
  </si>
  <si>
    <t>5</t>
  </si>
  <si>
    <t>000928151061</t>
  </si>
  <si>
    <t>HEALY, KELLY</t>
  </si>
  <si>
    <t>001,224.16</t>
  </si>
  <si>
    <t>000,100.00</t>
  </si>
  <si>
    <t>000928151148</t>
  </si>
  <si>
    <t>MAHKUK-MALATARE, VICKIE</t>
  </si>
  <si>
    <t>000,894.71</t>
  </si>
  <si>
    <t>000928151168</t>
  </si>
  <si>
    <t>WALKS, DELBERT</t>
  </si>
  <si>
    <t>000928151239</t>
  </si>
  <si>
    <t>BAUER, AUDREY</t>
  </si>
  <si>
    <t>000,814.04</t>
  </si>
  <si>
    <t>000928151241</t>
  </si>
  <si>
    <t>KAULEY, JOSEPH</t>
  </si>
  <si>
    <t>000,400.58</t>
  </si>
  <si>
    <t>[PMPM=2]</t>
  </si>
  <si>
    <t>[PMPM=3]</t>
  </si>
  <si>
    <t>[PMPM=4]</t>
  </si>
  <si>
    <t>[PMPM=5]</t>
  </si>
  <si>
    <t>BCBS of MT 2025</t>
  </si>
  <si>
    <t>GREGORY K TEIPEL</t>
  </si>
  <si>
    <t>MICHELA ROZMAN</t>
  </si>
  <si>
    <t>JOEL N LEE</t>
  </si>
  <si>
    <t>JONATHAN ALOFF</t>
  </si>
  <si>
    <t>THOMAS PARDUE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</si>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</sst>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  <xf numFmtId="4" fontId="6" fillId="0" borderId="0" xfId="0" applyNumberFormat="1" applyFont="1" applyAlignment="1">
      <alignment horizontal="left" vertical="top"/>
    </xf>
    <xf numFmtId="8" fontId="6" fillId="0" borderId="0" xfId="0" applyNumberFormat="1" applyFont="1" applyAlignment="1">
      <alignment horizontal="left" vertical="top"/>
    </xf>
    <xf numFmtId="0" fontId="5" fillId="3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2"/>
  <sheetViews>
    <sheetView showGridLines="0" topLeftCell="A4" workbookViewId="0">
      <selection activeCell="A4" sqref="A1:XFD1048576"/>
    </sheetView>
  </sheetViews>
  <sheetFormatPr defaultColWidth="6.88671875" defaultRowHeight="12.75" customHeight="1" x14ac:dyDescent="0.25"/>
  <cols>
    <col min="1" max="1" width="10.44140625" customWidth="1"/>
    <col min="2" max="2" width="2.109375" customWidth="1"/>
    <col min="3" max="3" width="9.44140625" customWidth="1"/>
    <col min="4" max="4" width="2" customWidth="1"/>
    <col min="5" max="5" width="10.109375" customWidth="1"/>
    <col min="6" max="6" width="1.109375" customWidth="1"/>
    <col min="7" max="7" width="1.5546875" customWidth="1"/>
    <col min="8" max="8" width="27.109375" customWidth="1"/>
    <col min="9" max="9" width="22" customWidth="1"/>
    <col min="10" max="10" width="8.6640625" customWidth="1"/>
    <col min="11" max="11" width="10.33203125" customWidth="1"/>
    <col min="12" max="12" width="10.5546875" customWidth="1"/>
    <col min="13" max="14" width="1.109375" customWidth="1"/>
    <col min="15" max="15" width="11.6640625" customWidth="1"/>
    <col min="16" max="16" width="20.6640625" customWidth="1"/>
    <col min="17" max="17" width="2.33203125" customWidth="1"/>
    <col min="18" max="18" width="18.88671875" customWidth="1"/>
    <col min="19" max="19" width="10" customWidth="1"/>
    <col min="20" max="20" width="5" customWidth="1"/>
    <col min="21" max="21" width="8.5546875" customWidth="1"/>
    <col min="22" max="22" width="13.109375" customWidth="1"/>
    <col min="23" max="23" width="14.109375" customWidth="1"/>
    <col min="24" max="24" width="11.6640625" customWidth="1"/>
    <col min="25" max="25" width="5" customWidth="1"/>
    <col min="26" max="26" width="20.5546875" customWidth="1"/>
    <col min="27" max="27" width="13.5546875" customWidth="1"/>
    <col min="28" max="29" width="13.44140625" customWidth="1"/>
    <col min="30" max="31" width="13.5546875" customWidth="1"/>
    <col min="32" max="32" width="13.44140625" customWidth="1"/>
    <col min="33" max="33" width="13.5546875" customWidth="1"/>
    <col min="34" max="34" width="6.88671875" customWidth="1"/>
  </cols>
  <sheetData>
    <row r="1" spans="1:33" ht="11.25" customHeight="1" x14ac:dyDescent="0.25"/>
    <row r="2" spans="1:33" ht="6" customHeight="1" x14ac:dyDescent="0.25"/>
    <row r="3" spans="1:33" ht="6.75" customHeight="1" x14ac:dyDescent="0.25">
      <c r="R3" s="9" t="s">
        <v>0</v>
      </c>
      <c r="S3" s="9"/>
      <c r="T3" s="9"/>
    </row>
    <row r="4" spans="1:33" ht="6.75" customHeight="1" x14ac:dyDescent="0.25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5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5">
      <c r="Q6" s="12" t="s">
        <v>3</v>
      </c>
      <c r="R6" s="12"/>
      <c r="S6" s="12"/>
      <c r="T6" s="12"/>
    </row>
    <row r="7" spans="1:33" ht="7.5" customHeight="1" x14ac:dyDescent="0.25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5">
      <c r="A8" s="10"/>
      <c r="C8" s="11"/>
      <c r="D8" s="11"/>
      <c r="E8" s="11"/>
      <c r="F8" s="11"/>
      <c r="G8" s="11"/>
    </row>
    <row r="9" spans="1:33" ht="13.5" customHeight="1" x14ac:dyDescent="0.25">
      <c r="A9" s="1" t="s">
        <v>6</v>
      </c>
      <c r="C9" s="11" t="s">
        <v>7</v>
      </c>
      <c r="D9" s="11"/>
    </row>
    <row r="10" spans="1:33" ht="12" customHeight="1" x14ac:dyDescent="0.25"/>
    <row r="11" spans="1:33" ht="25.5" customHeight="1" x14ac:dyDescent="0.25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5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5">
      <c r="L15" s="8"/>
      <c r="N15" s="8"/>
      <c r="O15" s="8"/>
    </row>
    <row r="16" spans="1:33" ht="12.75" customHeight="1" x14ac:dyDescent="0.25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25"/>
    <row r="18" spans="1:33" ht="16.5" customHeight="1" x14ac:dyDescent="0.25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35</v>
      </c>
      <c r="K18" s="4" t="s">
        <v>36</v>
      </c>
      <c r="L18" s="4" t="s">
        <v>53</v>
      </c>
      <c r="N18" s="7" t="s">
        <v>54</v>
      </c>
      <c r="O18" s="7"/>
      <c r="P18" s="7" t="s">
        <v>55</v>
      </c>
      <c r="Q18" s="7"/>
      <c r="R18" s="7"/>
      <c r="S18" s="3" t="s">
        <v>40</v>
      </c>
      <c r="T18" s="7" t="s">
        <v>56</v>
      </c>
      <c r="U18" s="7"/>
      <c r="V18" s="4" t="s">
        <v>42</v>
      </c>
      <c r="W18" s="4" t="s">
        <v>43</v>
      </c>
      <c r="X18" s="4" t="s">
        <v>44</v>
      </c>
      <c r="Y18" s="7" t="s">
        <v>45</v>
      </c>
      <c r="Z18" s="7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25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58</v>
      </c>
      <c r="L19" s="4" t="s">
        <v>59</v>
      </c>
      <c r="N19" s="7" t="s">
        <v>60</v>
      </c>
      <c r="O19" s="7"/>
      <c r="P19" s="7" t="s">
        <v>61</v>
      </c>
      <c r="Q19" s="7"/>
      <c r="R19" s="7"/>
      <c r="S19" s="3" t="s">
        <v>40</v>
      </c>
      <c r="T19" s="7" t="s">
        <v>62</v>
      </c>
      <c r="U19" s="7"/>
      <c r="V19" s="4" t="s">
        <v>42</v>
      </c>
      <c r="W19" s="4" t="s">
        <v>63</v>
      </c>
      <c r="X19" s="4" t="s">
        <v>64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65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25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36</v>
      </c>
      <c r="L20" s="4" t="s">
        <v>53</v>
      </c>
      <c r="N20" s="7" t="s">
        <v>66</v>
      </c>
      <c r="O20" s="7"/>
      <c r="P20" s="7" t="s">
        <v>67</v>
      </c>
      <c r="Q20" s="7"/>
      <c r="R20" s="7"/>
      <c r="S20" s="3" t="s">
        <v>40</v>
      </c>
      <c r="T20" s="7" t="s">
        <v>68</v>
      </c>
      <c r="U20" s="7"/>
      <c r="V20" s="4" t="s">
        <v>42</v>
      </c>
      <c r="W20" s="4" t="s">
        <v>69</v>
      </c>
      <c r="X20" s="4" t="s">
        <v>70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52</v>
      </c>
    </row>
    <row r="21" spans="1:33" ht="16.5" customHeight="1" x14ac:dyDescent="0.25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36</v>
      </c>
      <c r="L21" s="4" t="s">
        <v>37</v>
      </c>
      <c r="N21" s="7" t="s">
        <v>71</v>
      </c>
      <c r="O21" s="7"/>
      <c r="P21" s="7" t="s">
        <v>72</v>
      </c>
      <c r="Q21" s="7"/>
      <c r="R21" s="7"/>
      <c r="S21" s="3" t="s">
        <v>40</v>
      </c>
      <c r="T21" s="7" t="s">
        <v>73</v>
      </c>
      <c r="U21" s="7"/>
      <c r="V21" s="4" t="s">
        <v>42</v>
      </c>
      <c r="W21" s="4" t="s">
        <v>74</v>
      </c>
      <c r="X21" s="4" t="s">
        <v>75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51</v>
      </c>
      <c r="AG21" s="4" t="s">
        <v>52</v>
      </c>
    </row>
    <row r="22" spans="1:33" ht="16.5" customHeight="1" x14ac:dyDescent="0.25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76</v>
      </c>
      <c r="L22" s="4" t="s">
        <v>53</v>
      </c>
      <c r="N22" s="7" t="s">
        <v>77</v>
      </c>
      <c r="O22" s="7"/>
      <c r="P22" s="7" t="s">
        <v>78</v>
      </c>
      <c r="Q22" s="7"/>
      <c r="R22" s="7"/>
      <c r="S22" s="3" t="s">
        <v>40</v>
      </c>
      <c r="T22" s="7" t="s">
        <v>79</v>
      </c>
      <c r="U22" s="7"/>
      <c r="V22" s="4" t="s">
        <v>42</v>
      </c>
      <c r="W22" s="4" t="s">
        <v>74</v>
      </c>
      <c r="X22" s="4" t="s">
        <v>75</v>
      </c>
      <c r="Y22" s="7" t="s">
        <v>45</v>
      </c>
      <c r="Z22" s="7"/>
      <c r="AA22" s="4" t="s">
        <v>46</v>
      </c>
      <c r="AB22" s="4" t="s">
        <v>47</v>
      </c>
      <c r="AC22" s="4" t="s">
        <v>48</v>
      </c>
      <c r="AD22" s="4" t="s">
        <v>57</v>
      </c>
      <c r="AE22" s="4" t="s">
        <v>50</v>
      </c>
      <c r="AF22" s="4" t="s">
        <v>51</v>
      </c>
      <c r="AG22" s="4" t="s">
        <v>52</v>
      </c>
    </row>
    <row r="23" spans="1:33" ht="16.5" customHeight="1" x14ac:dyDescent="0.25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80</v>
      </c>
      <c r="H23" s="7"/>
      <c r="I23" s="7"/>
      <c r="J23" s="3" t="s">
        <v>35</v>
      </c>
      <c r="K23" s="4" t="s">
        <v>76</v>
      </c>
      <c r="L23" s="4" t="s">
        <v>53</v>
      </c>
      <c r="N23" s="7" t="s">
        <v>81</v>
      </c>
      <c r="O23" s="7"/>
      <c r="P23" s="7" t="s">
        <v>82</v>
      </c>
      <c r="Q23" s="7"/>
      <c r="R23" s="7"/>
      <c r="S23" s="3" t="s">
        <v>40</v>
      </c>
      <c r="T23" s="7" t="s">
        <v>83</v>
      </c>
      <c r="U23" s="7"/>
      <c r="V23" s="4" t="s">
        <v>42</v>
      </c>
      <c r="W23" s="4" t="s">
        <v>84</v>
      </c>
      <c r="X23" s="4" t="s">
        <v>85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57</v>
      </c>
      <c r="AE23" s="4" t="s">
        <v>50</v>
      </c>
      <c r="AF23" s="4" t="s">
        <v>51</v>
      </c>
      <c r="AG23" s="4" t="s">
        <v>86</v>
      </c>
    </row>
    <row r="24" spans="1:33" ht="16.5" customHeight="1" x14ac:dyDescent="0.25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87</v>
      </c>
      <c r="H24" s="7"/>
      <c r="I24" s="7"/>
      <c r="J24" s="3" t="s">
        <v>35</v>
      </c>
      <c r="K24" s="4" t="s">
        <v>36</v>
      </c>
      <c r="L24" s="4" t="s">
        <v>53</v>
      </c>
      <c r="N24" s="7" t="s">
        <v>88</v>
      </c>
      <c r="O24" s="7"/>
      <c r="P24" s="7" t="s">
        <v>89</v>
      </c>
      <c r="Q24" s="7"/>
      <c r="R24" s="7"/>
      <c r="S24" s="3" t="s">
        <v>40</v>
      </c>
      <c r="T24" s="7" t="s">
        <v>90</v>
      </c>
      <c r="U24" s="7"/>
      <c r="V24" s="4" t="s">
        <v>42</v>
      </c>
      <c r="W24" s="4" t="s">
        <v>43</v>
      </c>
      <c r="X24" s="4" t="s">
        <v>44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57</v>
      </c>
      <c r="AE24" s="4" t="s">
        <v>50</v>
      </c>
      <c r="AF24" s="4" t="s">
        <v>51</v>
      </c>
      <c r="AG24" s="4" t="s">
        <v>91</v>
      </c>
    </row>
    <row r="25" spans="1:33" ht="16.5" customHeight="1" x14ac:dyDescent="0.25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92</v>
      </c>
      <c r="H25" s="7"/>
      <c r="I25" s="7"/>
      <c r="J25" s="3" t="s">
        <v>35</v>
      </c>
      <c r="K25" s="4" t="s">
        <v>76</v>
      </c>
      <c r="L25" s="4" t="s">
        <v>37</v>
      </c>
      <c r="N25" s="7" t="s">
        <v>93</v>
      </c>
      <c r="O25" s="7"/>
      <c r="P25" s="7" t="s">
        <v>94</v>
      </c>
      <c r="Q25" s="7"/>
      <c r="R25" s="7"/>
      <c r="S25" s="3" t="s">
        <v>40</v>
      </c>
      <c r="T25" s="7" t="s">
        <v>95</v>
      </c>
      <c r="U25" s="7"/>
      <c r="V25" s="4" t="s">
        <v>42</v>
      </c>
      <c r="W25" s="4" t="s">
        <v>96</v>
      </c>
      <c r="X25" s="4" t="s">
        <v>97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51</v>
      </c>
      <c r="AG25" s="4" t="s">
        <v>98</v>
      </c>
    </row>
    <row r="26" spans="1:33" ht="16.5" customHeight="1" x14ac:dyDescent="0.25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99</v>
      </c>
      <c r="H26" s="7"/>
      <c r="I26" s="7"/>
      <c r="J26" s="3" t="s">
        <v>35</v>
      </c>
      <c r="K26" s="4" t="s">
        <v>100</v>
      </c>
      <c r="L26" s="4" t="s">
        <v>53</v>
      </c>
      <c r="N26" s="7" t="s">
        <v>101</v>
      </c>
      <c r="O26" s="7"/>
      <c r="P26" s="7" t="s">
        <v>102</v>
      </c>
      <c r="Q26" s="7"/>
      <c r="R26" s="7"/>
      <c r="S26" s="3" t="s">
        <v>40</v>
      </c>
      <c r="T26" s="7" t="s">
        <v>103</v>
      </c>
      <c r="U26" s="7"/>
      <c r="V26" s="4" t="s">
        <v>42</v>
      </c>
      <c r="W26" s="4" t="s">
        <v>104</v>
      </c>
      <c r="X26" s="4" t="s">
        <v>105</v>
      </c>
      <c r="Y26" s="7" t="s">
        <v>106</v>
      </c>
      <c r="Z26" s="7"/>
      <c r="AA26" s="4" t="s">
        <v>46</v>
      </c>
      <c r="AB26" s="4" t="s">
        <v>47</v>
      </c>
      <c r="AC26" s="4" t="s">
        <v>48</v>
      </c>
      <c r="AD26" s="4" t="s">
        <v>57</v>
      </c>
      <c r="AE26" s="4" t="s">
        <v>50</v>
      </c>
      <c r="AF26" s="4" t="s">
        <v>51</v>
      </c>
      <c r="AG26" s="4" t="s">
        <v>107</v>
      </c>
    </row>
    <row r="27" spans="1:33" ht="16.5" customHeight="1" x14ac:dyDescent="0.25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99</v>
      </c>
      <c r="H27" s="7"/>
      <c r="I27" s="7"/>
      <c r="J27" s="3" t="s">
        <v>35</v>
      </c>
      <c r="K27" s="4" t="s">
        <v>100</v>
      </c>
      <c r="L27" s="4" t="s">
        <v>53</v>
      </c>
      <c r="N27" s="7" t="s">
        <v>108</v>
      </c>
      <c r="O27" s="7"/>
      <c r="P27" s="7" t="s">
        <v>109</v>
      </c>
      <c r="Q27" s="7"/>
      <c r="R27" s="7"/>
      <c r="S27" s="3" t="s">
        <v>40</v>
      </c>
      <c r="T27" s="7" t="s">
        <v>110</v>
      </c>
      <c r="U27" s="7"/>
      <c r="V27" s="4" t="s">
        <v>42</v>
      </c>
      <c r="W27" s="4" t="s">
        <v>111</v>
      </c>
      <c r="X27" s="4" t="s">
        <v>112</v>
      </c>
      <c r="Y27" s="7" t="s">
        <v>106</v>
      </c>
      <c r="Z27" s="7"/>
      <c r="AA27" s="4" t="s">
        <v>46</v>
      </c>
      <c r="AB27" s="4" t="s">
        <v>47</v>
      </c>
      <c r="AC27" s="4" t="s">
        <v>48</v>
      </c>
      <c r="AD27" s="4" t="s">
        <v>57</v>
      </c>
      <c r="AE27" s="4" t="s">
        <v>50</v>
      </c>
      <c r="AF27" s="4" t="s">
        <v>51</v>
      </c>
      <c r="AG27" s="4" t="s">
        <v>107</v>
      </c>
    </row>
    <row r="28" spans="1:33" ht="16.5" customHeight="1" x14ac:dyDescent="0.25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99</v>
      </c>
      <c r="H28" s="7"/>
      <c r="I28" s="7"/>
      <c r="J28" s="3" t="s">
        <v>35</v>
      </c>
      <c r="K28" s="4" t="s">
        <v>113</v>
      </c>
      <c r="L28" s="4" t="s">
        <v>53</v>
      </c>
      <c r="N28" s="7" t="s">
        <v>114</v>
      </c>
      <c r="O28" s="7"/>
      <c r="P28" s="7" t="s">
        <v>115</v>
      </c>
      <c r="Q28" s="7"/>
      <c r="R28" s="7"/>
      <c r="S28" s="3" t="s">
        <v>40</v>
      </c>
      <c r="T28" s="7" t="s">
        <v>116</v>
      </c>
      <c r="U28" s="7"/>
      <c r="V28" s="4" t="s">
        <v>42</v>
      </c>
      <c r="W28" s="4" t="s">
        <v>43</v>
      </c>
      <c r="X28" s="4" t="s">
        <v>44</v>
      </c>
      <c r="Y28" s="7" t="s">
        <v>106</v>
      </c>
      <c r="Z28" s="7"/>
      <c r="AA28" s="4" t="s">
        <v>46</v>
      </c>
      <c r="AB28" s="4" t="s">
        <v>47</v>
      </c>
      <c r="AC28" s="4" t="s">
        <v>48</v>
      </c>
      <c r="AD28" s="4" t="s">
        <v>57</v>
      </c>
      <c r="AE28" s="4" t="s">
        <v>50</v>
      </c>
      <c r="AF28" s="4" t="s">
        <v>51</v>
      </c>
      <c r="AG28" s="4" t="s">
        <v>107</v>
      </c>
    </row>
    <row r="29" spans="1:33" ht="16.5" customHeight="1" x14ac:dyDescent="0.25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99</v>
      </c>
      <c r="H29" s="7"/>
      <c r="I29" s="7"/>
      <c r="J29" s="3" t="s">
        <v>35</v>
      </c>
      <c r="K29" s="4" t="s">
        <v>76</v>
      </c>
      <c r="L29" s="4" t="s">
        <v>53</v>
      </c>
      <c r="N29" s="7" t="s">
        <v>117</v>
      </c>
      <c r="O29" s="7"/>
      <c r="P29" s="7" t="s">
        <v>118</v>
      </c>
      <c r="Q29" s="7"/>
      <c r="R29" s="7"/>
      <c r="S29" s="3" t="s">
        <v>40</v>
      </c>
      <c r="T29" s="7" t="s">
        <v>119</v>
      </c>
      <c r="U29" s="7"/>
      <c r="V29" s="4" t="s">
        <v>42</v>
      </c>
      <c r="W29" s="4" t="s">
        <v>43</v>
      </c>
      <c r="X29" s="4" t="s">
        <v>44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57</v>
      </c>
      <c r="AE29" s="4" t="s">
        <v>50</v>
      </c>
      <c r="AF29" s="4" t="s">
        <v>51</v>
      </c>
      <c r="AG29" s="4" t="s">
        <v>107</v>
      </c>
    </row>
    <row r="30" spans="1:33" ht="16.5" customHeight="1" x14ac:dyDescent="0.25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99</v>
      </c>
      <c r="H30" s="7"/>
      <c r="I30" s="7"/>
      <c r="J30" s="3" t="s">
        <v>35</v>
      </c>
      <c r="K30" s="4" t="s">
        <v>113</v>
      </c>
      <c r="L30" s="4" t="s">
        <v>53</v>
      </c>
      <c r="N30" s="7" t="s">
        <v>120</v>
      </c>
      <c r="O30" s="7"/>
      <c r="P30" s="7" t="s">
        <v>121</v>
      </c>
      <c r="Q30" s="7"/>
      <c r="R30" s="7"/>
      <c r="S30" s="3" t="s">
        <v>40</v>
      </c>
      <c r="T30" s="7" t="s">
        <v>122</v>
      </c>
      <c r="U30" s="7"/>
      <c r="V30" s="4" t="s">
        <v>42</v>
      </c>
      <c r="W30" s="4" t="s">
        <v>43</v>
      </c>
      <c r="X30" s="4" t="s">
        <v>44</v>
      </c>
      <c r="Y30" s="7" t="s">
        <v>106</v>
      </c>
      <c r="Z30" s="7"/>
      <c r="AA30" s="4" t="s">
        <v>46</v>
      </c>
      <c r="AB30" s="4" t="s">
        <v>47</v>
      </c>
      <c r="AC30" s="4" t="s">
        <v>48</v>
      </c>
      <c r="AD30" s="4" t="s">
        <v>57</v>
      </c>
      <c r="AE30" s="4" t="s">
        <v>50</v>
      </c>
      <c r="AF30" s="4" t="s">
        <v>51</v>
      </c>
      <c r="AG30" s="4" t="s">
        <v>107</v>
      </c>
    </row>
    <row r="31" spans="1:33" ht="16.5" customHeight="1" x14ac:dyDescent="0.25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99</v>
      </c>
      <c r="H31" s="7"/>
      <c r="I31" s="7"/>
      <c r="J31" s="3" t="s">
        <v>35</v>
      </c>
      <c r="K31" s="4" t="s">
        <v>123</v>
      </c>
      <c r="L31" s="4" t="s">
        <v>37</v>
      </c>
      <c r="N31" s="7" t="s">
        <v>124</v>
      </c>
      <c r="O31" s="7"/>
      <c r="P31" s="7" t="s">
        <v>125</v>
      </c>
      <c r="Q31" s="7"/>
      <c r="R31" s="7"/>
      <c r="S31" s="3" t="s">
        <v>40</v>
      </c>
      <c r="T31" s="7" t="s">
        <v>126</v>
      </c>
      <c r="U31" s="7"/>
      <c r="V31" s="4" t="s">
        <v>42</v>
      </c>
      <c r="W31" s="4" t="s">
        <v>43</v>
      </c>
      <c r="X31" s="4" t="s">
        <v>44</v>
      </c>
      <c r="Y31" s="7" t="s">
        <v>45</v>
      </c>
      <c r="Z31" s="7"/>
      <c r="AA31" s="4" t="s">
        <v>46</v>
      </c>
      <c r="AB31" s="4" t="s">
        <v>47</v>
      </c>
      <c r="AC31" s="4" t="s">
        <v>48</v>
      </c>
      <c r="AD31" s="4" t="s">
        <v>49</v>
      </c>
      <c r="AE31" s="4" t="s">
        <v>50</v>
      </c>
      <c r="AF31" s="4" t="s">
        <v>51</v>
      </c>
      <c r="AG31" s="4" t="s">
        <v>107</v>
      </c>
    </row>
    <row r="32" spans="1:33" ht="16.5" customHeight="1" x14ac:dyDescent="0.25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99</v>
      </c>
      <c r="H32" s="7"/>
      <c r="I32" s="7"/>
      <c r="J32" s="3" t="s">
        <v>35</v>
      </c>
      <c r="K32" s="4" t="s">
        <v>76</v>
      </c>
      <c r="L32" s="4" t="s">
        <v>53</v>
      </c>
      <c r="N32" s="7" t="s">
        <v>127</v>
      </c>
      <c r="O32" s="7"/>
      <c r="P32" s="7" t="s">
        <v>128</v>
      </c>
      <c r="Q32" s="7"/>
      <c r="R32" s="7"/>
      <c r="S32" s="3" t="s">
        <v>40</v>
      </c>
      <c r="T32" s="7" t="s">
        <v>129</v>
      </c>
      <c r="U32" s="7"/>
      <c r="V32" s="4" t="s">
        <v>42</v>
      </c>
      <c r="W32" s="4" t="s">
        <v>130</v>
      </c>
      <c r="X32" s="4" t="s">
        <v>131</v>
      </c>
      <c r="Y32" s="7" t="s">
        <v>45</v>
      </c>
      <c r="Z32" s="7"/>
      <c r="AA32" s="4" t="s">
        <v>46</v>
      </c>
      <c r="AB32" s="4" t="s">
        <v>47</v>
      </c>
      <c r="AC32" s="4" t="s">
        <v>48</v>
      </c>
      <c r="AD32" s="4" t="s">
        <v>57</v>
      </c>
      <c r="AE32" s="4" t="s">
        <v>50</v>
      </c>
      <c r="AF32" s="4" t="s">
        <v>51</v>
      </c>
      <c r="AG32" s="4" t="s">
        <v>107</v>
      </c>
    </row>
    <row r="33" spans="1:33" ht="16.5" customHeight="1" x14ac:dyDescent="0.25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99</v>
      </c>
      <c r="H33" s="7"/>
      <c r="I33" s="7"/>
      <c r="J33" s="3" t="s">
        <v>35</v>
      </c>
      <c r="K33" s="4" t="s">
        <v>76</v>
      </c>
      <c r="L33" s="4" t="s">
        <v>53</v>
      </c>
      <c r="N33" s="7" t="s">
        <v>132</v>
      </c>
      <c r="O33" s="7"/>
      <c r="P33" s="7" t="s">
        <v>133</v>
      </c>
      <c r="Q33" s="7"/>
      <c r="R33" s="7"/>
      <c r="S33" s="3" t="s">
        <v>40</v>
      </c>
      <c r="T33" s="7" t="s">
        <v>134</v>
      </c>
      <c r="U33" s="7"/>
      <c r="V33" s="4" t="s">
        <v>42</v>
      </c>
      <c r="W33" s="4" t="s">
        <v>69</v>
      </c>
      <c r="X33" s="4" t="s">
        <v>70</v>
      </c>
      <c r="Y33" s="7" t="s">
        <v>45</v>
      </c>
      <c r="Z33" s="7"/>
      <c r="AA33" s="4" t="s">
        <v>46</v>
      </c>
      <c r="AB33" s="4" t="s">
        <v>47</v>
      </c>
      <c r="AC33" s="4" t="s">
        <v>48</v>
      </c>
      <c r="AD33" s="4" t="s">
        <v>57</v>
      </c>
      <c r="AE33" s="4" t="s">
        <v>50</v>
      </c>
      <c r="AF33" s="4" t="s">
        <v>51</v>
      </c>
      <c r="AG33" s="4" t="s">
        <v>107</v>
      </c>
    </row>
    <row r="34" spans="1:33" ht="16.5" customHeight="1" x14ac:dyDescent="0.25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99</v>
      </c>
      <c r="H34" s="7"/>
      <c r="I34" s="7"/>
      <c r="J34" s="3" t="s">
        <v>35</v>
      </c>
      <c r="K34" s="4" t="s">
        <v>123</v>
      </c>
      <c r="L34" s="4" t="s">
        <v>37</v>
      </c>
      <c r="N34" s="7" t="s">
        <v>135</v>
      </c>
      <c r="O34" s="7"/>
      <c r="P34" s="7" t="s">
        <v>136</v>
      </c>
      <c r="Q34" s="7"/>
      <c r="R34" s="7"/>
      <c r="S34" s="3" t="s">
        <v>40</v>
      </c>
      <c r="T34" s="7" t="s">
        <v>137</v>
      </c>
      <c r="U34" s="7"/>
      <c r="V34" s="4" t="s">
        <v>42</v>
      </c>
      <c r="W34" s="4" t="s">
        <v>69</v>
      </c>
      <c r="X34" s="4" t="s">
        <v>70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49</v>
      </c>
      <c r="AE34" s="4" t="s">
        <v>50</v>
      </c>
      <c r="AF34" s="4" t="s">
        <v>51</v>
      </c>
      <c r="AG34" s="4" t="s">
        <v>107</v>
      </c>
    </row>
    <row r="35" spans="1:33" ht="16.5" customHeight="1" x14ac:dyDescent="0.25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99</v>
      </c>
      <c r="H35" s="7"/>
      <c r="I35" s="7"/>
      <c r="J35" s="3" t="s">
        <v>35</v>
      </c>
      <c r="K35" s="4" t="s">
        <v>58</v>
      </c>
      <c r="L35" s="4" t="s">
        <v>37</v>
      </c>
      <c r="N35" s="7" t="s">
        <v>138</v>
      </c>
      <c r="O35" s="7"/>
      <c r="P35" s="7" t="s">
        <v>139</v>
      </c>
      <c r="Q35" s="7"/>
      <c r="R35" s="7"/>
      <c r="S35" s="3" t="s">
        <v>40</v>
      </c>
      <c r="T35" s="7" t="s">
        <v>140</v>
      </c>
      <c r="U35" s="7"/>
      <c r="V35" s="4" t="s">
        <v>42</v>
      </c>
      <c r="W35" s="4" t="s">
        <v>130</v>
      </c>
      <c r="X35" s="4" t="s">
        <v>131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49</v>
      </c>
      <c r="AE35" s="4" t="s">
        <v>50</v>
      </c>
      <c r="AF35" s="4" t="s">
        <v>51</v>
      </c>
      <c r="AG35" s="4" t="s">
        <v>107</v>
      </c>
    </row>
    <row r="36" spans="1:33" ht="16.5" customHeight="1" x14ac:dyDescent="0.25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99</v>
      </c>
      <c r="H36" s="7"/>
      <c r="I36" s="7"/>
      <c r="J36" s="3" t="s">
        <v>35</v>
      </c>
      <c r="K36" s="4" t="s">
        <v>113</v>
      </c>
      <c r="L36" s="4" t="s">
        <v>37</v>
      </c>
      <c r="N36" s="7" t="s">
        <v>141</v>
      </c>
      <c r="O36" s="7"/>
      <c r="P36" s="7" t="s">
        <v>142</v>
      </c>
      <c r="Q36" s="7"/>
      <c r="R36" s="7"/>
      <c r="S36" s="3" t="s">
        <v>40</v>
      </c>
      <c r="T36" s="7" t="s">
        <v>143</v>
      </c>
      <c r="U36" s="7"/>
      <c r="V36" s="4" t="s">
        <v>42</v>
      </c>
      <c r="W36" s="4" t="s">
        <v>69</v>
      </c>
      <c r="X36" s="4" t="s">
        <v>70</v>
      </c>
      <c r="Y36" s="7" t="s">
        <v>106</v>
      </c>
      <c r="Z36" s="7"/>
      <c r="AA36" s="4" t="s">
        <v>46</v>
      </c>
      <c r="AB36" s="4" t="s">
        <v>47</v>
      </c>
      <c r="AC36" s="4" t="s">
        <v>48</v>
      </c>
      <c r="AD36" s="4" t="s">
        <v>49</v>
      </c>
      <c r="AE36" s="4" t="s">
        <v>50</v>
      </c>
      <c r="AF36" s="4" t="s">
        <v>51</v>
      </c>
      <c r="AG36" s="4" t="s">
        <v>107</v>
      </c>
    </row>
    <row r="37" spans="1:33" ht="16.5" customHeight="1" x14ac:dyDescent="0.25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99</v>
      </c>
      <c r="H37" s="7"/>
      <c r="I37" s="7"/>
      <c r="J37" s="3" t="s">
        <v>35</v>
      </c>
      <c r="K37" s="4" t="s">
        <v>144</v>
      </c>
      <c r="L37" s="4" t="s">
        <v>37</v>
      </c>
      <c r="N37" s="7" t="s">
        <v>145</v>
      </c>
      <c r="O37" s="7"/>
      <c r="P37" s="7" t="s">
        <v>146</v>
      </c>
      <c r="Q37" s="7"/>
      <c r="R37" s="7"/>
      <c r="S37" s="3" t="s">
        <v>40</v>
      </c>
      <c r="T37" s="7" t="s">
        <v>147</v>
      </c>
      <c r="U37" s="7"/>
      <c r="V37" s="4" t="s">
        <v>42</v>
      </c>
      <c r="W37" s="4" t="s">
        <v>69</v>
      </c>
      <c r="X37" s="4" t="s">
        <v>70</v>
      </c>
      <c r="Y37" s="7" t="s">
        <v>106</v>
      </c>
      <c r="Z37" s="7"/>
      <c r="AA37" s="4" t="s">
        <v>46</v>
      </c>
      <c r="AB37" s="4" t="s">
        <v>47</v>
      </c>
      <c r="AC37" s="4" t="s">
        <v>48</v>
      </c>
      <c r="AD37" s="4" t="s">
        <v>49</v>
      </c>
      <c r="AE37" s="4" t="s">
        <v>50</v>
      </c>
      <c r="AF37" s="4" t="s">
        <v>51</v>
      </c>
      <c r="AG37" s="4" t="s">
        <v>107</v>
      </c>
    </row>
    <row r="38" spans="1:33" ht="16.5" customHeight="1" x14ac:dyDescent="0.25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99</v>
      </c>
      <c r="H38" s="7"/>
      <c r="I38" s="7"/>
      <c r="J38" s="3" t="s">
        <v>35</v>
      </c>
      <c r="K38" s="4" t="s">
        <v>113</v>
      </c>
      <c r="L38" s="4" t="s">
        <v>53</v>
      </c>
      <c r="N38" s="7" t="s">
        <v>148</v>
      </c>
      <c r="O38" s="7"/>
      <c r="P38" s="7" t="s">
        <v>149</v>
      </c>
      <c r="Q38" s="7"/>
      <c r="R38" s="7"/>
      <c r="S38" s="3" t="s">
        <v>40</v>
      </c>
      <c r="T38" s="7" t="s">
        <v>150</v>
      </c>
      <c r="U38" s="7"/>
      <c r="V38" s="4" t="s">
        <v>42</v>
      </c>
      <c r="W38" s="4" t="s">
        <v>104</v>
      </c>
      <c r="X38" s="4" t="s">
        <v>105</v>
      </c>
      <c r="Y38" s="7" t="s">
        <v>106</v>
      </c>
      <c r="Z38" s="7"/>
      <c r="AA38" s="4" t="s">
        <v>46</v>
      </c>
      <c r="AB38" s="4" t="s">
        <v>47</v>
      </c>
      <c r="AC38" s="4" t="s">
        <v>48</v>
      </c>
      <c r="AD38" s="4" t="s">
        <v>57</v>
      </c>
      <c r="AE38" s="4" t="s">
        <v>50</v>
      </c>
      <c r="AF38" s="4" t="s">
        <v>51</v>
      </c>
      <c r="AG38" s="4" t="s">
        <v>107</v>
      </c>
    </row>
    <row r="39" spans="1:33" ht="16.5" customHeight="1" x14ac:dyDescent="0.25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99</v>
      </c>
      <c r="H39" s="7"/>
      <c r="I39" s="7"/>
      <c r="J39" s="3" t="s">
        <v>35</v>
      </c>
      <c r="K39" s="4" t="s">
        <v>113</v>
      </c>
      <c r="L39" s="4" t="s">
        <v>53</v>
      </c>
      <c r="N39" s="7" t="s">
        <v>151</v>
      </c>
      <c r="O39" s="7"/>
      <c r="P39" s="7" t="s">
        <v>152</v>
      </c>
      <c r="Q39" s="7"/>
      <c r="R39" s="7"/>
      <c r="S39" s="3" t="s">
        <v>40</v>
      </c>
      <c r="T39" s="7" t="s">
        <v>153</v>
      </c>
      <c r="U39" s="7"/>
      <c r="V39" s="4" t="s">
        <v>42</v>
      </c>
      <c r="W39" s="4" t="s">
        <v>104</v>
      </c>
      <c r="X39" s="4" t="s">
        <v>105</v>
      </c>
      <c r="Y39" s="7" t="s">
        <v>106</v>
      </c>
      <c r="Z39" s="7"/>
      <c r="AA39" s="4" t="s">
        <v>46</v>
      </c>
      <c r="AB39" s="4" t="s">
        <v>47</v>
      </c>
      <c r="AC39" s="4" t="s">
        <v>48</v>
      </c>
      <c r="AD39" s="4" t="s">
        <v>57</v>
      </c>
      <c r="AE39" s="4" t="s">
        <v>50</v>
      </c>
      <c r="AF39" s="4" t="s">
        <v>51</v>
      </c>
      <c r="AG39" s="4" t="s">
        <v>107</v>
      </c>
    </row>
    <row r="40" spans="1:33" ht="16.5" customHeight="1" x14ac:dyDescent="0.25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99</v>
      </c>
      <c r="H40" s="7"/>
      <c r="I40" s="7"/>
      <c r="J40" s="3" t="s">
        <v>35</v>
      </c>
      <c r="K40" s="4" t="s">
        <v>113</v>
      </c>
      <c r="L40" s="4" t="s">
        <v>154</v>
      </c>
      <c r="N40" s="7" t="s">
        <v>155</v>
      </c>
      <c r="O40" s="7"/>
      <c r="P40" s="7" t="s">
        <v>156</v>
      </c>
      <c r="Q40" s="7"/>
      <c r="R40" s="7"/>
      <c r="S40" s="3" t="s">
        <v>40</v>
      </c>
      <c r="T40" s="7" t="s">
        <v>157</v>
      </c>
      <c r="U40" s="7"/>
      <c r="V40" s="4" t="s">
        <v>42</v>
      </c>
      <c r="W40" s="4" t="s">
        <v>104</v>
      </c>
      <c r="X40" s="4" t="s">
        <v>105</v>
      </c>
      <c r="Y40" s="7" t="s">
        <v>106</v>
      </c>
      <c r="Z40" s="7"/>
      <c r="AA40" s="4" t="s">
        <v>46</v>
      </c>
      <c r="AB40" s="4" t="s">
        <v>47</v>
      </c>
      <c r="AC40" s="4" t="s">
        <v>48</v>
      </c>
      <c r="AD40" s="4" t="s">
        <v>158</v>
      </c>
      <c r="AE40" s="4" t="s">
        <v>50</v>
      </c>
      <c r="AF40" s="4" t="s">
        <v>51</v>
      </c>
      <c r="AG40" s="4" t="s">
        <v>107</v>
      </c>
    </row>
    <row r="41" spans="1:33" ht="16.5" customHeight="1" x14ac:dyDescent="0.25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99</v>
      </c>
      <c r="H41" s="7"/>
      <c r="I41" s="7"/>
      <c r="J41" s="3" t="s">
        <v>35</v>
      </c>
      <c r="K41" s="4" t="s">
        <v>159</v>
      </c>
      <c r="L41" s="4" t="s">
        <v>53</v>
      </c>
      <c r="N41" s="7" t="s">
        <v>160</v>
      </c>
      <c r="O41" s="7"/>
      <c r="P41" s="7" t="s">
        <v>161</v>
      </c>
      <c r="Q41" s="7"/>
      <c r="R41" s="7"/>
      <c r="S41" s="3" t="s">
        <v>40</v>
      </c>
      <c r="T41" s="7" t="s">
        <v>162</v>
      </c>
      <c r="U41" s="7"/>
      <c r="V41" s="4" t="s">
        <v>42</v>
      </c>
      <c r="W41" s="4" t="s">
        <v>104</v>
      </c>
      <c r="X41" s="4" t="s">
        <v>105</v>
      </c>
      <c r="Y41" s="7" t="s">
        <v>45</v>
      </c>
      <c r="Z41" s="7"/>
      <c r="AA41" s="4" t="s">
        <v>46</v>
      </c>
      <c r="AB41" s="4" t="s">
        <v>47</v>
      </c>
      <c r="AC41" s="4" t="s">
        <v>48</v>
      </c>
      <c r="AD41" s="4" t="s">
        <v>57</v>
      </c>
      <c r="AE41" s="4" t="s">
        <v>50</v>
      </c>
      <c r="AF41" s="4" t="s">
        <v>51</v>
      </c>
      <c r="AG41" s="4" t="s">
        <v>107</v>
      </c>
    </row>
    <row r="42" spans="1:33" ht="16.5" customHeight="1" x14ac:dyDescent="0.25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99</v>
      </c>
      <c r="H42" s="7"/>
      <c r="I42" s="7"/>
      <c r="J42" s="3" t="s">
        <v>35</v>
      </c>
      <c r="K42" s="4" t="s">
        <v>144</v>
      </c>
      <c r="L42" s="4" t="s">
        <v>53</v>
      </c>
      <c r="N42" s="7" t="s">
        <v>163</v>
      </c>
      <c r="O42" s="7"/>
      <c r="P42" s="7" t="s">
        <v>164</v>
      </c>
      <c r="Q42" s="7"/>
      <c r="R42" s="7"/>
      <c r="S42" s="3" t="s">
        <v>40</v>
      </c>
      <c r="T42" s="7" t="s">
        <v>165</v>
      </c>
      <c r="U42" s="7"/>
      <c r="V42" s="4" t="s">
        <v>42</v>
      </c>
      <c r="W42" s="4" t="s">
        <v>104</v>
      </c>
      <c r="X42" s="4" t="s">
        <v>105</v>
      </c>
      <c r="Y42" s="7" t="s">
        <v>106</v>
      </c>
      <c r="Z42" s="7"/>
      <c r="AA42" s="4" t="s">
        <v>46</v>
      </c>
      <c r="AB42" s="4" t="s">
        <v>47</v>
      </c>
      <c r="AC42" s="4" t="s">
        <v>48</v>
      </c>
      <c r="AD42" s="4" t="s">
        <v>57</v>
      </c>
      <c r="AE42" s="4" t="s">
        <v>50</v>
      </c>
      <c r="AF42" s="4" t="s">
        <v>51</v>
      </c>
      <c r="AG42" s="4" t="s">
        <v>107</v>
      </c>
    </row>
    <row r="43" spans="1:33" ht="16.5" customHeight="1" x14ac:dyDescent="0.25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99</v>
      </c>
      <c r="H43" s="7"/>
      <c r="I43" s="7"/>
      <c r="J43" s="3" t="s">
        <v>35</v>
      </c>
      <c r="K43" s="4" t="s">
        <v>113</v>
      </c>
      <c r="L43" s="4" t="s">
        <v>53</v>
      </c>
      <c r="N43" s="7" t="s">
        <v>166</v>
      </c>
      <c r="O43" s="7"/>
      <c r="P43" s="7" t="s">
        <v>167</v>
      </c>
      <c r="Q43" s="7"/>
      <c r="R43" s="7"/>
      <c r="S43" s="3" t="s">
        <v>40</v>
      </c>
      <c r="T43" s="7" t="s">
        <v>153</v>
      </c>
      <c r="U43" s="7"/>
      <c r="V43" s="4" t="s">
        <v>42</v>
      </c>
      <c r="W43" s="4" t="s">
        <v>104</v>
      </c>
      <c r="X43" s="4" t="s">
        <v>105</v>
      </c>
      <c r="Y43" s="7" t="s">
        <v>106</v>
      </c>
      <c r="Z43" s="7"/>
      <c r="AA43" s="4" t="s">
        <v>46</v>
      </c>
      <c r="AB43" s="4" t="s">
        <v>47</v>
      </c>
      <c r="AC43" s="4" t="s">
        <v>48</v>
      </c>
      <c r="AD43" s="4" t="s">
        <v>57</v>
      </c>
      <c r="AE43" s="4" t="s">
        <v>50</v>
      </c>
      <c r="AF43" s="4" t="s">
        <v>51</v>
      </c>
      <c r="AG43" s="4" t="s">
        <v>107</v>
      </c>
    </row>
    <row r="44" spans="1:33" ht="16.5" customHeight="1" x14ac:dyDescent="0.25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99</v>
      </c>
      <c r="H44" s="7"/>
      <c r="I44" s="7"/>
      <c r="J44" s="3" t="s">
        <v>35</v>
      </c>
      <c r="K44" s="4" t="s">
        <v>100</v>
      </c>
      <c r="L44" s="4" t="s">
        <v>53</v>
      </c>
      <c r="N44" s="7" t="s">
        <v>168</v>
      </c>
      <c r="O44" s="7"/>
      <c r="P44" s="7" t="s">
        <v>169</v>
      </c>
      <c r="Q44" s="7"/>
      <c r="R44" s="7"/>
      <c r="S44" s="3" t="s">
        <v>40</v>
      </c>
      <c r="T44" s="7" t="s">
        <v>170</v>
      </c>
      <c r="U44" s="7"/>
      <c r="V44" s="4" t="s">
        <v>42</v>
      </c>
      <c r="W44" s="4" t="s">
        <v>171</v>
      </c>
      <c r="X44" s="4" t="s">
        <v>172</v>
      </c>
      <c r="Y44" s="7" t="s">
        <v>106</v>
      </c>
      <c r="Z44" s="7"/>
      <c r="AA44" s="4" t="s">
        <v>46</v>
      </c>
      <c r="AB44" s="4" t="s">
        <v>47</v>
      </c>
      <c r="AC44" s="4" t="s">
        <v>48</v>
      </c>
      <c r="AD44" s="4" t="s">
        <v>57</v>
      </c>
      <c r="AE44" s="4" t="s">
        <v>50</v>
      </c>
      <c r="AF44" s="4" t="s">
        <v>51</v>
      </c>
      <c r="AG44" s="4" t="s">
        <v>107</v>
      </c>
    </row>
    <row r="45" spans="1:33" ht="16.5" customHeight="1" x14ac:dyDescent="0.25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99</v>
      </c>
      <c r="H45" s="7"/>
      <c r="I45" s="7"/>
      <c r="J45" s="3" t="s">
        <v>35</v>
      </c>
      <c r="K45" s="4" t="s">
        <v>100</v>
      </c>
      <c r="L45" s="4" t="s">
        <v>53</v>
      </c>
      <c r="N45" s="7" t="s">
        <v>173</v>
      </c>
      <c r="O45" s="7"/>
      <c r="P45" s="7" t="s">
        <v>174</v>
      </c>
      <c r="Q45" s="7"/>
      <c r="R45" s="7"/>
      <c r="S45" s="3" t="s">
        <v>40</v>
      </c>
      <c r="T45" s="7" t="s">
        <v>175</v>
      </c>
      <c r="U45" s="7"/>
      <c r="V45" s="4" t="s">
        <v>42</v>
      </c>
      <c r="W45" s="4" t="s">
        <v>171</v>
      </c>
      <c r="X45" s="4" t="s">
        <v>172</v>
      </c>
      <c r="Y45" s="7" t="s">
        <v>106</v>
      </c>
      <c r="Z45" s="7"/>
      <c r="AA45" s="4" t="s">
        <v>46</v>
      </c>
      <c r="AB45" s="4" t="s">
        <v>47</v>
      </c>
      <c r="AC45" s="4" t="s">
        <v>48</v>
      </c>
      <c r="AD45" s="4" t="s">
        <v>57</v>
      </c>
      <c r="AE45" s="4" t="s">
        <v>50</v>
      </c>
      <c r="AF45" s="4" t="s">
        <v>51</v>
      </c>
      <c r="AG45" s="4" t="s">
        <v>107</v>
      </c>
    </row>
    <row r="46" spans="1:33" ht="16.5" customHeight="1" x14ac:dyDescent="0.25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99</v>
      </c>
      <c r="H46" s="7"/>
      <c r="I46" s="7"/>
      <c r="J46" s="3" t="s">
        <v>35</v>
      </c>
      <c r="K46" s="4" t="s">
        <v>159</v>
      </c>
      <c r="L46" s="4" t="s">
        <v>53</v>
      </c>
      <c r="N46" s="7" t="s">
        <v>176</v>
      </c>
      <c r="O46" s="7"/>
      <c r="P46" s="7" t="s">
        <v>177</v>
      </c>
      <c r="Q46" s="7"/>
      <c r="R46" s="7"/>
      <c r="S46" s="3" t="s">
        <v>40</v>
      </c>
      <c r="T46" s="7" t="s">
        <v>178</v>
      </c>
      <c r="U46" s="7"/>
      <c r="V46" s="4" t="s">
        <v>42</v>
      </c>
      <c r="W46" s="4" t="s">
        <v>171</v>
      </c>
      <c r="X46" s="4" t="s">
        <v>172</v>
      </c>
      <c r="Y46" s="7" t="s">
        <v>45</v>
      </c>
      <c r="Z46" s="7"/>
      <c r="AA46" s="4" t="s">
        <v>46</v>
      </c>
      <c r="AB46" s="4" t="s">
        <v>47</v>
      </c>
      <c r="AC46" s="4" t="s">
        <v>48</v>
      </c>
      <c r="AD46" s="4" t="s">
        <v>57</v>
      </c>
      <c r="AE46" s="4" t="s">
        <v>50</v>
      </c>
      <c r="AF46" s="4" t="s">
        <v>51</v>
      </c>
      <c r="AG46" s="4" t="s">
        <v>107</v>
      </c>
    </row>
    <row r="47" spans="1:33" ht="16.5" customHeight="1" x14ac:dyDescent="0.25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99</v>
      </c>
      <c r="H47" s="7"/>
      <c r="I47" s="7"/>
      <c r="J47" s="3" t="s">
        <v>35</v>
      </c>
      <c r="K47" s="4" t="s">
        <v>113</v>
      </c>
      <c r="L47" s="4" t="s">
        <v>53</v>
      </c>
      <c r="N47" s="7" t="s">
        <v>179</v>
      </c>
      <c r="O47" s="7"/>
      <c r="P47" s="7" t="s">
        <v>180</v>
      </c>
      <c r="Q47" s="7"/>
      <c r="R47" s="7"/>
      <c r="S47" s="3" t="s">
        <v>40</v>
      </c>
      <c r="T47" s="7" t="s">
        <v>181</v>
      </c>
      <c r="U47" s="7"/>
      <c r="V47" s="4" t="s">
        <v>42</v>
      </c>
      <c r="W47" s="4" t="s">
        <v>171</v>
      </c>
      <c r="X47" s="4" t="s">
        <v>172</v>
      </c>
      <c r="Y47" s="7" t="s">
        <v>106</v>
      </c>
      <c r="Z47" s="7"/>
      <c r="AA47" s="4" t="s">
        <v>46</v>
      </c>
      <c r="AB47" s="4" t="s">
        <v>47</v>
      </c>
      <c r="AC47" s="4" t="s">
        <v>48</v>
      </c>
      <c r="AD47" s="4" t="s">
        <v>57</v>
      </c>
      <c r="AE47" s="4" t="s">
        <v>50</v>
      </c>
      <c r="AF47" s="4" t="s">
        <v>51</v>
      </c>
      <c r="AG47" s="4" t="s">
        <v>107</v>
      </c>
    </row>
    <row r="48" spans="1:33" ht="16.5" customHeight="1" x14ac:dyDescent="0.25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99</v>
      </c>
      <c r="H48" s="7"/>
      <c r="I48" s="7"/>
      <c r="J48" s="3" t="s">
        <v>35</v>
      </c>
      <c r="K48" s="4" t="s">
        <v>113</v>
      </c>
      <c r="L48" s="4" t="s">
        <v>53</v>
      </c>
      <c r="N48" s="7" t="s">
        <v>182</v>
      </c>
      <c r="O48" s="7"/>
      <c r="P48" s="7" t="s">
        <v>183</v>
      </c>
      <c r="Q48" s="7"/>
      <c r="R48" s="7"/>
      <c r="S48" s="3" t="s">
        <v>40</v>
      </c>
      <c r="T48" s="7" t="s">
        <v>122</v>
      </c>
      <c r="U48" s="7"/>
      <c r="V48" s="4" t="s">
        <v>42</v>
      </c>
      <c r="W48" s="4" t="s">
        <v>171</v>
      </c>
      <c r="X48" s="4" t="s">
        <v>172</v>
      </c>
      <c r="Y48" s="7" t="s">
        <v>106</v>
      </c>
      <c r="Z48" s="7"/>
      <c r="AA48" s="4" t="s">
        <v>46</v>
      </c>
      <c r="AB48" s="4" t="s">
        <v>47</v>
      </c>
      <c r="AC48" s="4" t="s">
        <v>48</v>
      </c>
      <c r="AD48" s="4" t="s">
        <v>57</v>
      </c>
      <c r="AE48" s="4" t="s">
        <v>50</v>
      </c>
      <c r="AF48" s="4" t="s">
        <v>51</v>
      </c>
      <c r="AG48" s="4" t="s">
        <v>107</v>
      </c>
    </row>
    <row r="49" spans="1:33" ht="16.5" customHeight="1" x14ac:dyDescent="0.25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99</v>
      </c>
      <c r="H49" s="7"/>
      <c r="I49" s="7"/>
      <c r="J49" s="3" t="s">
        <v>35</v>
      </c>
      <c r="K49" s="4" t="s">
        <v>76</v>
      </c>
      <c r="L49" s="4" t="s">
        <v>53</v>
      </c>
      <c r="N49" s="7" t="s">
        <v>184</v>
      </c>
      <c r="O49" s="7"/>
      <c r="P49" s="7" t="s">
        <v>185</v>
      </c>
      <c r="Q49" s="7"/>
      <c r="R49" s="7"/>
      <c r="S49" s="3" t="s">
        <v>40</v>
      </c>
      <c r="T49" s="7" t="s">
        <v>186</v>
      </c>
      <c r="U49" s="7"/>
      <c r="V49" s="4" t="s">
        <v>42</v>
      </c>
      <c r="W49" s="4" t="s">
        <v>171</v>
      </c>
      <c r="X49" s="4" t="s">
        <v>172</v>
      </c>
      <c r="Y49" s="7" t="s">
        <v>45</v>
      </c>
      <c r="Z49" s="7"/>
      <c r="AA49" s="4" t="s">
        <v>46</v>
      </c>
      <c r="AB49" s="4" t="s">
        <v>47</v>
      </c>
      <c r="AC49" s="4" t="s">
        <v>48</v>
      </c>
      <c r="AD49" s="4" t="s">
        <v>57</v>
      </c>
      <c r="AE49" s="4" t="s">
        <v>50</v>
      </c>
      <c r="AF49" s="4" t="s">
        <v>51</v>
      </c>
      <c r="AG49" s="4" t="s">
        <v>107</v>
      </c>
    </row>
    <row r="50" spans="1:33" ht="16.5" customHeight="1" x14ac:dyDescent="0.25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99</v>
      </c>
      <c r="H50" s="7"/>
      <c r="I50" s="7"/>
      <c r="J50" s="3" t="s">
        <v>35</v>
      </c>
      <c r="K50" s="4" t="s">
        <v>36</v>
      </c>
      <c r="L50" s="4" t="s">
        <v>187</v>
      </c>
      <c r="N50" s="7" t="s">
        <v>188</v>
      </c>
      <c r="O50" s="7"/>
      <c r="P50" s="7" t="s">
        <v>189</v>
      </c>
      <c r="Q50" s="7"/>
      <c r="R50" s="7"/>
      <c r="S50" s="3" t="s">
        <v>40</v>
      </c>
      <c r="T50" s="7" t="s">
        <v>190</v>
      </c>
      <c r="U50" s="7"/>
      <c r="V50" s="4" t="s">
        <v>74</v>
      </c>
      <c r="W50" s="4" t="s">
        <v>171</v>
      </c>
      <c r="X50" s="4" t="s">
        <v>75</v>
      </c>
      <c r="Y50" s="7" t="s">
        <v>45</v>
      </c>
      <c r="Z50" s="7"/>
      <c r="AA50" s="4" t="s">
        <v>46</v>
      </c>
      <c r="AB50" s="4" t="s">
        <v>47</v>
      </c>
      <c r="AC50" s="4" t="s">
        <v>48</v>
      </c>
      <c r="AD50" s="4" t="s">
        <v>191</v>
      </c>
      <c r="AE50" s="4" t="s">
        <v>50</v>
      </c>
      <c r="AF50" s="4" t="s">
        <v>51</v>
      </c>
      <c r="AG50" s="4" t="s">
        <v>107</v>
      </c>
    </row>
    <row r="51" spans="1:33" ht="16.5" customHeight="1" x14ac:dyDescent="0.25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99</v>
      </c>
      <c r="H51" s="7"/>
      <c r="I51" s="7"/>
      <c r="J51" s="3" t="s">
        <v>35</v>
      </c>
      <c r="K51" s="4" t="s">
        <v>36</v>
      </c>
      <c r="L51" s="4" t="s">
        <v>187</v>
      </c>
      <c r="N51" s="7" t="s">
        <v>192</v>
      </c>
      <c r="O51" s="7"/>
      <c r="P51" s="7" t="s">
        <v>193</v>
      </c>
      <c r="Q51" s="7"/>
      <c r="R51" s="7"/>
      <c r="S51" s="3" t="s">
        <v>40</v>
      </c>
      <c r="T51" s="7" t="s">
        <v>194</v>
      </c>
      <c r="U51" s="7"/>
      <c r="V51" s="4" t="s">
        <v>42</v>
      </c>
      <c r="W51" s="4" t="s">
        <v>171</v>
      </c>
      <c r="X51" s="4" t="s">
        <v>172</v>
      </c>
      <c r="Y51" s="7" t="s">
        <v>45</v>
      </c>
      <c r="Z51" s="7"/>
      <c r="AA51" s="4" t="s">
        <v>46</v>
      </c>
      <c r="AB51" s="4" t="s">
        <v>47</v>
      </c>
      <c r="AC51" s="4" t="s">
        <v>48</v>
      </c>
      <c r="AD51" s="4" t="s">
        <v>191</v>
      </c>
      <c r="AE51" s="4" t="s">
        <v>50</v>
      </c>
      <c r="AF51" s="4" t="s">
        <v>51</v>
      </c>
      <c r="AG51" s="4" t="s">
        <v>107</v>
      </c>
    </row>
    <row r="52" spans="1:33" ht="16.5" customHeight="1" x14ac:dyDescent="0.25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99</v>
      </c>
      <c r="H52" s="7"/>
      <c r="I52" s="7"/>
      <c r="J52" s="3" t="s">
        <v>35</v>
      </c>
      <c r="K52" s="4" t="s">
        <v>36</v>
      </c>
      <c r="L52" s="4" t="s">
        <v>53</v>
      </c>
      <c r="N52" s="7" t="s">
        <v>192</v>
      </c>
      <c r="O52" s="7"/>
      <c r="P52" s="7" t="s">
        <v>193</v>
      </c>
      <c r="Q52" s="7"/>
      <c r="R52" s="7"/>
      <c r="S52" s="3" t="s">
        <v>40</v>
      </c>
      <c r="T52" s="7" t="s">
        <v>195</v>
      </c>
      <c r="U52" s="7"/>
      <c r="V52" s="4" t="s">
        <v>42</v>
      </c>
      <c r="W52" s="4" t="s">
        <v>171</v>
      </c>
      <c r="X52" s="4" t="s">
        <v>172</v>
      </c>
      <c r="Y52" s="7" t="s">
        <v>45</v>
      </c>
      <c r="Z52" s="7"/>
      <c r="AA52" s="4" t="s">
        <v>46</v>
      </c>
      <c r="AB52" s="4" t="s">
        <v>47</v>
      </c>
      <c r="AC52" s="4" t="s">
        <v>48</v>
      </c>
      <c r="AD52" s="4" t="s">
        <v>57</v>
      </c>
      <c r="AE52" s="4" t="s">
        <v>50</v>
      </c>
      <c r="AF52" s="4" t="s">
        <v>51</v>
      </c>
      <c r="AG52" s="4" t="s">
        <v>107</v>
      </c>
    </row>
    <row r="53" spans="1:33" ht="16.5" customHeight="1" x14ac:dyDescent="0.25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99</v>
      </c>
      <c r="H53" s="7"/>
      <c r="I53" s="7"/>
      <c r="J53" s="3" t="s">
        <v>35</v>
      </c>
      <c r="K53" s="4" t="s">
        <v>36</v>
      </c>
      <c r="L53" s="4" t="s">
        <v>187</v>
      </c>
      <c r="N53" s="7" t="s">
        <v>192</v>
      </c>
      <c r="O53" s="7"/>
      <c r="P53" s="7" t="s">
        <v>193</v>
      </c>
      <c r="Q53" s="7"/>
      <c r="R53" s="7"/>
      <c r="S53" s="3" t="s">
        <v>40</v>
      </c>
      <c r="T53" s="7" t="s">
        <v>196</v>
      </c>
      <c r="U53" s="7"/>
      <c r="V53" s="4" t="s">
        <v>74</v>
      </c>
      <c r="W53" s="4" t="s">
        <v>171</v>
      </c>
      <c r="X53" s="4" t="s">
        <v>75</v>
      </c>
      <c r="Y53" s="7" t="s">
        <v>45</v>
      </c>
      <c r="Z53" s="7"/>
      <c r="AA53" s="4" t="s">
        <v>46</v>
      </c>
      <c r="AB53" s="4" t="s">
        <v>47</v>
      </c>
      <c r="AC53" s="4" t="s">
        <v>48</v>
      </c>
      <c r="AD53" s="4" t="s">
        <v>191</v>
      </c>
      <c r="AE53" s="4" t="s">
        <v>50</v>
      </c>
      <c r="AF53" s="4" t="s">
        <v>51</v>
      </c>
      <c r="AG53" s="4" t="s">
        <v>107</v>
      </c>
    </row>
    <row r="54" spans="1:33" ht="16.5" customHeight="1" x14ac:dyDescent="0.25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99</v>
      </c>
      <c r="H54" s="7"/>
      <c r="I54" s="7"/>
      <c r="J54" s="3" t="s">
        <v>35</v>
      </c>
      <c r="K54" s="4" t="s">
        <v>144</v>
      </c>
      <c r="L54" s="4" t="s">
        <v>53</v>
      </c>
      <c r="N54" s="7" t="s">
        <v>197</v>
      </c>
      <c r="O54" s="7"/>
      <c r="P54" s="7" t="s">
        <v>198</v>
      </c>
      <c r="Q54" s="7"/>
      <c r="R54" s="7"/>
      <c r="S54" s="3" t="s">
        <v>40</v>
      </c>
      <c r="T54" s="7" t="s">
        <v>199</v>
      </c>
      <c r="U54" s="7"/>
      <c r="V54" s="4" t="s">
        <v>42</v>
      </c>
      <c r="W54" s="4" t="s">
        <v>74</v>
      </c>
      <c r="X54" s="4" t="s">
        <v>75</v>
      </c>
      <c r="Y54" s="7" t="s">
        <v>106</v>
      </c>
      <c r="Z54" s="7"/>
      <c r="AA54" s="4" t="s">
        <v>46</v>
      </c>
      <c r="AB54" s="4" t="s">
        <v>47</v>
      </c>
      <c r="AC54" s="4" t="s">
        <v>48</v>
      </c>
      <c r="AD54" s="4" t="s">
        <v>57</v>
      </c>
      <c r="AE54" s="4" t="s">
        <v>50</v>
      </c>
      <c r="AF54" s="4" t="s">
        <v>51</v>
      </c>
      <c r="AG54" s="4" t="s">
        <v>107</v>
      </c>
    </row>
    <row r="55" spans="1:33" ht="16.5" customHeight="1" x14ac:dyDescent="0.25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99</v>
      </c>
      <c r="H55" s="7"/>
      <c r="I55" s="7"/>
      <c r="J55" s="3" t="s">
        <v>35</v>
      </c>
      <c r="K55" s="4" t="s">
        <v>100</v>
      </c>
      <c r="L55" s="4" t="s">
        <v>53</v>
      </c>
      <c r="N55" s="7" t="s">
        <v>200</v>
      </c>
      <c r="O55" s="7"/>
      <c r="P55" s="7" t="s">
        <v>201</v>
      </c>
      <c r="Q55" s="7"/>
      <c r="R55" s="7"/>
      <c r="S55" s="3" t="s">
        <v>40</v>
      </c>
      <c r="T55" s="7" t="s">
        <v>202</v>
      </c>
      <c r="U55" s="7"/>
      <c r="V55" s="4" t="s">
        <v>42</v>
      </c>
      <c r="W55" s="4" t="s">
        <v>74</v>
      </c>
      <c r="X55" s="4" t="s">
        <v>75</v>
      </c>
      <c r="Y55" s="7" t="s">
        <v>106</v>
      </c>
      <c r="Z55" s="7"/>
      <c r="AA55" s="4" t="s">
        <v>46</v>
      </c>
      <c r="AB55" s="4" t="s">
        <v>47</v>
      </c>
      <c r="AC55" s="4" t="s">
        <v>48</v>
      </c>
      <c r="AD55" s="4" t="s">
        <v>57</v>
      </c>
      <c r="AE55" s="4" t="s">
        <v>50</v>
      </c>
      <c r="AF55" s="4" t="s">
        <v>51</v>
      </c>
      <c r="AG55" s="4" t="s">
        <v>107</v>
      </c>
    </row>
    <row r="56" spans="1:33" ht="16.5" customHeight="1" x14ac:dyDescent="0.25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99</v>
      </c>
      <c r="H56" s="7"/>
      <c r="I56" s="7"/>
      <c r="J56" s="3" t="s">
        <v>35</v>
      </c>
      <c r="K56" s="4" t="s">
        <v>159</v>
      </c>
      <c r="L56" s="4" t="s">
        <v>203</v>
      </c>
      <c r="N56" s="7" t="s">
        <v>204</v>
      </c>
      <c r="O56" s="7"/>
      <c r="P56" s="7" t="s">
        <v>205</v>
      </c>
      <c r="Q56" s="7"/>
      <c r="R56" s="7"/>
      <c r="S56" s="3" t="s">
        <v>40</v>
      </c>
      <c r="T56" s="7" t="s">
        <v>206</v>
      </c>
      <c r="U56" s="7"/>
      <c r="V56" s="4" t="s">
        <v>42</v>
      </c>
      <c r="W56" s="4" t="s">
        <v>74</v>
      </c>
      <c r="X56" s="4" t="s">
        <v>75</v>
      </c>
      <c r="Y56" s="7" t="s">
        <v>45</v>
      </c>
      <c r="Z56" s="7"/>
      <c r="AA56" s="4" t="s">
        <v>46</v>
      </c>
      <c r="AB56" s="4" t="s">
        <v>47</v>
      </c>
      <c r="AC56" s="4" t="s">
        <v>48</v>
      </c>
      <c r="AD56" s="4" t="s">
        <v>207</v>
      </c>
      <c r="AE56" s="4" t="s">
        <v>50</v>
      </c>
      <c r="AF56" s="4" t="s">
        <v>51</v>
      </c>
      <c r="AG56" s="4" t="s">
        <v>107</v>
      </c>
    </row>
    <row r="57" spans="1:33" ht="16.5" customHeight="1" x14ac:dyDescent="0.25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99</v>
      </c>
      <c r="H57" s="7"/>
      <c r="I57" s="7"/>
      <c r="J57" s="3" t="s">
        <v>35</v>
      </c>
      <c r="K57" s="4" t="s">
        <v>159</v>
      </c>
      <c r="L57" s="4" t="s">
        <v>53</v>
      </c>
      <c r="N57" s="7" t="s">
        <v>208</v>
      </c>
      <c r="O57" s="7"/>
      <c r="P57" s="7" t="s">
        <v>209</v>
      </c>
      <c r="Q57" s="7"/>
      <c r="R57" s="7"/>
      <c r="S57" s="3" t="s">
        <v>40</v>
      </c>
      <c r="T57" s="7" t="s">
        <v>210</v>
      </c>
      <c r="U57" s="7"/>
      <c r="V57" s="4" t="s">
        <v>42</v>
      </c>
      <c r="W57" s="4" t="s">
        <v>74</v>
      </c>
      <c r="X57" s="4" t="s">
        <v>75</v>
      </c>
      <c r="Y57" s="7" t="s">
        <v>45</v>
      </c>
      <c r="Z57" s="7"/>
      <c r="AA57" s="4" t="s">
        <v>46</v>
      </c>
      <c r="AB57" s="4" t="s">
        <v>47</v>
      </c>
      <c r="AC57" s="4" t="s">
        <v>48</v>
      </c>
      <c r="AD57" s="4" t="s">
        <v>57</v>
      </c>
      <c r="AE57" s="4" t="s">
        <v>50</v>
      </c>
      <c r="AF57" s="4" t="s">
        <v>51</v>
      </c>
      <c r="AG57" s="4" t="s">
        <v>107</v>
      </c>
    </row>
    <row r="58" spans="1:33" ht="16.5" customHeight="1" x14ac:dyDescent="0.25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99</v>
      </c>
      <c r="H58" s="7"/>
      <c r="I58" s="7"/>
      <c r="J58" s="3" t="s">
        <v>35</v>
      </c>
      <c r="K58" s="4" t="s">
        <v>144</v>
      </c>
      <c r="L58" s="4" t="s">
        <v>53</v>
      </c>
      <c r="N58" s="7" t="s">
        <v>211</v>
      </c>
      <c r="O58" s="7"/>
      <c r="P58" s="7" t="s">
        <v>212</v>
      </c>
      <c r="Q58" s="7"/>
      <c r="R58" s="7"/>
      <c r="S58" s="3" t="s">
        <v>40</v>
      </c>
      <c r="T58" s="7" t="s">
        <v>199</v>
      </c>
      <c r="U58" s="7"/>
      <c r="V58" s="4" t="s">
        <v>42</v>
      </c>
      <c r="W58" s="4" t="s">
        <v>74</v>
      </c>
      <c r="X58" s="4" t="s">
        <v>75</v>
      </c>
      <c r="Y58" s="7" t="s">
        <v>106</v>
      </c>
      <c r="Z58" s="7"/>
      <c r="AA58" s="4" t="s">
        <v>46</v>
      </c>
      <c r="AB58" s="4" t="s">
        <v>47</v>
      </c>
      <c r="AC58" s="4" t="s">
        <v>48</v>
      </c>
      <c r="AD58" s="4" t="s">
        <v>57</v>
      </c>
      <c r="AE58" s="4" t="s">
        <v>50</v>
      </c>
      <c r="AF58" s="4" t="s">
        <v>51</v>
      </c>
      <c r="AG58" s="4" t="s">
        <v>107</v>
      </c>
    </row>
    <row r="59" spans="1:33" ht="16.5" customHeight="1" x14ac:dyDescent="0.25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99</v>
      </c>
      <c r="H59" s="7"/>
      <c r="I59" s="7"/>
      <c r="J59" s="3" t="s">
        <v>35</v>
      </c>
      <c r="K59" s="4" t="s">
        <v>113</v>
      </c>
      <c r="L59" s="4" t="s">
        <v>53</v>
      </c>
      <c r="N59" s="7" t="s">
        <v>213</v>
      </c>
      <c r="O59" s="7"/>
      <c r="P59" s="7" t="s">
        <v>214</v>
      </c>
      <c r="Q59" s="7"/>
      <c r="R59" s="7"/>
      <c r="S59" s="3" t="s">
        <v>40</v>
      </c>
      <c r="T59" s="7" t="s">
        <v>215</v>
      </c>
      <c r="U59" s="7"/>
      <c r="V59" s="4" t="s">
        <v>42</v>
      </c>
      <c r="W59" s="4" t="s">
        <v>74</v>
      </c>
      <c r="X59" s="4" t="s">
        <v>75</v>
      </c>
      <c r="Y59" s="7" t="s">
        <v>106</v>
      </c>
      <c r="Z59" s="7"/>
      <c r="AA59" s="4" t="s">
        <v>46</v>
      </c>
      <c r="AB59" s="4" t="s">
        <v>47</v>
      </c>
      <c r="AC59" s="4" t="s">
        <v>48</v>
      </c>
      <c r="AD59" s="4" t="s">
        <v>57</v>
      </c>
      <c r="AE59" s="4" t="s">
        <v>50</v>
      </c>
      <c r="AF59" s="4" t="s">
        <v>51</v>
      </c>
      <c r="AG59" s="4" t="s">
        <v>107</v>
      </c>
    </row>
    <row r="60" spans="1:33" ht="16.5" customHeight="1" x14ac:dyDescent="0.25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99</v>
      </c>
      <c r="H60" s="7"/>
      <c r="I60" s="7"/>
      <c r="J60" s="3" t="s">
        <v>35</v>
      </c>
      <c r="K60" s="4" t="s">
        <v>76</v>
      </c>
      <c r="L60" s="4" t="s">
        <v>53</v>
      </c>
      <c r="N60" s="7" t="s">
        <v>216</v>
      </c>
      <c r="O60" s="7"/>
      <c r="P60" s="7" t="s">
        <v>217</v>
      </c>
      <c r="Q60" s="7"/>
      <c r="R60" s="7"/>
      <c r="S60" s="3" t="s">
        <v>40</v>
      </c>
      <c r="T60" s="7" t="s">
        <v>218</v>
      </c>
      <c r="U60" s="7"/>
      <c r="V60" s="4" t="s">
        <v>42</v>
      </c>
      <c r="W60" s="4" t="s">
        <v>74</v>
      </c>
      <c r="X60" s="4" t="s">
        <v>75</v>
      </c>
      <c r="Y60" s="7" t="s">
        <v>45</v>
      </c>
      <c r="Z60" s="7"/>
      <c r="AA60" s="4" t="s">
        <v>46</v>
      </c>
      <c r="AB60" s="4" t="s">
        <v>47</v>
      </c>
      <c r="AC60" s="4" t="s">
        <v>48</v>
      </c>
      <c r="AD60" s="4" t="s">
        <v>57</v>
      </c>
      <c r="AE60" s="4" t="s">
        <v>50</v>
      </c>
      <c r="AF60" s="4" t="s">
        <v>51</v>
      </c>
      <c r="AG60" s="4" t="s">
        <v>107</v>
      </c>
    </row>
    <row r="61" spans="1:33" ht="375.75" customHeight="1" x14ac:dyDescent="0.25"/>
    <row r="62" spans="1:33" ht="12" customHeight="1" x14ac:dyDescent="0.25"/>
  </sheetData>
  <mergeCells count="338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60:D60"/>
    <mergeCell ref="E60:F60"/>
    <mergeCell ref="G60:I60"/>
    <mergeCell ref="N60:O60"/>
    <mergeCell ref="P60:R60"/>
    <mergeCell ref="T60:U60"/>
    <mergeCell ref="Y60:Z60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0060-3030-46EB-B73B-DC56A5BF8919}">
  <dimension ref="A1:P48"/>
  <sheetViews>
    <sheetView tabSelected="1" topLeftCell="A47" workbookViewId="0">
      <selection activeCell="C4" sqref="C4:C47"/>
    </sheetView>
  </sheetViews>
  <sheetFormatPr defaultColWidth="6.88671875" defaultRowHeight="13.2" x14ac:dyDescent="0.25"/>
  <cols>
    <col min="1" max="1" width="29.88671875" style="15" customWidth="1"/>
    <col min="2" max="2" width="13.6640625" style="15" customWidth="1"/>
    <col min="3" max="3" width="10.5546875" style="15" customWidth="1"/>
    <col min="4" max="4" width="12.77734375" style="15" bestFit="1" customWidth="1"/>
    <col min="5" max="5" width="12.77734375" style="15" customWidth="1"/>
    <col min="6" max="6" width="20.6640625" style="15" customWidth="1"/>
    <col min="7" max="7" width="15.44140625" style="15" bestFit="1" customWidth="1"/>
    <col min="8" max="9" width="13.109375" style="15" customWidth="1"/>
    <col min="10" max="11" width="14.109375" style="15" customWidth="1"/>
    <col min="12" max="12" width="15.5546875" style="15" bestFit="1" customWidth="1"/>
    <col min="13" max="14" width="13.44140625" style="15" customWidth="1"/>
    <col min="15" max="15" width="13.5546875" style="15" customWidth="1"/>
    <col min="16" max="16384" width="6.88671875" style="15"/>
  </cols>
  <sheetData>
    <row r="1" spans="1:16" ht="12.75" customHeight="1" x14ac:dyDescent="0.25">
      <c r="A1" s="14"/>
      <c r="B1" s="14"/>
      <c r="C1" s="14" t="s">
        <v>15</v>
      </c>
      <c r="D1" s="14" t="s">
        <v>16</v>
      </c>
      <c r="E1" s="14"/>
      <c r="F1" s="14" t="s">
        <v>17</v>
      </c>
      <c r="G1" s="14" t="s">
        <v>19</v>
      </c>
      <c r="H1" s="14" t="s">
        <v>20</v>
      </c>
      <c r="I1" s="14"/>
      <c r="J1" s="14" t="s">
        <v>21</v>
      </c>
      <c r="K1" s="14"/>
      <c r="L1" s="14" t="s">
        <v>23</v>
      </c>
      <c r="M1" s="14" t="s">
        <v>25</v>
      </c>
      <c r="N1" s="14" t="s">
        <v>26</v>
      </c>
      <c r="O1" s="14" t="s">
        <v>27</v>
      </c>
    </row>
    <row r="2" spans="1:16" ht="14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6" ht="0.75" customHeight="1" x14ac:dyDescent="0.25">
      <c r="C3" s="14"/>
      <c r="D3" s="14"/>
      <c r="E3" s="19"/>
    </row>
    <row r="4" spans="1:16" ht="12.75" customHeight="1" x14ac:dyDescent="0.25">
      <c r="A4" s="2" t="s">
        <v>224</v>
      </c>
      <c r="B4" s="2">
        <v>8307933</v>
      </c>
      <c r="C4" s="16" t="s">
        <v>219</v>
      </c>
      <c r="D4" s="16">
        <v>928127138</v>
      </c>
      <c r="E4" s="16" t="str">
        <f>CONCATENATE(D4,5)</f>
        <v>9281271385</v>
      </c>
      <c r="F4" s="2" t="s">
        <v>39</v>
      </c>
      <c r="G4" s="17">
        <v>2131.6999999999998</v>
      </c>
      <c r="H4" s="16">
        <v>20250501</v>
      </c>
      <c r="I4" s="16" t="str">
        <f>TEXT(DATE(LEFT(H4,4), MID(H4,5,2), RIGHT(H4,2)), "M/d/yyyy")</f>
        <v>5/1/2025</v>
      </c>
      <c r="J4" s="16">
        <v>20240101</v>
      </c>
      <c r="K4" s="16" t="str">
        <f>TEXT(DATE(LEFT(J4,4), MID(J4,5,2), RIGHT(J4,2)), "M/d/yyyy")</f>
        <v>1/1/2024</v>
      </c>
      <c r="L4" s="2" t="s">
        <v>45</v>
      </c>
      <c r="M4" s="18">
        <v>1</v>
      </c>
      <c r="N4" s="16">
        <v>20</v>
      </c>
      <c r="O4" s="2">
        <v>40</v>
      </c>
      <c r="P4" s="15" t="s">
        <v>223</v>
      </c>
    </row>
    <row r="5" spans="1:16" ht="16.5" customHeight="1" x14ac:dyDescent="0.25">
      <c r="A5" s="2" t="s">
        <v>224</v>
      </c>
      <c r="B5" s="2">
        <v>8307933</v>
      </c>
      <c r="C5" s="16"/>
      <c r="D5" s="16">
        <v>928127769</v>
      </c>
      <c r="E5" s="16" t="str">
        <f t="shared" ref="E5:E47" si="0">CONCATENATE(D5,5)</f>
        <v>9281277695</v>
      </c>
      <c r="F5" s="2" t="s">
        <v>55</v>
      </c>
      <c r="G5" s="2" t="s">
        <v>56</v>
      </c>
      <c r="H5" s="16">
        <v>20250501</v>
      </c>
      <c r="I5" s="16" t="str">
        <f t="shared" ref="I5:I47" si="1">TEXT(DATE(LEFT(H5,4), MID(H5,5,2), RIGHT(H5,2)), "M/d/yyyy")</f>
        <v>5/1/2025</v>
      </c>
      <c r="J5" s="16">
        <v>20240101</v>
      </c>
      <c r="K5" s="16" t="str">
        <f t="shared" ref="K5:K47" si="2">TEXT(DATE(LEFT(J5,4), MID(J5,5,2), RIGHT(J5,2)), "M/d/yyyy")</f>
        <v>1/1/2024</v>
      </c>
      <c r="L5" s="2" t="s">
        <v>45</v>
      </c>
      <c r="M5" s="18">
        <v>1</v>
      </c>
      <c r="N5" s="16">
        <v>20</v>
      </c>
      <c r="O5" s="2">
        <v>20</v>
      </c>
      <c r="P5" s="15" t="s">
        <v>223</v>
      </c>
    </row>
    <row r="6" spans="1:16" ht="16.5" customHeight="1" x14ac:dyDescent="0.25">
      <c r="A6" s="2" t="s">
        <v>224</v>
      </c>
      <c r="B6" s="2">
        <v>8307933</v>
      </c>
      <c r="C6" s="16" t="s">
        <v>220</v>
      </c>
      <c r="D6" s="16">
        <v>928139663</v>
      </c>
      <c r="E6" s="16" t="str">
        <f t="shared" si="0"/>
        <v>9281396635</v>
      </c>
      <c r="F6" s="2" t="s">
        <v>61</v>
      </c>
      <c r="G6" s="17">
        <v>1183.24</v>
      </c>
      <c r="H6" s="16">
        <v>20250501</v>
      </c>
      <c r="I6" s="16" t="str">
        <f t="shared" si="1"/>
        <v>5/1/2025</v>
      </c>
      <c r="J6" s="16">
        <v>20240801</v>
      </c>
      <c r="K6" s="16" t="str">
        <f t="shared" si="2"/>
        <v>8/1/2024</v>
      </c>
      <c r="L6" s="2" t="s">
        <v>45</v>
      </c>
      <c r="M6" s="18">
        <v>1</v>
      </c>
      <c r="N6" s="16">
        <v>20</v>
      </c>
      <c r="O6" s="2">
        <v>60</v>
      </c>
      <c r="P6" s="15" t="s">
        <v>223</v>
      </c>
    </row>
    <row r="7" spans="1:16" ht="16.5" customHeight="1" x14ac:dyDescent="0.25">
      <c r="A7" s="2" t="s">
        <v>224</v>
      </c>
      <c r="B7" s="2">
        <v>8307933</v>
      </c>
      <c r="C7" s="16"/>
      <c r="D7" s="16">
        <v>928142523</v>
      </c>
      <c r="E7" s="16" t="str">
        <f t="shared" si="0"/>
        <v>9281425235</v>
      </c>
      <c r="F7" s="2" t="s">
        <v>67</v>
      </c>
      <c r="G7" s="17">
        <v>1043.33</v>
      </c>
      <c r="H7" s="16">
        <v>20250501</v>
      </c>
      <c r="I7" s="16" t="str">
        <f t="shared" si="1"/>
        <v>5/1/2025</v>
      </c>
      <c r="J7" s="16">
        <v>20250101</v>
      </c>
      <c r="K7" s="16" t="str">
        <f t="shared" si="2"/>
        <v>1/1/2025</v>
      </c>
      <c r="L7" s="2" t="s">
        <v>45</v>
      </c>
      <c r="M7" s="18">
        <v>1</v>
      </c>
      <c r="N7" s="16">
        <v>20</v>
      </c>
      <c r="O7" s="2">
        <v>20</v>
      </c>
      <c r="P7" s="15" t="s">
        <v>223</v>
      </c>
    </row>
    <row r="8" spans="1:16" ht="16.5" customHeight="1" x14ac:dyDescent="0.25">
      <c r="A8" s="2" t="s">
        <v>224</v>
      </c>
      <c r="B8" s="2">
        <v>8307933</v>
      </c>
      <c r="C8" s="16" t="s">
        <v>219</v>
      </c>
      <c r="D8" s="16">
        <v>928150906</v>
      </c>
      <c r="E8" s="16" t="str">
        <f t="shared" si="0"/>
        <v>9281509065</v>
      </c>
      <c r="F8" s="2" t="s">
        <v>72</v>
      </c>
      <c r="G8" s="17">
        <v>2334.0700000000002</v>
      </c>
      <c r="H8" s="16">
        <v>20250501</v>
      </c>
      <c r="I8" s="16" t="str">
        <f t="shared" si="1"/>
        <v>5/1/2025</v>
      </c>
      <c r="J8" s="16">
        <v>20250401</v>
      </c>
      <c r="K8" s="16" t="str">
        <f t="shared" si="2"/>
        <v>4/1/2025</v>
      </c>
      <c r="L8" s="2" t="s">
        <v>45</v>
      </c>
      <c r="M8" s="18">
        <v>1</v>
      </c>
      <c r="N8" s="16">
        <v>20</v>
      </c>
      <c r="O8" s="2">
        <v>40</v>
      </c>
      <c r="P8" s="15" t="s">
        <v>223</v>
      </c>
    </row>
    <row r="9" spans="1:16" ht="16.5" customHeight="1" x14ac:dyDescent="0.25">
      <c r="A9" s="2" t="s">
        <v>224</v>
      </c>
      <c r="B9" s="2">
        <v>8307933</v>
      </c>
      <c r="C9" s="16"/>
      <c r="D9" s="16">
        <v>928150919</v>
      </c>
      <c r="E9" s="16" t="str">
        <f t="shared" si="0"/>
        <v>9281509195</v>
      </c>
      <c r="F9" s="2" t="s">
        <v>78</v>
      </c>
      <c r="G9" s="2" t="s">
        <v>79</v>
      </c>
      <c r="H9" s="16">
        <v>20250501</v>
      </c>
      <c r="I9" s="16" t="str">
        <f t="shared" si="1"/>
        <v>5/1/2025</v>
      </c>
      <c r="J9" s="16">
        <v>20250401</v>
      </c>
      <c r="K9" s="16" t="str">
        <f t="shared" si="2"/>
        <v>4/1/2025</v>
      </c>
      <c r="L9" s="2" t="s">
        <v>45</v>
      </c>
      <c r="M9" s="18">
        <v>1</v>
      </c>
      <c r="N9" s="16">
        <v>20</v>
      </c>
      <c r="O9" s="2">
        <v>20</v>
      </c>
      <c r="P9" s="15" t="s">
        <v>223</v>
      </c>
    </row>
    <row r="10" spans="1:16" ht="16.5" customHeight="1" x14ac:dyDescent="0.25">
      <c r="A10" s="2" t="s">
        <v>225</v>
      </c>
      <c r="B10" s="2">
        <v>19206583</v>
      </c>
      <c r="C10" s="16"/>
      <c r="D10" s="16">
        <v>928116889</v>
      </c>
      <c r="E10" s="16" t="str">
        <f t="shared" si="0"/>
        <v>9281168895</v>
      </c>
      <c r="F10" s="2" t="s">
        <v>82</v>
      </c>
      <c r="G10" s="2" t="s">
        <v>83</v>
      </c>
      <c r="H10" s="16">
        <v>20250501</v>
      </c>
      <c r="I10" s="16" t="str">
        <f t="shared" si="1"/>
        <v>5/1/2025</v>
      </c>
      <c r="J10" s="16">
        <v>20220501</v>
      </c>
      <c r="K10" s="16" t="str">
        <f t="shared" si="2"/>
        <v>5/1/2022</v>
      </c>
      <c r="L10" s="2" t="s">
        <v>45</v>
      </c>
      <c r="M10" s="18">
        <v>1</v>
      </c>
      <c r="N10" s="16">
        <v>20</v>
      </c>
      <c r="O10" s="2">
        <v>20</v>
      </c>
      <c r="P10" s="15" t="s">
        <v>223</v>
      </c>
    </row>
    <row r="11" spans="1:16" ht="16.5" customHeight="1" x14ac:dyDescent="0.25">
      <c r="A11" s="2" t="s">
        <v>226</v>
      </c>
      <c r="B11" s="2">
        <v>6634327</v>
      </c>
      <c r="C11" s="16"/>
      <c r="D11" s="16">
        <v>928132686</v>
      </c>
      <c r="E11" s="16" t="str">
        <f t="shared" si="0"/>
        <v>9281326865</v>
      </c>
      <c r="F11" s="2" t="s">
        <v>89</v>
      </c>
      <c r="G11" s="2" t="s">
        <v>90</v>
      </c>
      <c r="H11" s="16">
        <v>20250501</v>
      </c>
      <c r="I11" s="16" t="str">
        <f t="shared" si="1"/>
        <v>5/1/2025</v>
      </c>
      <c r="J11" s="16">
        <v>20240101</v>
      </c>
      <c r="K11" s="16" t="str">
        <f t="shared" si="2"/>
        <v>1/1/2024</v>
      </c>
      <c r="L11" s="2" t="s">
        <v>45</v>
      </c>
      <c r="M11" s="18">
        <v>1</v>
      </c>
      <c r="N11" s="16">
        <v>20</v>
      </c>
      <c r="O11" s="2">
        <v>20</v>
      </c>
      <c r="P11" s="15" t="s">
        <v>223</v>
      </c>
    </row>
    <row r="12" spans="1:16" ht="16.5" customHeight="1" x14ac:dyDescent="0.25">
      <c r="A12" s="2" t="s">
        <v>227</v>
      </c>
      <c r="B12" s="2">
        <v>16683808</v>
      </c>
      <c r="C12" s="16" t="s">
        <v>219</v>
      </c>
      <c r="D12" s="16">
        <v>928141308</v>
      </c>
      <c r="E12" s="16" t="str">
        <f t="shared" si="0"/>
        <v>9281413085</v>
      </c>
      <c r="F12" s="2" t="s">
        <v>94</v>
      </c>
      <c r="G12" s="17">
        <v>2140.42</v>
      </c>
      <c r="H12" s="16">
        <v>20250501</v>
      </c>
      <c r="I12" s="16" t="str">
        <f t="shared" si="1"/>
        <v>5/1/2025</v>
      </c>
      <c r="J12" s="16">
        <v>20241001</v>
      </c>
      <c r="K12" s="16" t="str">
        <f t="shared" si="2"/>
        <v>10/1/2024</v>
      </c>
      <c r="L12" s="2" t="s">
        <v>45</v>
      </c>
      <c r="M12" s="18">
        <v>1</v>
      </c>
      <c r="N12" s="16">
        <v>20</v>
      </c>
      <c r="O12" s="2">
        <v>40</v>
      </c>
      <c r="P12" s="15" t="s">
        <v>223</v>
      </c>
    </row>
    <row r="13" spans="1:16" ht="16.5" customHeight="1" x14ac:dyDescent="0.25">
      <c r="A13" s="2" t="s">
        <v>228</v>
      </c>
      <c r="B13" s="2">
        <v>371819</v>
      </c>
      <c r="C13" s="16"/>
      <c r="D13" s="16">
        <v>928150824</v>
      </c>
      <c r="E13" s="16" t="str">
        <f t="shared" si="0"/>
        <v>9281508245</v>
      </c>
      <c r="F13" s="2" t="s">
        <v>198</v>
      </c>
      <c r="G13" s="2" t="s">
        <v>199</v>
      </c>
      <c r="H13" s="16">
        <v>20250501</v>
      </c>
      <c r="I13" s="16" t="str">
        <f t="shared" si="1"/>
        <v>5/1/2025</v>
      </c>
      <c r="J13" s="16">
        <v>20250401</v>
      </c>
      <c r="K13" s="16" t="str">
        <f>TEXT(DATE(LEFT(J13,4), MID(J13,5,2), RIGHT(J13,2)), "M/d/yyyy")</f>
        <v>4/1/2025</v>
      </c>
      <c r="L13" s="2" t="s">
        <v>106</v>
      </c>
      <c r="M13" s="18">
        <v>1</v>
      </c>
      <c r="N13" s="16">
        <v>20</v>
      </c>
      <c r="O13" s="2">
        <v>20</v>
      </c>
      <c r="P13" s="15" t="s">
        <v>223</v>
      </c>
    </row>
    <row r="14" spans="1:16" ht="16.5" customHeight="1" x14ac:dyDescent="0.25">
      <c r="A14" s="2" t="s">
        <v>228</v>
      </c>
      <c r="B14" s="2">
        <v>371819</v>
      </c>
      <c r="C14" s="16"/>
      <c r="D14" s="16">
        <v>928151030</v>
      </c>
      <c r="E14" s="16" t="str">
        <f t="shared" si="0"/>
        <v>9281510305</v>
      </c>
      <c r="F14" s="2" t="s">
        <v>201</v>
      </c>
      <c r="G14" s="2" t="s">
        <v>202</v>
      </c>
      <c r="H14" s="16">
        <v>20250501</v>
      </c>
      <c r="I14" s="16" t="str">
        <f t="shared" si="1"/>
        <v>5/1/2025</v>
      </c>
      <c r="J14" s="16">
        <v>20250401</v>
      </c>
      <c r="K14" s="16" t="str">
        <f>TEXT(DATE(LEFT(J14,4), MID(J14,5,2), RIGHT(J14,2)), "M/d/yyyy")</f>
        <v>4/1/2025</v>
      </c>
      <c r="L14" s="2" t="s">
        <v>106</v>
      </c>
      <c r="M14" s="18">
        <v>1</v>
      </c>
      <c r="N14" s="16">
        <v>20</v>
      </c>
      <c r="O14" s="2">
        <v>20</v>
      </c>
      <c r="P14" s="15" t="s">
        <v>223</v>
      </c>
    </row>
    <row r="15" spans="1:16" ht="16.5" customHeight="1" x14ac:dyDescent="0.25">
      <c r="A15" s="2" t="s">
        <v>228</v>
      </c>
      <c r="B15" s="2">
        <v>371819</v>
      </c>
      <c r="C15" s="16" t="s">
        <v>222</v>
      </c>
      <c r="D15" s="16">
        <v>928151061</v>
      </c>
      <c r="E15" s="16" t="str">
        <f t="shared" si="0"/>
        <v>9281510615</v>
      </c>
      <c r="F15" s="2" t="s">
        <v>205</v>
      </c>
      <c r="G15" s="17">
        <v>1224.1600000000001</v>
      </c>
      <c r="H15" s="16">
        <v>20250501</v>
      </c>
      <c r="I15" s="16" t="str">
        <f t="shared" si="1"/>
        <v>5/1/2025</v>
      </c>
      <c r="J15" s="16">
        <v>20250401</v>
      </c>
      <c r="K15" s="16" t="str">
        <f>TEXT(DATE(LEFT(J15,4), MID(J15,5,2), RIGHT(J15,2)), "M/d/yyyy")</f>
        <v>4/1/2025</v>
      </c>
      <c r="L15" s="2" t="s">
        <v>45</v>
      </c>
      <c r="M15" s="18">
        <v>1</v>
      </c>
      <c r="N15" s="16">
        <v>20</v>
      </c>
      <c r="O15" s="2">
        <v>100</v>
      </c>
      <c r="P15" s="15" t="s">
        <v>223</v>
      </c>
    </row>
    <row r="16" spans="1:16" ht="16.5" customHeight="1" x14ac:dyDescent="0.25">
      <c r="A16" s="2" t="s">
        <v>228</v>
      </c>
      <c r="B16" s="2">
        <v>371819</v>
      </c>
      <c r="C16" s="16"/>
      <c r="D16" s="16">
        <v>928151148</v>
      </c>
      <c r="E16" s="16" t="str">
        <f t="shared" si="0"/>
        <v>9281511485</v>
      </c>
      <c r="F16" s="2" t="s">
        <v>209</v>
      </c>
      <c r="G16" s="2" t="s">
        <v>210</v>
      </c>
      <c r="H16" s="16">
        <v>20250501</v>
      </c>
      <c r="I16" s="16" t="str">
        <f t="shared" si="1"/>
        <v>5/1/2025</v>
      </c>
      <c r="J16" s="16">
        <v>20250401</v>
      </c>
      <c r="K16" s="16" t="str">
        <f>TEXT(DATE(LEFT(J16,4), MID(J16,5,2), RIGHT(J16,2)), "M/d/yyyy")</f>
        <v>4/1/2025</v>
      </c>
      <c r="L16" s="2" t="s">
        <v>45</v>
      </c>
      <c r="M16" s="18">
        <v>1</v>
      </c>
      <c r="N16" s="16">
        <v>20</v>
      </c>
      <c r="O16" s="2">
        <v>20</v>
      </c>
      <c r="P16" s="15" t="s">
        <v>223</v>
      </c>
    </row>
    <row r="17" spans="1:16" ht="16.5" customHeight="1" x14ac:dyDescent="0.25">
      <c r="A17" s="2" t="s">
        <v>228</v>
      </c>
      <c r="B17" s="2">
        <v>371819</v>
      </c>
      <c r="C17" s="16"/>
      <c r="D17" s="16">
        <v>928151168</v>
      </c>
      <c r="E17" s="16" t="str">
        <f t="shared" si="0"/>
        <v>9281511685</v>
      </c>
      <c r="F17" s="2" t="s">
        <v>212</v>
      </c>
      <c r="G17" s="2" t="s">
        <v>199</v>
      </c>
      <c r="H17" s="16">
        <v>20250501</v>
      </c>
      <c r="I17" s="16" t="str">
        <f t="shared" si="1"/>
        <v>5/1/2025</v>
      </c>
      <c r="J17" s="16">
        <v>20250401</v>
      </c>
      <c r="K17" s="16" t="str">
        <f>TEXT(DATE(LEFT(J17,4), MID(J17,5,2), RIGHT(J17,2)), "M/d/yyyy")</f>
        <v>4/1/2025</v>
      </c>
      <c r="L17" s="2" t="s">
        <v>106</v>
      </c>
      <c r="M17" s="18">
        <v>1</v>
      </c>
      <c r="N17" s="16">
        <v>20</v>
      </c>
      <c r="O17" s="2">
        <v>20</v>
      </c>
      <c r="P17" s="15" t="s">
        <v>223</v>
      </c>
    </row>
    <row r="18" spans="1:16" ht="16.5" customHeight="1" x14ac:dyDescent="0.25">
      <c r="A18" s="2" t="s">
        <v>228</v>
      </c>
      <c r="B18" s="2">
        <v>371819</v>
      </c>
      <c r="C18" s="16"/>
      <c r="D18" s="16">
        <v>928151239</v>
      </c>
      <c r="E18" s="16" t="str">
        <f t="shared" si="0"/>
        <v>9281512395</v>
      </c>
      <c r="F18" s="2" t="s">
        <v>214</v>
      </c>
      <c r="G18" s="2" t="s">
        <v>215</v>
      </c>
      <c r="H18" s="16">
        <v>20250501</v>
      </c>
      <c r="I18" s="16" t="str">
        <f t="shared" si="1"/>
        <v>5/1/2025</v>
      </c>
      <c r="J18" s="16">
        <v>20250401</v>
      </c>
      <c r="K18" s="16" t="str">
        <f>TEXT(DATE(LEFT(J18,4), MID(J18,5,2), RIGHT(J18,2)), "M/d/yyyy")</f>
        <v>4/1/2025</v>
      </c>
      <c r="L18" s="2" t="s">
        <v>106</v>
      </c>
      <c r="M18" s="18">
        <v>1</v>
      </c>
      <c r="N18" s="16">
        <v>20</v>
      </c>
      <c r="O18" s="2">
        <v>20</v>
      </c>
      <c r="P18" s="15" t="s">
        <v>223</v>
      </c>
    </row>
    <row r="19" spans="1:16" ht="16.5" customHeight="1" x14ac:dyDescent="0.25">
      <c r="A19" s="2" t="s">
        <v>228</v>
      </c>
      <c r="B19" s="2">
        <v>371819</v>
      </c>
      <c r="C19" s="16"/>
      <c r="D19" s="16">
        <v>928151241</v>
      </c>
      <c r="E19" s="16" t="str">
        <f t="shared" si="0"/>
        <v>9281512415</v>
      </c>
      <c r="F19" s="2" t="s">
        <v>217</v>
      </c>
      <c r="G19" s="2" t="s">
        <v>218</v>
      </c>
      <c r="H19" s="16">
        <v>20250501</v>
      </c>
      <c r="I19" s="16" t="str">
        <f t="shared" si="1"/>
        <v>5/1/2025</v>
      </c>
      <c r="J19" s="16">
        <v>20250401</v>
      </c>
      <c r="K19" s="16" t="str">
        <f>TEXT(DATE(LEFT(J19,4), MID(J19,5,2), RIGHT(J19,2)), "M/d/yyyy")</f>
        <v>4/1/2025</v>
      </c>
      <c r="L19" s="2" t="s">
        <v>45</v>
      </c>
      <c r="M19" s="18">
        <v>1</v>
      </c>
      <c r="N19" s="16">
        <v>20</v>
      </c>
      <c r="O19" s="2">
        <v>20</v>
      </c>
      <c r="P19" s="15" t="s">
        <v>223</v>
      </c>
    </row>
    <row r="20" spans="1:16" ht="16.5" customHeight="1" x14ac:dyDescent="0.25">
      <c r="A20" s="2" t="s">
        <v>228</v>
      </c>
      <c r="B20" s="2">
        <v>371819</v>
      </c>
      <c r="C20" s="16"/>
      <c r="D20" s="16">
        <v>928149842</v>
      </c>
      <c r="E20" s="16" t="str">
        <f t="shared" si="0"/>
        <v>9281498425</v>
      </c>
      <c r="F20" s="2" t="s">
        <v>169</v>
      </c>
      <c r="G20" s="2" t="s">
        <v>170</v>
      </c>
      <c r="H20" s="16">
        <v>20250501</v>
      </c>
      <c r="I20" s="16" t="str">
        <f t="shared" si="1"/>
        <v>5/1/2025</v>
      </c>
      <c r="J20" s="16">
        <v>20250301</v>
      </c>
      <c r="K20" s="16" t="str">
        <f>TEXT(DATE(LEFT(J20,4), MID(J20,5,2), RIGHT(J20,2)), "M/d/yyyy")</f>
        <v>3/1/2025</v>
      </c>
      <c r="L20" s="2" t="s">
        <v>106</v>
      </c>
      <c r="M20" s="18">
        <v>1</v>
      </c>
      <c r="N20" s="16">
        <v>20</v>
      </c>
      <c r="O20" s="2">
        <v>20</v>
      </c>
      <c r="P20" s="15" t="s">
        <v>223</v>
      </c>
    </row>
    <row r="21" spans="1:16" ht="16.5" customHeight="1" x14ac:dyDescent="0.25">
      <c r="A21" s="2" t="s">
        <v>228</v>
      </c>
      <c r="B21" s="2">
        <v>371819</v>
      </c>
      <c r="C21" s="16"/>
      <c r="D21" s="16">
        <v>928149844</v>
      </c>
      <c r="E21" s="16" t="str">
        <f t="shared" si="0"/>
        <v>9281498445</v>
      </c>
      <c r="F21" s="2" t="s">
        <v>174</v>
      </c>
      <c r="G21" s="2" t="s">
        <v>175</v>
      </c>
      <c r="H21" s="16">
        <v>20250501</v>
      </c>
      <c r="I21" s="16" t="str">
        <f t="shared" si="1"/>
        <v>5/1/2025</v>
      </c>
      <c r="J21" s="16">
        <v>20250301</v>
      </c>
      <c r="K21" s="16" t="str">
        <f>TEXT(DATE(LEFT(J21,4), MID(J21,5,2), RIGHT(J21,2)), "M/d/yyyy")</f>
        <v>3/1/2025</v>
      </c>
      <c r="L21" s="2" t="s">
        <v>106</v>
      </c>
      <c r="M21" s="18">
        <v>1</v>
      </c>
      <c r="N21" s="16">
        <v>20</v>
      </c>
      <c r="O21" s="2">
        <v>20</v>
      </c>
      <c r="P21" s="15" t="s">
        <v>223</v>
      </c>
    </row>
    <row r="22" spans="1:16" ht="16.5" customHeight="1" x14ac:dyDescent="0.25">
      <c r="A22" s="2" t="s">
        <v>228</v>
      </c>
      <c r="B22" s="2">
        <v>371819</v>
      </c>
      <c r="C22" s="16"/>
      <c r="D22" s="16">
        <v>928149870</v>
      </c>
      <c r="E22" s="16" t="str">
        <f t="shared" si="0"/>
        <v>9281498705</v>
      </c>
      <c r="F22" s="2" t="s">
        <v>177</v>
      </c>
      <c r="G22" s="17">
        <v>1090.8399999999999</v>
      </c>
      <c r="H22" s="16">
        <v>20250501</v>
      </c>
      <c r="I22" s="16" t="str">
        <f t="shared" si="1"/>
        <v>5/1/2025</v>
      </c>
      <c r="J22" s="16">
        <v>20250301</v>
      </c>
      <c r="K22" s="16" t="str">
        <f>TEXT(DATE(LEFT(J22,4), MID(J22,5,2), RIGHT(J22,2)), "M/d/yyyy")</f>
        <v>3/1/2025</v>
      </c>
      <c r="L22" s="2" t="s">
        <v>45</v>
      </c>
      <c r="M22" s="18">
        <v>1</v>
      </c>
      <c r="N22" s="16">
        <v>20</v>
      </c>
      <c r="O22" s="2">
        <v>20</v>
      </c>
      <c r="P22" s="15" t="s">
        <v>223</v>
      </c>
    </row>
    <row r="23" spans="1:16" ht="16.5" customHeight="1" x14ac:dyDescent="0.25">
      <c r="A23" s="2" t="s">
        <v>228</v>
      </c>
      <c r="B23" s="2">
        <v>371819</v>
      </c>
      <c r="C23" s="16"/>
      <c r="D23" s="16">
        <v>928150112</v>
      </c>
      <c r="E23" s="16" t="str">
        <f t="shared" si="0"/>
        <v>9281501125</v>
      </c>
      <c r="F23" s="2" t="s">
        <v>180</v>
      </c>
      <c r="G23" s="2" t="s">
        <v>181</v>
      </c>
      <c r="H23" s="16">
        <v>20250501</v>
      </c>
      <c r="I23" s="16" t="str">
        <f t="shared" si="1"/>
        <v>5/1/2025</v>
      </c>
      <c r="J23" s="16">
        <v>20250301</v>
      </c>
      <c r="K23" s="16" t="str">
        <f>TEXT(DATE(LEFT(J23,4), MID(J23,5,2), RIGHT(J23,2)), "M/d/yyyy")</f>
        <v>3/1/2025</v>
      </c>
      <c r="L23" s="2" t="s">
        <v>106</v>
      </c>
      <c r="M23" s="18">
        <v>1</v>
      </c>
      <c r="N23" s="16">
        <v>20</v>
      </c>
      <c r="O23" s="2">
        <v>20</v>
      </c>
      <c r="P23" s="15" t="s">
        <v>223</v>
      </c>
    </row>
    <row r="24" spans="1:16" ht="16.5" customHeight="1" x14ac:dyDescent="0.25">
      <c r="A24" s="2" t="s">
        <v>228</v>
      </c>
      <c r="B24" s="2">
        <v>371819</v>
      </c>
      <c r="C24" s="16"/>
      <c r="D24" s="16">
        <v>928150140</v>
      </c>
      <c r="E24" s="16" t="str">
        <f t="shared" si="0"/>
        <v>9281501405</v>
      </c>
      <c r="F24" s="2" t="s">
        <v>183</v>
      </c>
      <c r="G24" s="2" t="s">
        <v>122</v>
      </c>
      <c r="H24" s="16">
        <v>20250501</v>
      </c>
      <c r="I24" s="16" t="str">
        <f t="shared" si="1"/>
        <v>5/1/2025</v>
      </c>
      <c r="J24" s="16">
        <v>20250301</v>
      </c>
      <c r="K24" s="16" t="str">
        <f>TEXT(DATE(LEFT(J24,4), MID(J24,5,2), RIGHT(J24,2)), "M/d/yyyy")</f>
        <v>3/1/2025</v>
      </c>
      <c r="L24" s="2" t="s">
        <v>106</v>
      </c>
      <c r="M24" s="18">
        <v>1</v>
      </c>
      <c r="N24" s="16">
        <v>20</v>
      </c>
      <c r="O24" s="2">
        <v>20</v>
      </c>
      <c r="P24" s="15" t="s">
        <v>223</v>
      </c>
    </row>
    <row r="25" spans="1:16" ht="16.5" customHeight="1" x14ac:dyDescent="0.25">
      <c r="A25" s="2" t="s">
        <v>228</v>
      </c>
      <c r="B25" s="2">
        <v>371819</v>
      </c>
      <c r="C25" s="16"/>
      <c r="D25" s="16">
        <v>928150209</v>
      </c>
      <c r="E25" s="16" t="str">
        <f t="shared" si="0"/>
        <v>9281502095</v>
      </c>
      <c r="F25" s="2" t="s">
        <v>185</v>
      </c>
      <c r="G25" s="2" t="s">
        <v>186</v>
      </c>
      <c r="H25" s="16">
        <v>20250501</v>
      </c>
      <c r="I25" s="16" t="str">
        <f t="shared" si="1"/>
        <v>5/1/2025</v>
      </c>
      <c r="J25" s="16">
        <v>20250301</v>
      </c>
      <c r="K25" s="16" t="str">
        <f>TEXT(DATE(LEFT(J25,4), MID(J25,5,2), RIGHT(J25,2)), "M/d/yyyy")</f>
        <v>3/1/2025</v>
      </c>
      <c r="L25" s="2" t="s">
        <v>45</v>
      </c>
      <c r="M25" s="18">
        <v>1</v>
      </c>
      <c r="N25" s="16">
        <v>20</v>
      </c>
      <c r="O25" s="2">
        <v>20</v>
      </c>
      <c r="P25" s="15" t="s">
        <v>223</v>
      </c>
    </row>
    <row r="26" spans="1:16" ht="16.5" customHeight="1" x14ac:dyDescent="0.25">
      <c r="A26" s="2" t="s">
        <v>228</v>
      </c>
      <c r="B26" s="2">
        <v>371819</v>
      </c>
      <c r="C26" s="2"/>
      <c r="D26" s="16">
        <v>928150250</v>
      </c>
      <c r="E26" s="16" t="str">
        <f t="shared" si="0"/>
        <v>9281502505</v>
      </c>
      <c r="F26" s="2" t="s">
        <v>189</v>
      </c>
      <c r="G26" s="2" t="s">
        <v>190</v>
      </c>
      <c r="H26" s="16">
        <v>20250401</v>
      </c>
      <c r="I26" s="16" t="str">
        <f t="shared" si="1"/>
        <v>4/1/2025</v>
      </c>
      <c r="J26" s="16">
        <v>20250301</v>
      </c>
      <c r="K26" s="16" t="str">
        <f>TEXT(DATE(LEFT(J26,4), MID(J26,5,2), RIGHT(J26,2)), "M/d/yyyy")</f>
        <v>3/1/2025</v>
      </c>
      <c r="L26" s="2" t="s">
        <v>45</v>
      </c>
      <c r="M26" s="18">
        <v>1</v>
      </c>
      <c r="N26" s="16">
        <v>20</v>
      </c>
      <c r="O26" s="2">
        <v>-20</v>
      </c>
      <c r="P26" s="15" t="s">
        <v>223</v>
      </c>
    </row>
    <row r="27" spans="1:16" ht="16.5" customHeight="1" x14ac:dyDescent="0.25">
      <c r="A27" s="2" t="s">
        <v>228</v>
      </c>
      <c r="B27" s="2">
        <v>371819</v>
      </c>
      <c r="C27" s="2"/>
      <c r="D27" s="16">
        <v>928150320</v>
      </c>
      <c r="E27" s="16" t="str">
        <f t="shared" si="0"/>
        <v>9281503205</v>
      </c>
      <c r="F27" s="2" t="s">
        <v>193</v>
      </c>
      <c r="G27" s="2" t="s">
        <v>194</v>
      </c>
      <c r="H27" s="16">
        <v>20250501</v>
      </c>
      <c r="I27" s="16" t="str">
        <f t="shared" si="1"/>
        <v>5/1/2025</v>
      </c>
      <c r="J27" s="16">
        <v>20250301</v>
      </c>
      <c r="K27" s="16" t="str">
        <f>TEXT(DATE(LEFT(J27,4), MID(J27,5,2), RIGHT(J27,2)), "M/d/yyyy")</f>
        <v>3/1/2025</v>
      </c>
      <c r="L27" s="2" t="s">
        <v>45</v>
      </c>
      <c r="M27" s="18">
        <v>1</v>
      </c>
      <c r="N27" s="16">
        <v>20</v>
      </c>
      <c r="O27" s="2">
        <v>-20</v>
      </c>
      <c r="P27" s="15" t="s">
        <v>223</v>
      </c>
    </row>
    <row r="28" spans="1:16" ht="16.5" customHeight="1" x14ac:dyDescent="0.25">
      <c r="A28" s="2" t="s">
        <v>228</v>
      </c>
      <c r="B28" s="2">
        <v>371819</v>
      </c>
      <c r="C28" s="16"/>
      <c r="D28" s="16">
        <v>928150320</v>
      </c>
      <c r="E28" s="16" t="str">
        <f t="shared" si="0"/>
        <v>9281503205</v>
      </c>
      <c r="F28" s="2" t="s">
        <v>193</v>
      </c>
      <c r="G28" s="2" t="s">
        <v>195</v>
      </c>
      <c r="H28" s="16">
        <v>20250501</v>
      </c>
      <c r="I28" s="16" t="str">
        <f t="shared" si="1"/>
        <v>5/1/2025</v>
      </c>
      <c r="J28" s="16">
        <v>20250301</v>
      </c>
      <c r="K28" s="16" t="str">
        <f>TEXT(DATE(LEFT(J28,4), MID(J28,5,2), RIGHT(J28,2)), "M/d/yyyy")</f>
        <v>3/1/2025</v>
      </c>
      <c r="L28" s="2" t="s">
        <v>45</v>
      </c>
      <c r="M28" s="18">
        <v>1</v>
      </c>
      <c r="N28" s="16">
        <v>20</v>
      </c>
      <c r="O28" s="2">
        <v>20</v>
      </c>
      <c r="P28" s="15" t="s">
        <v>223</v>
      </c>
    </row>
    <row r="29" spans="1:16" ht="16.5" customHeight="1" x14ac:dyDescent="0.25">
      <c r="A29" s="2" t="s">
        <v>228</v>
      </c>
      <c r="B29" s="2">
        <v>371819</v>
      </c>
      <c r="C29" s="2"/>
      <c r="D29" s="16">
        <v>928150320</v>
      </c>
      <c r="E29" s="16" t="str">
        <f t="shared" si="0"/>
        <v>9281503205</v>
      </c>
      <c r="F29" s="2" t="s">
        <v>193</v>
      </c>
      <c r="G29" s="2" t="s">
        <v>196</v>
      </c>
      <c r="H29" s="16">
        <v>20250401</v>
      </c>
      <c r="I29" s="16" t="str">
        <f t="shared" si="1"/>
        <v>4/1/2025</v>
      </c>
      <c r="J29" s="16">
        <v>20250301</v>
      </c>
      <c r="K29" s="16" t="str">
        <f>TEXT(DATE(LEFT(J29,4), MID(J29,5,2), RIGHT(J29,2)), "M/d/yyyy")</f>
        <v>3/1/2025</v>
      </c>
      <c r="L29" s="2" t="s">
        <v>45</v>
      </c>
      <c r="M29" s="18">
        <v>1</v>
      </c>
      <c r="N29" s="16">
        <v>20</v>
      </c>
      <c r="O29" s="2">
        <v>-20</v>
      </c>
      <c r="P29" s="15" t="s">
        <v>223</v>
      </c>
    </row>
    <row r="30" spans="1:16" ht="16.5" customHeight="1" x14ac:dyDescent="0.25">
      <c r="A30" s="2" t="s">
        <v>228</v>
      </c>
      <c r="B30" s="2">
        <v>371819</v>
      </c>
      <c r="C30" s="16"/>
      <c r="D30" s="16">
        <v>928093609</v>
      </c>
      <c r="E30" s="16" t="str">
        <f t="shared" si="0"/>
        <v>9280936095</v>
      </c>
      <c r="F30" s="2" t="s">
        <v>102</v>
      </c>
      <c r="G30" s="2" t="s">
        <v>103</v>
      </c>
      <c r="H30" s="16">
        <v>20250501</v>
      </c>
      <c r="I30" s="16" t="str">
        <f t="shared" si="1"/>
        <v>5/1/2025</v>
      </c>
      <c r="J30" s="16">
        <v>20250201</v>
      </c>
      <c r="K30" s="16" t="str">
        <f>TEXT(DATE(LEFT(J30,4), MID(J30,5,2), RIGHT(J30,2)), "M/d/yyyy")</f>
        <v>2/1/2025</v>
      </c>
      <c r="L30" s="2" t="s">
        <v>106</v>
      </c>
      <c r="M30" s="18">
        <v>1</v>
      </c>
      <c r="N30" s="16">
        <v>20</v>
      </c>
      <c r="O30" s="2">
        <v>20</v>
      </c>
      <c r="P30" s="15" t="s">
        <v>223</v>
      </c>
    </row>
    <row r="31" spans="1:16" ht="16.5" customHeight="1" x14ac:dyDescent="0.25">
      <c r="A31" s="2" t="s">
        <v>228</v>
      </c>
      <c r="B31" s="2">
        <v>371819</v>
      </c>
      <c r="C31" s="16"/>
      <c r="D31" s="16">
        <v>928148102</v>
      </c>
      <c r="E31" s="16" t="str">
        <f t="shared" si="0"/>
        <v>9281481025</v>
      </c>
      <c r="F31" s="2" t="s">
        <v>149</v>
      </c>
      <c r="G31" s="17">
        <v>1038.7</v>
      </c>
      <c r="H31" s="16">
        <v>20250501</v>
      </c>
      <c r="I31" s="16" t="str">
        <f t="shared" si="1"/>
        <v>5/1/2025</v>
      </c>
      <c r="J31" s="16">
        <v>20250201</v>
      </c>
      <c r="K31" s="16" t="str">
        <f>TEXT(DATE(LEFT(J31,4), MID(J31,5,2), RIGHT(J31,2)), "M/d/yyyy")</f>
        <v>2/1/2025</v>
      </c>
      <c r="L31" s="2" t="s">
        <v>106</v>
      </c>
      <c r="M31" s="18">
        <v>1</v>
      </c>
      <c r="N31" s="16">
        <v>20</v>
      </c>
      <c r="O31" s="2">
        <v>20</v>
      </c>
      <c r="P31" s="15" t="s">
        <v>223</v>
      </c>
    </row>
    <row r="32" spans="1:16" ht="16.5" customHeight="1" x14ac:dyDescent="0.25">
      <c r="A32" s="2" t="s">
        <v>228</v>
      </c>
      <c r="B32" s="2">
        <v>371819</v>
      </c>
      <c r="C32" s="16"/>
      <c r="D32" s="16">
        <v>928148806</v>
      </c>
      <c r="E32" s="16" t="str">
        <f t="shared" si="0"/>
        <v>9281488065</v>
      </c>
      <c r="F32" s="2" t="s">
        <v>152</v>
      </c>
      <c r="G32" s="2" t="s">
        <v>153</v>
      </c>
      <c r="H32" s="16">
        <v>20250501</v>
      </c>
      <c r="I32" s="16" t="str">
        <f t="shared" si="1"/>
        <v>5/1/2025</v>
      </c>
      <c r="J32" s="16">
        <v>20250201</v>
      </c>
      <c r="K32" s="16" t="str">
        <f>TEXT(DATE(LEFT(J32,4), MID(J32,5,2), RIGHT(J32,2)), "M/d/yyyy")</f>
        <v>2/1/2025</v>
      </c>
      <c r="L32" s="2" t="s">
        <v>106</v>
      </c>
      <c r="M32" s="18">
        <v>1</v>
      </c>
      <c r="N32" s="16">
        <v>20</v>
      </c>
      <c r="O32" s="2">
        <v>20</v>
      </c>
      <c r="P32" s="15" t="s">
        <v>223</v>
      </c>
    </row>
    <row r="33" spans="1:16" ht="16.5" customHeight="1" x14ac:dyDescent="0.25">
      <c r="A33" s="2" t="s">
        <v>228</v>
      </c>
      <c r="B33" s="2">
        <v>371819</v>
      </c>
      <c r="C33" s="16" t="s">
        <v>221</v>
      </c>
      <c r="D33" s="16">
        <v>928149001</v>
      </c>
      <c r="E33" s="16" t="str">
        <f t="shared" si="0"/>
        <v>9281490015</v>
      </c>
      <c r="F33" s="2" t="s">
        <v>156</v>
      </c>
      <c r="G33" s="17">
        <v>2198.3200000000002</v>
      </c>
      <c r="H33" s="16">
        <v>20250501</v>
      </c>
      <c r="I33" s="16" t="str">
        <f t="shared" si="1"/>
        <v>5/1/2025</v>
      </c>
      <c r="J33" s="16">
        <v>20250201</v>
      </c>
      <c r="K33" s="16" t="str">
        <f>TEXT(DATE(LEFT(J33,4), MID(J33,5,2), RIGHT(J33,2)), "M/d/yyyy")</f>
        <v>2/1/2025</v>
      </c>
      <c r="L33" s="2" t="s">
        <v>106</v>
      </c>
      <c r="M33" s="18">
        <v>1</v>
      </c>
      <c r="N33" s="16">
        <v>20</v>
      </c>
      <c r="O33" s="2">
        <v>80</v>
      </c>
      <c r="P33" s="15" t="s">
        <v>223</v>
      </c>
    </row>
    <row r="34" spans="1:16" ht="16.5" customHeight="1" x14ac:dyDescent="0.25">
      <c r="A34" s="2" t="s">
        <v>228</v>
      </c>
      <c r="B34" s="2">
        <v>371819</v>
      </c>
      <c r="C34" s="16"/>
      <c r="D34" s="16">
        <v>928149122</v>
      </c>
      <c r="E34" s="16" t="str">
        <f t="shared" si="0"/>
        <v>9281491225</v>
      </c>
      <c r="F34" s="2" t="s">
        <v>161</v>
      </c>
      <c r="G34" s="17">
        <v>1037.1300000000001</v>
      </c>
      <c r="H34" s="16">
        <v>20250501</v>
      </c>
      <c r="I34" s="16" t="str">
        <f t="shared" si="1"/>
        <v>5/1/2025</v>
      </c>
      <c r="J34" s="16">
        <v>20250201</v>
      </c>
      <c r="K34" s="16" t="str">
        <f>TEXT(DATE(LEFT(J34,4), MID(J34,5,2), RIGHT(J34,2)), "M/d/yyyy")</f>
        <v>2/1/2025</v>
      </c>
      <c r="L34" s="2" t="s">
        <v>45</v>
      </c>
      <c r="M34" s="18">
        <v>1</v>
      </c>
      <c r="N34" s="16">
        <v>20</v>
      </c>
      <c r="O34" s="2">
        <v>20</v>
      </c>
      <c r="P34" s="15" t="s">
        <v>223</v>
      </c>
    </row>
    <row r="35" spans="1:16" ht="16.5" customHeight="1" x14ac:dyDescent="0.25">
      <c r="A35" s="2" t="s">
        <v>228</v>
      </c>
      <c r="B35" s="2">
        <v>371819</v>
      </c>
      <c r="C35" s="16"/>
      <c r="D35" s="16">
        <v>928149222</v>
      </c>
      <c r="E35" s="16" t="str">
        <f t="shared" si="0"/>
        <v>9281492225</v>
      </c>
      <c r="F35" s="2" t="s">
        <v>164</v>
      </c>
      <c r="G35" s="2" t="s">
        <v>165</v>
      </c>
      <c r="H35" s="16">
        <v>20250501</v>
      </c>
      <c r="I35" s="16" t="str">
        <f t="shared" si="1"/>
        <v>5/1/2025</v>
      </c>
      <c r="J35" s="16">
        <v>20250201</v>
      </c>
      <c r="K35" s="16" t="str">
        <f>TEXT(DATE(LEFT(J35,4), MID(J35,5,2), RIGHT(J35,2)), "M/d/yyyy")</f>
        <v>2/1/2025</v>
      </c>
      <c r="L35" s="2" t="s">
        <v>106</v>
      </c>
      <c r="M35" s="18">
        <v>1</v>
      </c>
      <c r="N35" s="16">
        <v>20</v>
      </c>
      <c r="O35" s="2">
        <v>20</v>
      </c>
      <c r="P35" s="15" t="s">
        <v>223</v>
      </c>
    </row>
    <row r="36" spans="1:16" ht="16.5" customHeight="1" x14ac:dyDescent="0.25">
      <c r="A36" s="2" t="s">
        <v>228</v>
      </c>
      <c r="B36" s="2">
        <v>371819</v>
      </c>
      <c r="C36" s="16"/>
      <c r="D36" s="16">
        <v>928149327</v>
      </c>
      <c r="E36" s="16" t="str">
        <f t="shared" si="0"/>
        <v>9281493275</v>
      </c>
      <c r="F36" s="2" t="s">
        <v>167</v>
      </c>
      <c r="G36" s="2" t="s">
        <v>153</v>
      </c>
      <c r="H36" s="16">
        <v>20250501</v>
      </c>
      <c r="I36" s="16" t="str">
        <f t="shared" si="1"/>
        <v>5/1/2025</v>
      </c>
      <c r="J36" s="16">
        <v>20250201</v>
      </c>
      <c r="K36" s="16" t="str">
        <f>TEXT(DATE(LEFT(J36,4), MID(J36,5,2), RIGHT(J36,2)), "M/d/yyyy")</f>
        <v>2/1/2025</v>
      </c>
      <c r="L36" s="2" t="s">
        <v>106</v>
      </c>
      <c r="M36" s="18">
        <v>1</v>
      </c>
      <c r="N36" s="16">
        <v>20</v>
      </c>
      <c r="O36" s="2">
        <v>20</v>
      </c>
      <c r="P36" s="15" t="s">
        <v>223</v>
      </c>
    </row>
    <row r="37" spans="1:16" ht="16.5" customHeight="1" x14ac:dyDescent="0.25">
      <c r="A37" s="2" t="s">
        <v>228</v>
      </c>
      <c r="B37" s="2">
        <v>371819</v>
      </c>
      <c r="C37" s="16"/>
      <c r="D37" s="16">
        <v>928144933</v>
      </c>
      <c r="E37" s="16" t="str">
        <f t="shared" si="0"/>
        <v>9281449335</v>
      </c>
      <c r="F37" s="2" t="s">
        <v>133</v>
      </c>
      <c r="G37" s="2" t="s">
        <v>134</v>
      </c>
      <c r="H37" s="16">
        <v>20250501</v>
      </c>
      <c r="I37" s="16" t="str">
        <f t="shared" si="1"/>
        <v>5/1/2025</v>
      </c>
      <c r="J37" s="16">
        <v>20250101</v>
      </c>
      <c r="K37" s="16" t="str">
        <f>TEXT(DATE(LEFT(J37,4), MID(J37,5,2), RIGHT(J37,2)), "M/d/yyyy")</f>
        <v>1/1/2025</v>
      </c>
      <c r="L37" s="2" t="s">
        <v>45</v>
      </c>
      <c r="M37" s="18">
        <v>1</v>
      </c>
      <c r="N37" s="16">
        <v>20</v>
      </c>
      <c r="O37" s="2">
        <v>20</v>
      </c>
      <c r="P37" s="15" t="s">
        <v>223</v>
      </c>
    </row>
    <row r="38" spans="1:16" ht="16.5" customHeight="1" x14ac:dyDescent="0.25">
      <c r="A38" s="2" t="s">
        <v>228</v>
      </c>
      <c r="B38" s="2">
        <v>371819</v>
      </c>
      <c r="C38" s="16" t="s">
        <v>219</v>
      </c>
      <c r="D38" s="16">
        <v>928145593</v>
      </c>
      <c r="E38" s="16" t="str">
        <f t="shared" si="0"/>
        <v>9281455935</v>
      </c>
      <c r="F38" s="2" t="s">
        <v>136</v>
      </c>
      <c r="G38" s="2" t="s">
        <v>137</v>
      </c>
      <c r="H38" s="16">
        <v>20250501</v>
      </c>
      <c r="I38" s="16" t="str">
        <f t="shared" si="1"/>
        <v>5/1/2025</v>
      </c>
      <c r="J38" s="16">
        <v>20250101</v>
      </c>
      <c r="K38" s="16" t="str">
        <f>TEXT(DATE(LEFT(J38,4), MID(J38,5,2), RIGHT(J38,2)), "M/d/yyyy")</f>
        <v>1/1/2025</v>
      </c>
      <c r="L38" s="2" t="s">
        <v>45</v>
      </c>
      <c r="M38" s="18">
        <v>1</v>
      </c>
      <c r="N38" s="16">
        <v>20</v>
      </c>
      <c r="O38" s="2">
        <v>40</v>
      </c>
      <c r="P38" s="15" t="s">
        <v>223</v>
      </c>
    </row>
    <row r="39" spans="1:16" ht="16.5" customHeight="1" x14ac:dyDescent="0.25">
      <c r="A39" s="2" t="s">
        <v>228</v>
      </c>
      <c r="B39" s="2">
        <v>371819</v>
      </c>
      <c r="C39" s="16" t="s">
        <v>219</v>
      </c>
      <c r="D39" s="16">
        <v>928146493</v>
      </c>
      <c r="E39" s="16" t="str">
        <f t="shared" si="0"/>
        <v>9281464935</v>
      </c>
      <c r="F39" s="2" t="s">
        <v>142</v>
      </c>
      <c r="G39" s="17">
        <v>1333.19</v>
      </c>
      <c r="H39" s="16">
        <v>20250501</v>
      </c>
      <c r="I39" s="16" t="str">
        <f t="shared" si="1"/>
        <v>5/1/2025</v>
      </c>
      <c r="J39" s="16">
        <v>20250101</v>
      </c>
      <c r="K39" s="16" t="str">
        <f>TEXT(DATE(LEFT(J39,4), MID(J39,5,2), RIGHT(J39,2)), "M/d/yyyy")</f>
        <v>1/1/2025</v>
      </c>
      <c r="L39" s="2" t="s">
        <v>106</v>
      </c>
      <c r="M39" s="18">
        <v>1</v>
      </c>
      <c r="N39" s="16">
        <v>20</v>
      </c>
      <c r="O39" s="2">
        <v>40</v>
      </c>
      <c r="P39" s="15" t="s">
        <v>223</v>
      </c>
    </row>
    <row r="40" spans="1:16" ht="16.5" customHeight="1" x14ac:dyDescent="0.25">
      <c r="A40" s="2" t="s">
        <v>228</v>
      </c>
      <c r="B40" s="2">
        <v>371819</v>
      </c>
      <c r="C40" s="16" t="s">
        <v>219</v>
      </c>
      <c r="D40" s="16">
        <v>928146737</v>
      </c>
      <c r="E40" s="16" t="str">
        <f t="shared" si="0"/>
        <v>9281467375</v>
      </c>
      <c r="F40" s="2" t="s">
        <v>146</v>
      </c>
      <c r="G40" s="17">
        <v>1218.75</v>
      </c>
      <c r="H40" s="16">
        <v>20250501</v>
      </c>
      <c r="I40" s="16" t="str">
        <f t="shared" si="1"/>
        <v>5/1/2025</v>
      </c>
      <c r="J40" s="16">
        <v>20250101</v>
      </c>
      <c r="K40" s="16" t="str">
        <f>TEXT(DATE(LEFT(J40,4), MID(J40,5,2), RIGHT(J40,2)), "M/d/yyyy")</f>
        <v>1/1/2025</v>
      </c>
      <c r="L40" s="2" t="s">
        <v>106</v>
      </c>
      <c r="M40" s="18">
        <v>1</v>
      </c>
      <c r="N40" s="16">
        <v>20</v>
      </c>
      <c r="O40" s="2">
        <v>40</v>
      </c>
      <c r="P40" s="15" t="s">
        <v>223</v>
      </c>
    </row>
    <row r="41" spans="1:16" ht="16.5" customHeight="1" x14ac:dyDescent="0.25">
      <c r="A41" s="2" t="s">
        <v>228</v>
      </c>
      <c r="B41" s="2">
        <v>371819</v>
      </c>
      <c r="C41" s="16"/>
      <c r="D41" s="16">
        <v>928143304</v>
      </c>
      <c r="E41" s="16" t="str">
        <f t="shared" si="0"/>
        <v>9281433045</v>
      </c>
      <c r="F41" s="2" t="s">
        <v>128</v>
      </c>
      <c r="G41" s="2" t="s">
        <v>129</v>
      </c>
      <c r="H41" s="16">
        <v>20250501</v>
      </c>
      <c r="I41" s="16" t="str">
        <f t="shared" si="1"/>
        <v>5/1/2025</v>
      </c>
      <c r="J41" s="16">
        <v>20241201</v>
      </c>
      <c r="K41" s="16" t="str">
        <f>TEXT(DATE(LEFT(J41,4), MID(J41,5,2), RIGHT(J41,2)), "M/d/yyyy")</f>
        <v>12/1/2024</v>
      </c>
      <c r="L41" s="2" t="s">
        <v>45</v>
      </c>
      <c r="M41" s="18">
        <v>1</v>
      </c>
      <c r="N41" s="16">
        <v>20</v>
      </c>
      <c r="O41" s="2">
        <v>20</v>
      </c>
      <c r="P41" s="15" t="s">
        <v>223</v>
      </c>
    </row>
    <row r="42" spans="1:16" ht="16.5" customHeight="1" x14ac:dyDescent="0.25">
      <c r="A42" s="2" t="s">
        <v>228</v>
      </c>
      <c r="B42" s="2">
        <v>371819</v>
      </c>
      <c r="C42" s="16" t="s">
        <v>219</v>
      </c>
      <c r="D42" s="16">
        <v>928146255</v>
      </c>
      <c r="E42" s="16" t="str">
        <f t="shared" si="0"/>
        <v>9281462555</v>
      </c>
      <c r="F42" s="2" t="s">
        <v>139</v>
      </c>
      <c r="G42" s="17">
        <v>1189.72</v>
      </c>
      <c r="H42" s="16">
        <v>20250501</v>
      </c>
      <c r="I42" s="16" t="str">
        <f t="shared" si="1"/>
        <v>5/1/2025</v>
      </c>
      <c r="J42" s="16">
        <v>20241201</v>
      </c>
      <c r="K42" s="16" t="str">
        <f>TEXT(DATE(LEFT(J42,4), MID(J42,5,2), RIGHT(J42,2)), "M/d/yyyy")</f>
        <v>12/1/2024</v>
      </c>
      <c r="L42" s="2" t="s">
        <v>45</v>
      </c>
      <c r="M42" s="18">
        <v>1</v>
      </c>
      <c r="N42" s="16">
        <v>20</v>
      </c>
      <c r="O42" s="2">
        <v>40</v>
      </c>
      <c r="P42" s="15" t="s">
        <v>223</v>
      </c>
    </row>
    <row r="43" spans="1:16" ht="16.5" customHeight="1" x14ac:dyDescent="0.25">
      <c r="A43" s="2" t="s">
        <v>228</v>
      </c>
      <c r="B43" s="2" t="s">
        <v>229</v>
      </c>
      <c r="C43" s="16"/>
      <c r="D43" s="16">
        <v>928101630</v>
      </c>
      <c r="E43" s="16" t="str">
        <f t="shared" si="0"/>
        <v>9281016305</v>
      </c>
      <c r="F43" s="2" t="s">
        <v>109</v>
      </c>
      <c r="G43" s="2" t="s">
        <v>110</v>
      </c>
      <c r="H43" s="16">
        <v>20250501</v>
      </c>
      <c r="I43" s="16" t="str">
        <f t="shared" si="1"/>
        <v>5/1/2025</v>
      </c>
      <c r="J43" s="16">
        <v>20240401</v>
      </c>
      <c r="K43" s="16" t="str">
        <f>TEXT(DATE(LEFT(J43,4), MID(J43,5,2), RIGHT(J43,2)), "M/d/yyyy")</f>
        <v>4/1/2024</v>
      </c>
      <c r="L43" s="2" t="s">
        <v>106</v>
      </c>
      <c r="M43" s="18">
        <v>1</v>
      </c>
      <c r="N43" s="16">
        <v>20</v>
      </c>
      <c r="O43" s="2">
        <v>20</v>
      </c>
      <c r="P43" s="15" t="s">
        <v>223</v>
      </c>
    </row>
    <row r="44" spans="1:16" ht="16.5" customHeight="1" x14ac:dyDescent="0.25">
      <c r="A44" s="2" t="s">
        <v>228</v>
      </c>
      <c r="B44" s="2" t="s">
        <v>229</v>
      </c>
      <c r="C44" s="16"/>
      <c r="D44" s="16">
        <v>928101904</v>
      </c>
      <c r="E44" s="16" t="str">
        <f t="shared" si="0"/>
        <v>9281019045</v>
      </c>
      <c r="F44" s="2" t="s">
        <v>115</v>
      </c>
      <c r="G44" s="2" t="s">
        <v>116</v>
      </c>
      <c r="H44" s="16">
        <v>20250501</v>
      </c>
      <c r="I44" s="16" t="str">
        <f t="shared" si="1"/>
        <v>5/1/2025</v>
      </c>
      <c r="J44" s="16">
        <v>20240101</v>
      </c>
      <c r="K44" s="16" t="str">
        <f>TEXT(DATE(LEFT(J44,4), MID(J44,5,2), RIGHT(J44,2)), "M/d/yyyy")</f>
        <v>1/1/2024</v>
      </c>
      <c r="L44" s="2" t="s">
        <v>106</v>
      </c>
      <c r="M44" s="18">
        <v>1</v>
      </c>
      <c r="N44" s="16">
        <v>20</v>
      </c>
      <c r="O44" s="2">
        <v>20</v>
      </c>
      <c r="P44" s="15" t="s">
        <v>223</v>
      </c>
    </row>
    <row r="45" spans="1:16" ht="16.5" customHeight="1" x14ac:dyDescent="0.25">
      <c r="A45" s="2" t="s">
        <v>228</v>
      </c>
      <c r="B45" s="2" t="s">
        <v>229</v>
      </c>
      <c r="C45" s="16"/>
      <c r="D45" s="16">
        <v>928131407</v>
      </c>
      <c r="E45" s="16" t="str">
        <f t="shared" si="0"/>
        <v>9281314075</v>
      </c>
      <c r="F45" s="2" t="s">
        <v>118</v>
      </c>
      <c r="G45" s="2" t="s">
        <v>119</v>
      </c>
      <c r="H45" s="16">
        <v>20250501</v>
      </c>
      <c r="I45" s="16" t="str">
        <f t="shared" si="1"/>
        <v>5/1/2025</v>
      </c>
      <c r="J45" s="16">
        <v>20240101</v>
      </c>
      <c r="K45" s="16" t="str">
        <f>TEXT(DATE(LEFT(J45,4), MID(J45,5,2), RIGHT(J45,2)), "M/d/yyyy")</f>
        <v>1/1/2024</v>
      </c>
      <c r="L45" s="2" t="s">
        <v>45</v>
      </c>
      <c r="M45" s="18">
        <v>1</v>
      </c>
      <c r="N45" s="16">
        <v>20</v>
      </c>
      <c r="O45" s="2">
        <v>20</v>
      </c>
      <c r="P45" s="15" t="s">
        <v>223</v>
      </c>
    </row>
    <row r="46" spans="1:16" ht="16.5" customHeight="1" x14ac:dyDescent="0.25">
      <c r="A46" s="2" t="s">
        <v>228</v>
      </c>
      <c r="B46" s="2" t="s">
        <v>229</v>
      </c>
      <c r="C46" s="16"/>
      <c r="D46" s="16">
        <v>928131718</v>
      </c>
      <c r="E46" s="16" t="str">
        <f t="shared" si="0"/>
        <v>9281317185</v>
      </c>
      <c r="F46" s="2" t="s">
        <v>121</v>
      </c>
      <c r="G46" s="2" t="s">
        <v>122</v>
      </c>
      <c r="H46" s="16">
        <v>20250501</v>
      </c>
      <c r="I46" s="16" t="str">
        <f t="shared" si="1"/>
        <v>5/1/2025</v>
      </c>
      <c r="J46" s="16">
        <v>20240101</v>
      </c>
      <c r="K46" s="16" t="str">
        <f>TEXT(DATE(LEFT(J46,4), MID(J46,5,2), RIGHT(J46,2)), "M/d/yyyy")</f>
        <v>1/1/2024</v>
      </c>
      <c r="L46" s="2" t="s">
        <v>106</v>
      </c>
      <c r="M46" s="18">
        <v>1</v>
      </c>
      <c r="N46" s="16">
        <v>20</v>
      </c>
      <c r="O46" s="2">
        <v>20</v>
      </c>
      <c r="P46" s="15" t="s">
        <v>223</v>
      </c>
    </row>
    <row r="47" spans="1:16" ht="16.5" customHeight="1" x14ac:dyDescent="0.25">
      <c r="A47" s="2" t="s">
        <v>228</v>
      </c>
      <c r="B47" s="2" t="s">
        <v>229</v>
      </c>
      <c r="C47" s="16" t="s">
        <v>219</v>
      </c>
      <c r="D47" s="16">
        <v>928131795</v>
      </c>
      <c r="E47" s="16" t="str">
        <f t="shared" si="0"/>
        <v>9281317955</v>
      </c>
      <c r="F47" s="2" t="s">
        <v>125</v>
      </c>
      <c r="G47" s="2" t="s">
        <v>126</v>
      </c>
      <c r="H47" s="16">
        <v>20250501</v>
      </c>
      <c r="I47" s="16" t="str">
        <f t="shared" si="1"/>
        <v>5/1/2025</v>
      </c>
      <c r="J47" s="16">
        <v>20240101</v>
      </c>
      <c r="K47" s="16" t="str">
        <f>TEXT(DATE(LEFT(J47,4), MID(J47,5,2), RIGHT(J47,2)), "M/d/yyyy")</f>
        <v>1/1/2024</v>
      </c>
      <c r="L47" s="2" t="s">
        <v>45</v>
      </c>
      <c r="M47" s="18">
        <v>1</v>
      </c>
      <c r="N47" s="16">
        <v>20</v>
      </c>
      <c r="O47" s="2">
        <v>40</v>
      </c>
      <c r="P47" s="15" t="s">
        <v>223</v>
      </c>
    </row>
    <row r="48" spans="1:16" ht="12" customHeight="1" x14ac:dyDescent="0.25"/>
  </sheetData>
  <sortState xmlns:xlrd2="http://schemas.microsoft.com/office/spreadsheetml/2017/richdata2" ref="A13:AN47">
    <sortCondition descending="1" ref="K13:K47"/>
  </sortState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</cp:lastModifiedBy>
  <dcterms:created xsi:type="dcterms:W3CDTF">2025-04-17T18:39:49Z</dcterms:created>
  <dcterms:modified xsi:type="dcterms:W3CDTF">2025-04-22T01:28:13Z</dcterms:modified>
</cp:coreProperties>
</file>