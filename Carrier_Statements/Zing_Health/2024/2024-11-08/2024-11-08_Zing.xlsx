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Zing health/11-08-24/"/>
    </mc:Choice>
  </mc:AlternateContent>
  <xr:revisionPtr revIDLastSave="0" documentId="13_ncr:1_{31A375DA-483B-9941-98FF-A076BCC64302}" xr6:coauthVersionLast="47" xr6:coauthVersionMax="47" xr10:uidLastSave="{00000000-0000-0000-0000-000000000000}"/>
  <bookViews>
    <workbookView xWindow="0" yWindow="500" windowWidth="19200" windowHeight="19360" activeTab="2" xr2:uid="{00000000-000D-0000-FFFF-FFFF00000000}"/>
  </bookViews>
  <sheets>
    <sheet name="Summary" sheetId="1" r:id="rId1"/>
    <sheet name="Detail" sheetId="2" r:id="rId2"/>
    <sheet name="Sheet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3" l="1"/>
  <c r="J4" i="3"/>
  <c r="M3" i="3"/>
  <c r="M4" i="3"/>
  <c r="M5" i="3"/>
  <c r="M2" i="3"/>
</calcChain>
</file>

<file path=xl/sharedStrings.xml><?xml version="1.0" encoding="utf-8"?>
<sst xmlns="http://schemas.openxmlformats.org/spreadsheetml/2006/main" count="197" uniqueCount="53">
  <si>
    <t/>
  </si>
  <si>
    <t>Description</t>
  </si>
  <si>
    <t>Member Count</t>
  </si>
  <si>
    <t>Credits</t>
  </si>
  <si>
    <t>Debits</t>
  </si>
  <si>
    <t>Total</t>
  </si>
  <si>
    <t>Initial Enrollments</t>
  </si>
  <si>
    <t>$502.00</t>
  </si>
  <si>
    <t>$0.00</t>
  </si>
  <si>
    <t>Renewal Enrollments</t>
  </si>
  <si>
    <t>Rapid Disenrollments</t>
  </si>
  <si>
    <t>Disenrollments</t>
  </si>
  <si>
    <t>Bonus</t>
  </si>
  <si>
    <t>Activity</t>
  </si>
  <si>
    <t>Miscellaneous</t>
  </si>
  <si>
    <t>Balance</t>
  </si>
  <si>
    <t>TOTAL</t>
  </si>
  <si>
    <t>Rep Name</t>
  </si>
  <si>
    <t>NPN</t>
  </si>
  <si>
    <t>Effective Date</t>
  </si>
  <si>
    <t>Term Date</t>
  </si>
  <si>
    <t>Plan Group</t>
  </si>
  <si>
    <t>Plan Group Name</t>
  </si>
  <si>
    <t>Plan</t>
  </si>
  <si>
    <t>Member HIC</t>
  </si>
  <si>
    <t>Member ID</t>
  </si>
  <si>
    <t>Member First Name</t>
  </si>
  <si>
    <t>Member Last Name</t>
  </si>
  <si>
    <t>Member Year</t>
  </si>
  <si>
    <t>Prior Plan</t>
  </si>
  <si>
    <t>Cal Month</t>
  </si>
  <si>
    <t>Cal Year</t>
  </si>
  <si>
    <t>Payment</t>
  </si>
  <si>
    <t>Level</t>
  </si>
  <si>
    <t>Esther Herrera-Larsen</t>
  </si>
  <si>
    <t>17301495</t>
  </si>
  <si>
    <t>GRP-ZING</t>
  </si>
  <si>
    <t>Zing Essential Wellness Diabetes and Heart IL (HMO C-SNP)</t>
  </si>
  <si>
    <t>2JF4PV6MC83</t>
  </si>
  <si>
    <t>Z000048014</t>
  </si>
  <si>
    <t>JOSE</t>
  </si>
  <si>
    <t>HERNANDEZ</t>
  </si>
  <si>
    <t>Yes</t>
  </si>
  <si>
    <t>$51.00</t>
  </si>
  <si>
    <t>Agent</t>
  </si>
  <si>
    <t>Gregory Hansford</t>
  </si>
  <si>
    <t>17094718</t>
  </si>
  <si>
    <t>4D61YN1FW01</t>
  </si>
  <si>
    <t>Z000048672</t>
  </si>
  <si>
    <t>VERA</t>
  </si>
  <si>
    <t>HARRIS</t>
  </si>
  <si>
    <t>$200.00</t>
  </si>
  <si>
    <t>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</si>
</sst>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/mm/dd\ "/>
    <numFmt numFmtId="165" formatCode="\$#,##0.00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workbookViewId="0">
      <selection activeCell="L1" sqref="L1:L1048576"/>
    </sheetView>
  </sheetViews>
  <sheetFormatPr baseColWidth="10" defaultColWidth="8.83203125" defaultRowHeight="15" x14ac:dyDescent="0.2"/>
  <cols>
    <col min="1" max="1" width="25" customWidth="1"/>
    <col min="2" max="2" width="20" customWidth="1"/>
    <col min="3" max="5" width="15" customWidth="1"/>
  </cols>
  <sheetData>
    <row r="1" spans="1:8" x14ac:dyDescent="0.2">
      <c r="A1" t="s">
        <v>1</v>
      </c>
      <c r="B1" t="s">
        <v>2</v>
      </c>
      <c r="C1" t="s">
        <v>3</v>
      </c>
      <c r="D1" t="s">
        <v>4</v>
      </c>
      <c r="E1" t="s">
        <v>5</v>
      </c>
    </row>
    <row r="2" spans="1:8" x14ac:dyDescent="0.2">
      <c r="A2" t="s">
        <v>6</v>
      </c>
      <c r="B2">
        <v>2</v>
      </c>
      <c r="C2" t="s">
        <v>7</v>
      </c>
      <c r="D2" t="s">
        <v>8</v>
      </c>
      <c r="E2" t="s">
        <v>7</v>
      </c>
      <c r="H2" t="s">
        <v>38</v>
      </c>
    </row>
    <row r="3" spans="1:8" x14ac:dyDescent="0.2">
      <c r="A3" t="s">
        <v>9</v>
      </c>
      <c r="B3">
        <v>0</v>
      </c>
      <c r="C3" t="s">
        <v>8</v>
      </c>
      <c r="D3" t="s">
        <v>8</v>
      </c>
      <c r="E3" t="s">
        <v>8</v>
      </c>
      <c r="H3" t="s">
        <v>47</v>
      </c>
    </row>
    <row r="4" spans="1:8" x14ac:dyDescent="0.2">
      <c r="A4" t="s">
        <v>10</v>
      </c>
      <c r="B4">
        <v>0</v>
      </c>
      <c r="C4" t="s">
        <v>8</v>
      </c>
      <c r="D4" t="s">
        <v>8</v>
      </c>
      <c r="E4" t="s">
        <v>8</v>
      </c>
    </row>
    <row r="5" spans="1:8" x14ac:dyDescent="0.2">
      <c r="A5" t="s">
        <v>11</v>
      </c>
      <c r="B5">
        <v>0</v>
      </c>
      <c r="C5" t="s">
        <v>8</v>
      </c>
      <c r="D5" t="s">
        <v>8</v>
      </c>
      <c r="E5" t="s">
        <v>8</v>
      </c>
    </row>
    <row r="6" spans="1:8" x14ac:dyDescent="0.2">
      <c r="A6" t="s">
        <v>12</v>
      </c>
      <c r="B6">
        <v>0</v>
      </c>
      <c r="C6" t="s">
        <v>8</v>
      </c>
      <c r="D6" t="s">
        <v>8</v>
      </c>
      <c r="E6" t="s">
        <v>8</v>
      </c>
    </row>
    <row r="7" spans="1:8" x14ac:dyDescent="0.2">
      <c r="A7" t="s">
        <v>13</v>
      </c>
      <c r="B7">
        <v>0</v>
      </c>
      <c r="C7" t="s">
        <v>8</v>
      </c>
      <c r="D7" t="s">
        <v>8</v>
      </c>
      <c r="E7" t="s">
        <v>8</v>
      </c>
    </row>
    <row r="8" spans="1:8" x14ac:dyDescent="0.2">
      <c r="A8" t="s">
        <v>14</v>
      </c>
      <c r="B8">
        <v>0</v>
      </c>
      <c r="C8" t="s">
        <v>8</v>
      </c>
      <c r="D8" t="s">
        <v>8</v>
      </c>
      <c r="E8" t="s">
        <v>8</v>
      </c>
    </row>
    <row r="9" spans="1:8" x14ac:dyDescent="0.2">
      <c r="A9" t="s">
        <v>15</v>
      </c>
      <c r="E9" t="s">
        <v>8</v>
      </c>
    </row>
    <row r="10" spans="1:8" x14ac:dyDescent="0.2">
      <c r="A10" t="s">
        <v>16</v>
      </c>
      <c r="B10">
        <v>2</v>
      </c>
      <c r="C10" t="s">
        <v>7</v>
      </c>
      <c r="D10" t="s">
        <v>8</v>
      </c>
      <c r="E10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5"/>
  <sheetViews>
    <sheetView topLeftCell="G1" workbookViewId="0">
      <selection activeCell="G1" sqref="A1:XFD1048576"/>
    </sheetView>
  </sheetViews>
  <sheetFormatPr baseColWidth="10" defaultColWidth="8.83203125" defaultRowHeight="15" x14ac:dyDescent="0.2"/>
  <cols>
    <col min="1" max="1" width="25" customWidth="1"/>
    <col min="2" max="2" width="20" customWidth="1"/>
    <col min="3" max="4" width="15" customWidth="1"/>
    <col min="6" max="6" width="16.83203125" bestFit="1" customWidth="1"/>
    <col min="7" max="7" width="53.83203125" bestFit="1" customWidth="1"/>
    <col min="8" max="8" width="14.5" bestFit="1" customWidth="1"/>
    <col min="9" max="9" width="12.1640625" bestFit="1" customWidth="1"/>
    <col min="10" max="10" width="19" bestFit="1" customWidth="1"/>
    <col min="11" max="11" width="18.6640625" bestFit="1" customWidth="1"/>
    <col min="12" max="12" width="13.33203125" bestFit="1" customWidth="1"/>
    <col min="13" max="13" width="9.6640625" bestFit="1" customWidth="1"/>
    <col min="14" max="14" width="10.33203125" bestFit="1" customWidth="1"/>
    <col min="15" max="15" width="8.33203125" bestFit="1" customWidth="1"/>
    <col min="16" max="16" width="9" bestFit="1" customWidth="1"/>
    <col min="17" max="17" width="6.83203125" bestFit="1" customWidth="1"/>
  </cols>
  <sheetData>
    <row r="1" spans="1:17" x14ac:dyDescent="0.2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s="2" t="s">
        <v>30</v>
      </c>
      <c r="O1" t="s">
        <v>31</v>
      </c>
      <c r="P1" t="s">
        <v>32</v>
      </c>
      <c r="Q1" t="s">
        <v>33</v>
      </c>
    </row>
    <row r="2" spans="1:17" x14ac:dyDescent="0.2">
      <c r="A2" t="s">
        <v>34</v>
      </c>
      <c r="B2" t="s">
        <v>35</v>
      </c>
      <c r="C2" s="1">
        <v>45597</v>
      </c>
      <c r="D2" t="s">
        <v>0</v>
      </c>
      <c r="E2" t="s">
        <v>36</v>
      </c>
      <c r="F2" t="s">
        <v>0</v>
      </c>
      <c r="G2" t="s">
        <v>37</v>
      </c>
      <c r="H2" t="s">
        <v>38</v>
      </c>
      <c r="I2" t="s">
        <v>39</v>
      </c>
      <c r="J2" t="s">
        <v>40</v>
      </c>
      <c r="K2" t="s">
        <v>41</v>
      </c>
      <c r="L2">
        <v>1</v>
      </c>
      <c r="M2" t="s">
        <v>42</v>
      </c>
      <c r="N2" s="2" t="s">
        <v>0</v>
      </c>
      <c r="O2" t="s">
        <v>0</v>
      </c>
      <c r="P2" t="s">
        <v>43</v>
      </c>
      <c r="Q2" t="s">
        <v>44</v>
      </c>
    </row>
    <row r="3" spans="1:17" x14ac:dyDescent="0.2">
      <c r="A3" t="s">
        <v>45</v>
      </c>
      <c r="B3" t="s">
        <v>46</v>
      </c>
      <c r="C3" s="1">
        <v>45597</v>
      </c>
      <c r="D3" t="s">
        <v>0</v>
      </c>
      <c r="E3" t="s">
        <v>36</v>
      </c>
      <c r="F3" t="s">
        <v>0</v>
      </c>
      <c r="G3" t="s">
        <v>37</v>
      </c>
      <c r="H3" t="s">
        <v>47</v>
      </c>
      <c r="I3" t="s">
        <v>48</v>
      </c>
      <c r="J3" t="s">
        <v>49</v>
      </c>
      <c r="K3" t="s">
        <v>50</v>
      </c>
      <c r="L3">
        <v>1</v>
      </c>
      <c r="M3" t="s">
        <v>42</v>
      </c>
      <c r="N3" s="2" t="s">
        <v>0</v>
      </c>
      <c r="O3" t="s">
        <v>0</v>
      </c>
      <c r="P3" t="s">
        <v>43</v>
      </c>
      <c r="Q3" t="s">
        <v>44</v>
      </c>
    </row>
    <row r="4" spans="1:17" x14ac:dyDescent="0.2">
      <c r="A4" t="s">
        <v>34</v>
      </c>
      <c r="B4" t="s">
        <v>35</v>
      </c>
      <c r="C4" s="1">
        <v>45597</v>
      </c>
      <c r="D4" t="s">
        <v>0</v>
      </c>
      <c r="E4" t="s">
        <v>36</v>
      </c>
      <c r="F4" t="s">
        <v>0</v>
      </c>
      <c r="G4" t="s">
        <v>37</v>
      </c>
      <c r="H4" t="s">
        <v>38</v>
      </c>
      <c r="I4" t="s">
        <v>39</v>
      </c>
      <c r="J4" t="s">
        <v>40</v>
      </c>
      <c r="K4" t="s">
        <v>41</v>
      </c>
      <c r="L4">
        <v>1</v>
      </c>
      <c r="M4" t="s">
        <v>42</v>
      </c>
      <c r="N4" s="2" t="s">
        <v>0</v>
      </c>
      <c r="O4" t="s">
        <v>0</v>
      </c>
      <c r="P4" t="s">
        <v>51</v>
      </c>
      <c r="Q4" t="s">
        <v>52</v>
      </c>
    </row>
    <row r="5" spans="1:17" x14ac:dyDescent="0.2">
      <c r="A5" t="s">
        <v>45</v>
      </c>
      <c r="B5" t="s">
        <v>46</v>
      </c>
      <c r="C5" s="1">
        <v>45597</v>
      </c>
      <c r="D5" t="s">
        <v>0</v>
      </c>
      <c r="E5" t="s">
        <v>36</v>
      </c>
      <c r="F5" t="s">
        <v>0</v>
      </c>
      <c r="G5" t="s">
        <v>37</v>
      </c>
      <c r="H5" t="s">
        <v>47</v>
      </c>
      <c r="I5" t="s">
        <v>48</v>
      </c>
      <c r="J5" t="s">
        <v>49</v>
      </c>
      <c r="K5" t="s">
        <v>50</v>
      </c>
      <c r="L5">
        <v>1</v>
      </c>
      <c r="M5" t="s">
        <v>42</v>
      </c>
      <c r="N5" s="2" t="s">
        <v>0</v>
      </c>
      <c r="O5" t="s">
        <v>0</v>
      </c>
      <c r="P5" t="s">
        <v>51</v>
      </c>
      <c r="Q5" t="s">
        <v>52</v>
      </c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8B941-44B7-F54A-ACEA-34E195137207}">
  <dimension ref="A1:S5"/>
  <sheetViews>
    <sheetView tabSelected="1" workbookViewId="0">
      <selection activeCell="A4" sqref="A4"/>
    </sheetView>
  </sheetViews>
  <sheetFormatPr baseColWidth="10" defaultColWidth="8.83203125" defaultRowHeight="15" x14ac:dyDescent="0.2"/>
  <cols>
    <col min="1" max="1" width="25" customWidth="1"/>
    <col min="2" max="2" width="20" customWidth="1"/>
    <col min="3" max="4" width="15" customWidth="1"/>
    <col min="6" max="6" width="16.83203125" bestFit="1" customWidth="1"/>
    <col min="7" max="7" width="53.83203125" bestFit="1" customWidth="1"/>
    <col min="8" max="8" width="14.5" bestFit="1" customWidth="1"/>
    <col min="9" max="9" width="12.1640625" bestFit="1" customWidth="1"/>
    <col min="10" max="10" width="12.1640625" customWidth="1"/>
    <col min="11" max="11" width="19" bestFit="1" customWidth="1"/>
    <col min="12" max="12" width="18.6640625" bestFit="1" customWidth="1"/>
    <col min="13" max="13" width="18.6640625" customWidth="1"/>
    <col min="14" max="14" width="13.33203125" bestFit="1" customWidth="1"/>
    <col min="15" max="15" width="9.6640625" bestFit="1" customWidth="1"/>
    <col min="16" max="16" width="10.33203125" bestFit="1" customWidth="1"/>
    <col min="17" max="17" width="8.33203125" bestFit="1" customWidth="1"/>
    <col min="18" max="18" width="9" bestFit="1" customWidth="1"/>
    <col min="19" max="19" width="6.83203125" bestFit="1" customWidth="1"/>
  </cols>
  <sheetData>
    <row r="1" spans="1:19" x14ac:dyDescent="0.2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K1" t="s">
        <v>26</v>
      </c>
      <c r="L1" t="s">
        <v>27</v>
      </c>
      <c r="N1" t="s">
        <v>28</v>
      </c>
      <c r="O1" t="s">
        <v>29</v>
      </c>
      <c r="P1" s="2" t="s">
        <v>30</v>
      </c>
      <c r="Q1" t="s">
        <v>31</v>
      </c>
      <c r="R1" t="s">
        <v>32</v>
      </c>
      <c r="S1" t="s">
        <v>33</v>
      </c>
    </row>
    <row r="2" spans="1:19" x14ac:dyDescent="0.2">
      <c r="A2" t="s">
        <v>34</v>
      </c>
      <c r="B2" t="s">
        <v>35</v>
      </c>
      <c r="C2" s="1">
        <v>45597</v>
      </c>
      <c r="D2" t="s">
        <v>0</v>
      </c>
      <c r="E2" t="s">
        <v>36</v>
      </c>
      <c r="F2" t="s">
        <v>0</v>
      </c>
      <c r="G2" t="s">
        <v>37</v>
      </c>
      <c r="H2" t="s">
        <v>38</v>
      </c>
      <c r="I2" t="s">
        <v>39</v>
      </c>
      <c r="J2" t="s">
        <v>39</v>
      </c>
      <c r="K2" t="s">
        <v>40</v>
      </c>
      <c r="L2" t="s">
        <v>41</v>
      </c>
      <c r="M2" t="str">
        <f>CONCATENATE(K2, " ",L2)</f>
        <v>JOSE HERNANDEZ</v>
      </c>
      <c r="N2">
        <v>1</v>
      </c>
      <c r="O2" t="s">
        <v>42</v>
      </c>
      <c r="P2" s="2" t="s">
        <v>0</v>
      </c>
      <c r="Q2" t="s">
        <v>0</v>
      </c>
      <c r="R2" t="s">
        <v>43</v>
      </c>
      <c r="S2" t="s">
        <v>44</v>
      </c>
    </row>
    <row r="3" spans="1:19" x14ac:dyDescent="0.2">
      <c r="A3" t="s">
        <v>45</v>
      </c>
      <c r="B3" t="s">
        <v>46</v>
      </c>
      <c r="C3" s="1">
        <v>45597</v>
      </c>
      <c r="D3" t="s">
        <v>0</v>
      </c>
      <c r="E3" t="s">
        <v>36</v>
      </c>
      <c r="F3" t="s">
        <v>0</v>
      </c>
      <c r="G3" t="s">
        <v>37</v>
      </c>
      <c r="H3" t="s">
        <v>47</v>
      </c>
      <c r="I3" t="s">
        <v>48</v>
      </c>
      <c r="J3" t="s">
        <v>48</v>
      </c>
      <c r="K3" t="s">
        <v>49</v>
      </c>
      <c r="L3" t="s">
        <v>50</v>
      </c>
      <c r="M3" t="str">
        <f t="shared" ref="M3:M5" si="0">CONCATENATE(K3, " ",L3)</f>
        <v>VERA HARRIS</v>
      </c>
      <c r="N3">
        <v>1</v>
      </c>
      <c r="O3" t="s">
        <v>42</v>
      </c>
      <c r="P3" s="2" t="s">
        <v>0</v>
      </c>
      <c r="Q3" t="s">
        <v>0</v>
      </c>
      <c r="R3" t="s">
        <v>43</v>
      </c>
      <c r="S3" t="s">
        <v>44</v>
      </c>
    </row>
    <row r="4" spans="1:19" x14ac:dyDescent="0.2">
      <c r="A4" t="s">
        <v>34</v>
      </c>
      <c r="B4" t="s">
        <v>35</v>
      </c>
      <c r="C4" s="1">
        <v>45597</v>
      </c>
      <c r="D4" t="s">
        <v>0</v>
      </c>
      <c r="E4" t="s">
        <v>36</v>
      </c>
      <c r="F4" t="s">
        <v>0</v>
      </c>
      <c r="G4" t="s">
        <v>37</v>
      </c>
      <c r="H4" t="s">
        <v>38</v>
      </c>
      <c r="I4" t="s">
        <v>39</v>
      </c>
      <c r="J4" t="str">
        <f>CONCATENATE(I4,1)</f>
        <v>Z0000480141</v>
      </c>
      <c r="K4" t="s">
        <v>40</v>
      </c>
      <c r="L4" t="s">
        <v>41</v>
      </c>
      <c r="M4" t="str">
        <f t="shared" si="0"/>
        <v>JOSE HERNANDEZ</v>
      </c>
      <c r="N4">
        <v>1</v>
      </c>
      <c r="O4" t="s">
        <v>42</v>
      </c>
      <c r="P4" s="2" t="s">
        <v>0</v>
      </c>
      <c r="Q4" t="s">
        <v>0</v>
      </c>
      <c r="R4" t="s">
        <v>51</v>
      </c>
      <c r="S4" t="s">
        <v>52</v>
      </c>
    </row>
    <row r="5" spans="1:19" x14ac:dyDescent="0.2">
      <c r="A5" t="s">
        <v>45</v>
      </c>
      <c r="B5" t="s">
        <v>46</v>
      </c>
      <c r="C5" s="1">
        <v>45597</v>
      </c>
      <c r="D5" t="s">
        <v>0</v>
      </c>
      <c r="E5" t="s">
        <v>36</v>
      </c>
      <c r="F5" t="s">
        <v>0</v>
      </c>
      <c r="G5" t="s">
        <v>37</v>
      </c>
      <c r="H5" t="s">
        <v>47</v>
      </c>
      <c r="I5" t="s">
        <v>48</v>
      </c>
      <c r="J5" t="str">
        <f>CONCATENATE(I5,1)</f>
        <v>Z0000486721</v>
      </c>
      <c r="K5" t="s">
        <v>49</v>
      </c>
      <c r="L5" t="s">
        <v>50</v>
      </c>
      <c r="M5" t="str">
        <f t="shared" si="0"/>
        <v>VERA HARRIS</v>
      </c>
      <c r="N5">
        <v>1</v>
      </c>
      <c r="O5" t="s">
        <v>42</v>
      </c>
      <c r="P5" s="2" t="s">
        <v>0</v>
      </c>
      <c r="Q5" t="s">
        <v>0</v>
      </c>
      <c r="R5" t="s">
        <v>51</v>
      </c>
      <c r="S5" t="s">
        <v>52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Detail</vt:lpstr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Loula Irene Cabel</cp:lastModifiedBy>
  <dcterms:created xsi:type="dcterms:W3CDTF">2024-11-14T14:35:06Z</dcterms:created>
  <dcterms:modified xsi:type="dcterms:W3CDTF">2024-11-15T18:17:38Z</dcterms:modified>
</cp:coreProperties>
</file>