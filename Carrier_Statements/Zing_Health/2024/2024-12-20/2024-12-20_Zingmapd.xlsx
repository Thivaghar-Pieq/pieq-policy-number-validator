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Zing health/12-20-24/"/>
    </mc:Choice>
  </mc:AlternateContent>
  <xr:revisionPtr revIDLastSave="0" documentId="13_ncr:1_{528597CE-2CDA-E148-B6FC-A42E30E6AA96}" xr6:coauthVersionLast="47" xr6:coauthVersionMax="47" xr10:uidLastSave="{00000000-0000-0000-0000-000000000000}"/>
  <bookViews>
    <workbookView xWindow="0" yWindow="500" windowWidth="19200" windowHeight="19360" activeTab="2" xr2:uid="{00000000-000D-0000-FFFF-FFFF00000000}"/>
  </bookViews>
  <sheets>
    <sheet name="Summary" sheetId="1" r:id="rId1"/>
    <sheet name="Detail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L4" i="3"/>
  <c r="L5" i="3"/>
  <c r="L2" i="3"/>
</calcChain>
</file>

<file path=xl/sharedStrings.xml><?xml version="1.0" encoding="utf-8"?>
<sst xmlns="http://schemas.openxmlformats.org/spreadsheetml/2006/main" count="179" uniqueCount="67">
  <si>
    <t/>
  </si>
  <si>
    <t>Description</t>
  </si>
  <si>
    <t>Member Count</t>
  </si>
  <si>
    <t>Credits</t>
  </si>
  <si>
    <t>Debits</t>
  </si>
  <si>
    <t>Total</t>
  </si>
  <si>
    <t>Initial Enrollments</t>
  </si>
  <si>
    <t>$1,196.30</t>
  </si>
  <si>
    <t>$0.00</t>
  </si>
  <si>
    <t>Renewal Enrollments</t>
  </si>
  <si>
    <t>Rapid Disenrollments</t>
  </si>
  <si>
    <t>$560.00</t>
  </si>
  <si>
    <t>Disenrollments</t>
  </si>
  <si>
    <t>Bonus</t>
  </si>
  <si>
    <t>Activity</t>
  </si>
  <si>
    <t>Miscellaneous</t>
  </si>
  <si>
    <t>Balance</t>
  </si>
  <si>
    <t>TOTAL</t>
  </si>
  <si>
    <t>$1,756.30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</si>
  <si>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</si>
  <si>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</si>
  <si>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</si>
  <si>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</si>
  <si>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</si>
  <si>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</si>
  <si>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</si>
  <si>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</si>
  <si>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</si>
  <si>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</si>
  <si>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</si>
  <si>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</si>
  <si>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</si>
  <si>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</si>
  <si>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</si>
  <si>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</si>
  <si>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</si>
  <si>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Andrea Petrungaro</t>
  </si>
  <si>
    <t>16912722</t>
  </si>
  <si>
    <t>GRP-ZING</t>
  </si>
  <si>
    <t>Zing Select Diabetes &amp; Heart Complete IL (HMO C-SNP)</t>
  </si>
  <si>
    <t>8TC1FW7JQ32</t>
  </si>
  <si>
    <t>Z000053543</t>
  </si>
  <si>
    <t>DOUGLAS</t>
  </si>
  <si>
    <t>SCHMIESKORS III</t>
  </si>
  <si>
    <t>No</t>
  </si>
  <si>
    <t>Agent</t>
  </si>
  <si>
    <t>Anthony Hunsberger</t>
  </si>
  <si>
    <t>7146581</t>
  </si>
  <si>
    <t>2UF4QP9WC93</t>
  </si>
  <si>
    <t>Z000049634</t>
  </si>
  <si>
    <t>RONALD</t>
  </si>
  <si>
    <t>KROWN</t>
  </si>
  <si>
    <t>Esther Herrera-Larsen</t>
  </si>
  <si>
    <t>17301495</t>
  </si>
  <si>
    <t>Zing Essential Wellness Diabetes and Heart IL (HMO C-SNP)</t>
  </si>
  <si>
    <t>6N84W16PD79</t>
  </si>
  <si>
    <t>Z000051155</t>
  </si>
  <si>
    <t>ANTONIO</t>
  </si>
  <si>
    <t>PRIMERO-LEON</t>
  </si>
  <si>
    <t>Saadia Abdul</t>
  </si>
  <si>
    <t>19396223</t>
  </si>
  <si>
    <t>3J34V65XN82</t>
  </si>
  <si>
    <t>Z000048148</t>
  </si>
  <si>
    <t>DAXABEN</t>
  </si>
  <si>
    <t>PATEL</t>
  </si>
  <si>
    <t>Yes</t>
  </si>
  <si>
    <t>SCHMIESKORS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</si>
</sst>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\ "/>
    <numFmt numFmtId="165" formatCode="\$#,##0.00"/>
    <numFmt numFmtId="168" formatCode="m/d/yyyy;@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C23" sqref="C23:C24"/>
    </sheetView>
  </sheetViews>
  <sheetFormatPr baseColWidth="10" defaultColWidth="8.83203125" defaultRowHeight="15" x14ac:dyDescent="0.2"/>
  <cols>
    <col min="1" max="1" width="25" customWidth="1"/>
    <col min="2" max="2" width="20" customWidth="1"/>
    <col min="3" max="5" width="15" customWidth="1"/>
  </cols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t="s">
        <v>6</v>
      </c>
      <c r="B2">
        <v>3</v>
      </c>
      <c r="C2" t="s">
        <v>7</v>
      </c>
      <c r="D2" t="s">
        <v>8</v>
      </c>
      <c r="E2" t="s">
        <v>7</v>
      </c>
    </row>
    <row r="3" spans="1:5" x14ac:dyDescent="0.2">
      <c r="A3" t="s">
        <v>9</v>
      </c>
      <c r="B3">
        <v>0</v>
      </c>
      <c r="C3" t="s">
        <v>8</v>
      </c>
      <c r="D3" t="s">
        <v>8</v>
      </c>
      <c r="E3" t="s">
        <v>8</v>
      </c>
    </row>
    <row r="4" spans="1:5" x14ac:dyDescent="0.2">
      <c r="A4" t="s">
        <v>10</v>
      </c>
      <c r="B4">
        <v>1</v>
      </c>
      <c r="C4" t="s">
        <v>11</v>
      </c>
      <c r="D4" t="s">
        <v>8</v>
      </c>
      <c r="E4" t="s">
        <v>11</v>
      </c>
    </row>
    <row r="5" spans="1:5" x14ac:dyDescent="0.2">
      <c r="A5" t="s">
        <v>12</v>
      </c>
      <c r="B5">
        <v>0</v>
      </c>
      <c r="C5" t="s">
        <v>8</v>
      </c>
      <c r="D5" t="s">
        <v>8</v>
      </c>
      <c r="E5" t="s">
        <v>8</v>
      </c>
    </row>
    <row r="6" spans="1:5" x14ac:dyDescent="0.2">
      <c r="A6" t="s">
        <v>13</v>
      </c>
      <c r="B6">
        <v>0</v>
      </c>
      <c r="C6" t="s">
        <v>8</v>
      </c>
      <c r="D6" t="s">
        <v>8</v>
      </c>
      <c r="E6" t="s">
        <v>8</v>
      </c>
    </row>
    <row r="7" spans="1:5" x14ac:dyDescent="0.2">
      <c r="A7" t="s">
        <v>14</v>
      </c>
      <c r="B7">
        <v>0</v>
      </c>
      <c r="C7" t="s">
        <v>8</v>
      </c>
      <c r="D7" t="s">
        <v>8</v>
      </c>
      <c r="E7" t="s">
        <v>8</v>
      </c>
    </row>
    <row r="8" spans="1:5" x14ac:dyDescent="0.2">
      <c r="A8" t="s">
        <v>15</v>
      </c>
      <c r="B8">
        <v>0</v>
      </c>
      <c r="C8" t="s">
        <v>8</v>
      </c>
      <c r="D8" t="s">
        <v>8</v>
      </c>
      <c r="E8" t="s">
        <v>8</v>
      </c>
    </row>
    <row r="9" spans="1:5" x14ac:dyDescent="0.2">
      <c r="A9" t="s">
        <v>16</v>
      </c>
      <c r="E9" t="s">
        <v>8</v>
      </c>
    </row>
    <row r="10" spans="1:5" x14ac:dyDescent="0.2">
      <c r="A10" t="s">
        <v>17</v>
      </c>
      <c r="B10">
        <v>4</v>
      </c>
      <c r="C10" t="s">
        <v>18</v>
      </c>
      <c r="D10" t="s">
        <v>8</v>
      </c>
      <c r="E10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"/>
  <sheetViews>
    <sheetView workbookViewId="0">
      <selection sqref="A1:XFD1048576"/>
    </sheetView>
  </sheetViews>
  <sheetFormatPr baseColWidth="10" defaultColWidth="8.83203125" defaultRowHeight="15" x14ac:dyDescent="0.2"/>
  <cols>
    <col min="1" max="1" width="25" customWidth="1"/>
    <col min="2" max="2" width="20" customWidth="1"/>
    <col min="3" max="4" width="15" customWidth="1"/>
    <col min="6" max="6" width="16.83203125" bestFit="1" customWidth="1"/>
    <col min="7" max="7" width="53.83203125" bestFit="1" customWidth="1"/>
    <col min="8" max="8" width="14.83203125" bestFit="1" customWidth="1"/>
    <col min="9" max="9" width="12.1640625" bestFit="1" customWidth="1"/>
    <col min="10" max="10" width="19" bestFit="1" customWidth="1"/>
    <col min="11" max="11" width="18.6640625" bestFit="1" customWidth="1"/>
    <col min="12" max="12" width="13.33203125" bestFit="1" customWidth="1"/>
    <col min="13" max="13" width="9.6640625" bestFit="1" customWidth="1"/>
    <col min="14" max="14" width="10.33203125" bestFit="1" customWidth="1"/>
    <col min="15" max="15" width="8.33203125" bestFit="1" customWidth="1"/>
    <col min="16" max="16" width="9" bestFit="1" customWidth="1"/>
    <col min="17" max="17" width="6.33203125" bestFit="1" customWidth="1"/>
  </cols>
  <sheetData>
    <row r="1" spans="1:17" x14ac:dyDescent="0.2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s="2" t="s">
        <v>32</v>
      </c>
      <c r="O1" t="s">
        <v>33</v>
      </c>
      <c r="P1" t="s">
        <v>34</v>
      </c>
      <c r="Q1" t="s">
        <v>35</v>
      </c>
    </row>
    <row r="2" spans="1:17" x14ac:dyDescent="0.2">
      <c r="A2" t="s">
        <v>36</v>
      </c>
      <c r="B2" t="s">
        <v>37</v>
      </c>
      <c r="C2" s="1">
        <v>45627</v>
      </c>
      <c r="D2" t="s">
        <v>0</v>
      </c>
      <c r="E2" t="s">
        <v>38</v>
      </c>
      <c r="F2" t="s">
        <v>0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>
        <v>1</v>
      </c>
      <c r="M2" t="s">
        <v>44</v>
      </c>
      <c r="N2" s="2" t="s">
        <v>0</v>
      </c>
      <c r="O2" t="s">
        <v>0</v>
      </c>
      <c r="P2">
        <v>585.5</v>
      </c>
      <c r="Q2" t="s">
        <v>45</v>
      </c>
    </row>
    <row r="3" spans="1:17" x14ac:dyDescent="0.2">
      <c r="A3" t="s">
        <v>46</v>
      </c>
      <c r="B3" t="s">
        <v>47</v>
      </c>
      <c r="C3" s="1">
        <v>45597</v>
      </c>
      <c r="D3" t="s">
        <v>0</v>
      </c>
      <c r="E3" t="s">
        <v>38</v>
      </c>
      <c r="F3" t="s">
        <v>0</v>
      </c>
      <c r="G3" t="s">
        <v>39</v>
      </c>
      <c r="H3" t="s">
        <v>48</v>
      </c>
      <c r="I3" t="s">
        <v>49</v>
      </c>
      <c r="J3" t="s">
        <v>50</v>
      </c>
      <c r="K3" t="s">
        <v>51</v>
      </c>
      <c r="L3">
        <v>1</v>
      </c>
      <c r="M3" t="s">
        <v>44</v>
      </c>
      <c r="N3" s="2" t="s">
        <v>0</v>
      </c>
      <c r="O3" t="s">
        <v>0</v>
      </c>
      <c r="P3">
        <v>560</v>
      </c>
      <c r="Q3" t="s">
        <v>45</v>
      </c>
    </row>
    <row r="4" spans="1:17" x14ac:dyDescent="0.2">
      <c r="A4" t="s">
        <v>52</v>
      </c>
      <c r="B4" t="s">
        <v>53</v>
      </c>
      <c r="C4" s="1">
        <v>45597</v>
      </c>
      <c r="D4" s="1">
        <v>45657</v>
      </c>
      <c r="E4" t="s">
        <v>38</v>
      </c>
      <c r="F4" t="s">
        <v>0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>
        <v>1</v>
      </c>
      <c r="M4" t="s">
        <v>44</v>
      </c>
      <c r="N4" s="2" t="s">
        <v>0</v>
      </c>
      <c r="O4" t="s">
        <v>0</v>
      </c>
      <c r="P4">
        <v>560</v>
      </c>
      <c r="Q4" t="s">
        <v>45</v>
      </c>
    </row>
    <row r="5" spans="1:17" x14ac:dyDescent="0.2">
      <c r="A5" t="s">
        <v>59</v>
      </c>
      <c r="B5" t="s">
        <v>60</v>
      </c>
      <c r="C5" s="1">
        <v>45566</v>
      </c>
      <c r="D5" t="s">
        <v>0</v>
      </c>
      <c r="E5" t="s">
        <v>38</v>
      </c>
      <c r="F5" t="s">
        <v>0</v>
      </c>
      <c r="G5" t="s">
        <v>39</v>
      </c>
      <c r="H5" t="s">
        <v>61</v>
      </c>
      <c r="I5" t="s">
        <v>62</v>
      </c>
      <c r="J5" t="s">
        <v>63</v>
      </c>
      <c r="K5" t="s">
        <v>64</v>
      </c>
      <c r="L5">
        <v>1</v>
      </c>
      <c r="M5" t="s">
        <v>65</v>
      </c>
      <c r="N5" s="2" t="s">
        <v>0</v>
      </c>
      <c r="O5" t="s">
        <v>0</v>
      </c>
      <c r="P5">
        <v>50.8</v>
      </c>
      <c r="Q5" t="s">
        <v>45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A4BA8-964F-BF4F-8DEA-C9C2EF4558CF}">
  <dimension ref="A1:R5"/>
  <sheetViews>
    <sheetView tabSelected="1" topLeftCell="H1" workbookViewId="0">
      <selection activeCell="Q2" sqref="Q2:Q5"/>
    </sheetView>
  </sheetViews>
  <sheetFormatPr baseColWidth="10" defaultColWidth="8.83203125" defaultRowHeight="15" x14ac:dyDescent="0.2"/>
  <cols>
    <col min="1" max="1" width="25" customWidth="1"/>
    <col min="2" max="2" width="20" customWidth="1"/>
    <col min="3" max="4" width="15" customWidth="1"/>
    <col min="6" max="6" width="16.83203125" bestFit="1" customWidth="1"/>
    <col min="7" max="7" width="53.83203125" bestFit="1" customWidth="1"/>
    <col min="8" max="8" width="14.83203125" bestFit="1" customWidth="1"/>
    <col min="9" max="9" width="12.1640625" bestFit="1" customWidth="1"/>
    <col min="10" max="10" width="19" bestFit="1" customWidth="1"/>
    <col min="11" max="11" width="18.6640625" bestFit="1" customWidth="1"/>
    <col min="12" max="12" width="18.6640625" customWidth="1"/>
    <col min="13" max="13" width="13.33203125" bestFit="1" customWidth="1"/>
    <col min="14" max="14" width="9.6640625" bestFit="1" customWidth="1"/>
    <col min="15" max="15" width="10.33203125" bestFit="1" customWidth="1"/>
    <col min="16" max="16" width="8.33203125" bestFit="1" customWidth="1"/>
    <col min="17" max="17" width="9" bestFit="1" customWidth="1"/>
    <col min="18" max="18" width="6.33203125" bestFit="1" customWidth="1"/>
  </cols>
  <sheetData>
    <row r="1" spans="1:18" x14ac:dyDescent="0.2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M1" t="s">
        <v>30</v>
      </c>
      <c r="N1" t="s">
        <v>31</v>
      </c>
      <c r="O1" s="2" t="s">
        <v>32</v>
      </c>
      <c r="P1" t="s">
        <v>33</v>
      </c>
      <c r="Q1" t="s">
        <v>34</v>
      </c>
      <c r="R1" t="s">
        <v>35</v>
      </c>
    </row>
    <row r="2" spans="1:18" x14ac:dyDescent="0.2">
      <c r="A2" t="s">
        <v>36</v>
      </c>
      <c r="B2" s="3">
        <v>16912722</v>
      </c>
      <c r="C2" s="4">
        <v>45627</v>
      </c>
      <c r="D2" t="s">
        <v>0</v>
      </c>
      <c r="E2" t="s">
        <v>38</v>
      </c>
      <c r="F2" t="s">
        <v>0</v>
      </c>
      <c r="G2" t="s">
        <v>39</v>
      </c>
      <c r="H2" t="s">
        <v>40</v>
      </c>
      <c r="I2" t="s">
        <v>41</v>
      </c>
      <c r="J2" t="s">
        <v>42</v>
      </c>
      <c r="K2" t="s">
        <v>66</v>
      </c>
      <c r="L2" t="str">
        <f>CONCATENATE(J2, " ",K2)</f>
        <v>DOUGLAS SCHMIESKORS</v>
      </c>
      <c r="M2">
        <v>1</v>
      </c>
      <c r="N2" t="s">
        <v>44</v>
      </c>
      <c r="O2" s="2" t="s">
        <v>0</v>
      </c>
      <c r="P2" t="s">
        <v>0</v>
      </c>
      <c r="Q2">
        <v>585.5</v>
      </c>
      <c r="R2" t="s">
        <v>45</v>
      </c>
    </row>
    <row r="3" spans="1:18" x14ac:dyDescent="0.2">
      <c r="A3" t="s">
        <v>46</v>
      </c>
      <c r="B3" s="3">
        <v>7146581</v>
      </c>
      <c r="C3" s="4">
        <v>45597</v>
      </c>
      <c r="D3" t="s">
        <v>0</v>
      </c>
      <c r="E3" t="s">
        <v>38</v>
      </c>
      <c r="F3" t="s">
        <v>0</v>
      </c>
      <c r="G3" t="s">
        <v>39</v>
      </c>
      <c r="H3" t="s">
        <v>48</v>
      </c>
      <c r="I3" t="s">
        <v>49</v>
      </c>
      <c r="J3" t="s">
        <v>50</v>
      </c>
      <c r="K3" t="s">
        <v>51</v>
      </c>
      <c r="L3" t="str">
        <f t="shared" ref="L3:L5" si="0">CONCATENATE(J3, " ",K3)</f>
        <v>RONALD KROWN</v>
      </c>
      <c r="M3">
        <v>1</v>
      </c>
      <c r="N3" t="s">
        <v>44</v>
      </c>
      <c r="O3" s="2" t="s">
        <v>0</v>
      </c>
      <c r="P3" t="s">
        <v>0</v>
      </c>
      <c r="Q3">
        <v>560</v>
      </c>
      <c r="R3" t="s">
        <v>45</v>
      </c>
    </row>
    <row r="4" spans="1:18" x14ac:dyDescent="0.2">
      <c r="A4" t="s">
        <v>52</v>
      </c>
      <c r="B4" s="3">
        <v>17301495</v>
      </c>
      <c r="C4" s="4">
        <v>45597</v>
      </c>
      <c r="D4" s="1">
        <v>45657</v>
      </c>
      <c r="E4" t="s">
        <v>38</v>
      </c>
      <c r="F4" t="s">
        <v>0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tr">
        <f t="shared" si="0"/>
        <v>ANTONIO PRIMERO-LEON</v>
      </c>
      <c r="M4">
        <v>1</v>
      </c>
      <c r="N4" t="s">
        <v>44</v>
      </c>
      <c r="O4" s="2" t="s">
        <v>0</v>
      </c>
      <c r="P4" t="s">
        <v>0</v>
      </c>
      <c r="Q4">
        <v>560</v>
      </c>
      <c r="R4" t="s">
        <v>45</v>
      </c>
    </row>
    <row r="5" spans="1:18" x14ac:dyDescent="0.2">
      <c r="A5" t="s">
        <v>59</v>
      </c>
      <c r="B5" s="3">
        <v>19396223</v>
      </c>
      <c r="C5" s="4">
        <v>45566</v>
      </c>
      <c r="D5" t="s">
        <v>0</v>
      </c>
      <c r="E5" t="s">
        <v>38</v>
      </c>
      <c r="F5" t="s">
        <v>0</v>
      </c>
      <c r="G5" t="s">
        <v>39</v>
      </c>
      <c r="H5" t="s">
        <v>61</v>
      </c>
      <c r="I5" t="s">
        <v>62</v>
      </c>
      <c r="J5" t="s">
        <v>63</v>
      </c>
      <c r="K5" t="s">
        <v>64</v>
      </c>
      <c r="L5" t="str">
        <f t="shared" si="0"/>
        <v>DAXABEN PATEL</v>
      </c>
      <c r="M5">
        <v>1</v>
      </c>
      <c r="N5" t="s">
        <v>65</v>
      </c>
      <c r="O5" s="2" t="s">
        <v>0</v>
      </c>
      <c r="P5" t="s">
        <v>0</v>
      </c>
      <c r="Q5">
        <v>50.8</v>
      </c>
      <c r="R5" t="s">
        <v>45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2025-01-02T20:08:17Z</dcterms:created>
  <dcterms:modified xsi:type="dcterms:W3CDTF">2025-01-02T21:31:35Z</dcterms:modified>
</cp:coreProperties>
</file>