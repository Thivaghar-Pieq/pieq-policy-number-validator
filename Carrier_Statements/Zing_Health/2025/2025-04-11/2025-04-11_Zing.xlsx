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Zing health\2025\Zing 4-11-25\"/>
    </mc:Choice>
  </mc:AlternateContent>
  <xr:revisionPtr revIDLastSave="0" documentId="13_ncr:1_{5A304B33-5F2F-4375-B39C-72D47B1B5ACB}" xr6:coauthVersionLast="47" xr6:coauthVersionMax="47" xr10:uidLastSave="{00000000-0000-0000-0000-000000000000}"/>
  <bookViews>
    <workbookView xWindow="28680" yWindow="-2520" windowWidth="29040" windowHeight="16440" activeTab="2" xr2:uid="{00000000-000D-0000-FFFF-FFFF00000000}"/>
  </bookViews>
  <sheets>
    <sheet name="Summary" sheetId="1" r:id="rId1"/>
    <sheet name="Detail" sheetId="2" r:id="rId2"/>
    <sheet name="Sheet1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I3" i="3" l="1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2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29" i="3"/>
  <c r="F26" i="3"/>
  <c r="F25" i="3"/>
  <c r="F24" i="3"/>
  <c r="F23" i="3"/>
  <c r="F22" i="3"/>
  <c r="F21" i="3"/>
  <c r="F20" i="3"/>
  <c r="F19" i="3"/>
  <c r="F18" i="3"/>
  <c r="F17" i="3"/>
  <c r="F16" i="3"/>
  <c r="F15" i="3"/>
  <c r="F14" i="3"/>
  <c r="F13" i="3"/>
  <c r="F12" i="3"/>
  <c r="F11" i="3"/>
  <c r="F10" i="3"/>
  <c r="F9" i="3"/>
  <c r="F8" i="3"/>
  <c r="F7" i="3"/>
  <c r="F6" i="3"/>
  <c r="F5" i="3"/>
  <c r="F4" i="3"/>
  <c r="F3" i="3"/>
  <c r="F2" i="3"/>
</calcChain>
</file>

<file path=xl/sharedStrings.xml><?xml version="1.0" encoding="utf-8"?>
<sst xmlns="http://schemas.openxmlformats.org/spreadsheetml/2006/main" count="1161" uniqueCount="178">
  <si>
    <t/>
  </si>
  <si>
    <t>Description</t>
  </si>
  <si>
    <t>Member Count</t>
  </si>
  <si>
    <t>Credits</t>
  </si>
  <si>
    <t>Debits</t>
  </si>
  <si>
    <t>Total</t>
  </si>
  <si>
    <t>Initial Enrollments</t>
  </si>
  <si>
    <t>Renewal Enrollments</t>
  </si>
  <si>
    <t>Rapid Disenrollments</t>
  </si>
  <si>
    <t>Disenrollments</t>
  </si>
  <si>
    <t>Bonus</t>
  </si>
  <si>
    <t>Activity</t>
  </si>
  <si>
    <t>Miscellaneous</t>
  </si>
  <si>
    <t>Balance</t>
  </si>
  <si>
    <t>TOTAL</t>
  </si>
  <si>
    <t>Rep Name</t>
  </si>
  <si>
    <t>NPN</t>
  </si>
  <si>
    <t>Effective Date</t>
  </si>
  <si>
    <t>Term Date</t>
  </si>
  <si>
    <t>Plan Group</t>
  </si>
  <si>
    <t>Plan Group Name</t>
  </si>
  <si>
    <t>Plan</t>
  </si>
  <si>
    <t>Member HIC</t>
  </si>
  <si>
    <t>Member ID</t>
  </si>
  <si>
    <t>Member First Name</t>
  </si>
  <si>
    <t>Member Last Name</t>
  </si>
  <si>
    <t>Member Year</t>
  </si>
  <si>
    <t>Prior Plan</t>
  </si>
  <si>
    <t>Cal Month</t>
  </si>
  <si>
    <t>Cal Year</t>
  </si>
  <si>
    <t>Payment</t>
  </si>
  <si>
    <t>Level</t>
  </si>
  <si>
    <t>Andrea Petrungaro</t>
  </si>
  <si>
    <t>16912722</t>
  </si>
  <si>
    <t>GRP-ZING</t>
  </si>
  <si>
    <t>Zing Select Diabetes &amp; Heart Complete IL (HMO C-SNP)</t>
  </si>
  <si>
    <t>8TC1FW7JQ32</t>
  </si>
  <si>
    <t>Z000053543</t>
  </si>
  <si>
    <t>DOUGLAS</t>
  </si>
  <si>
    <t>SCHMIESKORS III</t>
  </si>
  <si>
    <t>Yes</t>
  </si>
  <si>
    <t>$26.08</t>
  </si>
  <si>
    <t>Agent</t>
  </si>
  <si>
    <t>Zing Essential Wellness Diabetes and Heart IL (HMO C-SNP)</t>
  </si>
  <si>
    <t>1RQ6R88AC72</t>
  </si>
  <si>
    <t>Z000051510</t>
  </si>
  <si>
    <t>JAMES</t>
  </si>
  <si>
    <t>PRICE</t>
  </si>
  <si>
    <t>Anthony Hunsberger</t>
  </si>
  <si>
    <t>7146581</t>
  </si>
  <si>
    <t>Zing Choice IL (HMO)</t>
  </si>
  <si>
    <t>2WR4QN4TC02</t>
  </si>
  <si>
    <t>Z000054671</t>
  </si>
  <si>
    <t>Janet</t>
  </si>
  <si>
    <t>Barcelo</t>
  </si>
  <si>
    <t>($313.00)</t>
  </si>
  <si>
    <t>Barry Schumann</t>
  </si>
  <si>
    <t>19586992</t>
  </si>
  <si>
    <t>3Q05QE7WA89</t>
  </si>
  <si>
    <t>Z000069282</t>
  </si>
  <si>
    <t>Pamela</t>
  </si>
  <si>
    <t>Stanley</t>
  </si>
  <si>
    <t>No</t>
  </si>
  <si>
    <t>$626.00</t>
  </si>
  <si>
    <t>Dennis Holyn</t>
  </si>
  <si>
    <t>7152559</t>
  </si>
  <si>
    <t>6VV0MJ9YD07</t>
  </si>
  <si>
    <t>Z000056857</t>
  </si>
  <si>
    <t>SUSAN</t>
  </si>
  <si>
    <t>COHEN</t>
  </si>
  <si>
    <t>Esther Herrera-Larsen</t>
  </si>
  <si>
    <t>17301495</t>
  </si>
  <si>
    <t>1CJ9J07MX24</t>
  </si>
  <si>
    <t>Z000071618</t>
  </si>
  <si>
    <t>JOSE</t>
  </si>
  <si>
    <t>AVILA</t>
  </si>
  <si>
    <t>$234.75</t>
  </si>
  <si>
    <t>2DQ0A29EM29</t>
  </si>
  <si>
    <t>Z000073076</t>
  </si>
  <si>
    <t>CADENA HERNANDEZ</t>
  </si>
  <si>
    <t>2JF4PV6MC83</t>
  </si>
  <si>
    <t>Z000048014</t>
  </si>
  <si>
    <t>HERNANDEZ</t>
  </si>
  <si>
    <t>8FM2YJ2UJ25</t>
  </si>
  <si>
    <t>Z000045633</t>
  </si>
  <si>
    <t>LINDA</t>
  </si>
  <si>
    <t>DANIEL</t>
  </si>
  <si>
    <t>9D64DA7YA95</t>
  </si>
  <si>
    <t>Z000071727</t>
  </si>
  <si>
    <t>MARIA</t>
  </si>
  <si>
    <t>1T41NF5CD25</t>
  </si>
  <si>
    <t>Z000043644</t>
  </si>
  <si>
    <t>OLEGARIO</t>
  </si>
  <si>
    <t>HERNANDEZ FLORES</t>
  </si>
  <si>
    <t>5F01MQ8EE02</t>
  </si>
  <si>
    <t>Z000072091</t>
  </si>
  <si>
    <t>RACHEL</t>
  </si>
  <si>
    <t>BREVE</t>
  </si>
  <si>
    <t>4H02K67VA19</t>
  </si>
  <si>
    <t>Z000046119</t>
  </si>
  <si>
    <t>RENE</t>
  </si>
  <si>
    <t>DIAZ</t>
  </si>
  <si>
    <t>Frank Liskovec</t>
  </si>
  <si>
    <t>8814784</t>
  </si>
  <si>
    <t>8TG5ND1YP94</t>
  </si>
  <si>
    <t>Z000043513</t>
  </si>
  <si>
    <t>WALTER</t>
  </si>
  <si>
    <t>ATTERBERRY</t>
  </si>
  <si>
    <t>Gary Portugal</t>
  </si>
  <si>
    <t>9213293</t>
  </si>
  <si>
    <t>4H97FM1YT42</t>
  </si>
  <si>
    <t>Z000060882</t>
  </si>
  <si>
    <t>AGUSTIN</t>
  </si>
  <si>
    <t>BIBIAN CHAVEZ</t>
  </si>
  <si>
    <t>Zing Elite Diabetes &amp; Heart IL  (HMO C-SNP)</t>
  </si>
  <si>
    <t>2MN1EG1KV35</t>
  </si>
  <si>
    <t>Z000041710</t>
  </si>
  <si>
    <t>ANGEL</t>
  </si>
  <si>
    <t>TORRES</t>
  </si>
  <si>
    <t>3R53EH4VG79</t>
  </si>
  <si>
    <t>Z000071494</t>
  </si>
  <si>
    <t>ROSA</t>
  </si>
  <si>
    <t>ESCOBEDO</t>
  </si>
  <si>
    <t>1QF7GY6CN73</t>
  </si>
  <si>
    <t>Z000072164</t>
  </si>
  <si>
    <t>SHARON</t>
  </si>
  <si>
    <t>OSBORNE JONES</t>
  </si>
  <si>
    <t>7HP5XY3PF54</t>
  </si>
  <si>
    <t>Z000066610</t>
  </si>
  <si>
    <t>STEVEN</t>
  </si>
  <si>
    <t>BRODY</t>
  </si>
  <si>
    <t>Gregory Teipel</t>
  </si>
  <si>
    <t>8307933</t>
  </si>
  <si>
    <t>8W82U48NP28</t>
  </si>
  <si>
    <t>Z000050459</t>
  </si>
  <si>
    <t>ERLENE</t>
  </si>
  <si>
    <t>CARTER</t>
  </si>
  <si>
    <t>Jose Torres</t>
  </si>
  <si>
    <t>20212926</t>
  </si>
  <si>
    <t>5NC3U96WU15</t>
  </si>
  <si>
    <t>Z000073080</t>
  </si>
  <si>
    <t>ANGELITA</t>
  </si>
  <si>
    <t>RAMIREZ</t>
  </si>
  <si>
    <t>8XK0NA6GM06</t>
  </si>
  <si>
    <t>Z000071514</t>
  </si>
  <si>
    <t>LILIA</t>
  </si>
  <si>
    <t>MORALES</t>
  </si>
  <si>
    <t>($200.00)</t>
  </si>
  <si>
    <t>Admin</t>
  </si>
  <si>
    <t>$8.32</t>
  </si>
  <si>
    <t>$200.00</t>
  </si>
  <si>
    <t>Saadia Abdul</t>
  </si>
  <si>
    <t>19396223</t>
  </si>
  <si>
    <t>3J34V65XN82</t>
  </si>
  <si>
    <t>Z000048148</t>
  </si>
  <si>
    <t>DAXABEN</t>
  </si>
  <si>
    <t>PATEL</t>
  </si>
  <si>
    <t>Patsamon Thanadabouth</t>
  </si>
  <si>
    <t>8405446</t>
  </si>
  <si>
    <t>6HC8MC9FV46</t>
  </si>
  <si>
    <t>Z000070201</t>
  </si>
  <si>
    <t>PHAENGSY</t>
  </si>
  <si>
    <t>PHETTHONGSY</t>
  </si>
  <si>
    <t>Nasandelger Zana</t>
  </si>
  <si>
    <t>20220688</t>
  </si>
  <si>
    <t>Zing Elite Select IL (HMO)</t>
  </si>
  <si>
    <t>3G29EK7NN51</t>
  </si>
  <si>
    <t>Z000070871</t>
  </si>
  <si>
    <t>TSEDEV</t>
  </si>
  <si>
    <t>TSEEPEL</t>
  </si>
  <si>
    <t>Zing 2025 OVR</t>
  </si>
  <si>
    <t>Zing MAPD 2025*</t>
  </si>
  <si>
    <t>Zing MAPD 2025</t>
  </si>
  <si>
    <t>Main Line Benefits</t>
  </si>
  <si>
    <t>[%/$=313][prorate=1/12]</t>
  </si>
  <si>
    <t>[%/$=626]</t>
  </si>
  <si>
    <t>[%/$=313][prorate=12/12]</t>
  </si>
  <si>
    <t>[%/$=313][prorate=9/12]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</si>
</sst>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$&quot;#,##0.00_);[Red]\(&quot;$&quot;#,##0.00\)"/>
    <numFmt numFmtId="164" formatCode="yyyy/dd/mm\ "/>
    <numFmt numFmtId="165" formatCode="yyyy/mm/dd\ "/>
    <numFmt numFmtId="166" formatCode="\$#,##0.00"/>
  </numFmts>
  <fonts count="2" x14ac:knownFonts="1">
    <font>
      <sz val="11"/>
      <color indexed="8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8" fontId="0" fillId="0" borderId="0" xfId="0" applyNumberFormat="1"/>
    <xf numFmtId="0" fontId="0" fillId="0" borderId="0" xfId="0" applyFill="1"/>
    <xf numFmtId="2" fontId="0" fillId="0" borderId="0" xfId="0" applyNumberFormat="1" applyFill="1"/>
    <xf numFmtId="8" fontId="0" fillId="0" borderId="0" xfId="0" applyNumberFormat="1" applyFill="1"/>
    <xf numFmtId="0" fontId="1" fillId="0" borderId="0" xfId="0" applyFont="1" applyFill="1"/>
    <xf numFmtId="0" fontId="1" fillId="0" borderId="0" xfId="0" applyNumberFormat="1" applyFont="1" applyFill="1"/>
    <xf numFmtId="8" fontId="1" fillId="0" borderId="0" xfId="0" applyNumberFormat="1" applyFont="1" applyFill="1"/>
    <xf numFmtId="0" fontId="0" fillId="0" borderId="0" xfId="0" applyNumberFormat="1" applyFill="1"/>
    <xf numFmtId="14" fontId="0" fillId="0" borderId="0" xfId="0" applyNumberFormat="1" applyFill="1"/>
    <xf numFmtId="14" fontId="1" fillId="0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"/>
  <sheetViews>
    <sheetView workbookViewId="0">
      <selection activeCell="C28" sqref="C28"/>
    </sheetView>
  </sheetViews>
  <sheetFormatPr defaultRowHeight="14.4" x14ac:dyDescent="0.3"/>
  <cols>
    <col min="1" max="1" width="25" customWidth="1"/>
    <col min="2" max="2" width="20" customWidth="1"/>
    <col min="3" max="5" width="15" customWidth="1"/>
  </cols>
  <sheetData>
    <row r="1" spans="1:5" x14ac:dyDescent="0.3">
      <c r="A1" t="s">
        <v>1</v>
      </c>
      <c r="B1" t="s">
        <v>2</v>
      </c>
      <c r="C1" t="s">
        <v>3</v>
      </c>
      <c r="D1" t="s">
        <v>4</v>
      </c>
      <c r="E1" t="s">
        <v>5</v>
      </c>
    </row>
    <row r="2" spans="1:5" x14ac:dyDescent="0.3">
      <c r="A2" t="s">
        <v>6</v>
      </c>
      <c r="B2">
        <v>12</v>
      </c>
      <c r="C2" s="4">
        <v>5999.5</v>
      </c>
      <c r="D2" s="4">
        <v>0</v>
      </c>
      <c r="E2" s="4">
        <v>5999.5</v>
      </c>
    </row>
    <row r="3" spans="1:5" x14ac:dyDescent="0.3">
      <c r="A3" t="s">
        <v>7</v>
      </c>
      <c r="B3">
        <v>10</v>
      </c>
      <c r="C3" s="4">
        <v>344</v>
      </c>
      <c r="D3" s="4">
        <v>0</v>
      </c>
      <c r="E3" s="4">
        <v>344</v>
      </c>
    </row>
    <row r="4" spans="1:5" x14ac:dyDescent="0.3">
      <c r="A4" t="s">
        <v>8</v>
      </c>
      <c r="B4">
        <v>3</v>
      </c>
      <c r="C4" s="4">
        <v>0</v>
      </c>
      <c r="D4" s="4">
        <v>-1539</v>
      </c>
      <c r="E4" s="4">
        <v>-1539</v>
      </c>
    </row>
    <row r="5" spans="1:5" x14ac:dyDescent="0.3">
      <c r="A5" t="s">
        <v>9</v>
      </c>
      <c r="B5">
        <v>0</v>
      </c>
      <c r="C5" s="4">
        <v>0</v>
      </c>
      <c r="D5" s="4">
        <v>0</v>
      </c>
      <c r="E5" s="4">
        <v>0</v>
      </c>
    </row>
    <row r="6" spans="1:5" x14ac:dyDescent="0.3">
      <c r="A6" t="s">
        <v>10</v>
      </c>
      <c r="B6">
        <v>0</v>
      </c>
      <c r="C6" s="4">
        <v>0</v>
      </c>
      <c r="D6" s="4">
        <v>0</v>
      </c>
      <c r="E6" s="4">
        <v>0</v>
      </c>
    </row>
    <row r="7" spans="1:5" x14ac:dyDescent="0.3">
      <c r="A7" t="s">
        <v>11</v>
      </c>
      <c r="B7">
        <v>0</v>
      </c>
      <c r="C7" s="4">
        <v>0</v>
      </c>
      <c r="D7" s="4">
        <v>0</v>
      </c>
      <c r="E7" s="4">
        <v>0</v>
      </c>
    </row>
    <row r="8" spans="1:5" x14ac:dyDescent="0.3">
      <c r="A8" t="s">
        <v>12</v>
      </c>
      <c r="B8">
        <v>0</v>
      </c>
      <c r="C8" s="4">
        <v>0</v>
      </c>
      <c r="D8" s="4">
        <v>0</v>
      </c>
      <c r="E8" s="4">
        <v>0</v>
      </c>
    </row>
    <row r="9" spans="1:5" x14ac:dyDescent="0.3">
      <c r="A9" t="s">
        <v>13</v>
      </c>
      <c r="E9" s="4">
        <v>-3161.11</v>
      </c>
    </row>
    <row r="10" spans="1:5" x14ac:dyDescent="0.3">
      <c r="A10" t="s">
        <v>14</v>
      </c>
      <c r="B10">
        <v>25</v>
      </c>
      <c r="C10" s="4">
        <v>6343.5</v>
      </c>
      <c r="D10" s="4">
        <v>-1539</v>
      </c>
      <c r="E10" s="4">
        <v>1643.39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51"/>
  <sheetViews>
    <sheetView workbookViewId="0">
      <selection sqref="A1:XFD1048576"/>
    </sheetView>
  </sheetViews>
  <sheetFormatPr defaultRowHeight="14.4" x14ac:dyDescent="0.3"/>
  <cols>
    <col min="1" max="1" width="25" customWidth="1"/>
    <col min="2" max="2" width="20" customWidth="1"/>
    <col min="3" max="4" width="15" customWidth="1"/>
    <col min="6" max="6" width="16.88671875" bestFit="1" customWidth="1"/>
    <col min="7" max="7" width="53.77734375" bestFit="1" customWidth="1"/>
    <col min="8" max="8" width="15.109375" bestFit="1" customWidth="1"/>
    <col min="9" max="9" width="12.109375" bestFit="1" customWidth="1"/>
    <col min="10" max="10" width="19" bestFit="1" customWidth="1"/>
    <col min="11" max="11" width="20.33203125" bestFit="1" customWidth="1"/>
    <col min="12" max="12" width="13.21875" bestFit="1" customWidth="1"/>
    <col min="13" max="13" width="9.6640625" bestFit="1" customWidth="1"/>
    <col min="14" max="14" width="10.33203125" bestFit="1" customWidth="1"/>
    <col min="15" max="15" width="8.21875" bestFit="1" customWidth="1"/>
    <col min="16" max="16" width="9.6640625" bestFit="1" customWidth="1"/>
    <col min="17" max="17" width="6.88671875" bestFit="1" customWidth="1"/>
  </cols>
  <sheetData>
    <row r="1" spans="1:17" x14ac:dyDescent="0.3">
      <c r="A1" t="s">
        <v>15</v>
      </c>
      <c r="B1" t="s">
        <v>16</v>
      </c>
      <c r="C1" t="s">
        <v>17</v>
      </c>
      <c r="D1" t="s">
        <v>18</v>
      </c>
      <c r="E1" t="s">
        <v>19</v>
      </c>
      <c r="F1" t="s">
        <v>20</v>
      </c>
      <c r="G1" t="s">
        <v>21</v>
      </c>
      <c r="H1" t="s">
        <v>22</v>
      </c>
      <c r="I1" t="s">
        <v>23</v>
      </c>
      <c r="J1" t="s">
        <v>24</v>
      </c>
      <c r="K1" t="s">
        <v>25</v>
      </c>
      <c r="L1" t="s">
        <v>26</v>
      </c>
      <c r="M1" t="s">
        <v>27</v>
      </c>
      <c r="N1" s="3" t="s">
        <v>28</v>
      </c>
      <c r="O1" t="s">
        <v>29</v>
      </c>
      <c r="P1" t="s">
        <v>30</v>
      </c>
      <c r="Q1" t="s">
        <v>31</v>
      </c>
    </row>
    <row r="2" spans="1:17" x14ac:dyDescent="0.3">
      <c r="A2" t="s">
        <v>32</v>
      </c>
      <c r="B2" t="s">
        <v>33</v>
      </c>
      <c r="C2" s="1">
        <v>45658</v>
      </c>
      <c r="D2" t="s">
        <v>0</v>
      </c>
      <c r="E2" t="s">
        <v>34</v>
      </c>
      <c r="F2" t="s">
        <v>0</v>
      </c>
      <c r="G2" t="s">
        <v>35</v>
      </c>
      <c r="H2" t="s">
        <v>36</v>
      </c>
      <c r="I2" t="s">
        <v>37</v>
      </c>
      <c r="J2" t="s">
        <v>38</v>
      </c>
      <c r="K2" t="s">
        <v>39</v>
      </c>
      <c r="L2">
        <v>2</v>
      </c>
      <c r="M2" t="s">
        <v>40</v>
      </c>
      <c r="N2" s="3" t="s">
        <v>0</v>
      </c>
      <c r="O2" t="s">
        <v>0</v>
      </c>
      <c r="P2" t="s">
        <v>41</v>
      </c>
      <c r="Q2" t="s">
        <v>42</v>
      </c>
    </row>
    <row r="3" spans="1:17" x14ac:dyDescent="0.3">
      <c r="A3" t="s">
        <v>32</v>
      </c>
      <c r="B3" t="s">
        <v>33</v>
      </c>
      <c r="C3" s="1">
        <v>45658</v>
      </c>
      <c r="D3" t="s">
        <v>0</v>
      </c>
      <c r="E3" t="s">
        <v>34</v>
      </c>
      <c r="F3" t="s">
        <v>0</v>
      </c>
      <c r="G3" t="s">
        <v>43</v>
      </c>
      <c r="H3" t="s">
        <v>44</v>
      </c>
      <c r="I3" t="s">
        <v>45</v>
      </c>
      <c r="J3" t="s">
        <v>46</v>
      </c>
      <c r="K3" t="s">
        <v>47</v>
      </c>
      <c r="L3">
        <v>2</v>
      </c>
      <c r="M3" t="s">
        <v>40</v>
      </c>
      <c r="N3" s="3" t="s">
        <v>0</v>
      </c>
      <c r="O3" t="s">
        <v>0</v>
      </c>
      <c r="P3" t="s">
        <v>41</v>
      </c>
      <c r="Q3" t="s">
        <v>42</v>
      </c>
    </row>
    <row r="4" spans="1:17" x14ac:dyDescent="0.3">
      <c r="A4" t="s">
        <v>48</v>
      </c>
      <c r="B4" t="s">
        <v>49</v>
      </c>
      <c r="C4" s="1">
        <v>45658</v>
      </c>
      <c r="D4" s="2">
        <v>45747</v>
      </c>
      <c r="E4" t="s">
        <v>34</v>
      </c>
      <c r="F4" t="s">
        <v>0</v>
      </c>
      <c r="G4" t="s">
        <v>50</v>
      </c>
      <c r="H4" t="s">
        <v>51</v>
      </c>
      <c r="I4" t="s">
        <v>52</v>
      </c>
      <c r="J4" t="s">
        <v>53</v>
      </c>
      <c r="K4" t="s">
        <v>54</v>
      </c>
      <c r="L4">
        <v>1</v>
      </c>
      <c r="M4" t="s">
        <v>40</v>
      </c>
      <c r="N4" s="3" t="s">
        <v>0</v>
      </c>
      <c r="O4" t="s">
        <v>0</v>
      </c>
      <c r="P4" t="s">
        <v>55</v>
      </c>
      <c r="Q4" t="s">
        <v>42</v>
      </c>
    </row>
    <row r="5" spans="1:17" x14ac:dyDescent="0.3">
      <c r="A5" t="s">
        <v>56</v>
      </c>
      <c r="B5" t="s">
        <v>57</v>
      </c>
      <c r="C5" s="2">
        <v>45748</v>
      </c>
      <c r="D5" t="s">
        <v>0</v>
      </c>
      <c r="E5" t="s">
        <v>34</v>
      </c>
      <c r="F5" t="s">
        <v>0</v>
      </c>
      <c r="G5" t="s">
        <v>43</v>
      </c>
      <c r="H5" t="s">
        <v>58</v>
      </c>
      <c r="I5" t="s">
        <v>59</v>
      </c>
      <c r="J5" t="s">
        <v>60</v>
      </c>
      <c r="K5" t="s">
        <v>61</v>
      </c>
      <c r="L5">
        <v>1</v>
      </c>
      <c r="M5" t="s">
        <v>62</v>
      </c>
      <c r="N5" s="3" t="s">
        <v>0</v>
      </c>
      <c r="O5" t="s">
        <v>0</v>
      </c>
      <c r="P5" t="s">
        <v>63</v>
      </c>
      <c r="Q5" t="s">
        <v>42</v>
      </c>
    </row>
    <row r="6" spans="1:17" x14ac:dyDescent="0.3">
      <c r="A6" t="s">
        <v>64</v>
      </c>
      <c r="B6" t="s">
        <v>65</v>
      </c>
      <c r="C6" s="1">
        <v>45658</v>
      </c>
      <c r="D6" s="2">
        <v>45747</v>
      </c>
      <c r="E6" t="s">
        <v>34</v>
      </c>
      <c r="F6" t="s">
        <v>0</v>
      </c>
      <c r="G6" t="s">
        <v>43</v>
      </c>
      <c r="H6" t="s">
        <v>66</v>
      </c>
      <c r="I6" t="s">
        <v>67</v>
      </c>
      <c r="J6" t="s">
        <v>68</v>
      </c>
      <c r="K6" t="s">
        <v>69</v>
      </c>
      <c r="L6">
        <v>1</v>
      </c>
      <c r="M6" t="s">
        <v>40</v>
      </c>
      <c r="N6" s="3" t="s">
        <v>0</v>
      </c>
      <c r="O6" t="s">
        <v>0</v>
      </c>
      <c r="P6" t="s">
        <v>55</v>
      </c>
      <c r="Q6" t="s">
        <v>42</v>
      </c>
    </row>
    <row r="7" spans="1:17" x14ac:dyDescent="0.3">
      <c r="A7" t="s">
        <v>70</v>
      </c>
      <c r="B7" t="s">
        <v>71</v>
      </c>
      <c r="C7" s="2">
        <v>45748</v>
      </c>
      <c r="D7" t="s">
        <v>0</v>
      </c>
      <c r="E7" t="s">
        <v>34</v>
      </c>
      <c r="F7" t="s">
        <v>0</v>
      </c>
      <c r="G7" t="s">
        <v>43</v>
      </c>
      <c r="H7" t="s">
        <v>72</v>
      </c>
      <c r="I7" t="s">
        <v>73</v>
      </c>
      <c r="J7" t="s">
        <v>74</v>
      </c>
      <c r="K7" t="s">
        <v>75</v>
      </c>
      <c r="L7">
        <v>1</v>
      </c>
      <c r="M7" t="s">
        <v>40</v>
      </c>
      <c r="N7" s="3" t="s">
        <v>0</v>
      </c>
      <c r="O7" t="s">
        <v>0</v>
      </c>
      <c r="P7" t="s">
        <v>76</v>
      </c>
      <c r="Q7" t="s">
        <v>42</v>
      </c>
    </row>
    <row r="8" spans="1:17" x14ac:dyDescent="0.3">
      <c r="A8" t="s">
        <v>70</v>
      </c>
      <c r="B8" t="s">
        <v>71</v>
      </c>
      <c r="C8" s="2">
        <v>45748</v>
      </c>
      <c r="D8" t="s">
        <v>0</v>
      </c>
      <c r="E8" t="s">
        <v>34</v>
      </c>
      <c r="F8" t="s">
        <v>0</v>
      </c>
      <c r="G8" t="s">
        <v>43</v>
      </c>
      <c r="H8" t="s">
        <v>77</v>
      </c>
      <c r="I8" t="s">
        <v>78</v>
      </c>
      <c r="J8" t="s">
        <v>74</v>
      </c>
      <c r="K8" t="s">
        <v>79</v>
      </c>
      <c r="L8">
        <v>1</v>
      </c>
      <c r="M8" t="s">
        <v>40</v>
      </c>
      <c r="N8" s="3" t="s">
        <v>0</v>
      </c>
      <c r="O8" t="s">
        <v>0</v>
      </c>
      <c r="P8" t="s">
        <v>76</v>
      </c>
      <c r="Q8" t="s">
        <v>42</v>
      </c>
    </row>
    <row r="9" spans="1:17" x14ac:dyDescent="0.3">
      <c r="A9" t="s">
        <v>70</v>
      </c>
      <c r="B9" t="s">
        <v>71</v>
      </c>
      <c r="C9" s="1">
        <v>45658</v>
      </c>
      <c r="D9" t="s">
        <v>0</v>
      </c>
      <c r="E9" t="s">
        <v>34</v>
      </c>
      <c r="F9" t="s">
        <v>0</v>
      </c>
      <c r="G9" t="s">
        <v>43</v>
      </c>
      <c r="H9" t="s">
        <v>80</v>
      </c>
      <c r="I9" t="s">
        <v>81</v>
      </c>
      <c r="J9" t="s">
        <v>74</v>
      </c>
      <c r="K9" t="s">
        <v>82</v>
      </c>
      <c r="L9">
        <v>2</v>
      </c>
      <c r="M9" t="s">
        <v>40</v>
      </c>
      <c r="N9" s="3" t="s">
        <v>0</v>
      </c>
      <c r="O9" t="s">
        <v>0</v>
      </c>
      <c r="P9" t="s">
        <v>41</v>
      </c>
      <c r="Q9" t="s">
        <v>42</v>
      </c>
    </row>
    <row r="10" spans="1:17" x14ac:dyDescent="0.3">
      <c r="A10" t="s">
        <v>70</v>
      </c>
      <c r="B10" t="s">
        <v>71</v>
      </c>
      <c r="C10" s="1">
        <v>45658</v>
      </c>
      <c r="D10" t="s">
        <v>0</v>
      </c>
      <c r="E10" t="s">
        <v>34</v>
      </c>
      <c r="F10" t="s">
        <v>0</v>
      </c>
      <c r="G10" t="s">
        <v>43</v>
      </c>
      <c r="H10" t="s">
        <v>83</v>
      </c>
      <c r="I10" t="s">
        <v>84</v>
      </c>
      <c r="J10" t="s">
        <v>85</v>
      </c>
      <c r="K10" t="s">
        <v>86</v>
      </c>
      <c r="L10">
        <v>2</v>
      </c>
      <c r="M10" t="s">
        <v>40</v>
      </c>
      <c r="N10" s="3" t="s">
        <v>0</v>
      </c>
      <c r="O10" t="s">
        <v>0</v>
      </c>
      <c r="P10" t="s">
        <v>41</v>
      </c>
      <c r="Q10" t="s">
        <v>42</v>
      </c>
    </row>
    <row r="11" spans="1:17" x14ac:dyDescent="0.3">
      <c r="A11" t="s">
        <v>70</v>
      </c>
      <c r="B11" t="s">
        <v>71</v>
      </c>
      <c r="C11" s="2">
        <v>45748</v>
      </c>
      <c r="D11" t="s">
        <v>0</v>
      </c>
      <c r="E11" t="s">
        <v>34</v>
      </c>
      <c r="F11" t="s">
        <v>0</v>
      </c>
      <c r="G11" t="s">
        <v>43</v>
      </c>
      <c r="H11" t="s">
        <v>87</v>
      </c>
      <c r="I11" t="s">
        <v>88</v>
      </c>
      <c r="J11" t="s">
        <v>89</v>
      </c>
      <c r="K11" t="s">
        <v>75</v>
      </c>
      <c r="L11">
        <v>1</v>
      </c>
      <c r="M11" t="s">
        <v>40</v>
      </c>
      <c r="N11" s="3" t="s">
        <v>0</v>
      </c>
      <c r="O11" t="s">
        <v>0</v>
      </c>
      <c r="P11" t="s">
        <v>76</v>
      </c>
      <c r="Q11" t="s">
        <v>42</v>
      </c>
    </row>
    <row r="12" spans="1:17" x14ac:dyDescent="0.3">
      <c r="A12" t="s">
        <v>70</v>
      </c>
      <c r="B12" t="s">
        <v>71</v>
      </c>
      <c r="C12" s="1">
        <v>45658</v>
      </c>
      <c r="D12" t="s">
        <v>0</v>
      </c>
      <c r="E12" t="s">
        <v>34</v>
      </c>
      <c r="F12" t="s">
        <v>0</v>
      </c>
      <c r="G12" t="s">
        <v>35</v>
      </c>
      <c r="H12" t="s">
        <v>90</v>
      </c>
      <c r="I12" t="s">
        <v>91</v>
      </c>
      <c r="J12" t="s">
        <v>92</v>
      </c>
      <c r="K12" t="s">
        <v>93</v>
      </c>
      <c r="L12">
        <v>2</v>
      </c>
      <c r="M12" t="s">
        <v>40</v>
      </c>
      <c r="N12" s="3" t="s">
        <v>0</v>
      </c>
      <c r="O12" t="s">
        <v>0</v>
      </c>
      <c r="P12" t="s">
        <v>41</v>
      </c>
      <c r="Q12" t="s">
        <v>42</v>
      </c>
    </row>
    <row r="13" spans="1:17" x14ac:dyDescent="0.3">
      <c r="A13" t="s">
        <v>70</v>
      </c>
      <c r="B13" t="s">
        <v>71</v>
      </c>
      <c r="C13" s="2">
        <v>45748</v>
      </c>
      <c r="D13" t="s">
        <v>0</v>
      </c>
      <c r="E13" t="s">
        <v>34</v>
      </c>
      <c r="F13" t="s">
        <v>0</v>
      </c>
      <c r="G13" t="s">
        <v>43</v>
      </c>
      <c r="H13" t="s">
        <v>94</v>
      </c>
      <c r="I13" t="s">
        <v>95</v>
      </c>
      <c r="J13" t="s">
        <v>96</v>
      </c>
      <c r="K13" t="s">
        <v>97</v>
      </c>
      <c r="L13">
        <v>1</v>
      </c>
      <c r="M13" t="s">
        <v>40</v>
      </c>
      <c r="N13" s="3" t="s">
        <v>0</v>
      </c>
      <c r="O13" t="s">
        <v>0</v>
      </c>
      <c r="P13" t="s">
        <v>76</v>
      </c>
      <c r="Q13" t="s">
        <v>42</v>
      </c>
    </row>
    <row r="14" spans="1:17" x14ac:dyDescent="0.3">
      <c r="A14" t="s">
        <v>70</v>
      </c>
      <c r="B14" t="s">
        <v>71</v>
      </c>
      <c r="C14" s="1">
        <v>45658</v>
      </c>
      <c r="D14" t="s">
        <v>0</v>
      </c>
      <c r="E14" t="s">
        <v>34</v>
      </c>
      <c r="F14" t="s">
        <v>0</v>
      </c>
      <c r="G14" t="s">
        <v>43</v>
      </c>
      <c r="H14" t="s">
        <v>98</v>
      </c>
      <c r="I14" t="s">
        <v>99</v>
      </c>
      <c r="J14" t="s">
        <v>100</v>
      </c>
      <c r="K14" t="s">
        <v>101</v>
      </c>
      <c r="L14">
        <v>2</v>
      </c>
      <c r="M14" t="s">
        <v>40</v>
      </c>
      <c r="N14" s="3" t="s">
        <v>0</v>
      </c>
      <c r="O14" t="s">
        <v>0</v>
      </c>
      <c r="P14" t="s">
        <v>41</v>
      </c>
      <c r="Q14" t="s">
        <v>42</v>
      </c>
    </row>
    <row r="15" spans="1:17" x14ac:dyDescent="0.3">
      <c r="A15" t="s">
        <v>102</v>
      </c>
      <c r="B15" t="s">
        <v>103</v>
      </c>
      <c r="C15" s="1">
        <v>45658</v>
      </c>
      <c r="D15" t="s">
        <v>0</v>
      </c>
      <c r="E15" t="s">
        <v>34</v>
      </c>
      <c r="F15" t="s">
        <v>0</v>
      </c>
      <c r="G15" t="s">
        <v>35</v>
      </c>
      <c r="H15" t="s">
        <v>104</v>
      </c>
      <c r="I15" t="s">
        <v>105</v>
      </c>
      <c r="J15" t="s">
        <v>106</v>
      </c>
      <c r="K15" t="s">
        <v>107</v>
      </c>
      <c r="L15">
        <v>2</v>
      </c>
      <c r="M15" t="s">
        <v>40</v>
      </c>
      <c r="N15" s="3" t="s">
        <v>0</v>
      </c>
      <c r="O15" t="s">
        <v>0</v>
      </c>
      <c r="P15" t="s">
        <v>41</v>
      </c>
      <c r="Q15" t="s">
        <v>42</v>
      </c>
    </row>
    <row r="16" spans="1:17" x14ac:dyDescent="0.3">
      <c r="A16" t="s">
        <v>108</v>
      </c>
      <c r="B16" t="s">
        <v>109</v>
      </c>
      <c r="C16" s="1">
        <v>45658</v>
      </c>
      <c r="D16" s="2">
        <v>45747</v>
      </c>
      <c r="E16" t="s">
        <v>34</v>
      </c>
      <c r="F16" t="s">
        <v>0</v>
      </c>
      <c r="G16" t="s">
        <v>43</v>
      </c>
      <c r="H16" t="s">
        <v>110</v>
      </c>
      <c r="I16" t="s">
        <v>111</v>
      </c>
      <c r="J16" t="s">
        <v>112</v>
      </c>
      <c r="K16" t="s">
        <v>113</v>
      </c>
      <c r="L16">
        <v>1</v>
      </c>
      <c r="M16" t="s">
        <v>40</v>
      </c>
      <c r="N16" s="3" t="s">
        <v>0</v>
      </c>
      <c r="O16" t="s">
        <v>0</v>
      </c>
      <c r="P16" t="s">
        <v>55</v>
      </c>
      <c r="Q16" t="s">
        <v>42</v>
      </c>
    </row>
    <row r="17" spans="1:17" x14ac:dyDescent="0.3">
      <c r="A17" t="s">
        <v>108</v>
      </c>
      <c r="B17" t="s">
        <v>109</v>
      </c>
      <c r="C17" s="1">
        <v>45658</v>
      </c>
      <c r="D17" t="s">
        <v>0</v>
      </c>
      <c r="E17" t="s">
        <v>34</v>
      </c>
      <c r="F17" t="s">
        <v>0</v>
      </c>
      <c r="G17" t="s">
        <v>114</v>
      </c>
      <c r="H17" t="s">
        <v>115</v>
      </c>
      <c r="I17" t="s">
        <v>116</v>
      </c>
      <c r="J17" t="s">
        <v>117</v>
      </c>
      <c r="K17" t="s">
        <v>118</v>
      </c>
      <c r="L17">
        <v>2</v>
      </c>
      <c r="M17" t="s">
        <v>40</v>
      </c>
      <c r="N17" s="3" t="s">
        <v>0</v>
      </c>
      <c r="O17" t="s">
        <v>0</v>
      </c>
      <c r="P17" t="s">
        <v>41</v>
      </c>
      <c r="Q17" t="s">
        <v>42</v>
      </c>
    </row>
    <row r="18" spans="1:17" x14ac:dyDescent="0.3">
      <c r="A18" t="s">
        <v>108</v>
      </c>
      <c r="B18" t="s">
        <v>109</v>
      </c>
      <c r="C18" s="2">
        <v>45748</v>
      </c>
      <c r="D18" t="s">
        <v>0</v>
      </c>
      <c r="E18" t="s">
        <v>34</v>
      </c>
      <c r="F18" t="s">
        <v>0</v>
      </c>
      <c r="G18" t="s">
        <v>43</v>
      </c>
      <c r="H18" t="s">
        <v>119</v>
      </c>
      <c r="I18" t="s">
        <v>120</v>
      </c>
      <c r="J18" t="s">
        <v>121</v>
      </c>
      <c r="K18" t="s">
        <v>122</v>
      </c>
      <c r="L18">
        <v>1</v>
      </c>
      <c r="M18" t="s">
        <v>40</v>
      </c>
      <c r="N18" s="3" t="s">
        <v>0</v>
      </c>
      <c r="O18" t="s">
        <v>0</v>
      </c>
      <c r="P18" t="s">
        <v>76</v>
      </c>
      <c r="Q18" t="s">
        <v>42</v>
      </c>
    </row>
    <row r="19" spans="1:17" x14ac:dyDescent="0.3">
      <c r="A19" t="s">
        <v>108</v>
      </c>
      <c r="B19" t="s">
        <v>109</v>
      </c>
      <c r="C19" s="2">
        <v>45748</v>
      </c>
      <c r="D19" t="s">
        <v>0</v>
      </c>
      <c r="E19" t="s">
        <v>34</v>
      </c>
      <c r="F19" t="s">
        <v>0</v>
      </c>
      <c r="G19" t="s">
        <v>50</v>
      </c>
      <c r="H19" t="s">
        <v>123</v>
      </c>
      <c r="I19" t="s">
        <v>124</v>
      </c>
      <c r="J19" t="s">
        <v>125</v>
      </c>
      <c r="K19" t="s">
        <v>126</v>
      </c>
      <c r="L19">
        <v>1</v>
      </c>
      <c r="M19" t="s">
        <v>40</v>
      </c>
      <c r="N19" s="3" t="s">
        <v>0</v>
      </c>
      <c r="O19" t="s">
        <v>0</v>
      </c>
      <c r="P19" t="s">
        <v>76</v>
      </c>
      <c r="Q19" t="s">
        <v>42</v>
      </c>
    </row>
    <row r="20" spans="1:17" x14ac:dyDescent="0.3">
      <c r="A20" t="s">
        <v>108</v>
      </c>
      <c r="B20" t="s">
        <v>109</v>
      </c>
      <c r="C20" s="2">
        <v>45748</v>
      </c>
      <c r="D20" t="s">
        <v>0</v>
      </c>
      <c r="E20" t="s">
        <v>34</v>
      </c>
      <c r="F20" t="s">
        <v>0</v>
      </c>
      <c r="G20" t="s">
        <v>43</v>
      </c>
      <c r="H20" t="s">
        <v>127</v>
      </c>
      <c r="I20" t="s">
        <v>128</v>
      </c>
      <c r="J20" t="s">
        <v>129</v>
      </c>
      <c r="K20" t="s">
        <v>130</v>
      </c>
      <c r="L20">
        <v>1</v>
      </c>
      <c r="M20" t="s">
        <v>62</v>
      </c>
      <c r="N20" s="3" t="s">
        <v>0</v>
      </c>
      <c r="O20" t="s">
        <v>0</v>
      </c>
      <c r="P20" t="s">
        <v>63</v>
      </c>
      <c r="Q20" t="s">
        <v>42</v>
      </c>
    </row>
    <row r="21" spans="1:17" x14ac:dyDescent="0.3">
      <c r="A21" t="s">
        <v>131</v>
      </c>
      <c r="B21" t="s">
        <v>132</v>
      </c>
      <c r="C21" s="1">
        <v>45658</v>
      </c>
      <c r="D21" t="s">
        <v>0</v>
      </c>
      <c r="E21" t="s">
        <v>34</v>
      </c>
      <c r="F21" t="s">
        <v>0</v>
      </c>
      <c r="G21" t="s">
        <v>35</v>
      </c>
      <c r="H21" t="s">
        <v>133</v>
      </c>
      <c r="I21" t="s">
        <v>134</v>
      </c>
      <c r="J21" t="s">
        <v>135</v>
      </c>
      <c r="K21" t="s">
        <v>136</v>
      </c>
      <c r="L21">
        <v>2</v>
      </c>
      <c r="M21" t="s">
        <v>40</v>
      </c>
      <c r="N21" s="3" t="s">
        <v>0</v>
      </c>
      <c r="O21" t="s">
        <v>0</v>
      </c>
      <c r="P21" t="s">
        <v>41</v>
      </c>
      <c r="Q21" t="s">
        <v>42</v>
      </c>
    </row>
    <row r="22" spans="1:17" x14ac:dyDescent="0.3">
      <c r="A22" t="s">
        <v>137</v>
      </c>
      <c r="B22" t="s">
        <v>138</v>
      </c>
      <c r="C22" s="2">
        <v>45748</v>
      </c>
      <c r="D22" t="s">
        <v>0</v>
      </c>
      <c r="E22" t="s">
        <v>34</v>
      </c>
      <c r="F22" t="s">
        <v>0</v>
      </c>
      <c r="G22" t="s">
        <v>43</v>
      </c>
      <c r="H22" t="s">
        <v>139</v>
      </c>
      <c r="I22" t="s">
        <v>140</v>
      </c>
      <c r="J22" t="s">
        <v>141</v>
      </c>
      <c r="K22" t="s">
        <v>142</v>
      </c>
      <c r="L22">
        <v>1</v>
      </c>
      <c r="M22" t="s">
        <v>40</v>
      </c>
      <c r="N22" s="3" t="s">
        <v>0</v>
      </c>
      <c r="O22" t="s">
        <v>0</v>
      </c>
      <c r="P22" t="s">
        <v>76</v>
      </c>
      <c r="Q22" t="s">
        <v>42</v>
      </c>
    </row>
    <row r="23" spans="1:17" x14ac:dyDescent="0.3">
      <c r="A23" t="s">
        <v>137</v>
      </c>
      <c r="B23" t="s">
        <v>138</v>
      </c>
      <c r="C23" s="2">
        <v>45748</v>
      </c>
      <c r="D23" t="s">
        <v>0</v>
      </c>
      <c r="E23" t="s">
        <v>34</v>
      </c>
      <c r="F23" t="s">
        <v>0</v>
      </c>
      <c r="G23" t="s">
        <v>43</v>
      </c>
      <c r="H23" t="s">
        <v>143</v>
      </c>
      <c r="I23" t="s">
        <v>144</v>
      </c>
      <c r="J23" t="s">
        <v>145</v>
      </c>
      <c r="K23" t="s">
        <v>146</v>
      </c>
      <c r="L23">
        <v>1</v>
      </c>
      <c r="M23" t="s">
        <v>62</v>
      </c>
      <c r="N23" s="3" t="s">
        <v>0</v>
      </c>
      <c r="O23" t="s">
        <v>0</v>
      </c>
      <c r="P23" t="s">
        <v>76</v>
      </c>
      <c r="Q23" t="s">
        <v>42</v>
      </c>
    </row>
    <row r="24" spans="1:17" x14ac:dyDescent="0.3">
      <c r="A24" t="s">
        <v>108</v>
      </c>
      <c r="B24" t="s">
        <v>109</v>
      </c>
      <c r="C24" s="1">
        <v>45658</v>
      </c>
      <c r="D24" s="2">
        <v>45747</v>
      </c>
      <c r="E24" t="s">
        <v>34</v>
      </c>
      <c r="F24" t="s">
        <v>0</v>
      </c>
      <c r="G24" t="s">
        <v>43</v>
      </c>
      <c r="H24" t="s">
        <v>110</v>
      </c>
      <c r="I24" t="s">
        <v>111</v>
      </c>
      <c r="J24" t="s">
        <v>112</v>
      </c>
      <c r="K24" t="s">
        <v>113</v>
      </c>
      <c r="L24">
        <v>1</v>
      </c>
      <c r="M24" t="s">
        <v>40</v>
      </c>
      <c r="N24" s="3" t="s">
        <v>0</v>
      </c>
      <c r="O24" t="s">
        <v>0</v>
      </c>
      <c r="P24" t="s">
        <v>147</v>
      </c>
      <c r="Q24" t="s">
        <v>148</v>
      </c>
    </row>
    <row r="25" spans="1:17" x14ac:dyDescent="0.3">
      <c r="A25" t="s">
        <v>108</v>
      </c>
      <c r="B25" t="s">
        <v>109</v>
      </c>
      <c r="C25" s="1">
        <v>45658</v>
      </c>
      <c r="D25" t="s">
        <v>0</v>
      </c>
      <c r="E25" t="s">
        <v>34</v>
      </c>
      <c r="F25" t="s">
        <v>0</v>
      </c>
      <c r="G25" t="s">
        <v>114</v>
      </c>
      <c r="H25" t="s">
        <v>115</v>
      </c>
      <c r="I25" t="s">
        <v>116</v>
      </c>
      <c r="J25" t="s">
        <v>117</v>
      </c>
      <c r="K25" t="s">
        <v>118</v>
      </c>
      <c r="L25">
        <v>2</v>
      </c>
      <c r="M25" t="s">
        <v>40</v>
      </c>
      <c r="N25" s="3" t="s">
        <v>0</v>
      </c>
      <c r="O25" t="s">
        <v>0</v>
      </c>
      <c r="P25" t="s">
        <v>149</v>
      </c>
      <c r="Q25" t="s">
        <v>148</v>
      </c>
    </row>
    <row r="26" spans="1:17" x14ac:dyDescent="0.3">
      <c r="A26" t="s">
        <v>137</v>
      </c>
      <c r="B26" t="s">
        <v>138</v>
      </c>
      <c r="C26" s="2">
        <v>45748</v>
      </c>
      <c r="D26" t="s">
        <v>0</v>
      </c>
      <c r="E26" t="s">
        <v>34</v>
      </c>
      <c r="F26" t="s">
        <v>0</v>
      </c>
      <c r="G26" t="s">
        <v>43</v>
      </c>
      <c r="H26" t="s">
        <v>139</v>
      </c>
      <c r="I26" t="s">
        <v>140</v>
      </c>
      <c r="J26" t="s">
        <v>141</v>
      </c>
      <c r="K26" t="s">
        <v>142</v>
      </c>
      <c r="L26">
        <v>1</v>
      </c>
      <c r="M26" t="s">
        <v>40</v>
      </c>
      <c r="N26" s="3" t="s">
        <v>0</v>
      </c>
      <c r="O26" t="s">
        <v>0</v>
      </c>
      <c r="P26" t="s">
        <v>150</v>
      </c>
      <c r="Q26" t="s">
        <v>148</v>
      </c>
    </row>
    <row r="27" spans="1:17" x14ac:dyDescent="0.3">
      <c r="A27" t="s">
        <v>151</v>
      </c>
      <c r="B27" t="s">
        <v>152</v>
      </c>
      <c r="C27" s="1">
        <v>45658</v>
      </c>
      <c r="D27" t="s">
        <v>0</v>
      </c>
      <c r="E27" t="s">
        <v>34</v>
      </c>
      <c r="F27" t="s">
        <v>0</v>
      </c>
      <c r="G27" t="s">
        <v>35</v>
      </c>
      <c r="H27" t="s">
        <v>153</v>
      </c>
      <c r="I27" t="s">
        <v>154</v>
      </c>
      <c r="J27" t="s">
        <v>155</v>
      </c>
      <c r="K27" t="s">
        <v>156</v>
      </c>
      <c r="L27">
        <v>2</v>
      </c>
      <c r="M27" t="s">
        <v>40</v>
      </c>
      <c r="N27" s="3" t="s">
        <v>0</v>
      </c>
      <c r="O27" t="s">
        <v>0</v>
      </c>
      <c r="P27" t="s">
        <v>149</v>
      </c>
      <c r="Q27" t="s">
        <v>148</v>
      </c>
    </row>
    <row r="28" spans="1:17" x14ac:dyDescent="0.3">
      <c r="A28" t="s">
        <v>32</v>
      </c>
      <c r="B28" t="s">
        <v>33</v>
      </c>
      <c r="C28" s="1">
        <v>45658</v>
      </c>
      <c r="D28" t="s">
        <v>0</v>
      </c>
      <c r="E28" t="s">
        <v>34</v>
      </c>
      <c r="F28" t="s">
        <v>0</v>
      </c>
      <c r="G28" t="s">
        <v>35</v>
      </c>
      <c r="H28" t="s">
        <v>36</v>
      </c>
      <c r="I28" t="s">
        <v>37</v>
      </c>
      <c r="J28" t="s">
        <v>38</v>
      </c>
      <c r="K28" t="s">
        <v>39</v>
      </c>
      <c r="L28">
        <v>2</v>
      </c>
      <c r="M28" t="s">
        <v>40</v>
      </c>
      <c r="N28" s="3" t="s">
        <v>0</v>
      </c>
      <c r="O28" t="s">
        <v>0</v>
      </c>
      <c r="P28" t="s">
        <v>149</v>
      </c>
      <c r="Q28" t="s">
        <v>148</v>
      </c>
    </row>
    <row r="29" spans="1:17" x14ac:dyDescent="0.3">
      <c r="A29" t="s">
        <v>131</v>
      </c>
      <c r="B29" t="s">
        <v>132</v>
      </c>
      <c r="C29" s="1">
        <v>45658</v>
      </c>
      <c r="D29" t="s">
        <v>0</v>
      </c>
      <c r="E29" t="s">
        <v>34</v>
      </c>
      <c r="F29" t="s">
        <v>0</v>
      </c>
      <c r="G29" t="s">
        <v>35</v>
      </c>
      <c r="H29" t="s">
        <v>133</v>
      </c>
      <c r="I29" t="s">
        <v>134</v>
      </c>
      <c r="J29" t="s">
        <v>135</v>
      </c>
      <c r="K29" t="s">
        <v>136</v>
      </c>
      <c r="L29">
        <v>2</v>
      </c>
      <c r="M29" t="s">
        <v>40</v>
      </c>
      <c r="N29" s="3" t="s">
        <v>0</v>
      </c>
      <c r="O29" t="s">
        <v>0</v>
      </c>
      <c r="P29" t="s">
        <v>149</v>
      </c>
      <c r="Q29" t="s">
        <v>148</v>
      </c>
    </row>
    <row r="30" spans="1:17" x14ac:dyDescent="0.3">
      <c r="A30" t="s">
        <v>32</v>
      </c>
      <c r="B30" t="s">
        <v>33</v>
      </c>
      <c r="C30" s="1">
        <v>45658</v>
      </c>
      <c r="D30" t="s">
        <v>0</v>
      </c>
      <c r="E30" t="s">
        <v>34</v>
      </c>
      <c r="F30" t="s">
        <v>0</v>
      </c>
      <c r="G30" t="s">
        <v>43</v>
      </c>
      <c r="H30" t="s">
        <v>44</v>
      </c>
      <c r="I30" t="s">
        <v>45</v>
      </c>
      <c r="J30" t="s">
        <v>46</v>
      </c>
      <c r="K30" t="s">
        <v>47</v>
      </c>
      <c r="L30">
        <v>2</v>
      </c>
      <c r="M30" t="s">
        <v>40</v>
      </c>
      <c r="N30" s="3" t="s">
        <v>0</v>
      </c>
      <c r="O30" t="s">
        <v>0</v>
      </c>
      <c r="P30" t="s">
        <v>149</v>
      </c>
      <c r="Q30" t="s">
        <v>148</v>
      </c>
    </row>
    <row r="31" spans="1:17" x14ac:dyDescent="0.3">
      <c r="A31" t="s">
        <v>48</v>
      </c>
      <c r="B31" t="s">
        <v>49</v>
      </c>
      <c r="C31" s="1">
        <v>45658</v>
      </c>
      <c r="D31" s="2">
        <v>45747</v>
      </c>
      <c r="E31" t="s">
        <v>34</v>
      </c>
      <c r="F31" t="s">
        <v>0</v>
      </c>
      <c r="G31" t="s">
        <v>50</v>
      </c>
      <c r="H31" t="s">
        <v>51</v>
      </c>
      <c r="I31" t="s">
        <v>52</v>
      </c>
      <c r="J31" t="s">
        <v>53</v>
      </c>
      <c r="K31" t="s">
        <v>54</v>
      </c>
      <c r="L31">
        <v>1</v>
      </c>
      <c r="M31" t="s">
        <v>40</v>
      </c>
      <c r="N31" s="3" t="s">
        <v>0</v>
      </c>
      <c r="O31" t="s">
        <v>0</v>
      </c>
      <c r="P31" t="s">
        <v>147</v>
      </c>
      <c r="Q31" t="s">
        <v>148</v>
      </c>
    </row>
    <row r="32" spans="1:17" x14ac:dyDescent="0.3">
      <c r="A32" t="s">
        <v>70</v>
      </c>
      <c r="B32" t="s">
        <v>71</v>
      </c>
      <c r="C32" s="2">
        <v>45748</v>
      </c>
      <c r="D32" t="s">
        <v>0</v>
      </c>
      <c r="E32" t="s">
        <v>34</v>
      </c>
      <c r="F32" t="s">
        <v>0</v>
      </c>
      <c r="G32" t="s">
        <v>43</v>
      </c>
      <c r="H32" t="s">
        <v>72</v>
      </c>
      <c r="I32" t="s">
        <v>73</v>
      </c>
      <c r="J32" t="s">
        <v>74</v>
      </c>
      <c r="K32" t="s">
        <v>75</v>
      </c>
      <c r="L32">
        <v>1</v>
      </c>
      <c r="M32" t="s">
        <v>40</v>
      </c>
      <c r="N32" s="3" t="s">
        <v>0</v>
      </c>
      <c r="O32" t="s">
        <v>0</v>
      </c>
      <c r="P32" t="s">
        <v>150</v>
      </c>
      <c r="Q32" t="s">
        <v>148</v>
      </c>
    </row>
    <row r="33" spans="1:17" x14ac:dyDescent="0.3">
      <c r="A33" t="s">
        <v>70</v>
      </c>
      <c r="B33" t="s">
        <v>71</v>
      </c>
      <c r="C33" s="2">
        <v>45748</v>
      </c>
      <c r="D33" t="s">
        <v>0</v>
      </c>
      <c r="E33" t="s">
        <v>34</v>
      </c>
      <c r="F33" t="s">
        <v>0</v>
      </c>
      <c r="G33" t="s">
        <v>43</v>
      </c>
      <c r="H33" t="s">
        <v>77</v>
      </c>
      <c r="I33" t="s">
        <v>78</v>
      </c>
      <c r="J33" t="s">
        <v>74</v>
      </c>
      <c r="K33" t="s">
        <v>79</v>
      </c>
      <c r="L33">
        <v>1</v>
      </c>
      <c r="M33" t="s">
        <v>40</v>
      </c>
      <c r="N33" s="3" t="s">
        <v>0</v>
      </c>
      <c r="O33" t="s">
        <v>0</v>
      </c>
      <c r="P33" t="s">
        <v>150</v>
      </c>
      <c r="Q33" t="s">
        <v>148</v>
      </c>
    </row>
    <row r="34" spans="1:17" x14ac:dyDescent="0.3">
      <c r="A34" t="s">
        <v>70</v>
      </c>
      <c r="B34" t="s">
        <v>71</v>
      </c>
      <c r="C34" s="1">
        <v>45658</v>
      </c>
      <c r="D34" t="s">
        <v>0</v>
      </c>
      <c r="E34" t="s">
        <v>34</v>
      </c>
      <c r="F34" t="s">
        <v>0</v>
      </c>
      <c r="G34" t="s">
        <v>43</v>
      </c>
      <c r="H34" t="s">
        <v>80</v>
      </c>
      <c r="I34" t="s">
        <v>81</v>
      </c>
      <c r="J34" t="s">
        <v>74</v>
      </c>
      <c r="K34" t="s">
        <v>82</v>
      </c>
      <c r="L34">
        <v>2</v>
      </c>
      <c r="M34" t="s">
        <v>40</v>
      </c>
      <c r="N34" s="3" t="s">
        <v>0</v>
      </c>
      <c r="O34" t="s">
        <v>0</v>
      </c>
      <c r="P34" t="s">
        <v>149</v>
      </c>
      <c r="Q34" t="s">
        <v>148</v>
      </c>
    </row>
    <row r="35" spans="1:17" x14ac:dyDescent="0.3">
      <c r="A35" t="s">
        <v>137</v>
      </c>
      <c r="B35" t="s">
        <v>138</v>
      </c>
      <c r="C35" s="2">
        <v>45748</v>
      </c>
      <c r="D35" t="s">
        <v>0</v>
      </c>
      <c r="E35" t="s">
        <v>34</v>
      </c>
      <c r="F35" t="s">
        <v>0</v>
      </c>
      <c r="G35" t="s">
        <v>43</v>
      </c>
      <c r="H35" t="s">
        <v>143</v>
      </c>
      <c r="I35" t="s">
        <v>144</v>
      </c>
      <c r="J35" t="s">
        <v>145</v>
      </c>
      <c r="K35" t="s">
        <v>146</v>
      </c>
      <c r="L35">
        <v>1</v>
      </c>
      <c r="M35" t="s">
        <v>62</v>
      </c>
      <c r="N35" s="3" t="s">
        <v>0</v>
      </c>
      <c r="O35" t="s">
        <v>0</v>
      </c>
      <c r="P35" t="s">
        <v>150</v>
      </c>
      <c r="Q35" t="s">
        <v>148</v>
      </c>
    </row>
    <row r="36" spans="1:17" x14ac:dyDescent="0.3">
      <c r="A36" t="s">
        <v>70</v>
      </c>
      <c r="B36" t="s">
        <v>71</v>
      </c>
      <c r="C36" s="1">
        <v>45658</v>
      </c>
      <c r="D36" t="s">
        <v>0</v>
      </c>
      <c r="E36" t="s">
        <v>34</v>
      </c>
      <c r="F36" t="s">
        <v>0</v>
      </c>
      <c r="G36" t="s">
        <v>43</v>
      </c>
      <c r="H36" t="s">
        <v>83</v>
      </c>
      <c r="I36" t="s">
        <v>84</v>
      </c>
      <c r="J36" t="s">
        <v>85</v>
      </c>
      <c r="K36" t="s">
        <v>86</v>
      </c>
      <c r="L36">
        <v>2</v>
      </c>
      <c r="M36" t="s">
        <v>40</v>
      </c>
      <c r="N36" s="3" t="s">
        <v>0</v>
      </c>
      <c r="O36" t="s">
        <v>0</v>
      </c>
      <c r="P36" t="s">
        <v>149</v>
      </c>
      <c r="Q36" t="s">
        <v>148</v>
      </c>
    </row>
    <row r="37" spans="1:17" x14ac:dyDescent="0.3">
      <c r="A37" t="s">
        <v>70</v>
      </c>
      <c r="B37" t="s">
        <v>71</v>
      </c>
      <c r="C37" s="2">
        <v>45748</v>
      </c>
      <c r="D37" t="s">
        <v>0</v>
      </c>
      <c r="E37" t="s">
        <v>34</v>
      </c>
      <c r="F37" t="s">
        <v>0</v>
      </c>
      <c r="G37" t="s">
        <v>43</v>
      </c>
      <c r="H37" t="s">
        <v>87</v>
      </c>
      <c r="I37" t="s">
        <v>88</v>
      </c>
      <c r="J37" t="s">
        <v>89</v>
      </c>
      <c r="K37" t="s">
        <v>75</v>
      </c>
      <c r="L37">
        <v>1</v>
      </c>
      <c r="M37" t="s">
        <v>40</v>
      </c>
      <c r="N37" s="3" t="s">
        <v>0</v>
      </c>
      <c r="O37" t="s">
        <v>0</v>
      </c>
      <c r="P37" t="s">
        <v>150</v>
      </c>
      <c r="Q37" t="s">
        <v>148</v>
      </c>
    </row>
    <row r="38" spans="1:17" x14ac:dyDescent="0.3">
      <c r="A38" t="s">
        <v>70</v>
      </c>
      <c r="B38" t="s">
        <v>71</v>
      </c>
      <c r="C38" s="1">
        <v>45658</v>
      </c>
      <c r="D38" t="s">
        <v>0</v>
      </c>
      <c r="E38" t="s">
        <v>34</v>
      </c>
      <c r="F38" t="s">
        <v>0</v>
      </c>
      <c r="G38" t="s">
        <v>35</v>
      </c>
      <c r="H38" t="s">
        <v>90</v>
      </c>
      <c r="I38" t="s">
        <v>91</v>
      </c>
      <c r="J38" t="s">
        <v>92</v>
      </c>
      <c r="K38" t="s">
        <v>93</v>
      </c>
      <c r="L38">
        <v>2</v>
      </c>
      <c r="M38" t="s">
        <v>40</v>
      </c>
      <c r="N38" s="3" t="s">
        <v>0</v>
      </c>
      <c r="O38" t="s">
        <v>0</v>
      </c>
      <c r="P38" t="s">
        <v>149</v>
      </c>
      <c r="Q38" t="s">
        <v>148</v>
      </c>
    </row>
    <row r="39" spans="1:17" x14ac:dyDescent="0.3">
      <c r="A39" t="s">
        <v>56</v>
      </c>
      <c r="B39" t="s">
        <v>57</v>
      </c>
      <c r="C39" s="2">
        <v>45748</v>
      </c>
      <c r="D39" t="s">
        <v>0</v>
      </c>
      <c r="E39" t="s">
        <v>34</v>
      </c>
      <c r="F39" t="s">
        <v>0</v>
      </c>
      <c r="G39" t="s">
        <v>43</v>
      </c>
      <c r="H39" t="s">
        <v>58</v>
      </c>
      <c r="I39" t="s">
        <v>59</v>
      </c>
      <c r="J39" t="s">
        <v>60</v>
      </c>
      <c r="K39" t="s">
        <v>61</v>
      </c>
      <c r="L39">
        <v>1</v>
      </c>
      <c r="M39" t="s">
        <v>62</v>
      </c>
      <c r="N39" s="3" t="s">
        <v>0</v>
      </c>
      <c r="O39" t="s">
        <v>0</v>
      </c>
      <c r="P39" t="s">
        <v>150</v>
      </c>
      <c r="Q39" t="s">
        <v>148</v>
      </c>
    </row>
    <row r="40" spans="1:17" x14ac:dyDescent="0.3">
      <c r="A40" t="s">
        <v>157</v>
      </c>
      <c r="B40" t="s">
        <v>158</v>
      </c>
      <c r="C40" s="2">
        <v>45748</v>
      </c>
      <c r="D40" t="s">
        <v>0</v>
      </c>
      <c r="E40" t="s">
        <v>34</v>
      </c>
      <c r="F40" t="s">
        <v>0</v>
      </c>
      <c r="G40" t="s">
        <v>43</v>
      </c>
      <c r="H40" t="s">
        <v>159</v>
      </c>
      <c r="I40" t="s">
        <v>160</v>
      </c>
      <c r="J40" t="s">
        <v>161</v>
      </c>
      <c r="K40" t="s">
        <v>162</v>
      </c>
      <c r="L40">
        <v>1</v>
      </c>
      <c r="M40" t="s">
        <v>62</v>
      </c>
      <c r="N40" s="3" t="s">
        <v>0</v>
      </c>
      <c r="O40" t="s">
        <v>0</v>
      </c>
      <c r="P40" t="s">
        <v>150</v>
      </c>
      <c r="Q40" t="s">
        <v>148</v>
      </c>
    </row>
    <row r="41" spans="1:17" x14ac:dyDescent="0.3">
      <c r="A41" t="s">
        <v>70</v>
      </c>
      <c r="B41" t="s">
        <v>71</v>
      </c>
      <c r="C41" s="2">
        <v>45748</v>
      </c>
      <c r="D41" t="s">
        <v>0</v>
      </c>
      <c r="E41" t="s">
        <v>34</v>
      </c>
      <c r="F41" t="s">
        <v>0</v>
      </c>
      <c r="G41" t="s">
        <v>43</v>
      </c>
      <c r="H41" t="s">
        <v>94</v>
      </c>
      <c r="I41" t="s">
        <v>95</v>
      </c>
      <c r="J41" t="s">
        <v>96</v>
      </c>
      <c r="K41" t="s">
        <v>97</v>
      </c>
      <c r="L41">
        <v>1</v>
      </c>
      <c r="M41" t="s">
        <v>40</v>
      </c>
      <c r="N41" s="3" t="s">
        <v>0</v>
      </c>
      <c r="O41" t="s">
        <v>0</v>
      </c>
      <c r="P41" t="s">
        <v>150</v>
      </c>
      <c r="Q41" t="s">
        <v>148</v>
      </c>
    </row>
    <row r="42" spans="1:17" x14ac:dyDescent="0.3">
      <c r="A42" t="s">
        <v>70</v>
      </c>
      <c r="B42" t="s">
        <v>71</v>
      </c>
      <c r="C42" s="1">
        <v>45658</v>
      </c>
      <c r="D42" t="s">
        <v>0</v>
      </c>
      <c r="E42" t="s">
        <v>34</v>
      </c>
      <c r="F42" t="s">
        <v>0</v>
      </c>
      <c r="G42" t="s">
        <v>43</v>
      </c>
      <c r="H42" t="s">
        <v>98</v>
      </c>
      <c r="I42" t="s">
        <v>99</v>
      </c>
      <c r="J42" t="s">
        <v>100</v>
      </c>
      <c r="K42" t="s">
        <v>101</v>
      </c>
      <c r="L42">
        <v>2</v>
      </c>
      <c r="M42" t="s">
        <v>40</v>
      </c>
      <c r="N42" s="3" t="s">
        <v>0</v>
      </c>
      <c r="O42" t="s">
        <v>0</v>
      </c>
      <c r="P42" t="s">
        <v>149</v>
      </c>
      <c r="Q42" t="s">
        <v>148</v>
      </c>
    </row>
    <row r="43" spans="1:17" x14ac:dyDescent="0.3">
      <c r="A43" t="s">
        <v>108</v>
      </c>
      <c r="B43" t="s">
        <v>109</v>
      </c>
      <c r="C43" s="2">
        <v>45748</v>
      </c>
      <c r="D43" t="s">
        <v>0</v>
      </c>
      <c r="E43" t="s">
        <v>34</v>
      </c>
      <c r="F43" t="s">
        <v>0</v>
      </c>
      <c r="G43" t="s">
        <v>43</v>
      </c>
      <c r="H43" t="s">
        <v>119</v>
      </c>
      <c r="I43" t="s">
        <v>120</v>
      </c>
      <c r="J43" t="s">
        <v>121</v>
      </c>
      <c r="K43" t="s">
        <v>122</v>
      </c>
      <c r="L43">
        <v>1</v>
      </c>
      <c r="M43" t="s">
        <v>40</v>
      </c>
      <c r="N43" s="3" t="s">
        <v>0</v>
      </c>
      <c r="O43" t="s">
        <v>0</v>
      </c>
      <c r="P43" t="s">
        <v>150</v>
      </c>
      <c r="Q43" t="s">
        <v>148</v>
      </c>
    </row>
    <row r="44" spans="1:17" x14ac:dyDescent="0.3">
      <c r="A44" t="s">
        <v>108</v>
      </c>
      <c r="B44" t="s">
        <v>109</v>
      </c>
      <c r="C44" s="2">
        <v>45748</v>
      </c>
      <c r="D44" t="s">
        <v>0</v>
      </c>
      <c r="E44" t="s">
        <v>34</v>
      </c>
      <c r="F44" t="s">
        <v>0</v>
      </c>
      <c r="G44" t="s">
        <v>50</v>
      </c>
      <c r="H44" t="s">
        <v>123</v>
      </c>
      <c r="I44" t="s">
        <v>124</v>
      </c>
      <c r="J44" t="s">
        <v>125</v>
      </c>
      <c r="K44" t="s">
        <v>126</v>
      </c>
      <c r="L44">
        <v>1</v>
      </c>
      <c r="M44" t="s">
        <v>40</v>
      </c>
      <c r="N44" s="3" t="s">
        <v>0</v>
      </c>
      <c r="O44" t="s">
        <v>0</v>
      </c>
      <c r="P44" t="s">
        <v>150</v>
      </c>
      <c r="Q44" t="s">
        <v>148</v>
      </c>
    </row>
    <row r="45" spans="1:17" x14ac:dyDescent="0.3">
      <c r="A45" t="s">
        <v>108</v>
      </c>
      <c r="B45" t="s">
        <v>109</v>
      </c>
      <c r="C45" s="2">
        <v>45748</v>
      </c>
      <c r="D45" t="s">
        <v>0</v>
      </c>
      <c r="E45" t="s">
        <v>34</v>
      </c>
      <c r="F45" t="s">
        <v>0</v>
      </c>
      <c r="G45" t="s">
        <v>43</v>
      </c>
      <c r="H45" t="s">
        <v>127</v>
      </c>
      <c r="I45" t="s">
        <v>128</v>
      </c>
      <c r="J45" t="s">
        <v>129</v>
      </c>
      <c r="K45" t="s">
        <v>130</v>
      </c>
      <c r="L45">
        <v>1</v>
      </c>
      <c r="M45" t="s">
        <v>62</v>
      </c>
      <c r="N45" s="3" t="s">
        <v>0</v>
      </c>
      <c r="O45" t="s">
        <v>0</v>
      </c>
      <c r="P45" t="s">
        <v>150</v>
      </c>
      <c r="Q45" t="s">
        <v>148</v>
      </c>
    </row>
    <row r="46" spans="1:17" x14ac:dyDescent="0.3">
      <c r="A46" t="s">
        <v>64</v>
      </c>
      <c r="B46" t="s">
        <v>65</v>
      </c>
      <c r="C46" s="1">
        <v>45658</v>
      </c>
      <c r="D46" s="2">
        <v>45747</v>
      </c>
      <c r="E46" t="s">
        <v>34</v>
      </c>
      <c r="F46" t="s">
        <v>0</v>
      </c>
      <c r="G46" t="s">
        <v>43</v>
      </c>
      <c r="H46" t="s">
        <v>66</v>
      </c>
      <c r="I46" t="s">
        <v>67</v>
      </c>
      <c r="J46" t="s">
        <v>68</v>
      </c>
      <c r="K46" t="s">
        <v>69</v>
      </c>
      <c r="L46">
        <v>1</v>
      </c>
      <c r="M46" t="s">
        <v>40</v>
      </c>
      <c r="N46" s="3" t="s">
        <v>0</v>
      </c>
      <c r="O46" t="s">
        <v>0</v>
      </c>
      <c r="P46" t="s">
        <v>147</v>
      </c>
      <c r="Q46" t="s">
        <v>148</v>
      </c>
    </row>
    <row r="47" spans="1:17" x14ac:dyDescent="0.3">
      <c r="A47" t="s">
        <v>163</v>
      </c>
      <c r="B47" t="s">
        <v>164</v>
      </c>
      <c r="C47" s="2">
        <v>45748</v>
      </c>
      <c r="D47" t="s">
        <v>0</v>
      </c>
      <c r="E47" t="s">
        <v>34</v>
      </c>
      <c r="F47" t="s">
        <v>0</v>
      </c>
      <c r="G47" t="s">
        <v>165</v>
      </c>
      <c r="H47" t="s">
        <v>166</v>
      </c>
      <c r="I47" t="s">
        <v>167</v>
      </c>
      <c r="J47" t="s">
        <v>168</v>
      </c>
      <c r="K47" t="s">
        <v>169</v>
      </c>
      <c r="L47">
        <v>1</v>
      </c>
      <c r="M47" t="s">
        <v>40</v>
      </c>
      <c r="N47" s="3" t="s">
        <v>0</v>
      </c>
      <c r="O47" t="s">
        <v>0</v>
      </c>
      <c r="P47" t="s">
        <v>150</v>
      </c>
      <c r="Q47" t="s">
        <v>148</v>
      </c>
    </row>
    <row r="48" spans="1:17" x14ac:dyDescent="0.3">
      <c r="A48" t="s">
        <v>102</v>
      </c>
      <c r="B48" t="s">
        <v>103</v>
      </c>
      <c r="C48" s="1">
        <v>45658</v>
      </c>
      <c r="D48" t="s">
        <v>0</v>
      </c>
      <c r="E48" t="s">
        <v>34</v>
      </c>
      <c r="F48" t="s">
        <v>0</v>
      </c>
      <c r="G48" t="s">
        <v>35</v>
      </c>
      <c r="H48" t="s">
        <v>104</v>
      </c>
      <c r="I48" t="s">
        <v>105</v>
      </c>
      <c r="J48" t="s">
        <v>106</v>
      </c>
      <c r="K48" t="s">
        <v>107</v>
      </c>
      <c r="L48">
        <v>2</v>
      </c>
      <c r="M48" t="s">
        <v>40</v>
      </c>
      <c r="N48" s="3" t="s">
        <v>0</v>
      </c>
      <c r="O48" t="s">
        <v>0</v>
      </c>
      <c r="P48" t="s">
        <v>149</v>
      </c>
      <c r="Q48" t="s">
        <v>148</v>
      </c>
    </row>
    <row r="49" spans="1:17" x14ac:dyDescent="0.3">
      <c r="A49" t="s">
        <v>163</v>
      </c>
      <c r="B49" t="s">
        <v>164</v>
      </c>
      <c r="C49" s="2">
        <v>45748</v>
      </c>
      <c r="D49" t="s">
        <v>0</v>
      </c>
      <c r="E49" t="s">
        <v>34</v>
      </c>
      <c r="F49" t="s">
        <v>0</v>
      </c>
      <c r="G49" t="s">
        <v>165</v>
      </c>
      <c r="H49" t="s">
        <v>166</v>
      </c>
      <c r="I49" t="s">
        <v>167</v>
      </c>
      <c r="J49" t="s">
        <v>168</v>
      </c>
      <c r="K49" t="s">
        <v>169</v>
      </c>
      <c r="L49">
        <v>1</v>
      </c>
      <c r="M49" t="s">
        <v>40</v>
      </c>
      <c r="N49" s="3" t="s">
        <v>0</v>
      </c>
      <c r="O49" t="s">
        <v>0</v>
      </c>
      <c r="P49" t="s">
        <v>76</v>
      </c>
      <c r="Q49" t="s">
        <v>42</v>
      </c>
    </row>
    <row r="50" spans="1:17" x14ac:dyDescent="0.3">
      <c r="A50" t="s">
        <v>157</v>
      </c>
      <c r="B50" t="s">
        <v>158</v>
      </c>
      <c r="C50" s="2">
        <v>45748</v>
      </c>
      <c r="D50" t="s">
        <v>0</v>
      </c>
      <c r="E50" t="s">
        <v>34</v>
      </c>
      <c r="F50" t="s">
        <v>0</v>
      </c>
      <c r="G50" t="s">
        <v>43</v>
      </c>
      <c r="H50" t="s">
        <v>159</v>
      </c>
      <c r="I50" t="s">
        <v>160</v>
      </c>
      <c r="J50" t="s">
        <v>161</v>
      </c>
      <c r="K50" t="s">
        <v>162</v>
      </c>
      <c r="L50">
        <v>1</v>
      </c>
      <c r="M50" t="s">
        <v>62</v>
      </c>
      <c r="N50" s="3" t="s">
        <v>0</v>
      </c>
      <c r="O50" t="s">
        <v>0</v>
      </c>
      <c r="P50" t="s">
        <v>76</v>
      </c>
      <c r="Q50" t="s">
        <v>42</v>
      </c>
    </row>
    <row r="51" spans="1:17" x14ac:dyDescent="0.3">
      <c r="A51" t="s">
        <v>151</v>
      </c>
      <c r="B51" t="s">
        <v>152</v>
      </c>
      <c r="C51" s="1">
        <v>45658</v>
      </c>
      <c r="D51" t="s">
        <v>0</v>
      </c>
      <c r="E51" t="s">
        <v>34</v>
      </c>
      <c r="F51" t="s">
        <v>0</v>
      </c>
      <c r="G51" t="s">
        <v>35</v>
      </c>
      <c r="H51" t="s">
        <v>153</v>
      </c>
      <c r="I51" t="s">
        <v>154</v>
      </c>
      <c r="J51" t="s">
        <v>155</v>
      </c>
      <c r="K51" t="s">
        <v>156</v>
      </c>
      <c r="L51">
        <v>2</v>
      </c>
      <c r="M51" t="s">
        <v>40</v>
      </c>
      <c r="N51" s="3" t="s">
        <v>0</v>
      </c>
      <c r="O51" t="s">
        <v>0</v>
      </c>
      <c r="P51" t="s">
        <v>41</v>
      </c>
      <c r="Q51" t="s">
        <v>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E4EA0C-36E1-4AED-8B30-B629ED08283B}">
  <dimension ref="A1:M51"/>
  <sheetViews>
    <sheetView tabSelected="1" topLeftCell="B11" workbookViewId="0">
      <selection activeCell="M2" sqref="M2:M51"/>
    </sheetView>
  </sheetViews>
  <sheetFormatPr defaultRowHeight="14.4" x14ac:dyDescent="0.3"/>
  <cols>
    <col min="1" max="1" width="25" style="5" customWidth="1"/>
    <col min="2" max="2" width="20" style="5" customWidth="1"/>
    <col min="3" max="3" width="15" style="5" customWidth="1"/>
    <col min="4" max="4" width="53.77734375" style="5" bestFit="1" customWidth="1"/>
    <col min="5" max="5" width="12.109375" style="5" bestFit="1" customWidth="1"/>
    <col min="6" max="6" width="12.88671875" style="5" bestFit="1" customWidth="1"/>
    <col min="7" max="7" width="19" style="5" bestFit="1" customWidth="1"/>
    <col min="8" max="8" width="20.33203125" style="5" bestFit="1" customWidth="1"/>
    <col min="9" max="9" width="22.6640625" style="5" bestFit="1" customWidth="1"/>
    <col min="10" max="10" width="10.5546875" style="6" bestFit="1" customWidth="1"/>
    <col min="11" max="11" width="6.88671875" style="5" bestFit="1" customWidth="1"/>
    <col min="12" max="12" width="15.6640625" style="5" bestFit="1" customWidth="1"/>
    <col min="13" max="16384" width="8.88671875" style="5"/>
  </cols>
  <sheetData>
    <row r="1" spans="1:12" x14ac:dyDescent="0.3">
      <c r="A1" s="5" t="s">
        <v>15</v>
      </c>
      <c r="B1" s="5" t="s">
        <v>16</v>
      </c>
      <c r="C1" s="5" t="s">
        <v>17</v>
      </c>
      <c r="D1" s="5" t="s">
        <v>21</v>
      </c>
      <c r="E1" s="5" t="s">
        <v>23</v>
      </c>
      <c r="G1" s="5" t="s">
        <v>24</v>
      </c>
      <c r="H1" s="5" t="s">
        <v>25</v>
      </c>
      <c r="J1" s="6" t="s">
        <v>30</v>
      </c>
      <c r="K1" s="5" t="s">
        <v>31</v>
      </c>
    </row>
    <row r="2" spans="1:12" x14ac:dyDescent="0.3">
      <c r="A2" s="5" t="s">
        <v>173</v>
      </c>
      <c r="B2" s="5">
        <v>20411454</v>
      </c>
      <c r="C2" s="12">
        <v>45658</v>
      </c>
      <c r="D2" s="5" t="s">
        <v>43</v>
      </c>
      <c r="E2" s="5" t="s">
        <v>111</v>
      </c>
      <c r="F2" s="5" t="str">
        <f>CONCATENATE(E2,22)</f>
        <v>Z00006088222</v>
      </c>
      <c r="G2" s="5" t="s">
        <v>112</v>
      </c>
      <c r="H2" s="5" t="s">
        <v>113</v>
      </c>
      <c r="I2" s="5" t="str">
        <f>CONCATENATE(G2, " ",H2)</f>
        <v>AGUSTIN BIBIAN CHAVEZ</v>
      </c>
      <c r="J2" s="7">
        <v>-200</v>
      </c>
      <c r="K2" s="5" t="s">
        <v>148</v>
      </c>
      <c r="L2" s="5" t="s">
        <v>170</v>
      </c>
    </row>
    <row r="3" spans="1:12" x14ac:dyDescent="0.3">
      <c r="A3" s="5" t="s">
        <v>173</v>
      </c>
      <c r="B3" s="5">
        <v>20411454</v>
      </c>
      <c r="C3" s="12">
        <v>45658</v>
      </c>
      <c r="D3" s="5" t="s">
        <v>114</v>
      </c>
      <c r="E3" s="5" t="s">
        <v>116</v>
      </c>
      <c r="F3" s="5" t="str">
        <f t="shared" ref="F3:F26" si="0">CONCATENATE(E3,22)</f>
        <v>Z00004171022</v>
      </c>
      <c r="G3" s="5" t="s">
        <v>117</v>
      </c>
      <c r="H3" s="5" t="s">
        <v>118</v>
      </c>
      <c r="I3" s="5" t="str">
        <f t="shared" ref="I3:I51" si="1">CONCATENATE(G3, " ",H3)</f>
        <v>ANGEL TORRES</v>
      </c>
      <c r="J3" s="7">
        <v>8.32</v>
      </c>
      <c r="K3" s="5" t="s">
        <v>148</v>
      </c>
      <c r="L3" s="5" t="s">
        <v>170</v>
      </c>
    </row>
    <row r="4" spans="1:12" x14ac:dyDescent="0.3">
      <c r="A4" s="5" t="s">
        <v>173</v>
      </c>
      <c r="B4" s="5">
        <v>20411454</v>
      </c>
      <c r="C4" s="12">
        <v>45748</v>
      </c>
      <c r="D4" s="5" t="s">
        <v>43</v>
      </c>
      <c r="E4" s="5" t="s">
        <v>140</v>
      </c>
      <c r="F4" s="5" t="str">
        <f t="shared" si="0"/>
        <v>Z00007308022</v>
      </c>
      <c r="G4" s="5" t="s">
        <v>141</v>
      </c>
      <c r="H4" s="5" t="s">
        <v>142</v>
      </c>
      <c r="I4" s="5" t="str">
        <f t="shared" si="1"/>
        <v>ANGELITA RAMIREZ</v>
      </c>
      <c r="J4" s="7">
        <v>200</v>
      </c>
      <c r="K4" s="5" t="s">
        <v>148</v>
      </c>
      <c r="L4" s="5" t="s">
        <v>170</v>
      </c>
    </row>
    <row r="5" spans="1:12" x14ac:dyDescent="0.3">
      <c r="A5" s="5" t="s">
        <v>173</v>
      </c>
      <c r="B5" s="5">
        <v>20411454</v>
      </c>
      <c r="C5" s="12">
        <v>45658</v>
      </c>
      <c r="D5" s="5" t="s">
        <v>35</v>
      </c>
      <c r="E5" s="5" t="s">
        <v>154</v>
      </c>
      <c r="F5" s="5" t="str">
        <f t="shared" si="0"/>
        <v>Z00004814822</v>
      </c>
      <c r="G5" s="5" t="s">
        <v>155</v>
      </c>
      <c r="H5" s="5" t="s">
        <v>156</v>
      </c>
      <c r="I5" s="5" t="str">
        <f t="shared" si="1"/>
        <v>DAXABEN PATEL</v>
      </c>
      <c r="J5" s="7">
        <v>8.32</v>
      </c>
      <c r="K5" s="5" t="s">
        <v>148</v>
      </c>
      <c r="L5" s="5" t="s">
        <v>170</v>
      </c>
    </row>
    <row r="6" spans="1:12" x14ac:dyDescent="0.3">
      <c r="A6" s="5" t="s">
        <v>173</v>
      </c>
      <c r="B6" s="5">
        <v>20411454</v>
      </c>
      <c r="C6" s="12">
        <v>45658</v>
      </c>
      <c r="D6" s="5" t="s">
        <v>35</v>
      </c>
      <c r="E6" s="5" t="s">
        <v>37</v>
      </c>
      <c r="F6" s="5" t="str">
        <f t="shared" si="0"/>
        <v>Z00005354322</v>
      </c>
      <c r="G6" s="5" t="s">
        <v>38</v>
      </c>
      <c r="H6" s="5" t="s">
        <v>39</v>
      </c>
      <c r="I6" s="5" t="str">
        <f t="shared" si="1"/>
        <v>DOUGLAS SCHMIESKORS III</v>
      </c>
      <c r="J6" s="7">
        <v>8.32</v>
      </c>
      <c r="K6" s="5" t="s">
        <v>148</v>
      </c>
      <c r="L6" s="5" t="s">
        <v>170</v>
      </c>
    </row>
    <row r="7" spans="1:12" x14ac:dyDescent="0.3">
      <c r="A7" s="5" t="s">
        <v>173</v>
      </c>
      <c r="B7" s="5">
        <v>20411454</v>
      </c>
      <c r="C7" s="12">
        <v>45658</v>
      </c>
      <c r="D7" s="5" t="s">
        <v>35</v>
      </c>
      <c r="E7" s="5" t="s">
        <v>134</v>
      </c>
      <c r="F7" s="5" t="str">
        <f t="shared" si="0"/>
        <v>Z00005045922</v>
      </c>
      <c r="G7" s="5" t="s">
        <v>135</v>
      </c>
      <c r="H7" s="5" t="s">
        <v>136</v>
      </c>
      <c r="I7" s="5" t="str">
        <f t="shared" si="1"/>
        <v>ERLENE CARTER</v>
      </c>
      <c r="J7" s="7">
        <v>8.32</v>
      </c>
      <c r="K7" s="5" t="s">
        <v>148</v>
      </c>
      <c r="L7" s="5" t="s">
        <v>170</v>
      </c>
    </row>
    <row r="8" spans="1:12" x14ac:dyDescent="0.3">
      <c r="A8" s="5" t="s">
        <v>173</v>
      </c>
      <c r="B8" s="5">
        <v>20411454</v>
      </c>
      <c r="C8" s="12">
        <v>45658</v>
      </c>
      <c r="D8" s="5" t="s">
        <v>43</v>
      </c>
      <c r="E8" s="5" t="s">
        <v>45</v>
      </c>
      <c r="F8" s="5" t="str">
        <f t="shared" si="0"/>
        <v>Z00005151022</v>
      </c>
      <c r="G8" s="5" t="s">
        <v>46</v>
      </c>
      <c r="H8" s="5" t="s">
        <v>47</v>
      </c>
      <c r="I8" s="5" t="str">
        <f t="shared" si="1"/>
        <v>JAMES PRICE</v>
      </c>
      <c r="J8" s="7">
        <v>8.32</v>
      </c>
      <c r="K8" s="5" t="s">
        <v>148</v>
      </c>
      <c r="L8" s="5" t="s">
        <v>170</v>
      </c>
    </row>
    <row r="9" spans="1:12" x14ac:dyDescent="0.3">
      <c r="A9" s="5" t="s">
        <v>173</v>
      </c>
      <c r="B9" s="5">
        <v>20411454</v>
      </c>
      <c r="C9" s="12">
        <v>45658</v>
      </c>
      <c r="D9" s="5" t="s">
        <v>50</v>
      </c>
      <c r="E9" s="5" t="s">
        <v>52</v>
      </c>
      <c r="F9" s="5" t="str">
        <f t="shared" si="0"/>
        <v>Z00005467122</v>
      </c>
      <c r="G9" s="5" t="s">
        <v>53</v>
      </c>
      <c r="H9" s="5" t="s">
        <v>54</v>
      </c>
      <c r="I9" s="5" t="str">
        <f t="shared" si="1"/>
        <v>Janet Barcelo</v>
      </c>
      <c r="J9" s="7">
        <v>-200</v>
      </c>
      <c r="K9" s="5" t="s">
        <v>148</v>
      </c>
      <c r="L9" s="5" t="s">
        <v>170</v>
      </c>
    </row>
    <row r="10" spans="1:12" x14ac:dyDescent="0.3">
      <c r="A10" s="5" t="s">
        <v>173</v>
      </c>
      <c r="B10" s="5">
        <v>20411454</v>
      </c>
      <c r="C10" s="12">
        <v>45748</v>
      </c>
      <c r="D10" s="5" t="s">
        <v>43</v>
      </c>
      <c r="E10" s="5" t="s">
        <v>73</v>
      </c>
      <c r="F10" s="5" t="str">
        <f t="shared" si="0"/>
        <v>Z00007161822</v>
      </c>
      <c r="G10" s="5" t="s">
        <v>74</v>
      </c>
      <c r="H10" s="5" t="s">
        <v>75</v>
      </c>
      <c r="I10" s="5" t="str">
        <f t="shared" si="1"/>
        <v>JOSE AVILA</v>
      </c>
      <c r="J10" s="7">
        <v>200</v>
      </c>
      <c r="K10" s="5" t="s">
        <v>148</v>
      </c>
      <c r="L10" s="5" t="s">
        <v>170</v>
      </c>
    </row>
    <row r="11" spans="1:12" x14ac:dyDescent="0.3">
      <c r="A11" s="5" t="s">
        <v>173</v>
      </c>
      <c r="B11" s="5">
        <v>20411454</v>
      </c>
      <c r="C11" s="12">
        <v>45748</v>
      </c>
      <c r="D11" s="5" t="s">
        <v>43</v>
      </c>
      <c r="E11" s="5" t="s">
        <v>78</v>
      </c>
      <c r="F11" s="5" t="str">
        <f t="shared" si="0"/>
        <v>Z00007307622</v>
      </c>
      <c r="G11" s="5" t="s">
        <v>74</v>
      </c>
      <c r="H11" s="5" t="s">
        <v>79</v>
      </c>
      <c r="I11" s="5" t="str">
        <f t="shared" si="1"/>
        <v>JOSE CADENA HERNANDEZ</v>
      </c>
      <c r="J11" s="7">
        <v>200</v>
      </c>
      <c r="K11" s="5" t="s">
        <v>148</v>
      </c>
      <c r="L11" s="5" t="s">
        <v>170</v>
      </c>
    </row>
    <row r="12" spans="1:12" x14ac:dyDescent="0.3">
      <c r="A12" s="5" t="s">
        <v>173</v>
      </c>
      <c r="B12" s="5">
        <v>20411454</v>
      </c>
      <c r="C12" s="12">
        <v>45658</v>
      </c>
      <c r="D12" s="5" t="s">
        <v>43</v>
      </c>
      <c r="E12" s="5" t="s">
        <v>81</v>
      </c>
      <c r="F12" s="5" t="str">
        <f t="shared" si="0"/>
        <v>Z00004801422</v>
      </c>
      <c r="G12" s="5" t="s">
        <v>74</v>
      </c>
      <c r="H12" s="5" t="s">
        <v>82</v>
      </c>
      <c r="I12" s="5" t="str">
        <f t="shared" si="1"/>
        <v>JOSE HERNANDEZ</v>
      </c>
      <c r="J12" s="7">
        <v>8.32</v>
      </c>
      <c r="K12" s="5" t="s">
        <v>148</v>
      </c>
      <c r="L12" s="5" t="s">
        <v>170</v>
      </c>
    </row>
    <row r="13" spans="1:12" x14ac:dyDescent="0.3">
      <c r="A13" s="5" t="s">
        <v>173</v>
      </c>
      <c r="B13" s="5">
        <v>20411454</v>
      </c>
      <c r="C13" s="12">
        <v>45748</v>
      </c>
      <c r="D13" s="5" t="s">
        <v>43</v>
      </c>
      <c r="E13" s="5" t="s">
        <v>144</v>
      </c>
      <c r="F13" s="5" t="str">
        <f t="shared" si="0"/>
        <v>Z00007151422</v>
      </c>
      <c r="G13" s="5" t="s">
        <v>145</v>
      </c>
      <c r="H13" s="5" t="s">
        <v>146</v>
      </c>
      <c r="I13" s="5" t="str">
        <f t="shared" si="1"/>
        <v>LILIA MORALES</v>
      </c>
      <c r="J13" s="7">
        <v>200</v>
      </c>
      <c r="K13" s="5" t="s">
        <v>148</v>
      </c>
      <c r="L13" s="5" t="s">
        <v>170</v>
      </c>
    </row>
    <row r="14" spans="1:12" x14ac:dyDescent="0.3">
      <c r="A14" s="5" t="s">
        <v>173</v>
      </c>
      <c r="B14" s="5">
        <v>20411454</v>
      </c>
      <c r="C14" s="12">
        <v>45658</v>
      </c>
      <c r="D14" s="5" t="s">
        <v>43</v>
      </c>
      <c r="E14" s="5" t="s">
        <v>84</v>
      </c>
      <c r="F14" s="5" t="str">
        <f t="shared" si="0"/>
        <v>Z00004563322</v>
      </c>
      <c r="G14" s="5" t="s">
        <v>85</v>
      </c>
      <c r="H14" s="5" t="s">
        <v>86</v>
      </c>
      <c r="I14" s="5" t="str">
        <f t="shared" si="1"/>
        <v>LINDA DANIEL</v>
      </c>
      <c r="J14" s="7">
        <v>8.32</v>
      </c>
      <c r="K14" s="5" t="s">
        <v>148</v>
      </c>
      <c r="L14" s="5" t="s">
        <v>170</v>
      </c>
    </row>
    <row r="15" spans="1:12" x14ac:dyDescent="0.3">
      <c r="A15" s="5" t="s">
        <v>173</v>
      </c>
      <c r="B15" s="5">
        <v>20411454</v>
      </c>
      <c r="C15" s="12">
        <v>45748</v>
      </c>
      <c r="D15" s="5" t="s">
        <v>43</v>
      </c>
      <c r="E15" s="5" t="s">
        <v>88</v>
      </c>
      <c r="F15" s="5" t="str">
        <f t="shared" si="0"/>
        <v>Z00007172722</v>
      </c>
      <c r="G15" s="5" t="s">
        <v>89</v>
      </c>
      <c r="H15" s="5" t="s">
        <v>75</v>
      </c>
      <c r="I15" s="5" t="str">
        <f t="shared" si="1"/>
        <v>MARIA AVILA</v>
      </c>
      <c r="J15" s="7">
        <v>200</v>
      </c>
      <c r="K15" s="5" t="s">
        <v>148</v>
      </c>
      <c r="L15" s="5" t="s">
        <v>170</v>
      </c>
    </row>
    <row r="16" spans="1:12" x14ac:dyDescent="0.3">
      <c r="A16" s="5" t="s">
        <v>173</v>
      </c>
      <c r="B16" s="5">
        <v>20411454</v>
      </c>
      <c r="C16" s="12">
        <v>45658</v>
      </c>
      <c r="D16" s="5" t="s">
        <v>35</v>
      </c>
      <c r="E16" s="5" t="s">
        <v>91</v>
      </c>
      <c r="F16" s="5" t="str">
        <f t="shared" si="0"/>
        <v>Z00004364422</v>
      </c>
      <c r="G16" s="5" t="s">
        <v>92</v>
      </c>
      <c r="H16" s="5" t="s">
        <v>93</v>
      </c>
      <c r="I16" s="5" t="str">
        <f t="shared" si="1"/>
        <v>OLEGARIO HERNANDEZ FLORES</v>
      </c>
      <c r="J16" s="7">
        <v>8.32</v>
      </c>
      <c r="K16" s="5" t="s">
        <v>148</v>
      </c>
      <c r="L16" s="5" t="s">
        <v>170</v>
      </c>
    </row>
    <row r="17" spans="1:13" x14ac:dyDescent="0.3">
      <c r="A17" s="5" t="s">
        <v>173</v>
      </c>
      <c r="B17" s="5">
        <v>20411454</v>
      </c>
      <c r="C17" s="12">
        <v>45748</v>
      </c>
      <c r="D17" s="5" t="s">
        <v>43</v>
      </c>
      <c r="E17" s="5" t="s">
        <v>59</v>
      </c>
      <c r="F17" s="5" t="str">
        <f t="shared" si="0"/>
        <v>Z00006928222</v>
      </c>
      <c r="G17" s="5" t="s">
        <v>60</v>
      </c>
      <c r="H17" s="5" t="s">
        <v>61</v>
      </c>
      <c r="I17" s="5" t="str">
        <f t="shared" si="1"/>
        <v>Pamela Stanley</v>
      </c>
      <c r="J17" s="7">
        <v>200</v>
      </c>
      <c r="K17" s="5" t="s">
        <v>148</v>
      </c>
      <c r="L17" s="5" t="s">
        <v>170</v>
      </c>
    </row>
    <row r="18" spans="1:13" x14ac:dyDescent="0.3">
      <c r="A18" s="5" t="s">
        <v>173</v>
      </c>
      <c r="B18" s="5">
        <v>20411454</v>
      </c>
      <c r="C18" s="12">
        <v>45748</v>
      </c>
      <c r="D18" s="5" t="s">
        <v>43</v>
      </c>
      <c r="E18" s="5" t="s">
        <v>160</v>
      </c>
      <c r="F18" s="5" t="str">
        <f t="shared" si="0"/>
        <v>Z00007020122</v>
      </c>
      <c r="G18" s="5" t="s">
        <v>161</v>
      </c>
      <c r="H18" s="5" t="s">
        <v>162</v>
      </c>
      <c r="I18" s="5" t="str">
        <f t="shared" si="1"/>
        <v>PHAENGSY PHETTHONGSY</v>
      </c>
      <c r="J18" s="7">
        <v>200</v>
      </c>
      <c r="K18" s="5" t="s">
        <v>148</v>
      </c>
      <c r="L18" s="5" t="s">
        <v>170</v>
      </c>
    </row>
    <row r="19" spans="1:13" x14ac:dyDescent="0.3">
      <c r="A19" s="5" t="s">
        <v>173</v>
      </c>
      <c r="B19" s="5">
        <v>20411454</v>
      </c>
      <c r="C19" s="12">
        <v>45748</v>
      </c>
      <c r="D19" s="5" t="s">
        <v>43</v>
      </c>
      <c r="E19" s="5" t="s">
        <v>95</v>
      </c>
      <c r="F19" s="5" t="str">
        <f t="shared" si="0"/>
        <v>Z00007209122</v>
      </c>
      <c r="G19" s="5" t="s">
        <v>96</v>
      </c>
      <c r="H19" s="5" t="s">
        <v>97</v>
      </c>
      <c r="I19" s="5" t="str">
        <f t="shared" si="1"/>
        <v>RACHEL BREVE</v>
      </c>
      <c r="J19" s="7">
        <v>200</v>
      </c>
      <c r="K19" s="5" t="s">
        <v>148</v>
      </c>
      <c r="L19" s="5" t="s">
        <v>170</v>
      </c>
    </row>
    <row r="20" spans="1:13" x14ac:dyDescent="0.3">
      <c r="A20" s="5" t="s">
        <v>173</v>
      </c>
      <c r="B20" s="5">
        <v>20411454</v>
      </c>
      <c r="C20" s="12">
        <v>45658</v>
      </c>
      <c r="D20" s="5" t="s">
        <v>43</v>
      </c>
      <c r="E20" s="5" t="s">
        <v>99</v>
      </c>
      <c r="F20" s="5" t="str">
        <f t="shared" si="0"/>
        <v>Z00004611922</v>
      </c>
      <c r="G20" s="5" t="s">
        <v>100</v>
      </c>
      <c r="H20" s="5" t="s">
        <v>101</v>
      </c>
      <c r="I20" s="5" t="str">
        <f t="shared" si="1"/>
        <v>RENE DIAZ</v>
      </c>
      <c r="J20" s="7">
        <v>8.32</v>
      </c>
      <c r="K20" s="5" t="s">
        <v>148</v>
      </c>
      <c r="L20" s="5" t="s">
        <v>170</v>
      </c>
    </row>
    <row r="21" spans="1:13" x14ac:dyDescent="0.3">
      <c r="A21" s="5" t="s">
        <v>173</v>
      </c>
      <c r="B21" s="5">
        <v>20411454</v>
      </c>
      <c r="C21" s="12">
        <v>45748</v>
      </c>
      <c r="D21" s="5" t="s">
        <v>43</v>
      </c>
      <c r="E21" s="5" t="s">
        <v>120</v>
      </c>
      <c r="F21" s="5" t="str">
        <f t="shared" si="0"/>
        <v>Z00007149422</v>
      </c>
      <c r="G21" s="5" t="s">
        <v>121</v>
      </c>
      <c r="H21" s="5" t="s">
        <v>122</v>
      </c>
      <c r="I21" s="5" t="str">
        <f t="shared" si="1"/>
        <v>ROSA ESCOBEDO</v>
      </c>
      <c r="J21" s="7">
        <v>200</v>
      </c>
      <c r="K21" s="5" t="s">
        <v>148</v>
      </c>
      <c r="L21" s="5" t="s">
        <v>170</v>
      </c>
    </row>
    <row r="22" spans="1:13" x14ac:dyDescent="0.3">
      <c r="A22" s="5" t="s">
        <v>173</v>
      </c>
      <c r="B22" s="5">
        <v>20411454</v>
      </c>
      <c r="C22" s="12">
        <v>45748</v>
      </c>
      <c r="D22" s="5" t="s">
        <v>50</v>
      </c>
      <c r="E22" s="5" t="s">
        <v>124</v>
      </c>
      <c r="F22" s="5" t="str">
        <f t="shared" si="0"/>
        <v>Z00007216422</v>
      </c>
      <c r="G22" s="5" t="s">
        <v>125</v>
      </c>
      <c r="H22" s="5" t="s">
        <v>126</v>
      </c>
      <c r="I22" s="5" t="str">
        <f t="shared" si="1"/>
        <v>SHARON OSBORNE JONES</v>
      </c>
      <c r="J22" s="7">
        <v>200</v>
      </c>
      <c r="K22" s="5" t="s">
        <v>148</v>
      </c>
      <c r="L22" s="5" t="s">
        <v>170</v>
      </c>
    </row>
    <row r="23" spans="1:13" x14ac:dyDescent="0.3">
      <c r="A23" s="5" t="s">
        <v>173</v>
      </c>
      <c r="B23" s="5">
        <v>20411454</v>
      </c>
      <c r="C23" s="12">
        <v>45748</v>
      </c>
      <c r="D23" s="5" t="s">
        <v>43</v>
      </c>
      <c r="E23" s="5" t="s">
        <v>128</v>
      </c>
      <c r="F23" s="5" t="str">
        <f t="shared" si="0"/>
        <v>Z00006661022</v>
      </c>
      <c r="G23" s="5" t="s">
        <v>129</v>
      </c>
      <c r="H23" s="5" t="s">
        <v>130</v>
      </c>
      <c r="I23" s="5" t="str">
        <f t="shared" si="1"/>
        <v>STEVEN BRODY</v>
      </c>
      <c r="J23" s="7">
        <v>200</v>
      </c>
      <c r="K23" s="5" t="s">
        <v>148</v>
      </c>
      <c r="L23" s="5" t="s">
        <v>170</v>
      </c>
    </row>
    <row r="24" spans="1:13" x14ac:dyDescent="0.3">
      <c r="A24" s="5" t="s">
        <v>173</v>
      </c>
      <c r="B24" s="5">
        <v>20411454</v>
      </c>
      <c r="C24" s="12">
        <v>45658</v>
      </c>
      <c r="D24" s="5" t="s">
        <v>43</v>
      </c>
      <c r="E24" s="5" t="s">
        <v>67</v>
      </c>
      <c r="F24" s="5" t="str">
        <f t="shared" si="0"/>
        <v>Z00005685722</v>
      </c>
      <c r="G24" s="5" t="s">
        <v>68</v>
      </c>
      <c r="H24" s="5" t="s">
        <v>69</v>
      </c>
      <c r="I24" s="5" t="str">
        <f t="shared" si="1"/>
        <v>SUSAN COHEN</v>
      </c>
      <c r="J24" s="7">
        <v>-200</v>
      </c>
      <c r="K24" s="5" t="s">
        <v>148</v>
      </c>
      <c r="L24" s="5" t="s">
        <v>170</v>
      </c>
    </row>
    <row r="25" spans="1:13" x14ac:dyDescent="0.3">
      <c r="A25" s="5" t="s">
        <v>173</v>
      </c>
      <c r="B25" s="5">
        <v>20411454</v>
      </c>
      <c r="C25" s="12">
        <v>45748</v>
      </c>
      <c r="D25" s="5" t="s">
        <v>165</v>
      </c>
      <c r="E25" s="5" t="s">
        <v>167</v>
      </c>
      <c r="F25" s="5" t="str">
        <f t="shared" si="0"/>
        <v>Z00007087122</v>
      </c>
      <c r="G25" s="5" t="s">
        <v>168</v>
      </c>
      <c r="H25" s="5" t="s">
        <v>169</v>
      </c>
      <c r="I25" s="5" t="str">
        <f t="shared" si="1"/>
        <v>TSEDEV TSEEPEL</v>
      </c>
      <c r="J25" s="7">
        <v>200</v>
      </c>
      <c r="K25" s="5" t="s">
        <v>148</v>
      </c>
      <c r="L25" s="5" t="s">
        <v>170</v>
      </c>
    </row>
    <row r="26" spans="1:13" x14ac:dyDescent="0.3">
      <c r="A26" s="5" t="s">
        <v>173</v>
      </c>
      <c r="B26" s="5">
        <v>20411454</v>
      </c>
      <c r="C26" s="12">
        <v>45658</v>
      </c>
      <c r="D26" s="5" t="s">
        <v>35</v>
      </c>
      <c r="E26" s="5" t="s">
        <v>105</v>
      </c>
      <c r="F26" s="5" t="str">
        <f t="shared" si="0"/>
        <v>Z00004351322</v>
      </c>
      <c r="G26" s="5" t="s">
        <v>106</v>
      </c>
      <c r="H26" s="5" t="s">
        <v>107</v>
      </c>
      <c r="I26" s="5" t="str">
        <f t="shared" si="1"/>
        <v>WALTER ATTERBERRY</v>
      </c>
      <c r="J26" s="7">
        <v>8.32</v>
      </c>
      <c r="K26" s="5" t="s">
        <v>148</v>
      </c>
      <c r="L26" s="5" t="s">
        <v>170</v>
      </c>
    </row>
    <row r="27" spans="1:13" s="8" customFormat="1" x14ac:dyDescent="0.3">
      <c r="A27" s="8" t="s">
        <v>56</v>
      </c>
      <c r="B27" s="9">
        <v>19586992</v>
      </c>
      <c r="C27" s="13">
        <v>45748</v>
      </c>
      <c r="D27" s="8" t="s">
        <v>43</v>
      </c>
      <c r="E27" s="8" t="s">
        <v>59</v>
      </c>
      <c r="F27" s="8" t="s">
        <v>59</v>
      </c>
      <c r="G27" s="8" t="s">
        <v>60</v>
      </c>
      <c r="H27" s="8" t="s">
        <v>61</v>
      </c>
      <c r="I27" s="5" t="str">
        <f t="shared" si="1"/>
        <v>Pamela Stanley</v>
      </c>
      <c r="J27" s="10">
        <v>626</v>
      </c>
      <c r="K27" s="8" t="s">
        <v>42</v>
      </c>
      <c r="L27" s="8" t="s">
        <v>172</v>
      </c>
      <c r="M27" s="8" t="s">
        <v>175</v>
      </c>
    </row>
    <row r="28" spans="1:13" x14ac:dyDescent="0.3">
      <c r="A28" s="5" t="s">
        <v>108</v>
      </c>
      <c r="B28" s="11">
        <v>9213293</v>
      </c>
      <c r="C28" s="12">
        <v>45748</v>
      </c>
      <c r="D28" s="5" t="s">
        <v>43</v>
      </c>
      <c r="E28" s="5" t="s">
        <v>128</v>
      </c>
      <c r="F28" s="5" t="s">
        <v>128</v>
      </c>
      <c r="G28" s="5" t="s">
        <v>129</v>
      </c>
      <c r="H28" s="5" t="s">
        <v>130</v>
      </c>
      <c r="I28" s="5" t="str">
        <f t="shared" si="1"/>
        <v>STEVEN BRODY</v>
      </c>
      <c r="J28" s="7">
        <v>626</v>
      </c>
      <c r="K28" s="5" t="s">
        <v>42</v>
      </c>
      <c r="L28" s="5" t="s">
        <v>172</v>
      </c>
      <c r="M28" s="5" t="s">
        <v>175</v>
      </c>
    </row>
    <row r="29" spans="1:13" x14ac:dyDescent="0.3">
      <c r="A29" s="5" t="s">
        <v>32</v>
      </c>
      <c r="B29" s="11">
        <v>16912722</v>
      </c>
      <c r="C29" s="12">
        <v>45658</v>
      </c>
      <c r="D29" s="5" t="s">
        <v>35</v>
      </c>
      <c r="E29" s="5" t="s">
        <v>37</v>
      </c>
      <c r="F29" s="5" t="str">
        <f>CONCATENATE(E29,2)</f>
        <v>Z0000535432</v>
      </c>
      <c r="G29" s="5" t="s">
        <v>38</v>
      </c>
      <c r="H29" s="5" t="s">
        <v>39</v>
      </c>
      <c r="I29" s="5" t="str">
        <f t="shared" si="1"/>
        <v>DOUGLAS SCHMIESKORS III</v>
      </c>
      <c r="J29" s="7">
        <v>26.08</v>
      </c>
      <c r="K29" s="5" t="s">
        <v>42</v>
      </c>
      <c r="L29" s="5" t="s">
        <v>171</v>
      </c>
      <c r="M29" s="5" t="s">
        <v>174</v>
      </c>
    </row>
    <row r="30" spans="1:13" x14ac:dyDescent="0.3">
      <c r="A30" s="5" t="s">
        <v>32</v>
      </c>
      <c r="B30" s="11">
        <v>16912722</v>
      </c>
      <c r="C30" s="12">
        <v>45658</v>
      </c>
      <c r="D30" s="5" t="s">
        <v>43</v>
      </c>
      <c r="E30" s="5" t="s">
        <v>45</v>
      </c>
      <c r="F30" s="5" t="str">
        <f t="shared" ref="F30:F51" si="2">CONCATENATE(E30,2)</f>
        <v>Z0000515102</v>
      </c>
      <c r="G30" s="5" t="s">
        <v>46</v>
      </c>
      <c r="H30" s="5" t="s">
        <v>47</v>
      </c>
      <c r="I30" s="5" t="str">
        <f t="shared" si="1"/>
        <v>JAMES PRICE</v>
      </c>
      <c r="J30" s="7">
        <v>26.08</v>
      </c>
      <c r="K30" s="5" t="s">
        <v>42</v>
      </c>
      <c r="L30" s="5" t="s">
        <v>171</v>
      </c>
      <c r="M30" s="5" t="s">
        <v>174</v>
      </c>
    </row>
    <row r="31" spans="1:13" x14ac:dyDescent="0.3">
      <c r="A31" s="5" t="s">
        <v>48</v>
      </c>
      <c r="B31" s="11">
        <v>7146581</v>
      </c>
      <c r="C31" s="12">
        <v>45658</v>
      </c>
      <c r="D31" s="5" t="s">
        <v>50</v>
      </c>
      <c r="E31" s="5" t="s">
        <v>52</v>
      </c>
      <c r="F31" s="5" t="str">
        <f t="shared" si="2"/>
        <v>Z0000546712</v>
      </c>
      <c r="G31" s="5" t="s">
        <v>53</v>
      </c>
      <c r="H31" s="5" t="s">
        <v>54</v>
      </c>
      <c r="I31" s="5" t="str">
        <f t="shared" si="1"/>
        <v>Janet Barcelo</v>
      </c>
      <c r="J31" s="7">
        <v>-313</v>
      </c>
      <c r="K31" s="5" t="s">
        <v>42</v>
      </c>
      <c r="L31" s="5" t="s">
        <v>171</v>
      </c>
      <c r="M31" s="5" t="s">
        <v>176</v>
      </c>
    </row>
    <row r="32" spans="1:13" x14ac:dyDescent="0.3">
      <c r="A32" s="5" t="s">
        <v>64</v>
      </c>
      <c r="B32" s="11">
        <v>7152559</v>
      </c>
      <c r="C32" s="12">
        <v>45658</v>
      </c>
      <c r="D32" s="5" t="s">
        <v>43</v>
      </c>
      <c r="E32" s="5" t="s">
        <v>67</v>
      </c>
      <c r="F32" s="5" t="str">
        <f t="shared" si="2"/>
        <v>Z0000568572</v>
      </c>
      <c r="G32" s="5" t="s">
        <v>68</v>
      </c>
      <c r="H32" s="5" t="s">
        <v>69</v>
      </c>
      <c r="I32" s="5" t="str">
        <f t="shared" si="1"/>
        <v>SUSAN COHEN</v>
      </c>
      <c r="J32" s="7">
        <v>-313</v>
      </c>
      <c r="K32" s="5" t="s">
        <v>42</v>
      </c>
      <c r="L32" s="5" t="s">
        <v>171</v>
      </c>
      <c r="M32" s="5" t="s">
        <v>176</v>
      </c>
    </row>
    <row r="33" spans="1:13" x14ac:dyDescent="0.3">
      <c r="A33" s="5" t="s">
        <v>70</v>
      </c>
      <c r="B33" s="11">
        <v>17301495</v>
      </c>
      <c r="C33" s="12">
        <v>45748</v>
      </c>
      <c r="D33" s="5" t="s">
        <v>43</v>
      </c>
      <c r="E33" s="5" t="s">
        <v>73</v>
      </c>
      <c r="F33" s="5" t="str">
        <f t="shared" si="2"/>
        <v>Z0000716182</v>
      </c>
      <c r="G33" s="5" t="s">
        <v>74</v>
      </c>
      <c r="H33" s="5" t="s">
        <v>75</v>
      </c>
      <c r="I33" s="5" t="str">
        <f t="shared" si="1"/>
        <v>JOSE AVILA</v>
      </c>
      <c r="J33" s="7">
        <v>234.75</v>
      </c>
      <c r="K33" s="5" t="s">
        <v>42</v>
      </c>
      <c r="L33" s="5" t="s">
        <v>171</v>
      </c>
      <c r="M33" s="5" t="s">
        <v>177</v>
      </c>
    </row>
    <row r="34" spans="1:13" x14ac:dyDescent="0.3">
      <c r="A34" s="5" t="s">
        <v>70</v>
      </c>
      <c r="B34" s="11">
        <v>17301495</v>
      </c>
      <c r="C34" s="12">
        <v>45748</v>
      </c>
      <c r="D34" s="5" t="s">
        <v>43</v>
      </c>
      <c r="E34" s="5" t="s">
        <v>78</v>
      </c>
      <c r="F34" s="5" t="str">
        <f t="shared" si="2"/>
        <v>Z0000730762</v>
      </c>
      <c r="G34" s="5" t="s">
        <v>74</v>
      </c>
      <c r="H34" s="5" t="s">
        <v>79</v>
      </c>
      <c r="I34" s="5" t="str">
        <f t="shared" si="1"/>
        <v>JOSE CADENA HERNANDEZ</v>
      </c>
      <c r="J34" s="7">
        <v>234.75</v>
      </c>
      <c r="K34" s="5" t="s">
        <v>42</v>
      </c>
      <c r="L34" s="5" t="s">
        <v>171</v>
      </c>
      <c r="M34" s="5" t="s">
        <v>177</v>
      </c>
    </row>
    <row r="35" spans="1:13" x14ac:dyDescent="0.3">
      <c r="A35" s="5" t="s">
        <v>70</v>
      </c>
      <c r="B35" s="11">
        <v>17301495</v>
      </c>
      <c r="C35" s="12">
        <v>45658</v>
      </c>
      <c r="D35" s="5" t="s">
        <v>43</v>
      </c>
      <c r="E35" s="5" t="s">
        <v>81</v>
      </c>
      <c r="F35" s="5" t="str">
        <f t="shared" si="2"/>
        <v>Z0000480142</v>
      </c>
      <c r="G35" s="5" t="s">
        <v>74</v>
      </c>
      <c r="H35" s="5" t="s">
        <v>82</v>
      </c>
      <c r="I35" s="5" t="str">
        <f t="shared" si="1"/>
        <v>JOSE HERNANDEZ</v>
      </c>
      <c r="J35" s="7">
        <v>26.08</v>
      </c>
      <c r="K35" s="5" t="s">
        <v>42</v>
      </c>
      <c r="L35" s="5" t="s">
        <v>171</v>
      </c>
      <c r="M35" s="5" t="s">
        <v>174</v>
      </c>
    </row>
    <row r="36" spans="1:13" x14ac:dyDescent="0.3">
      <c r="A36" s="5" t="s">
        <v>70</v>
      </c>
      <c r="B36" s="11">
        <v>17301495</v>
      </c>
      <c r="C36" s="12">
        <v>45658</v>
      </c>
      <c r="D36" s="5" t="s">
        <v>43</v>
      </c>
      <c r="E36" s="5" t="s">
        <v>84</v>
      </c>
      <c r="F36" s="5" t="str">
        <f t="shared" si="2"/>
        <v>Z0000456332</v>
      </c>
      <c r="G36" s="5" t="s">
        <v>85</v>
      </c>
      <c r="H36" s="5" t="s">
        <v>86</v>
      </c>
      <c r="I36" s="5" t="str">
        <f t="shared" si="1"/>
        <v>LINDA DANIEL</v>
      </c>
      <c r="J36" s="7">
        <v>26.08</v>
      </c>
      <c r="K36" s="5" t="s">
        <v>42</v>
      </c>
      <c r="L36" s="5" t="s">
        <v>171</v>
      </c>
      <c r="M36" s="5" t="s">
        <v>174</v>
      </c>
    </row>
    <row r="37" spans="1:13" x14ac:dyDescent="0.3">
      <c r="A37" s="5" t="s">
        <v>70</v>
      </c>
      <c r="B37" s="11">
        <v>17301495</v>
      </c>
      <c r="C37" s="12">
        <v>45748</v>
      </c>
      <c r="D37" s="5" t="s">
        <v>43</v>
      </c>
      <c r="E37" s="5" t="s">
        <v>88</v>
      </c>
      <c r="F37" s="5" t="str">
        <f t="shared" si="2"/>
        <v>Z0000717272</v>
      </c>
      <c r="G37" s="5" t="s">
        <v>89</v>
      </c>
      <c r="H37" s="5" t="s">
        <v>75</v>
      </c>
      <c r="I37" s="5" t="str">
        <f t="shared" si="1"/>
        <v>MARIA AVILA</v>
      </c>
      <c r="J37" s="7">
        <v>234.75</v>
      </c>
      <c r="K37" s="5" t="s">
        <v>42</v>
      </c>
      <c r="L37" s="5" t="s">
        <v>171</v>
      </c>
      <c r="M37" s="5" t="s">
        <v>177</v>
      </c>
    </row>
    <row r="38" spans="1:13" x14ac:dyDescent="0.3">
      <c r="A38" s="5" t="s">
        <v>70</v>
      </c>
      <c r="B38" s="11">
        <v>17301495</v>
      </c>
      <c r="C38" s="12">
        <v>45658</v>
      </c>
      <c r="D38" s="5" t="s">
        <v>35</v>
      </c>
      <c r="E38" s="5" t="s">
        <v>91</v>
      </c>
      <c r="F38" s="5" t="str">
        <f t="shared" si="2"/>
        <v>Z0000436442</v>
      </c>
      <c r="G38" s="5" t="s">
        <v>92</v>
      </c>
      <c r="H38" s="5" t="s">
        <v>93</v>
      </c>
      <c r="I38" s="5" t="str">
        <f t="shared" si="1"/>
        <v>OLEGARIO HERNANDEZ FLORES</v>
      </c>
      <c r="J38" s="7">
        <v>26.08</v>
      </c>
      <c r="K38" s="5" t="s">
        <v>42</v>
      </c>
      <c r="L38" s="5" t="s">
        <v>171</v>
      </c>
      <c r="M38" s="5" t="s">
        <v>174</v>
      </c>
    </row>
    <row r="39" spans="1:13" x14ac:dyDescent="0.3">
      <c r="A39" s="5" t="s">
        <v>70</v>
      </c>
      <c r="B39" s="11">
        <v>17301495</v>
      </c>
      <c r="C39" s="12">
        <v>45748</v>
      </c>
      <c r="D39" s="5" t="s">
        <v>43</v>
      </c>
      <c r="E39" s="5" t="s">
        <v>95</v>
      </c>
      <c r="F39" s="5" t="str">
        <f t="shared" si="2"/>
        <v>Z0000720912</v>
      </c>
      <c r="G39" s="5" t="s">
        <v>96</v>
      </c>
      <c r="H39" s="5" t="s">
        <v>97</v>
      </c>
      <c r="I39" s="5" t="str">
        <f t="shared" si="1"/>
        <v>RACHEL BREVE</v>
      </c>
      <c r="J39" s="7">
        <v>234.75</v>
      </c>
      <c r="K39" s="5" t="s">
        <v>42</v>
      </c>
      <c r="L39" s="5" t="s">
        <v>171</v>
      </c>
      <c r="M39" s="5" t="s">
        <v>177</v>
      </c>
    </row>
    <row r="40" spans="1:13" x14ac:dyDescent="0.3">
      <c r="A40" s="5" t="s">
        <v>70</v>
      </c>
      <c r="B40" s="11">
        <v>17301495</v>
      </c>
      <c r="C40" s="12">
        <v>45658</v>
      </c>
      <c r="D40" s="5" t="s">
        <v>43</v>
      </c>
      <c r="E40" s="5" t="s">
        <v>99</v>
      </c>
      <c r="F40" s="5" t="str">
        <f t="shared" si="2"/>
        <v>Z0000461192</v>
      </c>
      <c r="G40" s="5" t="s">
        <v>100</v>
      </c>
      <c r="H40" s="5" t="s">
        <v>101</v>
      </c>
      <c r="I40" s="5" t="str">
        <f t="shared" si="1"/>
        <v>RENE DIAZ</v>
      </c>
      <c r="J40" s="7">
        <v>26.08</v>
      </c>
      <c r="K40" s="5" t="s">
        <v>42</v>
      </c>
      <c r="L40" s="5" t="s">
        <v>171</v>
      </c>
      <c r="M40" s="5" t="s">
        <v>174</v>
      </c>
    </row>
    <row r="41" spans="1:13" x14ac:dyDescent="0.3">
      <c r="A41" s="5" t="s">
        <v>102</v>
      </c>
      <c r="B41" s="11">
        <v>8814784</v>
      </c>
      <c r="C41" s="12">
        <v>45658</v>
      </c>
      <c r="D41" s="5" t="s">
        <v>35</v>
      </c>
      <c r="E41" s="5" t="s">
        <v>105</v>
      </c>
      <c r="F41" s="5" t="str">
        <f t="shared" si="2"/>
        <v>Z0000435132</v>
      </c>
      <c r="G41" s="5" t="s">
        <v>106</v>
      </c>
      <c r="H41" s="5" t="s">
        <v>107</v>
      </c>
      <c r="I41" s="5" t="str">
        <f t="shared" si="1"/>
        <v>WALTER ATTERBERRY</v>
      </c>
      <c r="J41" s="7">
        <v>26.08</v>
      </c>
      <c r="K41" s="5" t="s">
        <v>42</v>
      </c>
      <c r="L41" s="5" t="s">
        <v>171</v>
      </c>
      <c r="M41" s="5" t="s">
        <v>174</v>
      </c>
    </row>
    <row r="42" spans="1:13" x14ac:dyDescent="0.3">
      <c r="A42" s="5" t="s">
        <v>108</v>
      </c>
      <c r="B42" s="11">
        <v>9213293</v>
      </c>
      <c r="C42" s="12">
        <v>45658</v>
      </c>
      <c r="D42" s="5" t="s">
        <v>43</v>
      </c>
      <c r="E42" s="5" t="s">
        <v>111</v>
      </c>
      <c r="F42" s="5" t="str">
        <f t="shared" si="2"/>
        <v>Z0000608822</v>
      </c>
      <c r="G42" s="5" t="s">
        <v>112</v>
      </c>
      <c r="H42" s="5" t="s">
        <v>113</v>
      </c>
      <c r="I42" s="5" t="str">
        <f t="shared" si="1"/>
        <v>AGUSTIN BIBIAN CHAVEZ</v>
      </c>
      <c r="J42" s="7">
        <v>-313</v>
      </c>
      <c r="K42" s="5" t="s">
        <v>42</v>
      </c>
      <c r="L42" s="5" t="s">
        <v>171</v>
      </c>
      <c r="M42" s="5" t="s">
        <v>176</v>
      </c>
    </row>
    <row r="43" spans="1:13" x14ac:dyDescent="0.3">
      <c r="A43" s="5" t="s">
        <v>108</v>
      </c>
      <c r="B43" s="11">
        <v>9213293</v>
      </c>
      <c r="C43" s="12">
        <v>45658</v>
      </c>
      <c r="D43" s="5" t="s">
        <v>114</v>
      </c>
      <c r="E43" s="5" t="s">
        <v>116</v>
      </c>
      <c r="F43" s="5" t="str">
        <f t="shared" si="2"/>
        <v>Z0000417102</v>
      </c>
      <c r="G43" s="5" t="s">
        <v>117</v>
      </c>
      <c r="H43" s="5" t="s">
        <v>118</v>
      </c>
      <c r="I43" s="5" t="str">
        <f t="shared" si="1"/>
        <v>ANGEL TORRES</v>
      </c>
      <c r="J43" s="7">
        <v>26.08</v>
      </c>
      <c r="K43" s="5" t="s">
        <v>42</v>
      </c>
      <c r="L43" s="5" t="s">
        <v>171</v>
      </c>
      <c r="M43" s="5" t="s">
        <v>174</v>
      </c>
    </row>
    <row r="44" spans="1:13" x14ac:dyDescent="0.3">
      <c r="A44" s="5" t="s">
        <v>108</v>
      </c>
      <c r="B44" s="11">
        <v>9213293</v>
      </c>
      <c r="C44" s="12">
        <v>45748</v>
      </c>
      <c r="D44" s="5" t="s">
        <v>43</v>
      </c>
      <c r="E44" s="5" t="s">
        <v>120</v>
      </c>
      <c r="F44" s="5" t="str">
        <f t="shared" si="2"/>
        <v>Z0000714942</v>
      </c>
      <c r="G44" s="5" t="s">
        <v>121</v>
      </c>
      <c r="H44" s="5" t="s">
        <v>122</v>
      </c>
      <c r="I44" s="5" t="str">
        <f t="shared" si="1"/>
        <v>ROSA ESCOBEDO</v>
      </c>
      <c r="J44" s="7">
        <v>234.75</v>
      </c>
      <c r="K44" s="5" t="s">
        <v>42</v>
      </c>
      <c r="L44" s="5" t="s">
        <v>171</v>
      </c>
      <c r="M44" s="5" t="s">
        <v>177</v>
      </c>
    </row>
    <row r="45" spans="1:13" x14ac:dyDescent="0.3">
      <c r="A45" s="5" t="s">
        <v>108</v>
      </c>
      <c r="B45" s="11">
        <v>9213293</v>
      </c>
      <c r="C45" s="12">
        <v>45748</v>
      </c>
      <c r="D45" s="5" t="s">
        <v>50</v>
      </c>
      <c r="E45" s="5" t="s">
        <v>124</v>
      </c>
      <c r="F45" s="5" t="str">
        <f t="shared" si="2"/>
        <v>Z0000721642</v>
      </c>
      <c r="G45" s="5" t="s">
        <v>125</v>
      </c>
      <c r="H45" s="5" t="s">
        <v>126</v>
      </c>
      <c r="I45" s="5" t="str">
        <f t="shared" si="1"/>
        <v>SHARON OSBORNE JONES</v>
      </c>
      <c r="J45" s="7">
        <v>234.75</v>
      </c>
      <c r="K45" s="5" t="s">
        <v>42</v>
      </c>
      <c r="L45" s="5" t="s">
        <v>171</v>
      </c>
      <c r="M45" s="5" t="s">
        <v>177</v>
      </c>
    </row>
    <row r="46" spans="1:13" x14ac:dyDescent="0.3">
      <c r="A46" s="5" t="s">
        <v>131</v>
      </c>
      <c r="B46" s="11">
        <v>8307933</v>
      </c>
      <c r="C46" s="12">
        <v>45658</v>
      </c>
      <c r="D46" s="5" t="s">
        <v>35</v>
      </c>
      <c r="E46" s="5" t="s">
        <v>134</v>
      </c>
      <c r="F46" s="5" t="str">
        <f t="shared" si="2"/>
        <v>Z0000504592</v>
      </c>
      <c r="G46" s="5" t="s">
        <v>135</v>
      </c>
      <c r="H46" s="5" t="s">
        <v>136</v>
      </c>
      <c r="I46" s="5" t="str">
        <f t="shared" si="1"/>
        <v>ERLENE CARTER</v>
      </c>
      <c r="J46" s="7">
        <v>26.08</v>
      </c>
      <c r="K46" s="5" t="s">
        <v>42</v>
      </c>
      <c r="L46" s="5" t="s">
        <v>171</v>
      </c>
      <c r="M46" s="5" t="s">
        <v>174</v>
      </c>
    </row>
    <row r="47" spans="1:13" x14ac:dyDescent="0.3">
      <c r="A47" s="5" t="s">
        <v>137</v>
      </c>
      <c r="B47" s="11">
        <v>20212926</v>
      </c>
      <c r="C47" s="12">
        <v>45748</v>
      </c>
      <c r="D47" s="5" t="s">
        <v>43</v>
      </c>
      <c r="E47" s="5" t="s">
        <v>140</v>
      </c>
      <c r="F47" s="5" t="str">
        <f t="shared" si="2"/>
        <v>Z0000730802</v>
      </c>
      <c r="G47" s="5" t="s">
        <v>141</v>
      </c>
      <c r="H47" s="5" t="s">
        <v>142</v>
      </c>
      <c r="I47" s="5" t="str">
        <f t="shared" si="1"/>
        <v>ANGELITA RAMIREZ</v>
      </c>
      <c r="J47" s="7">
        <v>234.75</v>
      </c>
      <c r="K47" s="5" t="s">
        <v>42</v>
      </c>
      <c r="L47" s="5" t="s">
        <v>171</v>
      </c>
      <c r="M47" s="5" t="s">
        <v>177</v>
      </c>
    </row>
    <row r="48" spans="1:13" x14ac:dyDescent="0.3">
      <c r="A48" s="5" t="s">
        <v>137</v>
      </c>
      <c r="B48" s="11">
        <v>20212926</v>
      </c>
      <c r="C48" s="12">
        <v>45748</v>
      </c>
      <c r="D48" s="5" t="s">
        <v>43</v>
      </c>
      <c r="E48" s="5" t="s">
        <v>144</v>
      </c>
      <c r="F48" s="5" t="str">
        <f t="shared" si="2"/>
        <v>Z0000715142</v>
      </c>
      <c r="G48" s="5" t="s">
        <v>145</v>
      </c>
      <c r="H48" s="5" t="s">
        <v>146</v>
      </c>
      <c r="I48" s="5" t="str">
        <f t="shared" si="1"/>
        <v>LILIA MORALES</v>
      </c>
      <c r="J48" s="7">
        <v>234.75</v>
      </c>
      <c r="K48" s="5" t="s">
        <v>42</v>
      </c>
      <c r="L48" s="5" t="s">
        <v>171</v>
      </c>
      <c r="M48" s="5" t="s">
        <v>177</v>
      </c>
    </row>
    <row r="49" spans="1:13" x14ac:dyDescent="0.3">
      <c r="A49" s="5" t="s">
        <v>163</v>
      </c>
      <c r="B49" s="11">
        <v>20220688</v>
      </c>
      <c r="C49" s="12">
        <v>45748</v>
      </c>
      <c r="D49" s="5" t="s">
        <v>165</v>
      </c>
      <c r="E49" s="5" t="s">
        <v>167</v>
      </c>
      <c r="F49" s="5" t="str">
        <f t="shared" si="2"/>
        <v>Z0000708712</v>
      </c>
      <c r="G49" s="5" t="s">
        <v>168</v>
      </c>
      <c r="H49" s="5" t="s">
        <v>169</v>
      </c>
      <c r="I49" s="5" t="str">
        <f t="shared" si="1"/>
        <v>TSEDEV TSEEPEL</v>
      </c>
      <c r="J49" s="7">
        <v>234.75</v>
      </c>
      <c r="K49" s="5" t="s">
        <v>42</v>
      </c>
      <c r="L49" s="5" t="s">
        <v>171</v>
      </c>
      <c r="M49" s="5" t="s">
        <v>177</v>
      </c>
    </row>
    <row r="50" spans="1:13" x14ac:dyDescent="0.3">
      <c r="A50" s="5" t="s">
        <v>157</v>
      </c>
      <c r="B50" s="11">
        <v>8405446</v>
      </c>
      <c r="C50" s="12">
        <v>45748</v>
      </c>
      <c r="D50" s="5" t="s">
        <v>43</v>
      </c>
      <c r="E50" s="5" t="s">
        <v>160</v>
      </c>
      <c r="F50" s="5" t="str">
        <f t="shared" si="2"/>
        <v>Z0000702012</v>
      </c>
      <c r="G50" s="5" t="s">
        <v>161</v>
      </c>
      <c r="H50" s="5" t="s">
        <v>162</v>
      </c>
      <c r="I50" s="5" t="str">
        <f t="shared" si="1"/>
        <v>PHAENGSY PHETTHONGSY</v>
      </c>
      <c r="J50" s="7">
        <v>234.75</v>
      </c>
      <c r="K50" s="5" t="s">
        <v>42</v>
      </c>
      <c r="L50" s="5" t="s">
        <v>171</v>
      </c>
      <c r="M50" s="5" t="s">
        <v>177</v>
      </c>
    </row>
    <row r="51" spans="1:13" x14ac:dyDescent="0.3">
      <c r="A51" s="5" t="s">
        <v>151</v>
      </c>
      <c r="B51" s="11">
        <v>19396223</v>
      </c>
      <c r="C51" s="12">
        <v>45658</v>
      </c>
      <c r="D51" s="5" t="s">
        <v>35</v>
      </c>
      <c r="E51" s="5" t="s">
        <v>154</v>
      </c>
      <c r="F51" s="5" t="str">
        <f t="shared" si="2"/>
        <v>Z0000481482</v>
      </c>
      <c r="G51" s="5" t="s">
        <v>155</v>
      </c>
      <c r="H51" s="5" t="s">
        <v>156</v>
      </c>
      <c r="I51" s="5" t="str">
        <f t="shared" si="1"/>
        <v>DAXABEN PATEL</v>
      </c>
      <c r="J51" s="7">
        <v>26.08</v>
      </c>
      <c r="K51" s="5" t="s">
        <v>42</v>
      </c>
      <c r="L51" s="5" t="s">
        <v>171</v>
      </c>
      <c r="M51" s="5" t="s">
        <v>174</v>
      </c>
    </row>
  </sheetData>
  <sortState xmlns:xlrd2="http://schemas.microsoft.com/office/spreadsheetml/2017/richdata2" ref="A27:S51">
    <sortCondition ref="L27:L5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Detail</vt:lpstr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loula</cp:lastModifiedBy>
  <dcterms:created xsi:type="dcterms:W3CDTF">2025-04-11T15:14:09Z</dcterms:created>
  <dcterms:modified xsi:type="dcterms:W3CDTF">2025-04-15T18:29:14Z</dcterms:modified>
</cp:coreProperties>
</file>