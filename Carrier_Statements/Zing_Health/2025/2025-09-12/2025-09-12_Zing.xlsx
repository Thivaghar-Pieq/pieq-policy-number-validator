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9-12-25\"/>
    </mc:Choice>
  </mc:AlternateContent>
  <xr:revisionPtr revIDLastSave="0" documentId="13_ncr:1_{45F823B4-9FE4-4960-B66F-999692683D3D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28" i="3" l="1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N24" i="3"/>
  <c r="N23" i="3"/>
  <c r="N16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28" i="3"/>
  <c r="I15" i="3"/>
</calcChain>
</file>

<file path=xl/sharedStrings.xml><?xml version="1.0" encoding="utf-8"?>
<sst xmlns="http://schemas.openxmlformats.org/spreadsheetml/2006/main" count="644" uniqueCount="131">
  <si>
    <t/>
  </si>
  <si>
    <t>Description</t>
  </si>
  <si>
    <t>Member Count</t>
  </si>
  <si>
    <t>Credits</t>
  </si>
  <si>
    <t>Debits</t>
  </si>
  <si>
    <t>Total</t>
  </si>
  <si>
    <t>Initial Enrollments</t>
  </si>
  <si>
    <t>$1,669.41</t>
  </si>
  <si>
    <t>$0.00</t>
  </si>
  <si>
    <t>Renewal Enrollments</t>
  </si>
  <si>
    <t>$309.60</t>
  </si>
  <si>
    <t>Rapid Disenrollments</t>
  </si>
  <si>
    <t>Disenrollments</t>
  </si>
  <si>
    <t>$0.03</t>
  </si>
  <si>
    <t>($170.92)</t>
  </si>
  <si>
    <t>($170.89)</t>
  </si>
  <si>
    <t>Bonus</t>
  </si>
  <si>
    <t>Activity</t>
  </si>
  <si>
    <t>Miscellaneous</t>
  </si>
  <si>
    <t>Balance</t>
  </si>
  <si>
    <t>TOTAL</t>
  </si>
  <si>
    <t>$1,979.04</t>
  </si>
  <si>
    <t>$1,808.12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</si>
  <si>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</si>
  <si>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</si>
  <si>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</si>
  <si>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</si>
  <si>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</si>
  <si>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</si>
  <si>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</si>
  <si>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</si>
  <si>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</si>
  <si>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</si>
  <si>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</si>
  <si>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</si>
  <si>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</si>
  <si>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</si>
  <si>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</si>
  <si>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</si>
  <si>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</si>
  <si>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</si>
  <si>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</si>
  <si>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</si>
  <si>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</si>
  <si>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</si>
  <si>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</si>
  <si>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</si>
  <si>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</si>
  <si>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</si>
  <si>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</si>
  <si>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Esther Herrera-Larsen</t>
  </si>
  <si>
    <t>17301495</t>
  </si>
  <si>
    <t>Zing Essential Wellness Diabetes and Heart IL (HMO C-SNP)</t>
  </si>
  <si>
    <t>6KP0PG9FM19</t>
  </si>
  <si>
    <t>Z000083075</t>
  </si>
  <si>
    <t>Felix</t>
  </si>
  <si>
    <t>Medrano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</si>
  <si>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</si>
  <si>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</si>
  <si>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</si>
  <si>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</si>
  <si>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</si>
  <si>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</si>
  <si>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</si>
  <si>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</si>
  <si>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</si>
  <si>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</si>
  <si>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</si>
  <si>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</si>
  <si>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</si>
  <si>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</si>
  <si>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</si>
  <si>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</si>
  <si>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</si>
  <si>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</si>
  <si>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</si>
  <si>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</si>
  <si>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</si>
  <si>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</si>
  <si>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</si>
  <si>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</si>
  <si>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</si>
  <si>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</si>
  <si>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</si>
  <si>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</si>
  <si>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</si>
  <si>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1E76T89NP67</t>
  </si>
  <si>
    <t>Z000084108</t>
  </si>
  <si>
    <t>Henry</t>
  </si>
  <si>
    <t>Baker</t>
  </si>
  <si>
    <t>7J55A09GG89</t>
  </si>
  <si>
    <t>Z000082204</t>
  </si>
  <si>
    <t>Maria</t>
  </si>
  <si>
    <t>Rojas De Alonso</t>
  </si>
  <si>
    <t>Gregory Hansford</t>
  </si>
  <si>
    <t>17094718</t>
  </si>
  <si>
    <t>Zing Select Care MI (HMO)</t>
  </si>
  <si>
    <t>5TW8PW3RD28</t>
  </si>
  <si>
    <t>Z000059986</t>
  </si>
  <si>
    <t>GWENDOLYN</t>
  </si>
  <si>
    <t>HART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</si>
  <si>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</si>
  <si>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</si>
  <si>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</si>
  <si>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</si>
  <si>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</si>
  <si>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</si>
  <si>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</si>
  <si>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</si>
  <si>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4MW2R25QR19</t>
  </si>
  <si>
    <t>Z000073408</t>
  </si>
  <si>
    <t>MARIO</t>
  </si>
  <si>
    <t>SANTOYO</t>
  </si>
  <si>
    <t>No</t>
  </si>
  <si>
    <t>Admin</t>
  </si>
  <si>
    <t>Saadia Abdul</t>
  </si>
  <si>
    <t>19396223</t>
  </si>
  <si>
    <t>3J34V65XN82</t>
  </si>
  <si>
    <t>Z000048148</t>
  </si>
  <si>
    <t>DAXABEN</t>
  </si>
  <si>
    <t>PATEL</t>
  </si>
  <si>
    <t>SCHMIESKORS</t>
  </si>
  <si>
    <t>Zing 2025 OVR</t>
  </si>
  <si>
    <t>Main Line Benefits</t>
  </si>
  <si>
    <t>Zing MAPD 2025*</t>
  </si>
  <si>
    <t>Zing MAPD 2025</t>
  </si>
  <si>
    <t>[%/$=313][prorate=1/12]</t>
  </si>
  <si>
    <t>[%/$=313][prorate=8/12]</t>
  </si>
  <si>
    <t>[%/$=313][prorate=4/12]</t>
  </si>
  <si>
    <t>[%/$=313][prorate=5/12]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</si>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</sst>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8" fontId="0" fillId="0" borderId="0" xfId="0" applyNumberFormat="1"/>
    <xf numFmtId="0" fontId="1" fillId="0" borderId="0" xfId="0" applyFont="1" applyFill="1"/>
    <xf numFmtId="0" fontId="1" fillId="0" borderId="0" xfId="0" applyNumberFormat="1" applyFont="1" applyFill="1"/>
    <xf numFmtId="14" fontId="1" fillId="0" borderId="0" xfId="0" applyNumberFormat="1" applyFont="1" applyFill="1"/>
    <xf numFmtId="8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workbookViewId="0">
      <selection activeCell="E2" sqref="E2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16" x14ac:dyDescent="0.25">
      <c r="A2" t="s">
        <v>6</v>
      </c>
      <c r="B2">
        <v>4</v>
      </c>
      <c r="C2" t="s">
        <v>7</v>
      </c>
      <c r="D2" t="s">
        <v>8</v>
      </c>
      <c r="E2" t="s">
        <v>7</v>
      </c>
      <c r="P2" s="4"/>
    </row>
    <row r="3" spans="1:16" x14ac:dyDescent="0.25">
      <c r="A3" t="s">
        <v>9</v>
      </c>
      <c r="B3">
        <v>9</v>
      </c>
      <c r="C3" t="s">
        <v>10</v>
      </c>
      <c r="D3" t="s">
        <v>8</v>
      </c>
      <c r="E3" t="s">
        <v>10</v>
      </c>
      <c r="P3" s="4"/>
    </row>
    <row r="4" spans="1:16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  <c r="P4" s="4"/>
    </row>
    <row r="5" spans="1:16" x14ac:dyDescent="0.25">
      <c r="A5" t="s">
        <v>12</v>
      </c>
      <c r="B5">
        <v>1</v>
      </c>
      <c r="C5" t="s">
        <v>13</v>
      </c>
      <c r="D5" t="s">
        <v>14</v>
      </c>
      <c r="E5" t="s">
        <v>15</v>
      </c>
      <c r="P5" s="4"/>
    </row>
    <row r="6" spans="1:16" x14ac:dyDescent="0.25">
      <c r="A6" t="s">
        <v>16</v>
      </c>
      <c r="B6">
        <v>0</v>
      </c>
      <c r="C6" t="s">
        <v>8</v>
      </c>
      <c r="D6" t="s">
        <v>8</v>
      </c>
      <c r="E6" t="s">
        <v>8</v>
      </c>
      <c r="P6" s="4"/>
    </row>
    <row r="7" spans="1:16" x14ac:dyDescent="0.25">
      <c r="A7" t="s">
        <v>17</v>
      </c>
      <c r="B7">
        <v>0</v>
      </c>
      <c r="C7" t="s">
        <v>8</v>
      </c>
      <c r="D7" t="s">
        <v>8</v>
      </c>
      <c r="E7" t="s">
        <v>8</v>
      </c>
      <c r="P7" s="4"/>
    </row>
    <row r="8" spans="1:16" x14ac:dyDescent="0.25">
      <c r="A8" t="s">
        <v>18</v>
      </c>
      <c r="B8">
        <v>0</v>
      </c>
      <c r="C8" t="s">
        <v>8</v>
      </c>
      <c r="D8" t="s">
        <v>8</v>
      </c>
      <c r="E8" t="s">
        <v>8</v>
      </c>
      <c r="P8" s="4"/>
    </row>
    <row r="9" spans="1:16" x14ac:dyDescent="0.25">
      <c r="A9" t="s">
        <v>19</v>
      </c>
      <c r="E9" t="s">
        <v>8</v>
      </c>
      <c r="P9" s="4"/>
    </row>
    <row r="10" spans="1:16" x14ac:dyDescent="0.25">
      <c r="A10" t="s">
        <v>20</v>
      </c>
      <c r="B10">
        <v>14</v>
      </c>
      <c r="C10" t="s">
        <v>21</v>
      </c>
      <c r="D10" t="s">
        <v>14</v>
      </c>
      <c r="E10" t="s">
        <v>22</v>
      </c>
      <c r="P10" s="4"/>
    </row>
    <row r="11" spans="1:16" x14ac:dyDescent="0.25">
      <c r="P11" s="4"/>
    </row>
    <row r="12" spans="1:16" x14ac:dyDescent="0.25">
      <c r="P12" s="4"/>
    </row>
    <row r="13" spans="1:16" x14ac:dyDescent="0.25">
      <c r="P13" s="4"/>
    </row>
    <row r="14" spans="1:16" x14ac:dyDescent="0.25">
      <c r="P14" s="4"/>
    </row>
    <row r="15" spans="1:16" x14ac:dyDescent="0.25">
      <c r="P15" s="4"/>
    </row>
    <row r="16" spans="1:16" x14ac:dyDescent="0.25">
      <c r="P16" s="4"/>
    </row>
    <row r="17" spans="16:16" x14ac:dyDescent="0.25">
      <c r="P17" s="4"/>
    </row>
    <row r="18" spans="16:16" x14ac:dyDescent="0.25">
      <c r="P18" s="4"/>
    </row>
    <row r="19" spans="16:16" x14ac:dyDescent="0.25">
      <c r="P19" s="4"/>
    </row>
    <row r="20" spans="16:16" x14ac:dyDescent="0.25">
      <c r="P20" s="4"/>
    </row>
    <row r="21" spans="16:16" x14ac:dyDescent="0.25">
      <c r="P21" s="4"/>
    </row>
    <row r="22" spans="16:16" x14ac:dyDescent="0.25">
      <c r="P22" s="4"/>
    </row>
    <row r="23" spans="16:16" x14ac:dyDescent="0.25">
      <c r="P23" s="4"/>
    </row>
    <row r="24" spans="16:16" x14ac:dyDescent="0.25">
      <c r="P24" s="4"/>
    </row>
    <row r="25" spans="16:16" x14ac:dyDescent="0.25">
      <c r="P25" s="4"/>
    </row>
    <row r="26" spans="16:16" x14ac:dyDescent="0.25">
      <c r="P26" s="4"/>
    </row>
    <row r="27" spans="16:16" x14ac:dyDescent="0.25">
      <c r="P27" s="4"/>
    </row>
    <row r="28" spans="16:16" x14ac:dyDescent="0.25">
      <c r="P2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opLeftCell="B1"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.4257812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s="3" t="s">
        <v>36</v>
      </c>
      <c r="O1" t="s">
        <v>37</v>
      </c>
      <c r="P1" t="s">
        <v>38</v>
      </c>
      <c r="Q1" t="s">
        <v>39</v>
      </c>
    </row>
    <row r="2" spans="1:17" x14ac:dyDescent="0.25">
      <c r="A2" t="s">
        <v>40</v>
      </c>
      <c r="B2" t="s">
        <v>41</v>
      </c>
      <c r="C2" s="1">
        <v>45658</v>
      </c>
      <c r="D2" t="s">
        <v>0</v>
      </c>
      <c r="E2" t="s">
        <v>42</v>
      </c>
      <c r="F2" t="s">
        <v>0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2</v>
      </c>
      <c r="M2" t="s">
        <v>48</v>
      </c>
      <c r="N2" s="3" t="s">
        <v>0</v>
      </c>
      <c r="O2" t="s">
        <v>0</v>
      </c>
      <c r="P2" s="5">
        <v>26.08</v>
      </c>
      <c r="Q2" t="s">
        <v>49</v>
      </c>
    </row>
    <row r="3" spans="1:17" x14ac:dyDescent="0.25">
      <c r="A3" t="s">
        <v>50</v>
      </c>
      <c r="B3" t="s">
        <v>51</v>
      </c>
      <c r="C3" s="2">
        <v>45901</v>
      </c>
      <c r="D3" t="s">
        <v>0</v>
      </c>
      <c r="E3" t="s">
        <v>42</v>
      </c>
      <c r="F3" t="s">
        <v>0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>
        <v>1</v>
      </c>
      <c r="M3" t="s">
        <v>48</v>
      </c>
      <c r="N3" s="3" t="s">
        <v>0</v>
      </c>
      <c r="O3" t="s">
        <v>0</v>
      </c>
      <c r="P3" s="5">
        <v>208.67</v>
      </c>
      <c r="Q3" t="s">
        <v>49</v>
      </c>
    </row>
    <row r="4" spans="1:17" x14ac:dyDescent="0.25">
      <c r="A4" t="s">
        <v>50</v>
      </c>
      <c r="B4" t="s">
        <v>51</v>
      </c>
      <c r="C4" s="1">
        <v>45658</v>
      </c>
      <c r="D4" t="s">
        <v>0</v>
      </c>
      <c r="E4" t="s">
        <v>42</v>
      </c>
      <c r="F4" t="s">
        <v>0</v>
      </c>
      <c r="G4" t="s">
        <v>52</v>
      </c>
      <c r="H4" t="s">
        <v>57</v>
      </c>
      <c r="I4" t="s">
        <v>58</v>
      </c>
      <c r="J4" t="s">
        <v>59</v>
      </c>
      <c r="K4" t="s">
        <v>60</v>
      </c>
      <c r="L4">
        <v>2</v>
      </c>
      <c r="M4" t="s">
        <v>48</v>
      </c>
      <c r="N4" s="3" t="s">
        <v>0</v>
      </c>
      <c r="O4" t="s">
        <v>0</v>
      </c>
      <c r="P4" s="5">
        <v>26.08</v>
      </c>
      <c r="Q4" t="s">
        <v>49</v>
      </c>
    </row>
    <row r="5" spans="1:17" x14ac:dyDescent="0.25">
      <c r="A5" t="s">
        <v>50</v>
      </c>
      <c r="B5" t="s">
        <v>51</v>
      </c>
      <c r="C5" s="1">
        <v>45658</v>
      </c>
      <c r="D5" t="s">
        <v>0</v>
      </c>
      <c r="E5" t="s">
        <v>42</v>
      </c>
      <c r="F5" t="s">
        <v>0</v>
      </c>
      <c r="G5" t="s">
        <v>52</v>
      </c>
      <c r="H5" t="s">
        <v>61</v>
      </c>
      <c r="I5" t="s">
        <v>62</v>
      </c>
      <c r="J5" t="s">
        <v>63</v>
      </c>
      <c r="K5" t="s">
        <v>64</v>
      </c>
      <c r="L5">
        <v>2</v>
      </c>
      <c r="M5" t="s">
        <v>48</v>
      </c>
      <c r="N5" s="3" t="s">
        <v>0</v>
      </c>
      <c r="O5" t="s">
        <v>0</v>
      </c>
      <c r="P5" s="5">
        <v>26.08</v>
      </c>
      <c r="Q5" t="s">
        <v>49</v>
      </c>
    </row>
    <row r="6" spans="1:17" x14ac:dyDescent="0.25">
      <c r="A6" t="s">
        <v>50</v>
      </c>
      <c r="B6" t="s">
        <v>51</v>
      </c>
      <c r="C6" s="1">
        <v>45658</v>
      </c>
      <c r="D6" t="s">
        <v>0</v>
      </c>
      <c r="E6" t="s">
        <v>42</v>
      </c>
      <c r="F6" t="s">
        <v>0</v>
      </c>
      <c r="G6" t="s">
        <v>43</v>
      </c>
      <c r="H6" t="s">
        <v>65</v>
      </c>
      <c r="I6" t="s">
        <v>66</v>
      </c>
      <c r="J6" t="s">
        <v>67</v>
      </c>
      <c r="K6" t="s">
        <v>68</v>
      </c>
      <c r="L6">
        <v>2</v>
      </c>
      <c r="M6" t="s">
        <v>48</v>
      </c>
      <c r="N6" s="3" t="s">
        <v>0</v>
      </c>
      <c r="O6" t="s">
        <v>0</v>
      </c>
      <c r="P6" s="5">
        <v>26.08</v>
      </c>
      <c r="Q6" t="s">
        <v>49</v>
      </c>
    </row>
    <row r="7" spans="1:17" x14ac:dyDescent="0.25">
      <c r="A7" t="s">
        <v>50</v>
      </c>
      <c r="B7" t="s">
        <v>51</v>
      </c>
      <c r="C7" s="1">
        <v>45658</v>
      </c>
      <c r="D7" t="s">
        <v>0</v>
      </c>
      <c r="E7" t="s">
        <v>42</v>
      </c>
      <c r="F7" t="s">
        <v>0</v>
      </c>
      <c r="G7" t="s">
        <v>52</v>
      </c>
      <c r="H7" t="s">
        <v>69</v>
      </c>
      <c r="I7" t="s">
        <v>70</v>
      </c>
      <c r="J7" t="s">
        <v>71</v>
      </c>
      <c r="K7" t="s">
        <v>72</v>
      </c>
      <c r="L7">
        <v>2</v>
      </c>
      <c r="M7" t="s">
        <v>48</v>
      </c>
      <c r="N7" s="3" t="s">
        <v>0</v>
      </c>
      <c r="O7" t="s">
        <v>0</v>
      </c>
      <c r="P7" s="5">
        <v>26.08</v>
      </c>
      <c r="Q7" t="s">
        <v>49</v>
      </c>
    </row>
    <row r="8" spans="1:17" x14ac:dyDescent="0.25">
      <c r="A8" t="s">
        <v>73</v>
      </c>
      <c r="B8" t="s">
        <v>74</v>
      </c>
      <c r="C8" s="1">
        <v>45658</v>
      </c>
      <c r="D8" t="s">
        <v>0</v>
      </c>
      <c r="E8" t="s">
        <v>42</v>
      </c>
      <c r="F8" t="s">
        <v>0</v>
      </c>
      <c r="G8" t="s">
        <v>43</v>
      </c>
      <c r="H8" t="s">
        <v>75</v>
      </c>
      <c r="I8" t="s">
        <v>76</v>
      </c>
      <c r="J8" t="s">
        <v>77</v>
      </c>
      <c r="K8" t="s">
        <v>78</v>
      </c>
      <c r="L8">
        <v>2</v>
      </c>
      <c r="M8" t="s">
        <v>48</v>
      </c>
      <c r="N8" s="3" t="s">
        <v>0</v>
      </c>
      <c r="O8" t="s">
        <v>0</v>
      </c>
      <c r="P8" s="5">
        <v>26.08</v>
      </c>
      <c r="Q8" t="s">
        <v>49</v>
      </c>
    </row>
    <row r="9" spans="1:17" x14ac:dyDescent="0.25">
      <c r="A9" t="s">
        <v>79</v>
      </c>
      <c r="B9" t="s">
        <v>80</v>
      </c>
      <c r="C9" s="1">
        <v>45658</v>
      </c>
      <c r="D9" t="s">
        <v>0</v>
      </c>
      <c r="E9" t="s">
        <v>42</v>
      </c>
      <c r="F9" t="s">
        <v>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>
        <v>2</v>
      </c>
      <c r="M9" t="s">
        <v>48</v>
      </c>
      <c r="N9" s="3" t="s">
        <v>0</v>
      </c>
      <c r="O9" t="s">
        <v>0</v>
      </c>
      <c r="P9" s="5">
        <v>26.08</v>
      </c>
      <c r="Q9" t="s">
        <v>49</v>
      </c>
    </row>
    <row r="10" spans="1:17" x14ac:dyDescent="0.25">
      <c r="A10" t="s">
        <v>79</v>
      </c>
      <c r="B10" t="s">
        <v>80</v>
      </c>
      <c r="C10" s="2">
        <v>45901</v>
      </c>
      <c r="D10" t="s">
        <v>0</v>
      </c>
      <c r="E10" t="s">
        <v>42</v>
      </c>
      <c r="F10" t="s">
        <v>0</v>
      </c>
      <c r="G10" t="s">
        <v>52</v>
      </c>
      <c r="H10" t="s">
        <v>86</v>
      </c>
      <c r="I10" t="s">
        <v>87</v>
      </c>
      <c r="J10" t="s">
        <v>88</v>
      </c>
      <c r="K10" t="s">
        <v>89</v>
      </c>
      <c r="L10">
        <v>1</v>
      </c>
      <c r="M10" t="s">
        <v>48</v>
      </c>
      <c r="N10" s="3" t="s">
        <v>0</v>
      </c>
      <c r="O10" t="s">
        <v>0</v>
      </c>
      <c r="P10" s="5">
        <v>104.33</v>
      </c>
      <c r="Q10" t="s">
        <v>49</v>
      </c>
    </row>
    <row r="11" spans="1:17" x14ac:dyDescent="0.25">
      <c r="A11" t="s">
        <v>79</v>
      </c>
      <c r="B11" t="s">
        <v>80</v>
      </c>
      <c r="C11" s="2">
        <v>45870</v>
      </c>
      <c r="D11" t="s">
        <v>0</v>
      </c>
      <c r="E11" t="s">
        <v>42</v>
      </c>
      <c r="F11" t="s">
        <v>0</v>
      </c>
      <c r="G11" t="s">
        <v>52</v>
      </c>
      <c r="H11" t="s">
        <v>90</v>
      </c>
      <c r="I11" t="s">
        <v>91</v>
      </c>
      <c r="J11" t="s">
        <v>92</v>
      </c>
      <c r="K11" t="s">
        <v>93</v>
      </c>
      <c r="L11">
        <v>1</v>
      </c>
      <c r="M11" t="s">
        <v>48</v>
      </c>
      <c r="N11" s="3" t="s">
        <v>0</v>
      </c>
      <c r="O11" t="s">
        <v>0</v>
      </c>
      <c r="P11" s="5">
        <v>130.41</v>
      </c>
      <c r="Q11" t="s">
        <v>49</v>
      </c>
    </row>
    <row r="12" spans="1:17" x14ac:dyDescent="0.25">
      <c r="A12" t="s">
        <v>94</v>
      </c>
      <c r="B12" t="s">
        <v>95</v>
      </c>
      <c r="C12" s="1">
        <v>45658</v>
      </c>
      <c r="D12" s="2">
        <v>45900</v>
      </c>
      <c r="E12" t="s">
        <v>42</v>
      </c>
      <c r="F12" t="s">
        <v>0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>
        <v>1</v>
      </c>
      <c r="M12" t="s">
        <v>48</v>
      </c>
      <c r="N12" s="3" t="s">
        <v>0</v>
      </c>
      <c r="O12" t="s">
        <v>0</v>
      </c>
      <c r="P12" s="5">
        <v>-104.33</v>
      </c>
      <c r="Q12" t="s">
        <v>49</v>
      </c>
    </row>
    <row r="13" spans="1:17" x14ac:dyDescent="0.25">
      <c r="A13" t="s">
        <v>101</v>
      </c>
      <c r="B13" t="s">
        <v>102</v>
      </c>
      <c r="C13" s="1">
        <v>45658</v>
      </c>
      <c r="D13" t="s">
        <v>0</v>
      </c>
      <c r="E13" t="s">
        <v>42</v>
      </c>
      <c r="F13" t="s">
        <v>0</v>
      </c>
      <c r="G13" t="s">
        <v>43</v>
      </c>
      <c r="H13" t="s">
        <v>103</v>
      </c>
      <c r="I13" t="s">
        <v>104</v>
      </c>
      <c r="J13" t="s">
        <v>105</v>
      </c>
      <c r="K13" t="s">
        <v>106</v>
      </c>
      <c r="L13">
        <v>2</v>
      </c>
      <c r="M13" t="s">
        <v>48</v>
      </c>
      <c r="N13" s="3" t="s">
        <v>0</v>
      </c>
      <c r="O13" t="s">
        <v>0</v>
      </c>
      <c r="P13" s="5">
        <v>26.08</v>
      </c>
      <c r="Q13" t="s">
        <v>49</v>
      </c>
    </row>
    <row r="14" spans="1:17" x14ac:dyDescent="0.25">
      <c r="A14" t="s">
        <v>107</v>
      </c>
      <c r="B14" t="s">
        <v>108</v>
      </c>
      <c r="C14" s="2">
        <v>45901</v>
      </c>
      <c r="D14" t="s">
        <v>0</v>
      </c>
      <c r="E14" t="s">
        <v>42</v>
      </c>
      <c r="F14" t="s">
        <v>0</v>
      </c>
      <c r="G14" t="s">
        <v>52</v>
      </c>
      <c r="H14" t="s">
        <v>109</v>
      </c>
      <c r="I14" t="s">
        <v>110</v>
      </c>
      <c r="J14" t="s">
        <v>111</v>
      </c>
      <c r="K14" t="s">
        <v>112</v>
      </c>
      <c r="L14">
        <v>1</v>
      </c>
      <c r="M14" t="s">
        <v>113</v>
      </c>
      <c r="N14" s="3" t="s">
        <v>0</v>
      </c>
      <c r="O14" t="s">
        <v>0</v>
      </c>
      <c r="P14" s="5">
        <v>626</v>
      </c>
      <c r="Q14" t="s">
        <v>49</v>
      </c>
    </row>
    <row r="15" spans="1:17" x14ac:dyDescent="0.25">
      <c r="A15" t="s">
        <v>79</v>
      </c>
      <c r="B15" t="s">
        <v>80</v>
      </c>
      <c r="C15" s="1">
        <v>45658</v>
      </c>
      <c r="D15" t="s">
        <v>0</v>
      </c>
      <c r="E15" t="s">
        <v>42</v>
      </c>
      <c r="F15" t="s">
        <v>0</v>
      </c>
      <c r="G15" t="s">
        <v>81</v>
      </c>
      <c r="H15" t="s">
        <v>82</v>
      </c>
      <c r="I15" t="s">
        <v>83</v>
      </c>
      <c r="J15" t="s">
        <v>84</v>
      </c>
      <c r="K15" t="s">
        <v>85</v>
      </c>
      <c r="L15">
        <v>2</v>
      </c>
      <c r="M15" t="s">
        <v>48</v>
      </c>
      <c r="N15" s="3" t="s">
        <v>0</v>
      </c>
      <c r="O15" t="s">
        <v>0</v>
      </c>
      <c r="P15" s="5">
        <v>8.32</v>
      </c>
      <c r="Q15" t="s">
        <v>114</v>
      </c>
    </row>
    <row r="16" spans="1:17" x14ac:dyDescent="0.25">
      <c r="A16" t="s">
        <v>115</v>
      </c>
      <c r="B16" t="s">
        <v>116</v>
      </c>
      <c r="C16" s="1">
        <v>45658</v>
      </c>
      <c r="D16" t="s">
        <v>0</v>
      </c>
      <c r="E16" t="s">
        <v>42</v>
      </c>
      <c r="F16" t="s">
        <v>0</v>
      </c>
      <c r="G16" t="s">
        <v>43</v>
      </c>
      <c r="H16" t="s">
        <v>117</v>
      </c>
      <c r="I16" t="s">
        <v>118</v>
      </c>
      <c r="J16" t="s">
        <v>119</v>
      </c>
      <c r="K16" t="s">
        <v>120</v>
      </c>
      <c r="L16">
        <v>2</v>
      </c>
      <c r="M16" t="s">
        <v>48</v>
      </c>
      <c r="N16" s="3" t="s">
        <v>0</v>
      </c>
      <c r="O16" t="s">
        <v>0</v>
      </c>
      <c r="P16" s="5">
        <v>8.32</v>
      </c>
      <c r="Q16" t="s">
        <v>114</v>
      </c>
    </row>
    <row r="17" spans="1:17" x14ac:dyDescent="0.25">
      <c r="A17" t="s">
        <v>40</v>
      </c>
      <c r="B17" t="s">
        <v>41</v>
      </c>
      <c r="C17" s="1">
        <v>45658</v>
      </c>
      <c r="D17" t="s">
        <v>0</v>
      </c>
      <c r="E17" t="s">
        <v>42</v>
      </c>
      <c r="F17" t="s">
        <v>0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>
        <v>2</v>
      </c>
      <c r="M17" t="s">
        <v>48</v>
      </c>
      <c r="N17" s="3" t="s">
        <v>0</v>
      </c>
      <c r="O17" t="s">
        <v>0</v>
      </c>
      <c r="P17" s="5">
        <v>8.32</v>
      </c>
      <c r="Q17" t="s">
        <v>114</v>
      </c>
    </row>
    <row r="18" spans="1:17" x14ac:dyDescent="0.25">
      <c r="A18" t="s">
        <v>101</v>
      </c>
      <c r="B18" t="s">
        <v>102</v>
      </c>
      <c r="C18" s="1">
        <v>45658</v>
      </c>
      <c r="D18" t="s">
        <v>0</v>
      </c>
      <c r="E18" t="s">
        <v>42</v>
      </c>
      <c r="F18" t="s">
        <v>0</v>
      </c>
      <c r="G18" t="s">
        <v>43</v>
      </c>
      <c r="H18" t="s">
        <v>103</v>
      </c>
      <c r="I18" t="s">
        <v>104</v>
      </c>
      <c r="J18" t="s">
        <v>105</v>
      </c>
      <c r="K18" t="s">
        <v>106</v>
      </c>
      <c r="L18">
        <v>2</v>
      </c>
      <c r="M18" t="s">
        <v>48</v>
      </c>
      <c r="N18" s="3" t="s">
        <v>0</v>
      </c>
      <c r="O18" t="s">
        <v>0</v>
      </c>
      <c r="P18" s="5">
        <v>8.32</v>
      </c>
      <c r="Q18" t="s">
        <v>114</v>
      </c>
    </row>
    <row r="19" spans="1:17" x14ac:dyDescent="0.25">
      <c r="A19" t="s">
        <v>50</v>
      </c>
      <c r="B19" t="s">
        <v>51</v>
      </c>
      <c r="C19" s="2">
        <v>45901</v>
      </c>
      <c r="D19" t="s">
        <v>0</v>
      </c>
      <c r="E19" t="s">
        <v>42</v>
      </c>
      <c r="F19" t="s">
        <v>0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>
        <v>1</v>
      </c>
      <c r="M19" t="s">
        <v>48</v>
      </c>
      <c r="N19" s="3" t="s">
        <v>0</v>
      </c>
      <c r="O19" t="s">
        <v>0</v>
      </c>
      <c r="P19" s="5">
        <v>200</v>
      </c>
      <c r="Q19" t="s">
        <v>114</v>
      </c>
    </row>
    <row r="20" spans="1:17" x14ac:dyDescent="0.25">
      <c r="A20" t="s">
        <v>94</v>
      </c>
      <c r="B20" t="s">
        <v>95</v>
      </c>
      <c r="C20" s="1">
        <v>45658</v>
      </c>
      <c r="D20" s="2">
        <v>45900</v>
      </c>
      <c r="E20" t="s">
        <v>42</v>
      </c>
      <c r="F20" t="s">
        <v>0</v>
      </c>
      <c r="G20" t="s">
        <v>96</v>
      </c>
      <c r="H20" t="s">
        <v>97</v>
      </c>
      <c r="I20" t="s">
        <v>98</v>
      </c>
      <c r="J20" t="s">
        <v>99</v>
      </c>
      <c r="K20" t="s">
        <v>100</v>
      </c>
      <c r="L20">
        <v>1</v>
      </c>
      <c r="M20" t="s">
        <v>48</v>
      </c>
      <c r="N20" s="3" t="s">
        <v>0</v>
      </c>
      <c r="O20" t="s">
        <v>0</v>
      </c>
      <c r="P20" s="5">
        <v>-66.56</v>
      </c>
      <c r="Q20" t="s">
        <v>114</v>
      </c>
    </row>
    <row r="21" spans="1:17" x14ac:dyDescent="0.25">
      <c r="A21" t="s">
        <v>79</v>
      </c>
      <c r="B21" t="s">
        <v>80</v>
      </c>
      <c r="C21" s="2">
        <v>45901</v>
      </c>
      <c r="D21" t="s">
        <v>0</v>
      </c>
      <c r="E21" t="s">
        <v>42</v>
      </c>
      <c r="F21" t="s">
        <v>0</v>
      </c>
      <c r="G21" t="s">
        <v>52</v>
      </c>
      <c r="H21" t="s">
        <v>86</v>
      </c>
      <c r="I21" t="s">
        <v>87</v>
      </c>
      <c r="J21" t="s">
        <v>88</v>
      </c>
      <c r="K21" t="s">
        <v>89</v>
      </c>
      <c r="L21">
        <v>1</v>
      </c>
      <c r="M21" t="s">
        <v>48</v>
      </c>
      <c r="N21" s="3" t="s">
        <v>0</v>
      </c>
      <c r="O21" t="s">
        <v>0</v>
      </c>
      <c r="P21" s="5">
        <v>200</v>
      </c>
      <c r="Q21" t="s">
        <v>114</v>
      </c>
    </row>
    <row r="22" spans="1:17" x14ac:dyDescent="0.25">
      <c r="A22" t="s">
        <v>50</v>
      </c>
      <c r="B22" t="s">
        <v>51</v>
      </c>
      <c r="C22" s="1">
        <v>45658</v>
      </c>
      <c r="D22" t="s">
        <v>0</v>
      </c>
      <c r="E22" t="s">
        <v>42</v>
      </c>
      <c r="F22" t="s">
        <v>0</v>
      </c>
      <c r="G22" t="s">
        <v>52</v>
      </c>
      <c r="H22" t="s">
        <v>57</v>
      </c>
      <c r="I22" t="s">
        <v>58</v>
      </c>
      <c r="J22" t="s">
        <v>59</v>
      </c>
      <c r="K22" t="s">
        <v>60</v>
      </c>
      <c r="L22">
        <v>2</v>
      </c>
      <c r="M22" t="s">
        <v>48</v>
      </c>
      <c r="N22" s="3" t="s">
        <v>0</v>
      </c>
      <c r="O22" t="s">
        <v>0</v>
      </c>
      <c r="P22" s="5">
        <v>8.32</v>
      </c>
      <c r="Q22" t="s">
        <v>114</v>
      </c>
    </row>
    <row r="23" spans="1:17" x14ac:dyDescent="0.25">
      <c r="A23" t="s">
        <v>50</v>
      </c>
      <c r="B23" t="s">
        <v>51</v>
      </c>
      <c r="C23" s="1">
        <v>45658</v>
      </c>
      <c r="D23" t="s">
        <v>0</v>
      </c>
      <c r="E23" t="s">
        <v>42</v>
      </c>
      <c r="F23" t="s">
        <v>0</v>
      </c>
      <c r="G23" t="s">
        <v>52</v>
      </c>
      <c r="H23" t="s">
        <v>61</v>
      </c>
      <c r="I23" t="s">
        <v>62</v>
      </c>
      <c r="J23" t="s">
        <v>63</v>
      </c>
      <c r="K23" t="s">
        <v>64</v>
      </c>
      <c r="L23">
        <v>2</v>
      </c>
      <c r="M23" t="s">
        <v>48</v>
      </c>
      <c r="N23" s="3" t="s">
        <v>0</v>
      </c>
      <c r="O23" t="s">
        <v>0</v>
      </c>
      <c r="P23" s="5">
        <v>8.32</v>
      </c>
      <c r="Q23" t="s">
        <v>114</v>
      </c>
    </row>
    <row r="24" spans="1:17" x14ac:dyDescent="0.25">
      <c r="A24" t="s">
        <v>107</v>
      </c>
      <c r="B24" t="s">
        <v>108</v>
      </c>
      <c r="C24" s="2">
        <v>45901</v>
      </c>
      <c r="D24" t="s">
        <v>0</v>
      </c>
      <c r="E24" t="s">
        <v>42</v>
      </c>
      <c r="F24" t="s">
        <v>0</v>
      </c>
      <c r="G24" t="s">
        <v>52</v>
      </c>
      <c r="H24" t="s">
        <v>109</v>
      </c>
      <c r="I24" t="s">
        <v>110</v>
      </c>
      <c r="J24" t="s">
        <v>111</v>
      </c>
      <c r="K24" t="s">
        <v>112</v>
      </c>
      <c r="L24">
        <v>1</v>
      </c>
      <c r="M24" t="s">
        <v>113</v>
      </c>
      <c r="N24" s="3" t="s">
        <v>0</v>
      </c>
      <c r="O24" t="s">
        <v>0</v>
      </c>
      <c r="P24" s="5">
        <v>200</v>
      </c>
      <c r="Q24" t="s">
        <v>114</v>
      </c>
    </row>
    <row r="25" spans="1:17" x14ac:dyDescent="0.25">
      <c r="A25" t="s">
        <v>50</v>
      </c>
      <c r="B25" t="s">
        <v>51</v>
      </c>
      <c r="C25" s="1">
        <v>45658</v>
      </c>
      <c r="D25" t="s">
        <v>0</v>
      </c>
      <c r="E25" t="s">
        <v>42</v>
      </c>
      <c r="F25" t="s">
        <v>0</v>
      </c>
      <c r="G25" t="s">
        <v>43</v>
      </c>
      <c r="H25" t="s">
        <v>65</v>
      </c>
      <c r="I25" t="s">
        <v>66</v>
      </c>
      <c r="J25" t="s">
        <v>67</v>
      </c>
      <c r="K25" t="s">
        <v>68</v>
      </c>
      <c r="L25">
        <v>2</v>
      </c>
      <c r="M25" t="s">
        <v>48</v>
      </c>
      <c r="N25" s="3" t="s">
        <v>0</v>
      </c>
      <c r="O25" t="s">
        <v>0</v>
      </c>
      <c r="P25" s="5">
        <v>8.32</v>
      </c>
      <c r="Q25" t="s">
        <v>114</v>
      </c>
    </row>
    <row r="26" spans="1:17" x14ac:dyDescent="0.25">
      <c r="A26" t="s">
        <v>50</v>
      </c>
      <c r="B26" t="s">
        <v>51</v>
      </c>
      <c r="C26" s="1">
        <v>45658</v>
      </c>
      <c r="D26" t="s">
        <v>0</v>
      </c>
      <c r="E26" t="s">
        <v>42</v>
      </c>
      <c r="F26" t="s">
        <v>0</v>
      </c>
      <c r="G26" t="s">
        <v>52</v>
      </c>
      <c r="H26" t="s">
        <v>69</v>
      </c>
      <c r="I26" t="s">
        <v>70</v>
      </c>
      <c r="J26" t="s">
        <v>71</v>
      </c>
      <c r="K26" t="s">
        <v>72</v>
      </c>
      <c r="L26">
        <v>2</v>
      </c>
      <c r="M26" t="s">
        <v>48</v>
      </c>
      <c r="N26" s="3" t="s">
        <v>0</v>
      </c>
      <c r="O26" t="s">
        <v>0</v>
      </c>
      <c r="P26" s="5">
        <v>8.32</v>
      </c>
      <c r="Q26" t="s">
        <v>114</v>
      </c>
    </row>
    <row r="27" spans="1:17" x14ac:dyDescent="0.25">
      <c r="A27" t="s">
        <v>73</v>
      </c>
      <c r="B27" t="s">
        <v>74</v>
      </c>
      <c r="C27" s="1">
        <v>45658</v>
      </c>
      <c r="D27" t="s">
        <v>0</v>
      </c>
      <c r="E27" t="s">
        <v>42</v>
      </c>
      <c r="F27" t="s">
        <v>0</v>
      </c>
      <c r="G27" t="s">
        <v>43</v>
      </c>
      <c r="H27" t="s">
        <v>75</v>
      </c>
      <c r="I27" t="s">
        <v>76</v>
      </c>
      <c r="J27" t="s">
        <v>77</v>
      </c>
      <c r="K27" t="s">
        <v>78</v>
      </c>
      <c r="L27">
        <v>2</v>
      </c>
      <c r="M27" t="s">
        <v>48</v>
      </c>
      <c r="N27" s="3" t="s">
        <v>0</v>
      </c>
      <c r="O27" t="s">
        <v>0</v>
      </c>
      <c r="P27" s="5">
        <v>8.32</v>
      </c>
      <c r="Q27" t="s">
        <v>114</v>
      </c>
    </row>
    <row r="28" spans="1:17" x14ac:dyDescent="0.25">
      <c r="A28" t="s">
        <v>115</v>
      </c>
      <c r="B28" t="s">
        <v>116</v>
      </c>
      <c r="C28" s="1">
        <v>45658</v>
      </c>
      <c r="D28" t="s">
        <v>0</v>
      </c>
      <c r="E28" t="s">
        <v>42</v>
      </c>
      <c r="F28" t="s">
        <v>0</v>
      </c>
      <c r="G28" t="s">
        <v>43</v>
      </c>
      <c r="H28" t="s">
        <v>117</v>
      </c>
      <c r="I28" t="s">
        <v>118</v>
      </c>
      <c r="J28" t="s">
        <v>119</v>
      </c>
      <c r="K28" t="s">
        <v>120</v>
      </c>
      <c r="L28">
        <v>2</v>
      </c>
      <c r="M28" t="s">
        <v>48</v>
      </c>
      <c r="N28" s="3" t="s">
        <v>0</v>
      </c>
      <c r="O28" t="s">
        <v>0</v>
      </c>
      <c r="P28" s="5">
        <v>26.08</v>
      </c>
      <c r="Q2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DBD3-CA67-4704-84F0-8747D75BB26D}">
  <dimension ref="A1:N28"/>
  <sheetViews>
    <sheetView tabSelected="1" topLeftCell="B1" workbookViewId="0">
      <selection activeCell="M2" sqref="M2:M28"/>
    </sheetView>
  </sheetViews>
  <sheetFormatPr defaultRowHeight="15" x14ac:dyDescent="0.25"/>
  <cols>
    <col min="1" max="1" width="25" style="6" customWidth="1"/>
    <col min="2" max="2" width="20" style="6" customWidth="1"/>
    <col min="3" max="3" width="15" style="6" customWidth="1"/>
    <col min="4" max="4" width="53.85546875" style="6" bestFit="1" customWidth="1"/>
    <col min="5" max="5" width="12.140625" style="6" bestFit="1" customWidth="1"/>
    <col min="6" max="6" width="15" style="6" bestFit="1" customWidth="1"/>
    <col min="7" max="7" width="19" style="6" bestFit="1" customWidth="1"/>
    <col min="8" max="8" width="19.42578125" style="6" bestFit="1" customWidth="1"/>
    <col min="9" max="9" width="24.85546875" style="6" bestFit="1" customWidth="1"/>
    <col min="10" max="10" width="9.5703125" style="6" bestFit="1" customWidth="1"/>
    <col min="11" max="11" width="6.85546875" style="6" bestFit="1" customWidth="1"/>
    <col min="12" max="12" width="16.140625" style="6" bestFit="1" customWidth="1"/>
    <col min="13" max="13" width="23.140625" style="6" bestFit="1" customWidth="1"/>
    <col min="14" max="16384" width="9.140625" style="6"/>
  </cols>
  <sheetData>
    <row r="1" spans="1:14" x14ac:dyDescent="0.25">
      <c r="A1" s="6" t="s">
        <v>23</v>
      </c>
      <c r="B1" s="6" t="s">
        <v>24</v>
      </c>
      <c r="C1" s="6" t="s">
        <v>25</v>
      </c>
      <c r="D1" s="6" t="s">
        <v>29</v>
      </c>
      <c r="E1" s="6" t="s">
        <v>31</v>
      </c>
      <c r="G1" s="6" t="s">
        <v>32</v>
      </c>
      <c r="H1" s="6" t="s">
        <v>33</v>
      </c>
      <c r="J1" s="6" t="s">
        <v>38</v>
      </c>
      <c r="K1" s="6" t="s">
        <v>39</v>
      </c>
    </row>
    <row r="2" spans="1:14" x14ac:dyDescent="0.25">
      <c r="A2" s="6" t="s">
        <v>123</v>
      </c>
      <c r="B2" s="7">
        <v>20411454</v>
      </c>
      <c r="C2" s="8">
        <v>45658</v>
      </c>
      <c r="D2" s="6" t="s">
        <v>81</v>
      </c>
      <c r="E2" s="6" t="s">
        <v>83</v>
      </c>
      <c r="F2" s="6" t="str">
        <f>CONCATENATE(E2,"OVR")</f>
        <v>Z000041710OVR</v>
      </c>
      <c r="G2" s="6" t="s">
        <v>84</v>
      </c>
      <c r="H2" s="6" t="s">
        <v>85</v>
      </c>
      <c r="I2" s="6" t="str">
        <f>CONCATENATE(G2, " ",H2)</f>
        <v>ANGEL TORRES</v>
      </c>
      <c r="J2" s="9">
        <v>8.32</v>
      </c>
      <c r="K2" s="6" t="s">
        <v>114</v>
      </c>
      <c r="L2" s="6" t="s">
        <v>122</v>
      </c>
    </row>
    <row r="3" spans="1:14" x14ac:dyDescent="0.25">
      <c r="A3" s="6" t="s">
        <v>123</v>
      </c>
      <c r="B3" s="7">
        <v>20411454</v>
      </c>
      <c r="C3" s="8">
        <v>45658</v>
      </c>
      <c r="D3" s="6" t="s">
        <v>43</v>
      </c>
      <c r="E3" s="6" t="s">
        <v>118</v>
      </c>
      <c r="F3" s="6" t="str">
        <f t="shared" ref="F3:F14" si="0">CONCATENATE(E3,"OVR")</f>
        <v>Z000048148OVR</v>
      </c>
      <c r="G3" s="6" t="s">
        <v>119</v>
      </c>
      <c r="H3" s="6" t="s">
        <v>120</v>
      </c>
      <c r="I3" s="6" t="str">
        <f>CONCATENATE(G3, " ",H3)</f>
        <v>DAXABEN PATEL</v>
      </c>
      <c r="J3" s="9">
        <v>8.32</v>
      </c>
      <c r="K3" s="6" t="s">
        <v>114</v>
      </c>
      <c r="L3" s="6" t="s">
        <v>122</v>
      </c>
    </row>
    <row r="4" spans="1:14" x14ac:dyDescent="0.25">
      <c r="A4" s="6" t="s">
        <v>123</v>
      </c>
      <c r="B4" s="7">
        <v>20411454</v>
      </c>
      <c r="C4" s="8">
        <v>45658</v>
      </c>
      <c r="D4" s="6" t="s">
        <v>43</v>
      </c>
      <c r="E4" s="6" t="s">
        <v>45</v>
      </c>
      <c r="F4" s="6" t="str">
        <f t="shared" si="0"/>
        <v>Z000053543OVR</v>
      </c>
      <c r="G4" s="6" t="s">
        <v>46</v>
      </c>
      <c r="H4" s="6" t="s">
        <v>121</v>
      </c>
      <c r="I4" s="6" t="str">
        <f>CONCATENATE(G4, " ",H4)</f>
        <v>DOUGLAS SCHMIESKORS</v>
      </c>
      <c r="J4" s="9">
        <v>8.32</v>
      </c>
      <c r="K4" s="6" t="s">
        <v>114</v>
      </c>
      <c r="L4" s="6" t="s">
        <v>122</v>
      </c>
    </row>
    <row r="5" spans="1:14" x14ac:dyDescent="0.25">
      <c r="A5" s="6" t="s">
        <v>123</v>
      </c>
      <c r="B5" s="7">
        <v>20411454</v>
      </c>
      <c r="C5" s="8">
        <v>45658</v>
      </c>
      <c r="D5" s="6" t="s">
        <v>43</v>
      </c>
      <c r="E5" s="6" t="s">
        <v>104</v>
      </c>
      <c r="F5" s="6" t="str">
        <f t="shared" si="0"/>
        <v>Z000050459OVR</v>
      </c>
      <c r="G5" s="6" t="s">
        <v>105</v>
      </c>
      <c r="H5" s="6" t="s">
        <v>106</v>
      </c>
      <c r="I5" s="6" t="str">
        <f>CONCATENATE(G5, " ",H5)</f>
        <v>ERLENE CARTER</v>
      </c>
      <c r="J5" s="9">
        <v>8.32</v>
      </c>
      <c r="K5" s="6" t="s">
        <v>114</v>
      </c>
      <c r="L5" s="6" t="s">
        <v>122</v>
      </c>
    </row>
    <row r="6" spans="1:14" x14ac:dyDescent="0.25">
      <c r="A6" s="6" t="s">
        <v>123</v>
      </c>
      <c r="B6" s="7">
        <v>20411454</v>
      </c>
      <c r="C6" s="8">
        <v>45901</v>
      </c>
      <c r="D6" s="6" t="s">
        <v>52</v>
      </c>
      <c r="E6" s="6" t="s">
        <v>54</v>
      </c>
      <c r="F6" s="6" t="str">
        <f t="shared" si="0"/>
        <v>Z000083075OVR</v>
      </c>
      <c r="G6" s="6" t="s">
        <v>55</v>
      </c>
      <c r="H6" s="6" t="s">
        <v>56</v>
      </c>
      <c r="I6" s="6" t="str">
        <f>CONCATENATE(G6, " ",H6)</f>
        <v>Felix Medrano</v>
      </c>
      <c r="J6" s="9">
        <v>200</v>
      </c>
      <c r="K6" s="6" t="s">
        <v>114</v>
      </c>
      <c r="L6" s="6" t="s">
        <v>122</v>
      </c>
    </row>
    <row r="7" spans="1:14" x14ac:dyDescent="0.25">
      <c r="A7" s="6" t="s">
        <v>123</v>
      </c>
      <c r="B7" s="7">
        <v>20411454</v>
      </c>
      <c r="C7" s="8">
        <v>45658</v>
      </c>
      <c r="D7" s="6" t="s">
        <v>96</v>
      </c>
      <c r="E7" s="6" t="s">
        <v>98</v>
      </c>
      <c r="F7" s="6" t="str">
        <f t="shared" si="0"/>
        <v>Z000059986OVR</v>
      </c>
      <c r="G7" s="6" t="s">
        <v>99</v>
      </c>
      <c r="H7" s="6" t="s">
        <v>100</v>
      </c>
      <c r="I7" s="6" t="str">
        <f>CONCATENATE(G7, " ",H7)</f>
        <v>GWENDOLYN HART</v>
      </c>
      <c r="J7" s="9">
        <v>-66.56</v>
      </c>
      <c r="K7" s="6" t="s">
        <v>114</v>
      </c>
      <c r="L7" s="6" t="s">
        <v>122</v>
      </c>
    </row>
    <row r="8" spans="1:14" x14ac:dyDescent="0.25">
      <c r="A8" s="6" t="s">
        <v>123</v>
      </c>
      <c r="B8" s="7">
        <v>20411454</v>
      </c>
      <c r="C8" s="8">
        <v>45901</v>
      </c>
      <c r="D8" s="6" t="s">
        <v>52</v>
      </c>
      <c r="E8" s="6" t="s">
        <v>87</v>
      </c>
      <c r="F8" s="6" t="str">
        <f t="shared" si="0"/>
        <v>Z000084108OVR</v>
      </c>
      <c r="G8" s="6" t="s">
        <v>88</v>
      </c>
      <c r="H8" s="6" t="s">
        <v>89</v>
      </c>
      <c r="I8" s="6" t="str">
        <f>CONCATENATE(G8, " ",H8)</f>
        <v>Henry Baker</v>
      </c>
      <c r="J8" s="9">
        <v>200</v>
      </c>
      <c r="K8" s="6" t="s">
        <v>114</v>
      </c>
      <c r="L8" s="6" t="s">
        <v>122</v>
      </c>
    </row>
    <row r="9" spans="1:14" x14ac:dyDescent="0.25">
      <c r="A9" s="6" t="s">
        <v>123</v>
      </c>
      <c r="B9" s="7">
        <v>20411454</v>
      </c>
      <c r="C9" s="8">
        <v>45658</v>
      </c>
      <c r="D9" s="6" t="s">
        <v>52</v>
      </c>
      <c r="E9" s="6" t="s">
        <v>58</v>
      </c>
      <c r="F9" s="6" t="str">
        <f t="shared" si="0"/>
        <v>Z000048014OVR</v>
      </c>
      <c r="G9" s="6" t="s">
        <v>59</v>
      </c>
      <c r="H9" s="6" t="s">
        <v>60</v>
      </c>
      <c r="I9" s="6" t="str">
        <f>CONCATENATE(G9, " ",H9)</f>
        <v>JOSE HERNANDEZ</v>
      </c>
      <c r="J9" s="9">
        <v>8.32</v>
      </c>
      <c r="K9" s="6" t="s">
        <v>114</v>
      </c>
      <c r="L9" s="6" t="s">
        <v>122</v>
      </c>
    </row>
    <row r="10" spans="1:14" x14ac:dyDescent="0.25">
      <c r="A10" s="6" t="s">
        <v>123</v>
      </c>
      <c r="B10" s="7">
        <v>20411454</v>
      </c>
      <c r="C10" s="8">
        <v>45658</v>
      </c>
      <c r="D10" s="6" t="s">
        <v>52</v>
      </c>
      <c r="E10" s="6" t="s">
        <v>62</v>
      </c>
      <c r="F10" s="6" t="str">
        <f t="shared" si="0"/>
        <v>Z000045633OVR</v>
      </c>
      <c r="G10" s="6" t="s">
        <v>63</v>
      </c>
      <c r="H10" s="6" t="s">
        <v>64</v>
      </c>
      <c r="I10" s="6" t="str">
        <f>CONCATENATE(G10, " ",H10)</f>
        <v>LINDA DANIEL</v>
      </c>
      <c r="J10" s="9">
        <v>8.32</v>
      </c>
      <c r="K10" s="6" t="s">
        <v>114</v>
      </c>
      <c r="L10" s="6" t="s">
        <v>122</v>
      </c>
    </row>
    <row r="11" spans="1:14" x14ac:dyDescent="0.25">
      <c r="A11" s="6" t="s">
        <v>123</v>
      </c>
      <c r="B11" s="7">
        <v>20411454</v>
      </c>
      <c r="C11" s="8">
        <v>45901</v>
      </c>
      <c r="D11" s="6" t="s">
        <v>52</v>
      </c>
      <c r="E11" s="6" t="s">
        <v>110</v>
      </c>
      <c r="F11" s="6" t="str">
        <f t="shared" si="0"/>
        <v>Z000073408OVR</v>
      </c>
      <c r="G11" s="6" t="s">
        <v>111</v>
      </c>
      <c r="H11" s="6" t="s">
        <v>112</v>
      </c>
      <c r="I11" s="6" t="str">
        <f>CONCATENATE(G11, " ",H11)</f>
        <v>MARIO SANTOYO</v>
      </c>
      <c r="J11" s="9">
        <v>200</v>
      </c>
      <c r="K11" s="6" t="s">
        <v>114</v>
      </c>
      <c r="L11" s="6" t="s">
        <v>122</v>
      </c>
    </row>
    <row r="12" spans="1:14" x14ac:dyDescent="0.25">
      <c r="A12" s="6" t="s">
        <v>123</v>
      </c>
      <c r="B12" s="7">
        <v>20411454</v>
      </c>
      <c r="C12" s="8">
        <v>45658</v>
      </c>
      <c r="D12" s="6" t="s">
        <v>43</v>
      </c>
      <c r="E12" s="6" t="s">
        <v>66</v>
      </c>
      <c r="F12" s="6" t="str">
        <f t="shared" si="0"/>
        <v>Z000043644OVR</v>
      </c>
      <c r="G12" s="6" t="s">
        <v>67</v>
      </c>
      <c r="H12" s="6" t="s">
        <v>68</v>
      </c>
      <c r="I12" s="6" t="str">
        <f>CONCATENATE(G12, " ",H12)</f>
        <v>OLEGARIO HERNANDEZ FLORES</v>
      </c>
      <c r="J12" s="9">
        <v>8.32</v>
      </c>
      <c r="K12" s="6" t="s">
        <v>114</v>
      </c>
      <c r="L12" s="6" t="s">
        <v>122</v>
      </c>
    </row>
    <row r="13" spans="1:14" x14ac:dyDescent="0.25">
      <c r="A13" s="6" t="s">
        <v>123</v>
      </c>
      <c r="B13" s="7">
        <v>20411454</v>
      </c>
      <c r="C13" s="8">
        <v>45658</v>
      </c>
      <c r="D13" s="6" t="s">
        <v>52</v>
      </c>
      <c r="E13" s="6" t="s">
        <v>70</v>
      </c>
      <c r="F13" s="6" t="str">
        <f t="shared" si="0"/>
        <v>Z000046119OVR</v>
      </c>
      <c r="G13" s="6" t="s">
        <v>71</v>
      </c>
      <c r="H13" s="6" t="s">
        <v>72</v>
      </c>
      <c r="I13" s="6" t="str">
        <f>CONCATENATE(G13, " ",H13)</f>
        <v>RENE DIAZ</v>
      </c>
      <c r="J13" s="9">
        <v>8.32</v>
      </c>
      <c r="K13" s="6" t="s">
        <v>114</v>
      </c>
      <c r="L13" s="6" t="s">
        <v>122</v>
      </c>
    </row>
    <row r="14" spans="1:14" x14ac:dyDescent="0.25">
      <c r="A14" s="6" t="s">
        <v>123</v>
      </c>
      <c r="B14" s="7">
        <v>20411454</v>
      </c>
      <c r="C14" s="8">
        <v>45658</v>
      </c>
      <c r="D14" s="6" t="s">
        <v>43</v>
      </c>
      <c r="E14" s="6" t="s">
        <v>76</v>
      </c>
      <c r="F14" s="6" t="str">
        <f t="shared" si="0"/>
        <v>Z000043513OVR</v>
      </c>
      <c r="G14" s="6" t="s">
        <v>77</v>
      </c>
      <c r="H14" s="6" t="s">
        <v>78</v>
      </c>
      <c r="I14" s="6" t="str">
        <f>CONCATENATE(G14, " ",H14)</f>
        <v>WALTER ATTERBERRY</v>
      </c>
      <c r="J14" s="9">
        <v>8.32</v>
      </c>
      <c r="K14" s="6" t="s">
        <v>114</v>
      </c>
      <c r="L14" s="6" t="s">
        <v>122</v>
      </c>
    </row>
    <row r="15" spans="1:14" x14ac:dyDescent="0.25">
      <c r="A15" s="6" t="s">
        <v>40</v>
      </c>
      <c r="B15" s="7">
        <v>16912722</v>
      </c>
      <c r="C15" s="8">
        <v>45658</v>
      </c>
      <c r="D15" s="6" t="s">
        <v>43</v>
      </c>
      <c r="E15" s="6" t="s">
        <v>45</v>
      </c>
      <c r="F15" s="6" t="str">
        <f>CONCATENATE(E15,2)</f>
        <v>Z0000535432</v>
      </c>
      <c r="G15" s="6" t="s">
        <v>46</v>
      </c>
      <c r="H15" s="6" t="s">
        <v>121</v>
      </c>
      <c r="I15" s="6" t="str">
        <f>CONCATENATE(G15, " ",H15)</f>
        <v>DOUGLAS SCHMIESKORS</v>
      </c>
      <c r="J15" s="9">
        <v>26.08</v>
      </c>
      <c r="K15" s="6" t="s">
        <v>49</v>
      </c>
      <c r="L15" s="6" t="s">
        <v>124</v>
      </c>
      <c r="M15" s="6" t="s">
        <v>126</v>
      </c>
    </row>
    <row r="16" spans="1:14" x14ac:dyDescent="0.25">
      <c r="A16" s="6" t="s">
        <v>50</v>
      </c>
      <c r="B16" s="7">
        <v>17301495</v>
      </c>
      <c r="C16" s="8">
        <v>45901</v>
      </c>
      <c r="D16" s="6" t="s">
        <v>52</v>
      </c>
      <c r="E16" s="6" t="s">
        <v>54</v>
      </c>
      <c r="F16" s="6" t="str">
        <f t="shared" ref="F16:F26" si="1">CONCATENATE(E16,2)</f>
        <v>Z0000830752</v>
      </c>
      <c r="G16" s="6" t="s">
        <v>55</v>
      </c>
      <c r="H16" s="6" t="s">
        <v>56</v>
      </c>
      <c r="I16" s="6" t="str">
        <f>CONCATENATE(G16, " ",H16)</f>
        <v>Felix Medrano</v>
      </c>
      <c r="J16" s="9">
        <v>208.67</v>
      </c>
      <c r="K16" s="6" t="s">
        <v>49</v>
      </c>
      <c r="L16" s="6" t="s">
        <v>124</v>
      </c>
      <c r="M16" s="6" t="s">
        <v>127</v>
      </c>
      <c r="N16" s="6">
        <f>313/12*8</f>
        <v>208.66666666666666</v>
      </c>
    </row>
    <row r="17" spans="1:14" x14ac:dyDescent="0.25">
      <c r="A17" s="6" t="s">
        <v>50</v>
      </c>
      <c r="B17" s="7">
        <v>17301495</v>
      </c>
      <c r="C17" s="8">
        <v>45658</v>
      </c>
      <c r="D17" s="6" t="s">
        <v>52</v>
      </c>
      <c r="E17" s="6" t="s">
        <v>58</v>
      </c>
      <c r="F17" s="6" t="str">
        <f t="shared" si="1"/>
        <v>Z0000480142</v>
      </c>
      <c r="G17" s="6" t="s">
        <v>59</v>
      </c>
      <c r="H17" s="6" t="s">
        <v>60</v>
      </c>
      <c r="I17" s="6" t="str">
        <f>CONCATENATE(G17, " ",H17)</f>
        <v>JOSE HERNANDEZ</v>
      </c>
      <c r="J17" s="9">
        <v>26.08</v>
      </c>
      <c r="K17" s="6" t="s">
        <v>49</v>
      </c>
      <c r="L17" s="6" t="s">
        <v>124</v>
      </c>
      <c r="M17" s="6" t="s">
        <v>126</v>
      </c>
    </row>
    <row r="18" spans="1:14" x14ac:dyDescent="0.25">
      <c r="A18" s="6" t="s">
        <v>50</v>
      </c>
      <c r="B18" s="7">
        <v>17301495</v>
      </c>
      <c r="C18" s="8">
        <v>45658</v>
      </c>
      <c r="D18" s="6" t="s">
        <v>52</v>
      </c>
      <c r="E18" s="6" t="s">
        <v>62</v>
      </c>
      <c r="F18" s="6" t="str">
        <f t="shared" si="1"/>
        <v>Z0000456332</v>
      </c>
      <c r="G18" s="6" t="s">
        <v>63</v>
      </c>
      <c r="H18" s="6" t="s">
        <v>64</v>
      </c>
      <c r="I18" s="6" t="str">
        <f>CONCATENATE(G18, " ",H18)</f>
        <v>LINDA DANIEL</v>
      </c>
      <c r="J18" s="9">
        <v>26.08</v>
      </c>
      <c r="K18" s="6" t="s">
        <v>49</v>
      </c>
      <c r="L18" s="6" t="s">
        <v>124</v>
      </c>
      <c r="M18" s="6" t="s">
        <v>126</v>
      </c>
    </row>
    <row r="19" spans="1:14" x14ac:dyDescent="0.25">
      <c r="A19" s="6" t="s">
        <v>50</v>
      </c>
      <c r="B19" s="7">
        <v>17301495</v>
      </c>
      <c r="C19" s="8">
        <v>45658</v>
      </c>
      <c r="D19" s="6" t="s">
        <v>43</v>
      </c>
      <c r="E19" s="6" t="s">
        <v>66</v>
      </c>
      <c r="F19" s="6" t="str">
        <f t="shared" si="1"/>
        <v>Z0000436442</v>
      </c>
      <c r="G19" s="6" t="s">
        <v>67</v>
      </c>
      <c r="H19" s="6" t="s">
        <v>68</v>
      </c>
      <c r="I19" s="6" t="str">
        <f>CONCATENATE(G19, " ",H19)</f>
        <v>OLEGARIO HERNANDEZ FLORES</v>
      </c>
      <c r="J19" s="9">
        <v>26.08</v>
      </c>
      <c r="K19" s="6" t="s">
        <v>49</v>
      </c>
      <c r="L19" s="6" t="s">
        <v>124</v>
      </c>
      <c r="M19" s="6" t="s">
        <v>126</v>
      </c>
    </row>
    <row r="20" spans="1:14" x14ac:dyDescent="0.25">
      <c r="A20" s="6" t="s">
        <v>50</v>
      </c>
      <c r="B20" s="7">
        <v>17301495</v>
      </c>
      <c r="C20" s="8">
        <v>45658</v>
      </c>
      <c r="D20" s="6" t="s">
        <v>52</v>
      </c>
      <c r="E20" s="6" t="s">
        <v>70</v>
      </c>
      <c r="F20" s="6" t="str">
        <f t="shared" si="1"/>
        <v>Z0000461192</v>
      </c>
      <c r="G20" s="6" t="s">
        <v>71</v>
      </c>
      <c r="H20" s="6" t="s">
        <v>72</v>
      </c>
      <c r="I20" s="6" t="str">
        <f>CONCATENATE(G20, " ",H20)</f>
        <v>RENE DIAZ</v>
      </c>
      <c r="J20" s="9">
        <v>26.08</v>
      </c>
      <c r="K20" s="6" t="s">
        <v>49</v>
      </c>
      <c r="L20" s="6" t="s">
        <v>124</v>
      </c>
      <c r="M20" s="6" t="s">
        <v>126</v>
      </c>
    </row>
    <row r="21" spans="1:14" x14ac:dyDescent="0.25">
      <c r="A21" s="6" t="s">
        <v>73</v>
      </c>
      <c r="B21" s="7">
        <v>8814784</v>
      </c>
      <c r="C21" s="8">
        <v>45658</v>
      </c>
      <c r="D21" s="6" t="s">
        <v>43</v>
      </c>
      <c r="E21" s="6" t="s">
        <v>76</v>
      </c>
      <c r="F21" s="6" t="str">
        <f t="shared" si="1"/>
        <v>Z0000435132</v>
      </c>
      <c r="G21" s="6" t="s">
        <v>77</v>
      </c>
      <c r="H21" s="6" t="s">
        <v>78</v>
      </c>
      <c r="I21" s="6" t="str">
        <f>CONCATENATE(G21, " ",H21)</f>
        <v>WALTER ATTERBERRY</v>
      </c>
      <c r="J21" s="9">
        <v>26.08</v>
      </c>
      <c r="K21" s="6" t="s">
        <v>49</v>
      </c>
      <c r="L21" s="6" t="s">
        <v>124</v>
      </c>
      <c r="M21" s="6" t="s">
        <v>126</v>
      </c>
    </row>
    <row r="22" spans="1:14" x14ac:dyDescent="0.25">
      <c r="A22" s="6" t="s">
        <v>79</v>
      </c>
      <c r="B22" s="7">
        <v>9213293</v>
      </c>
      <c r="C22" s="8">
        <v>45658</v>
      </c>
      <c r="D22" s="6" t="s">
        <v>81</v>
      </c>
      <c r="E22" s="6" t="s">
        <v>83</v>
      </c>
      <c r="F22" s="6" t="str">
        <f t="shared" si="1"/>
        <v>Z0000417102</v>
      </c>
      <c r="G22" s="6" t="s">
        <v>84</v>
      </c>
      <c r="H22" s="6" t="s">
        <v>85</v>
      </c>
      <c r="I22" s="6" t="str">
        <f>CONCATENATE(G22, " ",H22)</f>
        <v>ANGEL TORRES</v>
      </c>
      <c r="J22" s="9">
        <v>26.08</v>
      </c>
      <c r="K22" s="6" t="s">
        <v>49</v>
      </c>
      <c r="L22" s="6" t="s">
        <v>124</v>
      </c>
      <c r="M22" s="6" t="s">
        <v>126</v>
      </c>
    </row>
    <row r="23" spans="1:14" x14ac:dyDescent="0.25">
      <c r="A23" s="6" t="s">
        <v>79</v>
      </c>
      <c r="B23" s="7">
        <v>9213293</v>
      </c>
      <c r="C23" s="8">
        <v>45901</v>
      </c>
      <c r="D23" s="6" t="s">
        <v>52</v>
      </c>
      <c r="E23" s="6" t="s">
        <v>87</v>
      </c>
      <c r="F23" s="6" t="str">
        <f t="shared" si="1"/>
        <v>Z0000841082</v>
      </c>
      <c r="G23" s="6" t="s">
        <v>88</v>
      </c>
      <c r="H23" s="6" t="s">
        <v>89</v>
      </c>
      <c r="I23" s="6" t="str">
        <f>CONCATENATE(G23, " ",H23)</f>
        <v>Henry Baker</v>
      </c>
      <c r="J23" s="9">
        <v>104.33</v>
      </c>
      <c r="K23" s="6" t="s">
        <v>49</v>
      </c>
      <c r="L23" s="6" t="s">
        <v>124</v>
      </c>
      <c r="M23" s="6" t="s">
        <v>128</v>
      </c>
      <c r="N23" s="6">
        <f>313/12*4</f>
        <v>104.33333333333333</v>
      </c>
    </row>
    <row r="24" spans="1:14" x14ac:dyDescent="0.25">
      <c r="A24" s="6" t="s">
        <v>79</v>
      </c>
      <c r="B24" s="7">
        <v>9213293</v>
      </c>
      <c r="C24" s="8">
        <v>45870</v>
      </c>
      <c r="D24" s="6" t="s">
        <v>52</v>
      </c>
      <c r="E24" s="6" t="s">
        <v>91</v>
      </c>
      <c r="F24" s="6" t="str">
        <f t="shared" si="1"/>
        <v>Z0000822042</v>
      </c>
      <c r="G24" s="6" t="s">
        <v>92</v>
      </c>
      <c r="H24" s="6" t="s">
        <v>93</v>
      </c>
      <c r="I24" s="6" t="str">
        <f>CONCATENATE(G24, " ",H24)</f>
        <v>Maria Rojas De Alonso</v>
      </c>
      <c r="J24" s="9">
        <v>130.41</v>
      </c>
      <c r="K24" s="6" t="s">
        <v>49</v>
      </c>
      <c r="L24" s="6" t="s">
        <v>124</v>
      </c>
      <c r="M24" s="6" t="s">
        <v>129</v>
      </c>
      <c r="N24" s="6">
        <f>313/12*5</f>
        <v>130.41666666666666</v>
      </c>
    </row>
    <row r="25" spans="1:14" x14ac:dyDescent="0.25">
      <c r="A25" s="6" t="s">
        <v>94</v>
      </c>
      <c r="B25" s="7">
        <v>17094718</v>
      </c>
      <c r="C25" s="8">
        <v>45658</v>
      </c>
      <c r="D25" s="6" t="s">
        <v>96</v>
      </c>
      <c r="E25" s="6" t="s">
        <v>98</v>
      </c>
      <c r="F25" s="6" t="str">
        <f t="shared" si="1"/>
        <v>Z0000599862</v>
      </c>
      <c r="G25" s="6" t="s">
        <v>99</v>
      </c>
      <c r="H25" s="6" t="s">
        <v>100</v>
      </c>
      <c r="I25" s="6" t="str">
        <f>CONCATENATE(G25, " ",H25)</f>
        <v>GWENDOLYN HART</v>
      </c>
      <c r="J25" s="9">
        <v>-104.33</v>
      </c>
      <c r="K25" s="6" t="s">
        <v>49</v>
      </c>
      <c r="L25" s="6" t="s">
        <v>124</v>
      </c>
      <c r="M25" s="6" t="s">
        <v>128</v>
      </c>
    </row>
    <row r="26" spans="1:14" x14ac:dyDescent="0.25">
      <c r="A26" s="6" t="s">
        <v>101</v>
      </c>
      <c r="B26" s="7">
        <v>8307933</v>
      </c>
      <c r="C26" s="8">
        <v>45658</v>
      </c>
      <c r="D26" s="6" t="s">
        <v>43</v>
      </c>
      <c r="E26" s="6" t="s">
        <v>104</v>
      </c>
      <c r="F26" s="6" t="str">
        <f t="shared" si="1"/>
        <v>Z0000504592</v>
      </c>
      <c r="G26" s="6" t="s">
        <v>105</v>
      </c>
      <c r="H26" s="6" t="s">
        <v>106</v>
      </c>
      <c r="I26" s="6" t="str">
        <f>CONCATENATE(G26, " ",H26)</f>
        <v>ERLENE CARTER</v>
      </c>
      <c r="J26" s="9">
        <v>26.08</v>
      </c>
      <c r="K26" s="6" t="s">
        <v>49</v>
      </c>
      <c r="L26" s="6" t="s">
        <v>124</v>
      </c>
      <c r="M26" s="6" t="s">
        <v>126</v>
      </c>
    </row>
    <row r="27" spans="1:14" x14ac:dyDescent="0.25">
      <c r="A27" s="6" t="s">
        <v>107</v>
      </c>
      <c r="B27" s="7">
        <v>20212926</v>
      </c>
      <c r="C27" s="8">
        <v>45901</v>
      </c>
      <c r="D27" s="6" t="s">
        <v>52</v>
      </c>
      <c r="E27" s="6" t="s">
        <v>110</v>
      </c>
      <c r="F27" s="6" t="str">
        <f>CONCATENATE(E27,3)</f>
        <v>Z0000734083</v>
      </c>
      <c r="G27" s="6" t="s">
        <v>111</v>
      </c>
      <c r="H27" s="6" t="s">
        <v>112</v>
      </c>
      <c r="I27" s="6" t="str">
        <f>CONCATENATE(G27, " ",H27)</f>
        <v>MARIO SANTOYO</v>
      </c>
      <c r="J27" s="9">
        <v>626</v>
      </c>
      <c r="K27" s="6" t="s">
        <v>49</v>
      </c>
      <c r="L27" s="6" t="s">
        <v>125</v>
      </c>
      <c r="M27" s="6" t="s">
        <v>130</v>
      </c>
    </row>
    <row r="28" spans="1:14" x14ac:dyDescent="0.25">
      <c r="A28" s="6" t="s">
        <v>115</v>
      </c>
      <c r="B28" s="7">
        <v>19396223</v>
      </c>
      <c r="C28" s="8">
        <v>45658</v>
      </c>
      <c r="D28" s="6" t="s">
        <v>43</v>
      </c>
      <c r="E28" s="6" t="s">
        <v>118</v>
      </c>
      <c r="F28" s="6" t="str">
        <f>CONCATENATE(E28,2)</f>
        <v>Z0000481482</v>
      </c>
      <c r="G28" s="6" t="s">
        <v>119</v>
      </c>
      <c r="H28" s="6" t="s">
        <v>120</v>
      </c>
      <c r="I28" s="6" t="str">
        <f>CONCATENATE(G28, " ",H28)</f>
        <v>DAXABEN PATEL</v>
      </c>
      <c r="J28" s="9">
        <v>26.08</v>
      </c>
      <c r="K28" s="6" t="s">
        <v>49</v>
      </c>
      <c r="L28" s="6" t="s">
        <v>124</v>
      </c>
      <c r="M28" s="6" t="s">
        <v>126</v>
      </c>
    </row>
  </sheetData>
  <sortState xmlns:xlrd2="http://schemas.microsoft.com/office/spreadsheetml/2017/richdata2" ref="A2:S28">
    <sortCondition ref="K2:K28"/>
  </sortState>
  <pageMargins left="0.7" right="0.7" top="0.75" bottom="0.75" header="0.3" footer="0.3"/>
  <ignoredErrors>
    <ignoredError sqref="F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2025-09-18T17:27:41Z</dcterms:created>
  <dcterms:modified xsi:type="dcterms:W3CDTF">2025-09-23T21:03:13Z</dcterms:modified>
</cp:coreProperties>
</file>