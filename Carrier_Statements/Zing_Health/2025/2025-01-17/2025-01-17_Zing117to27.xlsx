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1-17-25 to 2-7-25\"/>
    </mc:Choice>
  </mc:AlternateContent>
  <xr:revisionPtr revIDLastSave="0" documentId="13_ncr:1_{F6539266-E431-450B-9387-3C3E464D5269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36" i="3" l="1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2" i="3"/>
  <c r="K3" i="3"/>
  <c r="K6" i="3"/>
  <c r="K9" i="3"/>
  <c r="K10" i="3"/>
  <c r="K11" i="3"/>
  <c r="K12" i="3"/>
  <c r="K19" i="3"/>
  <c r="K21" i="3"/>
  <c r="K22" i="3"/>
  <c r="K23" i="3"/>
  <c r="K24" i="3"/>
  <c r="K25" i="3"/>
  <c r="K27" i="3"/>
  <c r="K29" i="3"/>
  <c r="K31" i="3"/>
  <c r="K32" i="3"/>
  <c r="K71" i="3"/>
  <c r="K4" i="3"/>
  <c r="K5" i="3"/>
  <c r="K7" i="3"/>
  <c r="K13" i="3"/>
  <c r="K14" i="3"/>
  <c r="K15" i="3"/>
  <c r="K16" i="3"/>
  <c r="K17" i="3"/>
  <c r="K20" i="3"/>
  <c r="K26" i="3"/>
  <c r="K28" i="3"/>
  <c r="K30" i="3"/>
  <c r="K33" i="3"/>
  <c r="K34" i="3"/>
  <c r="K72" i="3"/>
  <c r="K70" i="3"/>
  <c r="K8" i="3"/>
  <c r="K18" i="3"/>
  <c r="K35" i="3"/>
  <c r="H70" i="3"/>
  <c r="H3" i="3"/>
  <c r="H6" i="3"/>
  <c r="H9" i="3"/>
  <c r="H10" i="3"/>
  <c r="H11" i="3"/>
  <c r="H12" i="3"/>
  <c r="H19" i="3"/>
  <c r="H21" i="3"/>
  <c r="H22" i="3"/>
  <c r="H23" i="3"/>
  <c r="H24" i="3"/>
  <c r="H25" i="3"/>
  <c r="H27" i="3"/>
  <c r="H29" i="3"/>
  <c r="H31" i="3"/>
  <c r="H32" i="3"/>
  <c r="H71" i="3"/>
  <c r="H4" i="3"/>
  <c r="H5" i="3"/>
  <c r="H7" i="3"/>
  <c r="H13" i="3"/>
  <c r="H14" i="3"/>
  <c r="H15" i="3"/>
  <c r="H16" i="3"/>
  <c r="H17" i="3"/>
  <c r="H20" i="3"/>
  <c r="H26" i="3"/>
  <c r="H28" i="3"/>
  <c r="H30" i="3"/>
  <c r="H33" i="3"/>
  <c r="H34" i="3"/>
  <c r="H72" i="3"/>
  <c r="H8" i="3"/>
  <c r="H18" i="3"/>
  <c r="H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35" i="3"/>
</calcChain>
</file>

<file path=xl/sharedStrings.xml><?xml version="1.0" encoding="utf-8"?>
<sst xmlns="http://schemas.openxmlformats.org/spreadsheetml/2006/main" count="1939" uniqueCount="181">
  <si>
    <t/>
  </si>
  <si>
    <t>Description</t>
  </si>
  <si>
    <t>Member Count</t>
  </si>
  <si>
    <t>Credits</t>
  </si>
  <si>
    <t>Debits</t>
  </si>
  <si>
    <t>Total</t>
  </si>
  <si>
    <t>Initial Enrollments</t>
  </si>
  <si>
    <t>$2,434.60</t>
  </si>
  <si>
    <t>$0.00</t>
  </si>
  <si>
    <t>Renewal Enrollments</t>
  </si>
  <si>
    <t>$412.80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</si>
  <si>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</si>
  <si>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</si>
  <si>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</si>
  <si>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</si>
  <si>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</si>
  <si>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</si>
  <si>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</si>
  <si>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$2,847.40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</si>
  <si>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</si>
  <si>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</si>
  <si>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</si>
  <si>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</si>
  <si>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</si>
  <si>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</si>
  <si>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</si>
  <si>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</si>
  <si>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</si>
  <si>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</si>
  <si>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</si>
  <si>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</si>
  <si>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</si>
  <si>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</si>
  <si>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</si>
  <si>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</si>
  <si>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</si>
  <si>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</si>
  <si>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</si>
  <si>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</si>
  <si>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</si>
  <si>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</si>
  <si>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</si>
  <si>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</si>
  <si>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</si>
  <si>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No</t>
  </si>
  <si>
    <t>$26.08</t>
  </si>
  <si>
    <t>Agent</t>
  </si>
  <si>
    <t>Zing Essential Wellness Diabetes and Heart IL (HMO C-SNP)</t>
  </si>
  <si>
    <t>1RQ6R88AC72</t>
  </si>
  <si>
    <t>Z000051510</t>
  </si>
  <si>
    <t>JAMES</t>
  </si>
  <si>
    <t>PRICE</t>
  </si>
  <si>
    <t>Yes</t>
  </si>
  <si>
    <t>Anthony Hunsberger</t>
  </si>
  <si>
    <t>7146581</t>
  </si>
  <si>
    <t>Zing Choice IL (HMO)</t>
  </si>
  <si>
    <t>2UF4QP9WC93</t>
  </si>
  <si>
    <t>Z000049634</t>
  </si>
  <si>
    <t>RONALD</t>
  </si>
  <si>
    <t>KROWN</t>
  </si>
  <si>
    <t>Esther Herrera-Larsen</t>
  </si>
  <si>
    <t>17301495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</si>
  <si>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</si>
  <si>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</si>
  <si>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</si>
  <si>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</si>
  <si>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</si>
  <si>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</si>
  <si>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</si>
  <si>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</si>
  <si>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</si>
  <si>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</si>
  <si>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</si>
  <si>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</si>
  <si>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</si>
  <si>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</si>
  <si>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</si>
  <si>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</si>
  <si>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</si>
  <si>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</si>
  <si>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</si>
  <si>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</si>
  <si>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</si>
  <si>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</si>
  <si>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</si>
  <si>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</si>
  <si>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</si>
  <si>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</si>
  <si>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</si>
  <si>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</si>
  <si>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</si>
  <si>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2YV1G06WT99</t>
  </si>
  <si>
    <t>Z000066815</t>
  </si>
  <si>
    <t>CRYSTAL</t>
  </si>
  <si>
    <t>SEBALLOS</t>
  </si>
  <si>
    <t>$286.92</t>
  </si>
  <si>
    <t>2CW1MT9JV32</t>
  </si>
  <si>
    <t>Z000066808</t>
  </si>
  <si>
    <t>RALPH</t>
  </si>
  <si>
    <t>MINX</t>
  </si>
  <si>
    <t>6Y74TY4JQ98</t>
  </si>
  <si>
    <t>Z000065209</t>
  </si>
  <si>
    <t>SCOT</t>
  </si>
  <si>
    <t>STOLTZ</t>
  </si>
  <si>
    <t>3R38AE2UJ58</t>
  </si>
  <si>
    <t>Z000066601</t>
  </si>
  <si>
    <t>SIXTO</t>
  </si>
  <si>
    <t>BRAVO HUESCA</t>
  </si>
  <si>
    <t>Gregory Hansford</t>
  </si>
  <si>
    <t>17094718</t>
  </si>
  <si>
    <t>2XA6X65WX67</t>
  </si>
  <si>
    <t>Z000022372</t>
  </si>
  <si>
    <t>YOLENE</t>
  </si>
  <si>
    <t>HOOPER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</si>
  <si>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</si>
  <si>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</si>
  <si>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</si>
  <si>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</si>
  <si>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</si>
  <si>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</si>
  <si>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</si>
  <si>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</si>
  <si>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9JU6MM9XT50</t>
  </si>
  <si>
    <t>Z000049972</t>
  </si>
  <si>
    <t>FRANCISCO</t>
  </si>
  <si>
    <t>PEREZ GARCIA</t>
  </si>
  <si>
    <t>Zing Elite Select IL (HMO)</t>
  </si>
  <si>
    <t>5JT5AU8CR95</t>
  </si>
  <si>
    <t>Z000048999</t>
  </si>
  <si>
    <t>ISIDORO</t>
  </si>
  <si>
    <t>ORTIZ</t>
  </si>
  <si>
    <t>$8.32</t>
  </si>
  <si>
    <t>Admin</t>
  </si>
  <si>
    <t>$200.00</t>
  </si>
  <si>
    <t>Saadia Abdul</t>
  </si>
  <si>
    <t>19396223</t>
  </si>
  <si>
    <t>3J34V65XN82</t>
  </si>
  <si>
    <t>Z000048148</t>
  </si>
  <si>
    <t>DAXABEN</t>
  </si>
  <si>
    <t>PATEL</t>
  </si>
  <si>
    <t>$217.72</t>
  </si>
  <si>
    <t>$34.52</t>
  </si>
  <si>
    <t>($1,192.80)</t>
  </si>
  <si>
    <t>($1,158.28)</t>
  </si>
  <si>
    <t>$665.04</t>
  </si>
  <si>
    <t>($527.76)</t>
  </si>
  <si>
    <t>$626.00</t>
  </si>
  <si>
    <t>6WD1V32PM29</t>
  </si>
  <si>
    <t>Z000055150</t>
  </si>
  <si>
    <t>CARLOS</t>
  </si>
  <si>
    <t>CHAVEZ</t>
  </si>
  <si>
    <t>($313.00)</t>
  </si>
  <si>
    <t>4D61YN1FW01</t>
  </si>
  <si>
    <t>Z000048672</t>
  </si>
  <si>
    <t>VERA</t>
  </si>
  <si>
    <t>HARRIS</t>
  </si>
  <si>
    <t>1QX0Y19UA27</t>
  </si>
  <si>
    <t>Z000059164</t>
  </si>
  <si>
    <t>NORMAN</t>
  </si>
  <si>
    <t>MALDONADO</t>
  </si>
  <si>
    <t>($200.00)</t>
  </si>
  <si>
    <t>$166.80</t>
  </si>
  <si>
    <t>($166.68)</t>
  </si>
  <si>
    <t>$50.92</t>
  </si>
  <si>
    <t>Dennis Holyn</t>
  </si>
  <si>
    <t>7152559</t>
  </si>
  <si>
    <t>2R45N58HH79</t>
  </si>
  <si>
    <t>Z000060751</t>
  </si>
  <si>
    <t>ANTON</t>
  </si>
  <si>
    <t>MCDANIEL</t>
  </si>
  <si>
    <t>$313.00</t>
  </si>
  <si>
    <t>5TE9DD9PR15</t>
  </si>
  <si>
    <t>Z000060159</t>
  </si>
  <si>
    <t>DELORIS</t>
  </si>
  <si>
    <t>GILL</t>
  </si>
  <si>
    <t>Zing 2025 OVR</t>
  </si>
  <si>
    <t>Zing MAPD 2025*</t>
  </si>
  <si>
    <t>[%/$=313][prorate=1/12]</t>
  </si>
  <si>
    <t>[%/$=313][prorate=11/12]</t>
  </si>
  <si>
    <t>[%/$=313][prorate=12/12]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</si>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</sst>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yyyy/mm/dd\ "/>
    <numFmt numFmtId="165" formatCode="yyyy/dd/mm\ "/>
    <numFmt numFmtId="166" formatCode="\$#,##0.00"/>
    <numFmt numFmtId="173" formatCode="m/d/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 applyFill="1"/>
    <xf numFmtId="0" fontId="0" fillId="0" borderId="0" xfId="0" applyFill="1"/>
    <xf numFmtId="173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7" workbookViewId="0">
      <selection activeCell="C43" sqref="C43"/>
    </sheetView>
  </sheetViews>
  <sheetFormatPr defaultColWidth="8.85546875"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12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16</v>
      </c>
      <c r="E9" t="s">
        <v>8</v>
      </c>
    </row>
    <row r="10" spans="1:5" x14ac:dyDescent="0.25">
      <c r="A10" t="s">
        <v>17</v>
      </c>
      <c r="B10">
        <v>18</v>
      </c>
      <c r="C10" t="s">
        <v>18</v>
      </c>
      <c r="D10" t="s">
        <v>8</v>
      </c>
      <c r="E10" t="s">
        <v>18</v>
      </c>
    </row>
    <row r="12" spans="1:5" x14ac:dyDescent="0.25">
      <c r="A12" t="s">
        <v>6</v>
      </c>
      <c r="B12">
        <v>1</v>
      </c>
      <c r="C12" t="s">
        <v>140</v>
      </c>
      <c r="D12" t="s">
        <v>8</v>
      </c>
      <c r="E12" t="s">
        <v>140</v>
      </c>
    </row>
    <row r="13" spans="1:5" x14ac:dyDescent="0.25">
      <c r="A13" t="s">
        <v>9</v>
      </c>
      <c r="B13">
        <v>12</v>
      </c>
      <c r="C13" t="s">
        <v>10</v>
      </c>
      <c r="D13" t="s">
        <v>8</v>
      </c>
      <c r="E13" t="s">
        <v>10</v>
      </c>
    </row>
    <row r="14" spans="1:5" x14ac:dyDescent="0.25">
      <c r="A14" t="s">
        <v>11</v>
      </c>
      <c r="B14">
        <v>3</v>
      </c>
      <c r="C14" t="s">
        <v>141</v>
      </c>
      <c r="D14" t="s">
        <v>142</v>
      </c>
      <c r="E14" t="s">
        <v>143</v>
      </c>
    </row>
    <row r="15" spans="1:5" x14ac:dyDescent="0.25">
      <c r="A15" t="s">
        <v>12</v>
      </c>
      <c r="B15">
        <v>0</v>
      </c>
      <c r="C15" t="s">
        <v>8</v>
      </c>
      <c r="D15" t="s">
        <v>8</v>
      </c>
      <c r="E15" t="s">
        <v>8</v>
      </c>
    </row>
    <row r="16" spans="1:5" x14ac:dyDescent="0.25">
      <c r="A16" t="s">
        <v>13</v>
      </c>
      <c r="B16">
        <v>0</v>
      </c>
      <c r="C16" t="s">
        <v>8</v>
      </c>
      <c r="D16" t="s">
        <v>8</v>
      </c>
      <c r="E16" t="s">
        <v>8</v>
      </c>
    </row>
    <row r="17" spans="1:5" x14ac:dyDescent="0.25">
      <c r="A17" t="s">
        <v>14</v>
      </c>
      <c r="B17">
        <v>0</v>
      </c>
      <c r="C17" t="s">
        <v>8</v>
      </c>
      <c r="D17" t="s">
        <v>8</v>
      </c>
      <c r="E17" t="s">
        <v>8</v>
      </c>
    </row>
    <row r="18" spans="1:5" x14ac:dyDescent="0.25">
      <c r="A18" t="s">
        <v>15</v>
      </c>
      <c r="B18">
        <v>0</v>
      </c>
      <c r="C18" t="s">
        <v>8</v>
      </c>
      <c r="D18" t="s">
        <v>8</v>
      </c>
      <c r="E18" t="s">
        <v>8</v>
      </c>
    </row>
    <row r="19" spans="1:5" x14ac:dyDescent="0.25">
      <c r="A19" t="s">
        <v>16</v>
      </c>
      <c r="E19" t="s">
        <v>8</v>
      </c>
    </row>
    <row r="20" spans="1:5" x14ac:dyDescent="0.25">
      <c r="A20" t="s">
        <v>17</v>
      </c>
      <c r="B20">
        <v>15</v>
      </c>
      <c r="C20" t="s">
        <v>144</v>
      </c>
      <c r="D20" t="s">
        <v>142</v>
      </c>
      <c r="E20" t="s">
        <v>145</v>
      </c>
    </row>
    <row r="22" spans="1:5" x14ac:dyDescent="0.25">
      <c r="A22" t="s">
        <v>6</v>
      </c>
      <c r="B22">
        <v>2</v>
      </c>
      <c r="C22" t="s">
        <v>146</v>
      </c>
      <c r="D22" t="s">
        <v>8</v>
      </c>
      <c r="E22" t="s">
        <v>146</v>
      </c>
    </row>
    <row r="23" spans="1:5" x14ac:dyDescent="0.25">
      <c r="A23" t="s">
        <v>9</v>
      </c>
      <c r="B23">
        <v>0</v>
      </c>
      <c r="C23" t="s">
        <v>8</v>
      </c>
      <c r="D23" t="s">
        <v>8</v>
      </c>
      <c r="E23" t="s">
        <v>8</v>
      </c>
    </row>
    <row r="24" spans="1:5" x14ac:dyDescent="0.25">
      <c r="A24" t="s">
        <v>11</v>
      </c>
      <c r="B24">
        <v>0</v>
      </c>
      <c r="C24" t="s">
        <v>8</v>
      </c>
      <c r="D24" t="s">
        <v>8</v>
      </c>
      <c r="E24" t="s">
        <v>8</v>
      </c>
    </row>
    <row r="25" spans="1:5" x14ac:dyDescent="0.25">
      <c r="A25" t="s">
        <v>12</v>
      </c>
      <c r="B25">
        <v>0</v>
      </c>
      <c r="C25" t="s">
        <v>8</v>
      </c>
      <c r="D25" t="s">
        <v>8</v>
      </c>
      <c r="E25" t="s">
        <v>8</v>
      </c>
    </row>
    <row r="26" spans="1:5" x14ac:dyDescent="0.25">
      <c r="A26" t="s">
        <v>13</v>
      </c>
      <c r="B26">
        <v>0</v>
      </c>
      <c r="C26" t="s">
        <v>8</v>
      </c>
      <c r="D26" t="s">
        <v>8</v>
      </c>
      <c r="E26" t="s">
        <v>8</v>
      </c>
    </row>
    <row r="27" spans="1:5" x14ac:dyDescent="0.25">
      <c r="A27" t="s">
        <v>14</v>
      </c>
      <c r="B27">
        <v>0</v>
      </c>
      <c r="C27" t="s">
        <v>8</v>
      </c>
      <c r="D27" t="s">
        <v>8</v>
      </c>
      <c r="E27" t="s">
        <v>8</v>
      </c>
    </row>
    <row r="28" spans="1:5" x14ac:dyDescent="0.25">
      <c r="A28" t="s">
        <v>15</v>
      </c>
      <c r="B28">
        <v>0</v>
      </c>
      <c r="C28" t="s">
        <v>8</v>
      </c>
      <c r="D28" t="s">
        <v>8</v>
      </c>
      <c r="E28" t="s">
        <v>8</v>
      </c>
    </row>
    <row r="29" spans="1:5" x14ac:dyDescent="0.25">
      <c r="A29" t="s">
        <v>16</v>
      </c>
      <c r="E29" t="s">
        <v>8</v>
      </c>
    </row>
    <row r="30" spans="1:5" x14ac:dyDescent="0.25">
      <c r="A30" t="s">
        <v>17</v>
      </c>
      <c r="B30">
        <v>2</v>
      </c>
      <c r="C30" t="s">
        <v>146</v>
      </c>
      <c r="D30" t="s">
        <v>8</v>
      </c>
      <c r="E30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2"/>
  <sheetViews>
    <sheetView workbookViewId="0">
      <selection sqref="A1:XFD1048576"/>
    </sheetView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4.85546875" bestFit="1" customWidth="1"/>
    <col min="9" max="9" width="12.140625" bestFit="1" customWidth="1"/>
    <col min="10" max="10" width="19" bestFit="1" customWidth="1"/>
    <col min="11" max="11" width="19.425781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3" t="s">
        <v>32</v>
      </c>
      <c r="O1" t="s">
        <v>33</v>
      </c>
      <c r="P1" t="s">
        <v>34</v>
      </c>
      <c r="Q1" t="s">
        <v>35</v>
      </c>
    </row>
    <row r="2" spans="1:17" x14ac:dyDescent="0.25">
      <c r="A2" t="s">
        <v>36</v>
      </c>
      <c r="B2" t="s">
        <v>37</v>
      </c>
      <c r="C2" s="1">
        <v>45627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s="3" t="s">
        <v>0</v>
      </c>
      <c r="O2" t="s">
        <v>0</v>
      </c>
      <c r="P2" t="s">
        <v>45</v>
      </c>
      <c r="Q2" t="s">
        <v>46</v>
      </c>
    </row>
    <row r="3" spans="1:17" x14ac:dyDescent="0.25">
      <c r="A3" t="s">
        <v>36</v>
      </c>
      <c r="B3" t="s">
        <v>37</v>
      </c>
      <c r="C3" s="1">
        <v>45597</v>
      </c>
      <c r="D3" t="s">
        <v>0</v>
      </c>
      <c r="E3" t="s">
        <v>38</v>
      </c>
      <c r="F3" t="s">
        <v>0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>
        <v>2</v>
      </c>
      <c r="M3" t="s">
        <v>52</v>
      </c>
      <c r="N3" s="3" t="s">
        <v>0</v>
      </c>
      <c r="O3" t="s">
        <v>0</v>
      </c>
      <c r="P3" t="s">
        <v>45</v>
      </c>
      <c r="Q3" t="s">
        <v>46</v>
      </c>
    </row>
    <row r="4" spans="1:17" x14ac:dyDescent="0.25">
      <c r="A4" t="s">
        <v>53</v>
      </c>
      <c r="B4" t="s">
        <v>54</v>
      </c>
      <c r="C4" s="2">
        <v>45658</v>
      </c>
      <c r="D4" t="s">
        <v>0</v>
      </c>
      <c r="E4" t="s">
        <v>38</v>
      </c>
      <c r="F4" t="s">
        <v>0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>
        <v>2</v>
      </c>
      <c r="M4" t="s">
        <v>52</v>
      </c>
      <c r="N4" s="3" t="s">
        <v>0</v>
      </c>
      <c r="O4" t="s">
        <v>0</v>
      </c>
      <c r="P4" t="s">
        <v>45</v>
      </c>
      <c r="Q4" t="s">
        <v>46</v>
      </c>
    </row>
    <row r="5" spans="1:17" x14ac:dyDescent="0.25">
      <c r="A5" t="s">
        <v>60</v>
      </c>
      <c r="B5" t="s">
        <v>61</v>
      </c>
      <c r="C5" s="1">
        <v>45597</v>
      </c>
      <c r="D5" t="s">
        <v>0</v>
      </c>
      <c r="E5" t="s">
        <v>38</v>
      </c>
      <c r="F5" t="s">
        <v>0</v>
      </c>
      <c r="G5" t="s">
        <v>47</v>
      </c>
      <c r="H5" t="s">
        <v>62</v>
      </c>
      <c r="I5" t="s">
        <v>63</v>
      </c>
      <c r="J5" t="s">
        <v>64</v>
      </c>
      <c r="K5" t="s">
        <v>65</v>
      </c>
      <c r="L5">
        <v>2</v>
      </c>
      <c r="M5" t="s">
        <v>52</v>
      </c>
      <c r="N5" s="3" t="s">
        <v>0</v>
      </c>
      <c r="O5" t="s">
        <v>0</v>
      </c>
      <c r="P5" t="s">
        <v>45</v>
      </c>
      <c r="Q5" t="s">
        <v>46</v>
      </c>
    </row>
    <row r="6" spans="1:17" x14ac:dyDescent="0.25">
      <c r="A6" t="s">
        <v>60</v>
      </c>
      <c r="B6" t="s">
        <v>61</v>
      </c>
      <c r="C6" s="1">
        <v>45536</v>
      </c>
      <c r="D6" t="s">
        <v>0</v>
      </c>
      <c r="E6" t="s">
        <v>38</v>
      </c>
      <c r="F6" t="s">
        <v>0</v>
      </c>
      <c r="G6" t="s">
        <v>47</v>
      </c>
      <c r="H6" t="s">
        <v>66</v>
      </c>
      <c r="I6" t="s">
        <v>67</v>
      </c>
      <c r="J6" t="s">
        <v>68</v>
      </c>
      <c r="K6" t="s">
        <v>69</v>
      </c>
      <c r="L6">
        <v>2</v>
      </c>
      <c r="M6" t="s">
        <v>52</v>
      </c>
      <c r="N6" s="3" t="s">
        <v>0</v>
      </c>
      <c r="O6" t="s">
        <v>0</v>
      </c>
      <c r="P6" t="s">
        <v>45</v>
      </c>
      <c r="Q6" t="s">
        <v>46</v>
      </c>
    </row>
    <row r="7" spans="1:17" x14ac:dyDescent="0.25">
      <c r="A7" t="s">
        <v>60</v>
      </c>
      <c r="B7" t="s">
        <v>61</v>
      </c>
      <c r="C7" s="1">
        <v>45505</v>
      </c>
      <c r="D7" t="s">
        <v>0</v>
      </c>
      <c r="E7" t="s">
        <v>38</v>
      </c>
      <c r="F7" t="s">
        <v>0</v>
      </c>
      <c r="G7" t="s">
        <v>39</v>
      </c>
      <c r="H7" t="s">
        <v>70</v>
      </c>
      <c r="I7" t="s">
        <v>71</v>
      </c>
      <c r="J7" t="s">
        <v>72</v>
      </c>
      <c r="K7" t="s">
        <v>73</v>
      </c>
      <c r="L7">
        <v>2</v>
      </c>
      <c r="M7" t="s">
        <v>52</v>
      </c>
      <c r="N7" s="3" t="s">
        <v>0</v>
      </c>
      <c r="O7" t="s">
        <v>0</v>
      </c>
      <c r="P7" t="s">
        <v>45</v>
      </c>
      <c r="Q7" t="s">
        <v>46</v>
      </c>
    </row>
    <row r="8" spans="1:17" x14ac:dyDescent="0.25">
      <c r="A8" t="s">
        <v>60</v>
      </c>
      <c r="B8" t="s">
        <v>61</v>
      </c>
      <c r="C8" s="1">
        <v>45566</v>
      </c>
      <c r="D8" t="s">
        <v>0</v>
      </c>
      <c r="E8" t="s">
        <v>38</v>
      </c>
      <c r="F8" t="s">
        <v>0</v>
      </c>
      <c r="G8" t="s">
        <v>47</v>
      </c>
      <c r="H8" t="s">
        <v>74</v>
      </c>
      <c r="I8" t="s">
        <v>75</v>
      </c>
      <c r="J8" t="s">
        <v>76</v>
      </c>
      <c r="K8" t="s">
        <v>77</v>
      </c>
      <c r="L8">
        <v>2</v>
      </c>
      <c r="M8" t="s">
        <v>52</v>
      </c>
      <c r="N8" s="3" t="s">
        <v>0</v>
      </c>
      <c r="O8" t="s">
        <v>0</v>
      </c>
      <c r="P8" t="s">
        <v>45</v>
      </c>
      <c r="Q8" t="s">
        <v>46</v>
      </c>
    </row>
    <row r="9" spans="1:17" x14ac:dyDescent="0.25">
      <c r="A9" t="s">
        <v>78</v>
      </c>
      <c r="B9" t="s">
        <v>79</v>
      </c>
      <c r="C9" s="1">
        <v>45505</v>
      </c>
      <c r="D9" t="s">
        <v>0</v>
      </c>
      <c r="E9" t="s">
        <v>38</v>
      </c>
      <c r="F9" t="s">
        <v>0</v>
      </c>
      <c r="G9" t="s">
        <v>39</v>
      </c>
      <c r="H9" t="s">
        <v>80</v>
      </c>
      <c r="I9" t="s">
        <v>81</v>
      </c>
      <c r="J9" t="s">
        <v>82</v>
      </c>
      <c r="K9" t="s">
        <v>83</v>
      </c>
      <c r="L9">
        <v>2</v>
      </c>
      <c r="M9" t="s">
        <v>52</v>
      </c>
      <c r="N9" s="3" t="s">
        <v>0</v>
      </c>
      <c r="O9" t="s">
        <v>0</v>
      </c>
      <c r="P9" t="s">
        <v>45</v>
      </c>
      <c r="Q9" t="s">
        <v>46</v>
      </c>
    </row>
    <row r="10" spans="1:17" x14ac:dyDescent="0.25">
      <c r="A10" t="s">
        <v>84</v>
      </c>
      <c r="B10" t="s">
        <v>85</v>
      </c>
      <c r="C10" s="1">
        <v>45474</v>
      </c>
      <c r="D10" t="s">
        <v>0</v>
      </c>
      <c r="E10" t="s">
        <v>38</v>
      </c>
      <c r="F10" t="s">
        <v>0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>
        <v>2</v>
      </c>
      <c r="M10" t="s">
        <v>52</v>
      </c>
      <c r="N10" s="3" t="s">
        <v>0</v>
      </c>
      <c r="O10" t="s">
        <v>0</v>
      </c>
      <c r="P10" t="s">
        <v>45</v>
      </c>
      <c r="Q10" t="s">
        <v>46</v>
      </c>
    </row>
    <row r="11" spans="1:17" x14ac:dyDescent="0.25">
      <c r="A11" t="s">
        <v>84</v>
      </c>
      <c r="B11" t="s">
        <v>85</v>
      </c>
      <c r="C11" s="1">
        <v>45689</v>
      </c>
      <c r="D11" t="s">
        <v>0</v>
      </c>
      <c r="E11" t="s">
        <v>38</v>
      </c>
      <c r="F11" t="s">
        <v>0</v>
      </c>
      <c r="G11" t="s">
        <v>47</v>
      </c>
      <c r="H11" t="s">
        <v>91</v>
      </c>
      <c r="I11" t="s">
        <v>92</v>
      </c>
      <c r="J11" t="s">
        <v>93</v>
      </c>
      <c r="K11" t="s">
        <v>94</v>
      </c>
      <c r="L11">
        <v>1</v>
      </c>
      <c r="M11" t="s">
        <v>52</v>
      </c>
      <c r="N11" s="3" t="s">
        <v>0</v>
      </c>
      <c r="O11" t="s">
        <v>0</v>
      </c>
      <c r="P11" t="s">
        <v>95</v>
      </c>
      <c r="Q11" t="s">
        <v>46</v>
      </c>
    </row>
    <row r="12" spans="1:17" x14ac:dyDescent="0.25">
      <c r="A12" t="s">
        <v>84</v>
      </c>
      <c r="B12" t="s">
        <v>85</v>
      </c>
      <c r="C12" s="1">
        <v>45689</v>
      </c>
      <c r="D12" t="s">
        <v>0</v>
      </c>
      <c r="E12" t="s">
        <v>38</v>
      </c>
      <c r="F12" t="s">
        <v>0</v>
      </c>
      <c r="G12" t="s">
        <v>47</v>
      </c>
      <c r="H12" t="s">
        <v>96</v>
      </c>
      <c r="I12" t="s">
        <v>97</v>
      </c>
      <c r="J12" t="s">
        <v>98</v>
      </c>
      <c r="K12" t="s">
        <v>99</v>
      </c>
      <c r="L12">
        <v>1</v>
      </c>
      <c r="M12" t="s">
        <v>52</v>
      </c>
      <c r="N12" s="3" t="s">
        <v>0</v>
      </c>
      <c r="O12" t="s">
        <v>0</v>
      </c>
      <c r="P12" t="s">
        <v>95</v>
      </c>
      <c r="Q12" t="s">
        <v>46</v>
      </c>
    </row>
    <row r="13" spans="1:17" x14ac:dyDescent="0.25">
      <c r="A13" t="s">
        <v>84</v>
      </c>
      <c r="B13" t="s">
        <v>85</v>
      </c>
      <c r="C13" s="1">
        <v>45689</v>
      </c>
      <c r="D13" t="s">
        <v>0</v>
      </c>
      <c r="E13" t="s">
        <v>38</v>
      </c>
      <c r="F13" t="s">
        <v>0</v>
      </c>
      <c r="G13" t="s">
        <v>47</v>
      </c>
      <c r="H13" t="s">
        <v>100</v>
      </c>
      <c r="I13" t="s">
        <v>101</v>
      </c>
      <c r="J13" t="s">
        <v>102</v>
      </c>
      <c r="K13" t="s">
        <v>103</v>
      </c>
      <c r="L13">
        <v>1</v>
      </c>
      <c r="M13" t="s">
        <v>52</v>
      </c>
      <c r="N13" s="3" t="s">
        <v>0</v>
      </c>
      <c r="O13" t="s">
        <v>0</v>
      </c>
      <c r="P13" t="s">
        <v>95</v>
      </c>
      <c r="Q13" t="s">
        <v>46</v>
      </c>
    </row>
    <row r="14" spans="1:17" x14ac:dyDescent="0.25">
      <c r="A14" t="s">
        <v>84</v>
      </c>
      <c r="B14" t="s">
        <v>85</v>
      </c>
      <c r="C14" s="1">
        <v>45689</v>
      </c>
      <c r="D14" t="s">
        <v>0</v>
      </c>
      <c r="E14" t="s">
        <v>38</v>
      </c>
      <c r="F14" t="s">
        <v>0</v>
      </c>
      <c r="G14" t="s">
        <v>47</v>
      </c>
      <c r="H14" t="s">
        <v>104</v>
      </c>
      <c r="I14" t="s">
        <v>105</v>
      </c>
      <c r="J14" t="s">
        <v>106</v>
      </c>
      <c r="K14" t="s">
        <v>107</v>
      </c>
      <c r="L14">
        <v>1</v>
      </c>
      <c r="M14" t="s">
        <v>52</v>
      </c>
      <c r="N14" s="3" t="s">
        <v>0</v>
      </c>
      <c r="O14" t="s">
        <v>0</v>
      </c>
      <c r="P14" t="s">
        <v>95</v>
      </c>
      <c r="Q14" t="s">
        <v>46</v>
      </c>
    </row>
    <row r="15" spans="1:17" x14ac:dyDescent="0.25">
      <c r="A15" t="s">
        <v>108</v>
      </c>
      <c r="B15" t="s">
        <v>109</v>
      </c>
      <c r="C15" s="1">
        <v>45689</v>
      </c>
      <c r="D15" t="s">
        <v>0</v>
      </c>
      <c r="E15" t="s">
        <v>38</v>
      </c>
      <c r="F15" t="s">
        <v>0</v>
      </c>
      <c r="G15" t="s">
        <v>47</v>
      </c>
      <c r="H15" t="s">
        <v>110</v>
      </c>
      <c r="I15" t="s">
        <v>111</v>
      </c>
      <c r="J15" t="s">
        <v>112</v>
      </c>
      <c r="K15" t="s">
        <v>113</v>
      </c>
      <c r="L15">
        <v>1</v>
      </c>
      <c r="M15" t="s">
        <v>52</v>
      </c>
      <c r="N15" s="3" t="s">
        <v>0</v>
      </c>
      <c r="O15" t="s">
        <v>0</v>
      </c>
      <c r="P15" t="s">
        <v>95</v>
      </c>
      <c r="Q15" t="s">
        <v>46</v>
      </c>
    </row>
    <row r="16" spans="1:17" x14ac:dyDescent="0.25">
      <c r="A16" t="s">
        <v>114</v>
      </c>
      <c r="B16" t="s">
        <v>115</v>
      </c>
      <c r="C16" s="1">
        <v>45597</v>
      </c>
      <c r="D16" t="s">
        <v>0</v>
      </c>
      <c r="E16" t="s">
        <v>38</v>
      </c>
      <c r="F16" t="s">
        <v>0</v>
      </c>
      <c r="G16" t="s">
        <v>39</v>
      </c>
      <c r="H16" t="s">
        <v>116</v>
      </c>
      <c r="I16" t="s">
        <v>117</v>
      </c>
      <c r="J16" t="s">
        <v>118</v>
      </c>
      <c r="K16" t="s">
        <v>119</v>
      </c>
      <c r="L16">
        <v>2</v>
      </c>
      <c r="M16" t="s">
        <v>52</v>
      </c>
      <c r="N16" s="3" t="s">
        <v>0</v>
      </c>
      <c r="O16" t="s">
        <v>0</v>
      </c>
      <c r="P16" t="s">
        <v>45</v>
      </c>
      <c r="Q16" t="s">
        <v>46</v>
      </c>
    </row>
    <row r="17" spans="1:17" x14ac:dyDescent="0.25">
      <c r="A17" t="s">
        <v>120</v>
      </c>
      <c r="B17" t="s">
        <v>121</v>
      </c>
      <c r="C17" s="1">
        <v>45597</v>
      </c>
      <c r="D17" t="s">
        <v>0</v>
      </c>
      <c r="E17" t="s">
        <v>38</v>
      </c>
      <c r="F17" t="s">
        <v>0</v>
      </c>
      <c r="G17" t="s">
        <v>86</v>
      </c>
      <c r="H17" t="s">
        <v>122</v>
      </c>
      <c r="I17" t="s">
        <v>123</v>
      </c>
      <c r="J17" t="s">
        <v>124</v>
      </c>
      <c r="K17" t="s">
        <v>125</v>
      </c>
      <c r="L17">
        <v>2</v>
      </c>
      <c r="M17" t="s">
        <v>52</v>
      </c>
      <c r="N17" s="3" t="s">
        <v>0</v>
      </c>
      <c r="O17" t="s">
        <v>0</v>
      </c>
      <c r="P17" t="s">
        <v>45</v>
      </c>
      <c r="Q17" t="s">
        <v>46</v>
      </c>
    </row>
    <row r="18" spans="1:17" x14ac:dyDescent="0.25">
      <c r="A18" t="s">
        <v>120</v>
      </c>
      <c r="B18" t="s">
        <v>121</v>
      </c>
      <c r="C18" s="2">
        <v>45658</v>
      </c>
      <c r="D18" t="s">
        <v>0</v>
      </c>
      <c r="E18" t="s">
        <v>38</v>
      </c>
      <c r="F18" t="s">
        <v>0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>
        <v>1</v>
      </c>
      <c r="M18" t="s">
        <v>44</v>
      </c>
      <c r="N18" s="3" t="s">
        <v>0</v>
      </c>
      <c r="O18" t="s">
        <v>0</v>
      </c>
      <c r="P18" t="s">
        <v>8</v>
      </c>
      <c r="Q18" t="s">
        <v>46</v>
      </c>
    </row>
    <row r="19" spans="1:17" x14ac:dyDescent="0.25">
      <c r="A19" t="s">
        <v>84</v>
      </c>
      <c r="B19" t="s">
        <v>85</v>
      </c>
      <c r="C19" s="1">
        <v>45474</v>
      </c>
      <c r="D19" t="s">
        <v>0</v>
      </c>
      <c r="E19" t="s">
        <v>38</v>
      </c>
      <c r="F19" t="s">
        <v>0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>
        <v>2</v>
      </c>
      <c r="M19" t="s">
        <v>52</v>
      </c>
      <c r="N19" s="3" t="s">
        <v>0</v>
      </c>
      <c r="O19" t="s">
        <v>0</v>
      </c>
      <c r="P19" t="s">
        <v>131</v>
      </c>
      <c r="Q19" t="s">
        <v>132</v>
      </c>
    </row>
    <row r="20" spans="1:17" x14ac:dyDescent="0.25">
      <c r="A20" t="s">
        <v>84</v>
      </c>
      <c r="B20" t="s">
        <v>85</v>
      </c>
      <c r="C20" s="1">
        <v>45689</v>
      </c>
      <c r="D20" t="s">
        <v>0</v>
      </c>
      <c r="E20" t="s">
        <v>38</v>
      </c>
      <c r="F20" t="s">
        <v>0</v>
      </c>
      <c r="G20" t="s">
        <v>47</v>
      </c>
      <c r="H20" t="s">
        <v>91</v>
      </c>
      <c r="I20" t="s">
        <v>92</v>
      </c>
      <c r="J20" t="s">
        <v>93</v>
      </c>
      <c r="K20" t="s">
        <v>94</v>
      </c>
      <c r="L20">
        <v>1</v>
      </c>
      <c r="M20" t="s">
        <v>52</v>
      </c>
      <c r="N20" s="3" t="s">
        <v>0</v>
      </c>
      <c r="O20" t="s">
        <v>0</v>
      </c>
      <c r="P20" t="s">
        <v>133</v>
      </c>
      <c r="Q20" t="s">
        <v>132</v>
      </c>
    </row>
    <row r="21" spans="1:17" x14ac:dyDescent="0.25">
      <c r="A21" t="s">
        <v>134</v>
      </c>
      <c r="B21" t="s">
        <v>135</v>
      </c>
      <c r="C21" s="1">
        <v>45566</v>
      </c>
      <c r="D21" t="s">
        <v>0</v>
      </c>
      <c r="E21" t="s">
        <v>38</v>
      </c>
      <c r="F21" t="s">
        <v>0</v>
      </c>
      <c r="G21" t="s">
        <v>39</v>
      </c>
      <c r="H21" t="s">
        <v>136</v>
      </c>
      <c r="I21" t="s">
        <v>137</v>
      </c>
      <c r="J21" t="s">
        <v>138</v>
      </c>
      <c r="K21" t="s">
        <v>139</v>
      </c>
      <c r="L21">
        <v>2</v>
      </c>
      <c r="M21" t="s">
        <v>52</v>
      </c>
      <c r="N21" s="3" t="s">
        <v>0</v>
      </c>
      <c r="O21" t="s">
        <v>0</v>
      </c>
      <c r="P21" t="s">
        <v>131</v>
      </c>
      <c r="Q21" t="s">
        <v>132</v>
      </c>
    </row>
    <row r="22" spans="1:17" x14ac:dyDescent="0.25">
      <c r="A22" t="s">
        <v>36</v>
      </c>
      <c r="B22" t="s">
        <v>37</v>
      </c>
      <c r="C22" s="1">
        <v>45627</v>
      </c>
      <c r="D22" t="s">
        <v>0</v>
      </c>
      <c r="E22" t="s">
        <v>38</v>
      </c>
      <c r="F22" t="s">
        <v>0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>
        <v>2</v>
      </c>
      <c r="M22" t="s">
        <v>44</v>
      </c>
      <c r="N22" s="3" t="s">
        <v>0</v>
      </c>
      <c r="O22" t="s">
        <v>0</v>
      </c>
      <c r="P22" t="s">
        <v>131</v>
      </c>
      <c r="Q22" t="s">
        <v>132</v>
      </c>
    </row>
    <row r="23" spans="1:17" x14ac:dyDescent="0.25">
      <c r="A23" t="s">
        <v>114</v>
      </c>
      <c r="B23" t="s">
        <v>115</v>
      </c>
      <c r="C23" s="1">
        <v>45597</v>
      </c>
      <c r="D23" t="s">
        <v>0</v>
      </c>
      <c r="E23" t="s">
        <v>38</v>
      </c>
      <c r="F23" t="s">
        <v>0</v>
      </c>
      <c r="G23" t="s">
        <v>39</v>
      </c>
      <c r="H23" t="s">
        <v>116</v>
      </c>
      <c r="I23" t="s">
        <v>117</v>
      </c>
      <c r="J23" t="s">
        <v>118</v>
      </c>
      <c r="K23" t="s">
        <v>119</v>
      </c>
      <c r="L23">
        <v>2</v>
      </c>
      <c r="M23" t="s">
        <v>52</v>
      </c>
      <c r="N23" s="3" t="s">
        <v>0</v>
      </c>
      <c r="O23" t="s">
        <v>0</v>
      </c>
      <c r="P23" t="s">
        <v>131</v>
      </c>
      <c r="Q23" t="s">
        <v>132</v>
      </c>
    </row>
    <row r="24" spans="1:17" x14ac:dyDescent="0.25">
      <c r="A24" t="s">
        <v>120</v>
      </c>
      <c r="B24" t="s">
        <v>121</v>
      </c>
      <c r="C24" s="1">
        <v>45597</v>
      </c>
      <c r="D24" t="s">
        <v>0</v>
      </c>
      <c r="E24" t="s">
        <v>38</v>
      </c>
      <c r="F24" t="s">
        <v>0</v>
      </c>
      <c r="G24" t="s">
        <v>86</v>
      </c>
      <c r="H24" t="s">
        <v>122</v>
      </c>
      <c r="I24" t="s">
        <v>123</v>
      </c>
      <c r="J24" t="s">
        <v>124</v>
      </c>
      <c r="K24" t="s">
        <v>125</v>
      </c>
      <c r="L24">
        <v>2</v>
      </c>
      <c r="M24" t="s">
        <v>52</v>
      </c>
      <c r="N24" s="3" t="s">
        <v>0</v>
      </c>
      <c r="O24" t="s">
        <v>0</v>
      </c>
      <c r="P24" t="s">
        <v>131</v>
      </c>
      <c r="Q24" t="s">
        <v>132</v>
      </c>
    </row>
    <row r="25" spans="1:17" x14ac:dyDescent="0.25">
      <c r="A25" t="s">
        <v>120</v>
      </c>
      <c r="B25" t="s">
        <v>121</v>
      </c>
      <c r="C25" s="2">
        <v>45658</v>
      </c>
      <c r="D25" t="s">
        <v>0</v>
      </c>
      <c r="E25" t="s">
        <v>38</v>
      </c>
      <c r="F25" t="s">
        <v>0</v>
      </c>
      <c r="G25" t="s">
        <v>126</v>
      </c>
      <c r="H25" t="s">
        <v>127</v>
      </c>
      <c r="I25" t="s">
        <v>128</v>
      </c>
      <c r="J25" t="s">
        <v>129</v>
      </c>
      <c r="K25" t="s">
        <v>130</v>
      </c>
      <c r="L25">
        <v>1</v>
      </c>
      <c r="M25" t="s">
        <v>44</v>
      </c>
      <c r="N25" s="3" t="s">
        <v>0</v>
      </c>
      <c r="O25" t="s">
        <v>0</v>
      </c>
      <c r="P25" t="s">
        <v>8</v>
      </c>
      <c r="Q25" t="s">
        <v>132</v>
      </c>
    </row>
    <row r="26" spans="1:17" x14ac:dyDescent="0.25">
      <c r="A26" t="s">
        <v>36</v>
      </c>
      <c r="B26" t="s">
        <v>37</v>
      </c>
      <c r="C26" s="1">
        <v>45597</v>
      </c>
      <c r="D26" t="s">
        <v>0</v>
      </c>
      <c r="E26" t="s">
        <v>38</v>
      </c>
      <c r="F26" t="s">
        <v>0</v>
      </c>
      <c r="G26" t="s">
        <v>47</v>
      </c>
      <c r="H26" t="s">
        <v>48</v>
      </c>
      <c r="I26" t="s">
        <v>49</v>
      </c>
      <c r="J26" t="s">
        <v>50</v>
      </c>
      <c r="K26" t="s">
        <v>51</v>
      </c>
      <c r="L26">
        <v>2</v>
      </c>
      <c r="M26" t="s">
        <v>52</v>
      </c>
      <c r="N26" s="3" t="s">
        <v>0</v>
      </c>
      <c r="O26" t="s">
        <v>0</v>
      </c>
      <c r="P26" t="s">
        <v>131</v>
      </c>
      <c r="Q26" t="s">
        <v>132</v>
      </c>
    </row>
    <row r="27" spans="1:17" x14ac:dyDescent="0.25">
      <c r="A27" t="s">
        <v>60</v>
      </c>
      <c r="B27" t="s">
        <v>61</v>
      </c>
      <c r="C27" s="1">
        <v>45597</v>
      </c>
      <c r="D27" t="s">
        <v>0</v>
      </c>
      <c r="E27" t="s">
        <v>38</v>
      </c>
      <c r="F27" t="s">
        <v>0</v>
      </c>
      <c r="G27" t="s">
        <v>47</v>
      </c>
      <c r="H27" t="s">
        <v>62</v>
      </c>
      <c r="I27" t="s">
        <v>63</v>
      </c>
      <c r="J27" t="s">
        <v>64</v>
      </c>
      <c r="K27" t="s">
        <v>65</v>
      </c>
      <c r="L27">
        <v>2</v>
      </c>
      <c r="M27" t="s">
        <v>52</v>
      </c>
      <c r="N27" s="3" t="s">
        <v>0</v>
      </c>
      <c r="O27" t="s">
        <v>0</v>
      </c>
      <c r="P27" t="s">
        <v>131</v>
      </c>
      <c r="Q27" t="s">
        <v>132</v>
      </c>
    </row>
    <row r="28" spans="1:17" x14ac:dyDescent="0.25">
      <c r="A28" t="s">
        <v>60</v>
      </c>
      <c r="B28" t="s">
        <v>61</v>
      </c>
      <c r="C28" s="1">
        <v>45536</v>
      </c>
      <c r="D28" t="s">
        <v>0</v>
      </c>
      <c r="E28" t="s">
        <v>38</v>
      </c>
      <c r="F28" t="s">
        <v>0</v>
      </c>
      <c r="G28" t="s">
        <v>47</v>
      </c>
      <c r="H28" t="s">
        <v>66</v>
      </c>
      <c r="I28" t="s">
        <v>67</v>
      </c>
      <c r="J28" t="s">
        <v>68</v>
      </c>
      <c r="K28" t="s">
        <v>69</v>
      </c>
      <c r="L28">
        <v>2</v>
      </c>
      <c r="M28" t="s">
        <v>52</v>
      </c>
      <c r="N28" s="3" t="s">
        <v>0</v>
      </c>
      <c r="O28" t="s">
        <v>0</v>
      </c>
      <c r="P28" t="s">
        <v>131</v>
      </c>
      <c r="Q28" t="s">
        <v>132</v>
      </c>
    </row>
    <row r="29" spans="1:17" x14ac:dyDescent="0.25">
      <c r="A29" t="s">
        <v>60</v>
      </c>
      <c r="B29" t="s">
        <v>61</v>
      </c>
      <c r="C29" s="1">
        <v>45505</v>
      </c>
      <c r="D29" t="s">
        <v>0</v>
      </c>
      <c r="E29" t="s">
        <v>38</v>
      </c>
      <c r="F29" t="s">
        <v>0</v>
      </c>
      <c r="G29" t="s">
        <v>39</v>
      </c>
      <c r="H29" t="s">
        <v>70</v>
      </c>
      <c r="I29" t="s">
        <v>71</v>
      </c>
      <c r="J29" t="s">
        <v>72</v>
      </c>
      <c r="K29" t="s">
        <v>73</v>
      </c>
      <c r="L29">
        <v>2</v>
      </c>
      <c r="M29" t="s">
        <v>52</v>
      </c>
      <c r="N29" s="3" t="s">
        <v>0</v>
      </c>
      <c r="O29" t="s">
        <v>0</v>
      </c>
      <c r="P29" t="s">
        <v>131</v>
      </c>
      <c r="Q29" t="s">
        <v>132</v>
      </c>
    </row>
    <row r="30" spans="1:17" x14ac:dyDescent="0.25">
      <c r="A30" t="s">
        <v>84</v>
      </c>
      <c r="B30" t="s">
        <v>85</v>
      </c>
      <c r="C30" s="1">
        <v>45689</v>
      </c>
      <c r="D30" t="s">
        <v>0</v>
      </c>
      <c r="E30" t="s">
        <v>38</v>
      </c>
      <c r="F30" t="s">
        <v>0</v>
      </c>
      <c r="G30" t="s">
        <v>47</v>
      </c>
      <c r="H30" t="s">
        <v>96</v>
      </c>
      <c r="I30" t="s">
        <v>97</v>
      </c>
      <c r="J30" t="s">
        <v>98</v>
      </c>
      <c r="K30" t="s">
        <v>99</v>
      </c>
      <c r="L30">
        <v>1</v>
      </c>
      <c r="M30" t="s">
        <v>52</v>
      </c>
      <c r="N30" s="3" t="s">
        <v>0</v>
      </c>
      <c r="O30" t="s">
        <v>0</v>
      </c>
      <c r="P30" t="s">
        <v>133</v>
      </c>
      <c r="Q30" t="s">
        <v>132</v>
      </c>
    </row>
    <row r="31" spans="1:17" x14ac:dyDescent="0.25">
      <c r="A31" t="s">
        <v>60</v>
      </c>
      <c r="B31" t="s">
        <v>61</v>
      </c>
      <c r="C31" s="1">
        <v>45566</v>
      </c>
      <c r="D31" t="s">
        <v>0</v>
      </c>
      <c r="E31" t="s">
        <v>38</v>
      </c>
      <c r="F31" t="s">
        <v>0</v>
      </c>
      <c r="G31" t="s">
        <v>47</v>
      </c>
      <c r="H31" t="s">
        <v>74</v>
      </c>
      <c r="I31" t="s">
        <v>75</v>
      </c>
      <c r="J31" t="s">
        <v>76</v>
      </c>
      <c r="K31" t="s">
        <v>77</v>
      </c>
      <c r="L31">
        <v>2</v>
      </c>
      <c r="M31" t="s">
        <v>52</v>
      </c>
      <c r="N31" s="3" t="s">
        <v>0</v>
      </c>
      <c r="O31" t="s">
        <v>0</v>
      </c>
      <c r="P31" t="s">
        <v>131</v>
      </c>
      <c r="Q31" t="s">
        <v>132</v>
      </c>
    </row>
    <row r="32" spans="1:17" x14ac:dyDescent="0.25">
      <c r="A32" t="s">
        <v>53</v>
      </c>
      <c r="B32" t="s">
        <v>54</v>
      </c>
      <c r="C32" s="2">
        <v>45658</v>
      </c>
      <c r="D32" t="s">
        <v>0</v>
      </c>
      <c r="E32" t="s">
        <v>38</v>
      </c>
      <c r="F32" t="s">
        <v>0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>
        <v>2</v>
      </c>
      <c r="M32" t="s">
        <v>52</v>
      </c>
      <c r="N32" s="3" t="s">
        <v>0</v>
      </c>
      <c r="O32" t="s">
        <v>0</v>
      </c>
      <c r="P32" t="s">
        <v>131</v>
      </c>
      <c r="Q32" t="s">
        <v>132</v>
      </c>
    </row>
    <row r="33" spans="1:17" x14ac:dyDescent="0.25">
      <c r="A33" t="s">
        <v>84</v>
      </c>
      <c r="B33" t="s">
        <v>85</v>
      </c>
      <c r="C33" s="1">
        <v>45689</v>
      </c>
      <c r="D33" t="s">
        <v>0</v>
      </c>
      <c r="E33" t="s">
        <v>38</v>
      </c>
      <c r="F33" t="s">
        <v>0</v>
      </c>
      <c r="G33" t="s">
        <v>47</v>
      </c>
      <c r="H33" t="s">
        <v>100</v>
      </c>
      <c r="I33" t="s">
        <v>101</v>
      </c>
      <c r="J33" t="s">
        <v>102</v>
      </c>
      <c r="K33" t="s">
        <v>103</v>
      </c>
      <c r="L33">
        <v>1</v>
      </c>
      <c r="M33" t="s">
        <v>52</v>
      </c>
      <c r="N33" s="3" t="s">
        <v>0</v>
      </c>
      <c r="O33" t="s">
        <v>0</v>
      </c>
      <c r="P33" t="s">
        <v>133</v>
      </c>
      <c r="Q33" t="s">
        <v>132</v>
      </c>
    </row>
    <row r="34" spans="1:17" x14ac:dyDescent="0.25">
      <c r="A34" t="s">
        <v>84</v>
      </c>
      <c r="B34" t="s">
        <v>85</v>
      </c>
      <c r="C34" s="1">
        <v>45689</v>
      </c>
      <c r="D34" t="s">
        <v>0</v>
      </c>
      <c r="E34" t="s">
        <v>38</v>
      </c>
      <c r="F34" t="s">
        <v>0</v>
      </c>
      <c r="G34" t="s">
        <v>47</v>
      </c>
      <c r="H34" t="s">
        <v>104</v>
      </c>
      <c r="I34" t="s">
        <v>105</v>
      </c>
      <c r="J34" t="s">
        <v>106</v>
      </c>
      <c r="K34" t="s">
        <v>107</v>
      </c>
      <c r="L34">
        <v>1</v>
      </c>
      <c r="M34" t="s">
        <v>52</v>
      </c>
      <c r="N34" s="3" t="s">
        <v>0</v>
      </c>
      <c r="O34" t="s">
        <v>0</v>
      </c>
      <c r="P34" t="s">
        <v>133</v>
      </c>
      <c r="Q34" t="s">
        <v>132</v>
      </c>
    </row>
    <row r="35" spans="1:17" x14ac:dyDescent="0.25">
      <c r="A35" t="s">
        <v>78</v>
      </c>
      <c r="B35" t="s">
        <v>79</v>
      </c>
      <c r="C35" s="1">
        <v>45505</v>
      </c>
      <c r="D35" t="s">
        <v>0</v>
      </c>
      <c r="E35" t="s">
        <v>38</v>
      </c>
      <c r="F35" t="s">
        <v>0</v>
      </c>
      <c r="G35" t="s">
        <v>39</v>
      </c>
      <c r="H35" t="s">
        <v>80</v>
      </c>
      <c r="I35" t="s">
        <v>81</v>
      </c>
      <c r="J35" t="s">
        <v>82</v>
      </c>
      <c r="K35" t="s">
        <v>83</v>
      </c>
      <c r="L35">
        <v>2</v>
      </c>
      <c r="M35" t="s">
        <v>52</v>
      </c>
      <c r="N35" s="3" t="s">
        <v>0</v>
      </c>
      <c r="O35" t="s">
        <v>0</v>
      </c>
      <c r="P35" t="s">
        <v>131</v>
      </c>
      <c r="Q35" t="s">
        <v>132</v>
      </c>
    </row>
    <row r="36" spans="1:17" x14ac:dyDescent="0.25">
      <c r="A36" t="s">
        <v>108</v>
      </c>
      <c r="B36" t="s">
        <v>109</v>
      </c>
      <c r="C36" s="1">
        <v>45689</v>
      </c>
      <c r="D36" t="s">
        <v>0</v>
      </c>
      <c r="E36" t="s">
        <v>38</v>
      </c>
      <c r="F36" t="s">
        <v>0</v>
      </c>
      <c r="G36" t="s">
        <v>47</v>
      </c>
      <c r="H36" t="s">
        <v>110</v>
      </c>
      <c r="I36" t="s">
        <v>111</v>
      </c>
      <c r="J36" t="s">
        <v>112</v>
      </c>
      <c r="K36" t="s">
        <v>113</v>
      </c>
      <c r="L36">
        <v>1</v>
      </c>
      <c r="M36" t="s">
        <v>52</v>
      </c>
      <c r="N36" s="3" t="s">
        <v>0</v>
      </c>
      <c r="O36" t="s">
        <v>0</v>
      </c>
      <c r="P36" t="s">
        <v>133</v>
      </c>
      <c r="Q36" t="s">
        <v>132</v>
      </c>
    </row>
    <row r="37" spans="1:17" x14ac:dyDescent="0.25">
      <c r="A37" t="s">
        <v>134</v>
      </c>
      <c r="B37" t="s">
        <v>135</v>
      </c>
      <c r="C37" s="1">
        <v>45566</v>
      </c>
      <c r="D37" t="s">
        <v>0</v>
      </c>
      <c r="E37" t="s">
        <v>38</v>
      </c>
      <c r="F37" t="s">
        <v>0</v>
      </c>
      <c r="G37" t="s">
        <v>39</v>
      </c>
      <c r="H37" t="s">
        <v>136</v>
      </c>
      <c r="I37" t="s">
        <v>137</v>
      </c>
      <c r="J37" t="s">
        <v>138</v>
      </c>
      <c r="K37" t="s">
        <v>139</v>
      </c>
      <c r="L37">
        <v>2</v>
      </c>
      <c r="M37" t="s">
        <v>52</v>
      </c>
      <c r="N37" s="3" t="s">
        <v>0</v>
      </c>
      <c r="O37" t="s">
        <v>0</v>
      </c>
      <c r="P37" t="s">
        <v>45</v>
      </c>
      <c r="Q37" t="s">
        <v>46</v>
      </c>
    </row>
    <row r="38" spans="1:17" x14ac:dyDescent="0.25">
      <c r="A38" t="s">
        <v>36</v>
      </c>
      <c r="B38" t="s">
        <v>37</v>
      </c>
      <c r="C38" s="1">
        <v>45627</v>
      </c>
      <c r="D38" t="s">
        <v>0</v>
      </c>
      <c r="E38" t="s">
        <v>38</v>
      </c>
      <c r="F38" t="s">
        <v>0</v>
      </c>
      <c r="G38" t="s">
        <v>39</v>
      </c>
      <c r="H38" t="s">
        <v>40</v>
      </c>
      <c r="I38" t="s">
        <v>41</v>
      </c>
      <c r="J38" t="s">
        <v>42</v>
      </c>
      <c r="K38" t="s">
        <v>43</v>
      </c>
      <c r="L38">
        <v>2</v>
      </c>
      <c r="M38" t="s">
        <v>44</v>
      </c>
      <c r="N38" s="3" t="s">
        <v>0</v>
      </c>
      <c r="O38" t="s">
        <v>0</v>
      </c>
      <c r="P38" t="s">
        <v>45</v>
      </c>
      <c r="Q38" t="s">
        <v>46</v>
      </c>
    </row>
    <row r="39" spans="1:17" x14ac:dyDescent="0.25">
      <c r="A39" t="s">
        <v>36</v>
      </c>
      <c r="B39" t="s">
        <v>37</v>
      </c>
      <c r="C39" s="1">
        <v>45597</v>
      </c>
      <c r="D39" t="s">
        <v>0</v>
      </c>
      <c r="E39" t="s">
        <v>38</v>
      </c>
      <c r="F39" t="s">
        <v>0</v>
      </c>
      <c r="G39" t="s">
        <v>47</v>
      </c>
      <c r="H39" t="s">
        <v>48</v>
      </c>
      <c r="I39" t="s">
        <v>49</v>
      </c>
      <c r="J39" t="s">
        <v>50</v>
      </c>
      <c r="K39" t="s">
        <v>51</v>
      </c>
      <c r="L39">
        <v>2</v>
      </c>
      <c r="M39" t="s">
        <v>52</v>
      </c>
      <c r="N39" s="3" t="s">
        <v>0</v>
      </c>
      <c r="O39" t="s">
        <v>0</v>
      </c>
      <c r="P39" t="s">
        <v>45</v>
      </c>
      <c r="Q39" t="s">
        <v>46</v>
      </c>
    </row>
    <row r="40" spans="1:17" x14ac:dyDescent="0.25">
      <c r="A40" t="s">
        <v>53</v>
      </c>
      <c r="B40" t="s">
        <v>54</v>
      </c>
      <c r="C40" s="2">
        <v>45658</v>
      </c>
      <c r="D40" t="s">
        <v>0</v>
      </c>
      <c r="E40" t="s">
        <v>38</v>
      </c>
      <c r="F40" t="s">
        <v>0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>
        <v>2</v>
      </c>
      <c r="M40" t="s">
        <v>52</v>
      </c>
      <c r="N40" s="3" t="s">
        <v>0</v>
      </c>
      <c r="O40" t="s">
        <v>0</v>
      </c>
      <c r="P40" t="s">
        <v>45</v>
      </c>
      <c r="Q40" t="s">
        <v>46</v>
      </c>
    </row>
    <row r="41" spans="1:17" x14ac:dyDescent="0.25">
      <c r="A41" t="s">
        <v>60</v>
      </c>
      <c r="B41" t="s">
        <v>61</v>
      </c>
      <c r="C41" s="2">
        <v>45658</v>
      </c>
      <c r="D41" s="1">
        <v>45688</v>
      </c>
      <c r="E41" t="s">
        <v>38</v>
      </c>
      <c r="F41" t="s">
        <v>0</v>
      </c>
      <c r="G41" t="s">
        <v>47</v>
      </c>
      <c r="H41" t="s">
        <v>147</v>
      </c>
      <c r="I41" t="s">
        <v>148</v>
      </c>
      <c r="J41" t="s">
        <v>149</v>
      </c>
      <c r="K41" t="s">
        <v>150</v>
      </c>
      <c r="L41">
        <v>1</v>
      </c>
      <c r="M41" t="s">
        <v>52</v>
      </c>
      <c r="N41" s="3" t="s">
        <v>0</v>
      </c>
      <c r="O41" t="s">
        <v>0</v>
      </c>
      <c r="P41" t="s">
        <v>151</v>
      </c>
      <c r="Q41" t="s">
        <v>46</v>
      </c>
    </row>
    <row r="42" spans="1:17" x14ac:dyDescent="0.25">
      <c r="A42" t="s">
        <v>60</v>
      </c>
      <c r="B42" t="s">
        <v>61</v>
      </c>
      <c r="C42" s="1">
        <v>45597</v>
      </c>
      <c r="D42" t="s">
        <v>0</v>
      </c>
      <c r="E42" t="s">
        <v>38</v>
      </c>
      <c r="F42" t="s">
        <v>0</v>
      </c>
      <c r="G42" t="s">
        <v>47</v>
      </c>
      <c r="H42" t="s">
        <v>62</v>
      </c>
      <c r="I42" t="s">
        <v>63</v>
      </c>
      <c r="J42" t="s">
        <v>64</v>
      </c>
      <c r="K42" t="s">
        <v>65</v>
      </c>
      <c r="L42">
        <v>2</v>
      </c>
      <c r="M42" t="s">
        <v>52</v>
      </c>
      <c r="N42" s="3" t="s">
        <v>0</v>
      </c>
      <c r="O42" t="s">
        <v>0</v>
      </c>
      <c r="P42" t="s">
        <v>45</v>
      </c>
      <c r="Q42" t="s">
        <v>46</v>
      </c>
    </row>
    <row r="43" spans="1:17" x14ac:dyDescent="0.25">
      <c r="A43" t="s">
        <v>60</v>
      </c>
      <c r="B43" t="s">
        <v>61</v>
      </c>
      <c r="C43" s="1">
        <v>45536</v>
      </c>
      <c r="D43" t="s">
        <v>0</v>
      </c>
      <c r="E43" t="s">
        <v>38</v>
      </c>
      <c r="F43" t="s">
        <v>0</v>
      </c>
      <c r="G43" t="s">
        <v>47</v>
      </c>
      <c r="H43" t="s">
        <v>66</v>
      </c>
      <c r="I43" t="s">
        <v>67</v>
      </c>
      <c r="J43" t="s">
        <v>68</v>
      </c>
      <c r="K43" t="s">
        <v>69</v>
      </c>
      <c r="L43">
        <v>2</v>
      </c>
      <c r="M43" t="s">
        <v>52</v>
      </c>
      <c r="N43" s="3" t="s">
        <v>0</v>
      </c>
      <c r="O43" t="s">
        <v>0</v>
      </c>
      <c r="P43" t="s">
        <v>45</v>
      </c>
      <c r="Q43" t="s">
        <v>46</v>
      </c>
    </row>
    <row r="44" spans="1:17" x14ac:dyDescent="0.25">
      <c r="A44" t="s">
        <v>60</v>
      </c>
      <c r="B44" t="s">
        <v>61</v>
      </c>
      <c r="C44" s="1">
        <v>45505</v>
      </c>
      <c r="D44" t="s">
        <v>0</v>
      </c>
      <c r="E44" t="s">
        <v>38</v>
      </c>
      <c r="F44" t="s">
        <v>0</v>
      </c>
      <c r="G44" t="s">
        <v>39</v>
      </c>
      <c r="H44" t="s">
        <v>70</v>
      </c>
      <c r="I44" t="s">
        <v>71</v>
      </c>
      <c r="J44" t="s">
        <v>72</v>
      </c>
      <c r="K44" t="s">
        <v>73</v>
      </c>
      <c r="L44">
        <v>2</v>
      </c>
      <c r="M44" t="s">
        <v>52</v>
      </c>
      <c r="N44" s="3" t="s">
        <v>0</v>
      </c>
      <c r="O44" t="s">
        <v>0</v>
      </c>
      <c r="P44" t="s">
        <v>45</v>
      </c>
      <c r="Q44" t="s">
        <v>46</v>
      </c>
    </row>
    <row r="45" spans="1:17" x14ac:dyDescent="0.25">
      <c r="A45" t="s">
        <v>60</v>
      </c>
      <c r="B45" t="s">
        <v>61</v>
      </c>
      <c r="C45" s="1">
        <v>45566</v>
      </c>
      <c r="D45" t="s">
        <v>0</v>
      </c>
      <c r="E45" t="s">
        <v>38</v>
      </c>
      <c r="F45" t="s">
        <v>0</v>
      </c>
      <c r="G45" t="s">
        <v>47</v>
      </c>
      <c r="H45" t="s">
        <v>74</v>
      </c>
      <c r="I45" t="s">
        <v>75</v>
      </c>
      <c r="J45" t="s">
        <v>76</v>
      </c>
      <c r="K45" t="s">
        <v>77</v>
      </c>
      <c r="L45">
        <v>2</v>
      </c>
      <c r="M45" t="s">
        <v>52</v>
      </c>
      <c r="N45" s="3" t="s">
        <v>0</v>
      </c>
      <c r="O45" t="s">
        <v>0</v>
      </c>
      <c r="P45" t="s">
        <v>45</v>
      </c>
      <c r="Q45" t="s">
        <v>46</v>
      </c>
    </row>
    <row r="46" spans="1:17" x14ac:dyDescent="0.25">
      <c r="A46" t="s">
        <v>78</v>
      </c>
      <c r="B46" t="s">
        <v>79</v>
      </c>
      <c r="C46" s="1">
        <v>45505</v>
      </c>
      <c r="D46" t="s">
        <v>0</v>
      </c>
      <c r="E46" t="s">
        <v>38</v>
      </c>
      <c r="F46" t="s">
        <v>0</v>
      </c>
      <c r="G46" t="s">
        <v>39</v>
      </c>
      <c r="H46" t="s">
        <v>80</v>
      </c>
      <c r="I46" t="s">
        <v>81</v>
      </c>
      <c r="J46" t="s">
        <v>82</v>
      </c>
      <c r="K46" t="s">
        <v>83</v>
      </c>
      <c r="L46">
        <v>2</v>
      </c>
      <c r="M46" t="s">
        <v>52</v>
      </c>
      <c r="N46" s="3" t="s">
        <v>0</v>
      </c>
      <c r="O46" t="s">
        <v>0</v>
      </c>
      <c r="P46" t="s">
        <v>45</v>
      </c>
      <c r="Q46" t="s">
        <v>46</v>
      </c>
    </row>
    <row r="47" spans="1:17" x14ac:dyDescent="0.25">
      <c r="A47" t="s">
        <v>84</v>
      </c>
      <c r="B47" t="s">
        <v>85</v>
      </c>
      <c r="C47" s="1">
        <v>45474</v>
      </c>
      <c r="D47" t="s">
        <v>0</v>
      </c>
      <c r="E47" t="s">
        <v>38</v>
      </c>
      <c r="F47" t="s">
        <v>0</v>
      </c>
      <c r="G47" t="s">
        <v>86</v>
      </c>
      <c r="H47" t="s">
        <v>87</v>
      </c>
      <c r="I47" t="s">
        <v>88</v>
      </c>
      <c r="J47" t="s">
        <v>89</v>
      </c>
      <c r="K47" t="s">
        <v>90</v>
      </c>
      <c r="L47">
        <v>2</v>
      </c>
      <c r="M47" t="s">
        <v>52</v>
      </c>
      <c r="N47" s="3" t="s">
        <v>0</v>
      </c>
      <c r="O47" t="s">
        <v>0</v>
      </c>
      <c r="P47" t="s">
        <v>45</v>
      </c>
      <c r="Q47" t="s">
        <v>46</v>
      </c>
    </row>
    <row r="48" spans="1:17" x14ac:dyDescent="0.25">
      <c r="A48" t="s">
        <v>108</v>
      </c>
      <c r="B48" t="s">
        <v>109</v>
      </c>
      <c r="C48" s="1">
        <v>45597</v>
      </c>
      <c r="D48" s="1">
        <v>45688</v>
      </c>
      <c r="E48" t="s">
        <v>38</v>
      </c>
      <c r="F48" t="s">
        <v>0</v>
      </c>
      <c r="G48" t="s">
        <v>47</v>
      </c>
      <c r="H48" t="s">
        <v>152</v>
      </c>
      <c r="I48" t="s">
        <v>153</v>
      </c>
      <c r="J48" t="s">
        <v>154</v>
      </c>
      <c r="K48" t="s">
        <v>155</v>
      </c>
      <c r="L48">
        <v>2</v>
      </c>
      <c r="M48" t="s">
        <v>52</v>
      </c>
      <c r="N48" s="3" t="s">
        <v>0</v>
      </c>
      <c r="O48" t="s">
        <v>0</v>
      </c>
      <c r="P48" t="s">
        <v>45</v>
      </c>
      <c r="Q48" t="s">
        <v>46</v>
      </c>
    </row>
    <row r="49" spans="1:17" x14ac:dyDescent="0.25">
      <c r="A49" t="s">
        <v>114</v>
      </c>
      <c r="B49" t="s">
        <v>115</v>
      </c>
      <c r="C49" s="1">
        <v>45597</v>
      </c>
      <c r="D49" t="s">
        <v>0</v>
      </c>
      <c r="E49" t="s">
        <v>38</v>
      </c>
      <c r="F49" t="s">
        <v>0</v>
      </c>
      <c r="G49" t="s">
        <v>39</v>
      </c>
      <c r="H49" t="s">
        <v>116</v>
      </c>
      <c r="I49" t="s">
        <v>117</v>
      </c>
      <c r="J49" t="s">
        <v>118</v>
      </c>
      <c r="K49" t="s">
        <v>119</v>
      </c>
      <c r="L49">
        <v>2</v>
      </c>
      <c r="M49" t="s">
        <v>52</v>
      </c>
      <c r="N49" s="3" t="s">
        <v>0</v>
      </c>
      <c r="O49" t="s">
        <v>0</v>
      </c>
      <c r="P49" t="s">
        <v>45</v>
      </c>
      <c r="Q49" t="s">
        <v>46</v>
      </c>
    </row>
    <row r="50" spans="1:17" x14ac:dyDescent="0.25">
      <c r="A50" t="s">
        <v>120</v>
      </c>
      <c r="B50" t="s">
        <v>121</v>
      </c>
      <c r="C50" s="1">
        <v>45597</v>
      </c>
      <c r="D50" t="s">
        <v>0</v>
      </c>
      <c r="E50" t="s">
        <v>38</v>
      </c>
      <c r="F50" t="s">
        <v>0</v>
      </c>
      <c r="G50" t="s">
        <v>86</v>
      </c>
      <c r="H50" t="s">
        <v>122</v>
      </c>
      <c r="I50" t="s">
        <v>123</v>
      </c>
      <c r="J50" t="s">
        <v>124</v>
      </c>
      <c r="K50" t="s">
        <v>125</v>
      </c>
      <c r="L50">
        <v>2</v>
      </c>
      <c r="M50" t="s">
        <v>52</v>
      </c>
      <c r="N50" s="3" t="s">
        <v>0</v>
      </c>
      <c r="O50" t="s">
        <v>0</v>
      </c>
      <c r="P50" t="s">
        <v>45</v>
      </c>
      <c r="Q50" t="s">
        <v>46</v>
      </c>
    </row>
    <row r="51" spans="1:17" x14ac:dyDescent="0.25">
      <c r="A51" t="s">
        <v>120</v>
      </c>
      <c r="B51" t="s">
        <v>121</v>
      </c>
      <c r="C51" s="2">
        <v>45658</v>
      </c>
      <c r="D51" s="1">
        <v>45688</v>
      </c>
      <c r="E51" t="s">
        <v>38</v>
      </c>
      <c r="F51" t="s">
        <v>0</v>
      </c>
      <c r="G51" t="s">
        <v>86</v>
      </c>
      <c r="H51" t="s">
        <v>156</v>
      </c>
      <c r="I51" t="s">
        <v>157</v>
      </c>
      <c r="J51" t="s">
        <v>158</v>
      </c>
      <c r="K51" t="s">
        <v>159</v>
      </c>
      <c r="L51">
        <v>1</v>
      </c>
      <c r="M51" t="s">
        <v>52</v>
      </c>
      <c r="N51" s="3" t="s">
        <v>0</v>
      </c>
      <c r="O51" t="s">
        <v>0</v>
      </c>
      <c r="P51" t="s">
        <v>151</v>
      </c>
      <c r="Q51" t="s">
        <v>46</v>
      </c>
    </row>
    <row r="52" spans="1:17" x14ac:dyDescent="0.25">
      <c r="A52" t="s">
        <v>84</v>
      </c>
      <c r="B52" t="s">
        <v>85</v>
      </c>
      <c r="C52" s="1">
        <v>45474</v>
      </c>
      <c r="D52" t="s">
        <v>0</v>
      </c>
      <c r="E52" t="s">
        <v>38</v>
      </c>
      <c r="F52" t="s">
        <v>0</v>
      </c>
      <c r="G52" t="s">
        <v>86</v>
      </c>
      <c r="H52" t="s">
        <v>87</v>
      </c>
      <c r="I52" t="s">
        <v>88</v>
      </c>
      <c r="J52" t="s">
        <v>89</v>
      </c>
      <c r="K52" t="s">
        <v>90</v>
      </c>
      <c r="L52">
        <v>2</v>
      </c>
      <c r="M52" t="s">
        <v>52</v>
      </c>
      <c r="N52" s="3" t="s">
        <v>0</v>
      </c>
      <c r="O52" t="s">
        <v>0</v>
      </c>
      <c r="P52" t="s">
        <v>131</v>
      </c>
      <c r="Q52" t="s">
        <v>132</v>
      </c>
    </row>
    <row r="53" spans="1:17" x14ac:dyDescent="0.25">
      <c r="A53" t="s">
        <v>60</v>
      </c>
      <c r="B53" t="s">
        <v>61</v>
      </c>
      <c r="C53" s="2">
        <v>45658</v>
      </c>
      <c r="D53" s="1">
        <v>45688</v>
      </c>
      <c r="E53" t="s">
        <v>38</v>
      </c>
      <c r="F53" t="s">
        <v>0</v>
      </c>
      <c r="G53" t="s">
        <v>47</v>
      </c>
      <c r="H53" t="s">
        <v>147</v>
      </c>
      <c r="I53" t="s">
        <v>148</v>
      </c>
      <c r="J53" t="s">
        <v>149</v>
      </c>
      <c r="K53" t="s">
        <v>150</v>
      </c>
      <c r="L53">
        <v>1</v>
      </c>
      <c r="M53" t="s">
        <v>52</v>
      </c>
      <c r="N53" s="3" t="s">
        <v>0</v>
      </c>
      <c r="O53" t="s">
        <v>0</v>
      </c>
      <c r="P53" t="s">
        <v>160</v>
      </c>
      <c r="Q53" t="s">
        <v>132</v>
      </c>
    </row>
    <row r="54" spans="1:17" x14ac:dyDescent="0.25">
      <c r="A54" t="s">
        <v>134</v>
      </c>
      <c r="B54" t="s">
        <v>135</v>
      </c>
      <c r="C54" s="1">
        <v>45566</v>
      </c>
      <c r="D54" t="s">
        <v>0</v>
      </c>
      <c r="E54" t="s">
        <v>38</v>
      </c>
      <c r="F54" t="s">
        <v>0</v>
      </c>
      <c r="G54" t="s">
        <v>39</v>
      </c>
      <c r="H54" t="s">
        <v>136</v>
      </c>
      <c r="I54" t="s">
        <v>137</v>
      </c>
      <c r="J54" t="s">
        <v>138</v>
      </c>
      <c r="K54" t="s">
        <v>139</v>
      </c>
      <c r="L54">
        <v>2</v>
      </c>
      <c r="M54" t="s">
        <v>52</v>
      </c>
      <c r="N54" s="3" t="s">
        <v>0</v>
      </c>
      <c r="O54" t="s">
        <v>0</v>
      </c>
      <c r="P54" t="s">
        <v>131</v>
      </c>
      <c r="Q54" t="s">
        <v>132</v>
      </c>
    </row>
    <row r="55" spans="1:17" x14ac:dyDescent="0.25">
      <c r="A55" t="s">
        <v>134</v>
      </c>
      <c r="B55" t="s">
        <v>135</v>
      </c>
      <c r="C55" s="1">
        <v>45566</v>
      </c>
      <c r="D55" t="s">
        <v>0</v>
      </c>
      <c r="E55" t="s">
        <v>38</v>
      </c>
      <c r="F55" t="s">
        <v>0</v>
      </c>
      <c r="G55" t="s">
        <v>39</v>
      </c>
      <c r="H55" t="s">
        <v>136</v>
      </c>
      <c r="I55" t="s">
        <v>137</v>
      </c>
      <c r="J55" t="s">
        <v>138</v>
      </c>
      <c r="K55" t="s">
        <v>139</v>
      </c>
      <c r="L55">
        <v>1</v>
      </c>
      <c r="M55" t="s">
        <v>52</v>
      </c>
      <c r="N55" s="3" t="s">
        <v>0</v>
      </c>
      <c r="O55" t="s">
        <v>0</v>
      </c>
      <c r="P55" t="s">
        <v>161</v>
      </c>
      <c r="Q55" t="s">
        <v>132</v>
      </c>
    </row>
    <row r="56" spans="1:17" x14ac:dyDescent="0.25">
      <c r="A56" t="s">
        <v>36</v>
      </c>
      <c r="B56" t="s">
        <v>37</v>
      </c>
      <c r="C56" s="1">
        <v>45627</v>
      </c>
      <c r="D56" t="s">
        <v>0</v>
      </c>
      <c r="E56" t="s">
        <v>38</v>
      </c>
      <c r="F56" t="s">
        <v>0</v>
      </c>
      <c r="G56" t="s">
        <v>39</v>
      </c>
      <c r="H56" t="s">
        <v>40</v>
      </c>
      <c r="I56" t="s">
        <v>41</v>
      </c>
      <c r="J56" t="s">
        <v>42</v>
      </c>
      <c r="K56" t="s">
        <v>43</v>
      </c>
      <c r="L56">
        <v>2</v>
      </c>
      <c r="M56" t="s">
        <v>44</v>
      </c>
      <c r="N56" s="3" t="s">
        <v>0</v>
      </c>
      <c r="O56" t="s">
        <v>0</v>
      </c>
      <c r="P56" t="s">
        <v>131</v>
      </c>
      <c r="Q56" t="s">
        <v>132</v>
      </c>
    </row>
    <row r="57" spans="1:17" x14ac:dyDescent="0.25">
      <c r="A57" t="s">
        <v>114</v>
      </c>
      <c r="B57" t="s">
        <v>115</v>
      </c>
      <c r="C57" s="1">
        <v>45597</v>
      </c>
      <c r="D57" t="s">
        <v>0</v>
      </c>
      <c r="E57" t="s">
        <v>38</v>
      </c>
      <c r="F57" t="s">
        <v>0</v>
      </c>
      <c r="G57" t="s">
        <v>39</v>
      </c>
      <c r="H57" t="s">
        <v>116</v>
      </c>
      <c r="I57" t="s">
        <v>117</v>
      </c>
      <c r="J57" t="s">
        <v>118</v>
      </c>
      <c r="K57" t="s">
        <v>119</v>
      </c>
      <c r="L57">
        <v>2</v>
      </c>
      <c r="M57" t="s">
        <v>52</v>
      </c>
      <c r="N57" s="3" t="s">
        <v>0</v>
      </c>
      <c r="O57" t="s">
        <v>0</v>
      </c>
      <c r="P57" t="s">
        <v>131</v>
      </c>
      <c r="Q57" t="s">
        <v>132</v>
      </c>
    </row>
    <row r="58" spans="1:17" x14ac:dyDescent="0.25">
      <c r="A58" t="s">
        <v>120</v>
      </c>
      <c r="B58" t="s">
        <v>121</v>
      </c>
      <c r="C58" s="1">
        <v>45597</v>
      </c>
      <c r="D58" t="s">
        <v>0</v>
      </c>
      <c r="E58" t="s">
        <v>38</v>
      </c>
      <c r="F58" t="s">
        <v>0</v>
      </c>
      <c r="G58" t="s">
        <v>86</v>
      </c>
      <c r="H58" t="s">
        <v>122</v>
      </c>
      <c r="I58" t="s">
        <v>123</v>
      </c>
      <c r="J58" t="s">
        <v>124</v>
      </c>
      <c r="K58" t="s">
        <v>125</v>
      </c>
      <c r="L58">
        <v>2</v>
      </c>
      <c r="M58" t="s">
        <v>52</v>
      </c>
      <c r="N58" s="3" t="s">
        <v>0</v>
      </c>
      <c r="O58" t="s">
        <v>0</v>
      </c>
      <c r="P58" t="s">
        <v>131</v>
      </c>
      <c r="Q58" t="s">
        <v>132</v>
      </c>
    </row>
    <row r="59" spans="1:17" x14ac:dyDescent="0.25">
      <c r="A59" t="s">
        <v>36</v>
      </c>
      <c r="B59" t="s">
        <v>37</v>
      </c>
      <c r="C59" s="1">
        <v>45597</v>
      </c>
      <c r="D59" t="s">
        <v>0</v>
      </c>
      <c r="E59" t="s">
        <v>38</v>
      </c>
      <c r="F59" t="s">
        <v>0</v>
      </c>
      <c r="G59" t="s">
        <v>47</v>
      </c>
      <c r="H59" t="s">
        <v>48</v>
      </c>
      <c r="I59" t="s">
        <v>49</v>
      </c>
      <c r="J59" t="s">
        <v>50</v>
      </c>
      <c r="K59" t="s">
        <v>51</v>
      </c>
      <c r="L59">
        <v>2</v>
      </c>
      <c r="M59" t="s">
        <v>52</v>
      </c>
      <c r="N59" s="3" t="s">
        <v>0</v>
      </c>
      <c r="O59" t="s">
        <v>0</v>
      </c>
      <c r="P59" t="s">
        <v>131</v>
      </c>
      <c r="Q59" t="s">
        <v>132</v>
      </c>
    </row>
    <row r="60" spans="1:17" x14ac:dyDescent="0.25">
      <c r="A60" t="s">
        <v>60</v>
      </c>
      <c r="B60" t="s">
        <v>61</v>
      </c>
      <c r="C60" s="1">
        <v>45597</v>
      </c>
      <c r="D60" t="s">
        <v>0</v>
      </c>
      <c r="E60" t="s">
        <v>38</v>
      </c>
      <c r="F60" t="s">
        <v>0</v>
      </c>
      <c r="G60" t="s">
        <v>47</v>
      </c>
      <c r="H60" t="s">
        <v>62</v>
      </c>
      <c r="I60" t="s">
        <v>63</v>
      </c>
      <c r="J60" t="s">
        <v>64</v>
      </c>
      <c r="K60" t="s">
        <v>65</v>
      </c>
      <c r="L60">
        <v>2</v>
      </c>
      <c r="M60" t="s">
        <v>52</v>
      </c>
      <c r="N60" s="3" t="s">
        <v>0</v>
      </c>
      <c r="O60" t="s">
        <v>0</v>
      </c>
      <c r="P60" t="s">
        <v>131</v>
      </c>
      <c r="Q60" t="s">
        <v>132</v>
      </c>
    </row>
    <row r="61" spans="1:17" x14ac:dyDescent="0.25">
      <c r="A61" t="s">
        <v>60</v>
      </c>
      <c r="B61" t="s">
        <v>61</v>
      </c>
      <c r="C61" s="1">
        <v>45536</v>
      </c>
      <c r="D61" t="s">
        <v>0</v>
      </c>
      <c r="E61" t="s">
        <v>38</v>
      </c>
      <c r="F61" t="s">
        <v>0</v>
      </c>
      <c r="G61" t="s">
        <v>47</v>
      </c>
      <c r="H61" t="s">
        <v>66</v>
      </c>
      <c r="I61" t="s">
        <v>67</v>
      </c>
      <c r="J61" t="s">
        <v>68</v>
      </c>
      <c r="K61" t="s">
        <v>69</v>
      </c>
      <c r="L61">
        <v>2</v>
      </c>
      <c r="M61" t="s">
        <v>52</v>
      </c>
      <c r="N61" s="3" t="s">
        <v>0</v>
      </c>
      <c r="O61" t="s">
        <v>0</v>
      </c>
      <c r="P61" t="s">
        <v>131</v>
      </c>
      <c r="Q61" t="s">
        <v>132</v>
      </c>
    </row>
    <row r="62" spans="1:17" x14ac:dyDescent="0.25">
      <c r="A62" t="s">
        <v>120</v>
      </c>
      <c r="B62" t="s">
        <v>121</v>
      </c>
      <c r="C62" s="2">
        <v>45658</v>
      </c>
      <c r="D62" s="1">
        <v>45688</v>
      </c>
      <c r="E62" t="s">
        <v>38</v>
      </c>
      <c r="F62" t="s">
        <v>0</v>
      </c>
      <c r="G62" t="s">
        <v>86</v>
      </c>
      <c r="H62" t="s">
        <v>156</v>
      </c>
      <c r="I62" t="s">
        <v>157</v>
      </c>
      <c r="J62" t="s">
        <v>158</v>
      </c>
      <c r="K62" t="s">
        <v>159</v>
      </c>
      <c r="L62">
        <v>1</v>
      </c>
      <c r="M62" t="s">
        <v>52</v>
      </c>
      <c r="N62" s="3" t="s">
        <v>0</v>
      </c>
      <c r="O62" t="s">
        <v>0</v>
      </c>
      <c r="P62" t="s">
        <v>160</v>
      </c>
      <c r="Q62" t="s">
        <v>132</v>
      </c>
    </row>
    <row r="63" spans="1:17" x14ac:dyDescent="0.25">
      <c r="A63" t="s">
        <v>60</v>
      </c>
      <c r="B63" t="s">
        <v>61</v>
      </c>
      <c r="C63" s="1">
        <v>45505</v>
      </c>
      <c r="D63" t="s">
        <v>0</v>
      </c>
      <c r="E63" t="s">
        <v>38</v>
      </c>
      <c r="F63" t="s">
        <v>0</v>
      </c>
      <c r="G63" t="s">
        <v>39</v>
      </c>
      <c r="H63" t="s">
        <v>70</v>
      </c>
      <c r="I63" t="s">
        <v>71</v>
      </c>
      <c r="J63" t="s">
        <v>72</v>
      </c>
      <c r="K63" t="s">
        <v>73</v>
      </c>
      <c r="L63">
        <v>2</v>
      </c>
      <c r="M63" t="s">
        <v>52</v>
      </c>
      <c r="N63" s="3" t="s">
        <v>0</v>
      </c>
      <c r="O63" t="s">
        <v>0</v>
      </c>
      <c r="P63" t="s">
        <v>131</v>
      </c>
      <c r="Q63" t="s">
        <v>132</v>
      </c>
    </row>
    <row r="64" spans="1:17" x14ac:dyDescent="0.25">
      <c r="A64" t="s">
        <v>60</v>
      </c>
      <c r="B64" t="s">
        <v>61</v>
      </c>
      <c r="C64" s="1">
        <v>45566</v>
      </c>
      <c r="D64" t="s">
        <v>0</v>
      </c>
      <c r="E64" t="s">
        <v>38</v>
      </c>
      <c r="F64" t="s">
        <v>0</v>
      </c>
      <c r="G64" t="s">
        <v>47</v>
      </c>
      <c r="H64" t="s">
        <v>74</v>
      </c>
      <c r="I64" t="s">
        <v>75</v>
      </c>
      <c r="J64" t="s">
        <v>76</v>
      </c>
      <c r="K64" t="s">
        <v>77</v>
      </c>
      <c r="L64">
        <v>2</v>
      </c>
      <c r="M64" t="s">
        <v>52</v>
      </c>
      <c r="N64" s="3" t="s">
        <v>0</v>
      </c>
      <c r="O64" t="s">
        <v>0</v>
      </c>
      <c r="P64" t="s">
        <v>131</v>
      </c>
      <c r="Q64" t="s">
        <v>132</v>
      </c>
    </row>
    <row r="65" spans="1:17" x14ac:dyDescent="0.25">
      <c r="A65" t="s">
        <v>53</v>
      </c>
      <c r="B65" t="s">
        <v>54</v>
      </c>
      <c r="C65" s="2">
        <v>45658</v>
      </c>
      <c r="D65" t="s">
        <v>0</v>
      </c>
      <c r="E65" t="s">
        <v>38</v>
      </c>
      <c r="F65" t="s">
        <v>0</v>
      </c>
      <c r="G65" t="s">
        <v>55</v>
      </c>
      <c r="H65" t="s">
        <v>56</v>
      </c>
      <c r="I65" t="s">
        <v>57</v>
      </c>
      <c r="J65" t="s">
        <v>58</v>
      </c>
      <c r="K65" t="s">
        <v>59</v>
      </c>
      <c r="L65">
        <v>2</v>
      </c>
      <c r="M65" t="s">
        <v>52</v>
      </c>
      <c r="N65" s="3" t="s">
        <v>0</v>
      </c>
      <c r="O65" t="s">
        <v>0</v>
      </c>
      <c r="P65" t="s">
        <v>131</v>
      </c>
      <c r="Q65" t="s">
        <v>132</v>
      </c>
    </row>
    <row r="66" spans="1:17" x14ac:dyDescent="0.25">
      <c r="A66" t="s">
        <v>108</v>
      </c>
      <c r="B66" t="s">
        <v>109</v>
      </c>
      <c r="C66" s="1">
        <v>45597</v>
      </c>
      <c r="D66" s="1">
        <v>45688</v>
      </c>
      <c r="E66" t="s">
        <v>38</v>
      </c>
      <c r="F66" t="s">
        <v>0</v>
      </c>
      <c r="G66" t="s">
        <v>47</v>
      </c>
      <c r="H66" t="s">
        <v>152</v>
      </c>
      <c r="I66" t="s">
        <v>153</v>
      </c>
      <c r="J66" t="s">
        <v>154</v>
      </c>
      <c r="K66" t="s">
        <v>155</v>
      </c>
      <c r="L66">
        <v>2</v>
      </c>
      <c r="M66" t="s">
        <v>52</v>
      </c>
      <c r="N66" s="3" t="s">
        <v>0</v>
      </c>
      <c r="O66" t="s">
        <v>0</v>
      </c>
      <c r="P66" t="s">
        <v>131</v>
      </c>
      <c r="Q66" t="s">
        <v>132</v>
      </c>
    </row>
    <row r="67" spans="1:17" x14ac:dyDescent="0.25">
      <c r="A67" t="s">
        <v>108</v>
      </c>
      <c r="B67" t="s">
        <v>109</v>
      </c>
      <c r="C67" s="1">
        <v>45597</v>
      </c>
      <c r="D67" s="1">
        <v>45688</v>
      </c>
      <c r="E67" t="s">
        <v>38</v>
      </c>
      <c r="F67" t="s">
        <v>0</v>
      </c>
      <c r="G67" t="s">
        <v>47</v>
      </c>
      <c r="H67" t="s">
        <v>152</v>
      </c>
      <c r="I67" t="s">
        <v>153</v>
      </c>
      <c r="J67" t="s">
        <v>154</v>
      </c>
      <c r="K67" t="s">
        <v>155</v>
      </c>
      <c r="L67">
        <v>1</v>
      </c>
      <c r="M67" t="s">
        <v>52</v>
      </c>
      <c r="N67" s="3" t="s">
        <v>0</v>
      </c>
      <c r="O67" t="s">
        <v>0</v>
      </c>
      <c r="P67" t="s">
        <v>162</v>
      </c>
      <c r="Q67" t="s">
        <v>132</v>
      </c>
    </row>
    <row r="68" spans="1:17" x14ac:dyDescent="0.25">
      <c r="A68" t="s">
        <v>78</v>
      </c>
      <c r="B68" t="s">
        <v>79</v>
      </c>
      <c r="C68" s="1">
        <v>45505</v>
      </c>
      <c r="D68" t="s">
        <v>0</v>
      </c>
      <c r="E68" t="s">
        <v>38</v>
      </c>
      <c r="F68" t="s">
        <v>0</v>
      </c>
      <c r="G68" t="s">
        <v>39</v>
      </c>
      <c r="H68" t="s">
        <v>80</v>
      </c>
      <c r="I68" t="s">
        <v>81</v>
      </c>
      <c r="J68" t="s">
        <v>82</v>
      </c>
      <c r="K68" t="s">
        <v>83</v>
      </c>
      <c r="L68">
        <v>2</v>
      </c>
      <c r="M68" t="s">
        <v>52</v>
      </c>
      <c r="N68" s="3" t="s">
        <v>0</v>
      </c>
      <c r="O68" t="s">
        <v>0</v>
      </c>
      <c r="P68" t="s">
        <v>131</v>
      </c>
      <c r="Q68" t="s">
        <v>132</v>
      </c>
    </row>
    <row r="69" spans="1:17" x14ac:dyDescent="0.25">
      <c r="A69" t="s">
        <v>134</v>
      </c>
      <c r="B69" t="s">
        <v>135</v>
      </c>
      <c r="C69" s="1">
        <v>45566</v>
      </c>
      <c r="D69" t="s">
        <v>0</v>
      </c>
      <c r="E69" t="s">
        <v>38</v>
      </c>
      <c r="F69" t="s">
        <v>0</v>
      </c>
      <c r="G69" t="s">
        <v>39</v>
      </c>
      <c r="H69" t="s">
        <v>136</v>
      </c>
      <c r="I69" t="s">
        <v>137</v>
      </c>
      <c r="J69" t="s">
        <v>138</v>
      </c>
      <c r="K69" t="s">
        <v>139</v>
      </c>
      <c r="L69">
        <v>2</v>
      </c>
      <c r="M69" t="s">
        <v>52</v>
      </c>
      <c r="N69" s="3" t="s">
        <v>0</v>
      </c>
      <c r="O69" t="s">
        <v>0</v>
      </c>
      <c r="P69" t="s">
        <v>45</v>
      </c>
      <c r="Q69" t="s">
        <v>46</v>
      </c>
    </row>
    <row r="70" spans="1:17" x14ac:dyDescent="0.25">
      <c r="A70" t="s">
        <v>134</v>
      </c>
      <c r="B70" t="s">
        <v>135</v>
      </c>
      <c r="C70" s="1">
        <v>45566</v>
      </c>
      <c r="D70" t="s">
        <v>0</v>
      </c>
      <c r="E70" t="s">
        <v>38</v>
      </c>
      <c r="F70" t="s">
        <v>0</v>
      </c>
      <c r="G70" t="s">
        <v>39</v>
      </c>
      <c r="H70" t="s">
        <v>136</v>
      </c>
      <c r="I70" t="s">
        <v>137</v>
      </c>
      <c r="J70" t="s">
        <v>138</v>
      </c>
      <c r="K70" t="s">
        <v>139</v>
      </c>
      <c r="L70">
        <v>1</v>
      </c>
      <c r="M70" t="s">
        <v>52</v>
      </c>
      <c r="N70" s="3" t="s">
        <v>0</v>
      </c>
      <c r="O70" t="s">
        <v>0</v>
      </c>
      <c r="P70" t="s">
        <v>163</v>
      </c>
      <c r="Q70" t="s">
        <v>46</v>
      </c>
    </row>
    <row r="71" spans="1:17" x14ac:dyDescent="0.25">
      <c r="A71" t="s">
        <v>164</v>
      </c>
      <c r="B71" t="s">
        <v>165</v>
      </c>
      <c r="C71" s="2">
        <v>45658</v>
      </c>
      <c r="D71" t="s">
        <v>0</v>
      </c>
      <c r="E71" t="s">
        <v>38</v>
      </c>
      <c r="F71" t="s">
        <v>0</v>
      </c>
      <c r="G71" t="s">
        <v>47</v>
      </c>
      <c r="H71" t="s">
        <v>166</v>
      </c>
      <c r="I71" t="s">
        <v>167</v>
      </c>
      <c r="J71" t="s">
        <v>168</v>
      </c>
      <c r="K71" t="s">
        <v>169</v>
      </c>
      <c r="L71">
        <v>1</v>
      </c>
      <c r="M71" t="s">
        <v>52</v>
      </c>
      <c r="N71" s="3" t="s">
        <v>0</v>
      </c>
      <c r="O71" t="s">
        <v>0</v>
      </c>
      <c r="P71" t="s">
        <v>170</v>
      </c>
      <c r="Q71" t="s">
        <v>46</v>
      </c>
    </row>
    <row r="72" spans="1:17" x14ac:dyDescent="0.25">
      <c r="A72" t="s">
        <v>60</v>
      </c>
      <c r="B72" t="s">
        <v>61</v>
      </c>
      <c r="C72" s="2">
        <v>45658</v>
      </c>
      <c r="D72" t="s">
        <v>0</v>
      </c>
      <c r="E72" t="s">
        <v>38</v>
      </c>
      <c r="F72" t="s">
        <v>0</v>
      </c>
      <c r="G72" t="s">
        <v>47</v>
      </c>
      <c r="H72" t="s">
        <v>171</v>
      </c>
      <c r="I72" t="s">
        <v>172</v>
      </c>
      <c r="J72" t="s">
        <v>173</v>
      </c>
      <c r="K72" t="s">
        <v>174</v>
      </c>
      <c r="L72">
        <v>1</v>
      </c>
      <c r="M72" t="s">
        <v>52</v>
      </c>
      <c r="N72" s="3" t="s">
        <v>0</v>
      </c>
      <c r="O72" t="s">
        <v>0</v>
      </c>
      <c r="P72" t="s">
        <v>170</v>
      </c>
      <c r="Q7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E5AB-BF67-44DC-B8EC-DB515EDD07DB}">
  <dimension ref="A1:Q72"/>
  <sheetViews>
    <sheetView tabSelected="1" topLeftCell="C48" workbookViewId="0">
      <selection activeCell="Q2" sqref="Q2:Q72"/>
    </sheetView>
  </sheetViews>
  <sheetFormatPr defaultColWidth="8.85546875" defaultRowHeight="15" x14ac:dyDescent="0.25"/>
  <cols>
    <col min="1" max="1" width="25" style="5" customWidth="1"/>
    <col min="2" max="2" width="20" style="5" customWidth="1"/>
    <col min="3" max="3" width="15" style="5" customWidth="1"/>
    <col min="4" max="4" width="8.85546875" style="5"/>
    <col min="5" max="5" width="53.85546875" style="5" bestFit="1" customWidth="1"/>
    <col min="6" max="6" width="14.85546875" style="5" bestFit="1" customWidth="1"/>
    <col min="7" max="7" width="12.140625" style="5" bestFit="1" customWidth="1"/>
    <col min="8" max="8" width="13.140625" style="5" bestFit="1" customWidth="1"/>
    <col min="9" max="9" width="19" style="5" bestFit="1" customWidth="1"/>
    <col min="10" max="10" width="19.42578125" style="5" bestFit="1" customWidth="1"/>
    <col min="11" max="11" width="19.42578125" style="5" customWidth="1"/>
    <col min="12" max="12" width="13.28515625" style="5" bestFit="1" customWidth="1"/>
    <col min="13" max="13" width="9.7109375" style="5" bestFit="1" customWidth="1"/>
    <col min="14" max="14" width="9" style="5" bestFit="1" customWidth="1"/>
    <col min="15" max="15" width="6.85546875" style="5" bestFit="1" customWidth="1"/>
    <col min="16" max="16" width="15.85546875" style="5" bestFit="1" customWidth="1"/>
    <col min="17" max="16384" width="8.85546875" style="5"/>
  </cols>
  <sheetData>
    <row r="1" spans="1:17" x14ac:dyDescent="0.25">
      <c r="A1" s="5" t="s">
        <v>19</v>
      </c>
      <c r="B1" s="5" t="s">
        <v>20</v>
      </c>
      <c r="C1" s="5" t="s">
        <v>21</v>
      </c>
      <c r="D1" s="5" t="s">
        <v>23</v>
      </c>
      <c r="E1" s="5" t="s">
        <v>25</v>
      </c>
      <c r="F1" s="5" t="s">
        <v>26</v>
      </c>
      <c r="G1" s="5" t="s">
        <v>27</v>
      </c>
      <c r="I1" s="5" t="s">
        <v>28</v>
      </c>
      <c r="J1" s="5" t="s">
        <v>29</v>
      </c>
      <c r="L1" s="5" t="s">
        <v>30</v>
      </c>
      <c r="M1" s="5" t="s">
        <v>31</v>
      </c>
      <c r="N1" s="5" t="s">
        <v>34</v>
      </c>
      <c r="O1" s="5" t="s">
        <v>35</v>
      </c>
    </row>
    <row r="2" spans="1:17" x14ac:dyDescent="0.25">
      <c r="A2" s="5" t="s">
        <v>36</v>
      </c>
      <c r="B2" s="4">
        <v>16912722</v>
      </c>
      <c r="C2" s="6">
        <v>45627</v>
      </c>
      <c r="D2" s="5" t="s">
        <v>38</v>
      </c>
      <c r="E2" s="5" t="s">
        <v>39</v>
      </c>
      <c r="F2" s="5" t="s">
        <v>40</v>
      </c>
      <c r="G2" s="5" t="s">
        <v>41</v>
      </c>
      <c r="H2" s="5" t="str">
        <f>CONCATENATE(G2,2)</f>
        <v>Z0000535432</v>
      </c>
      <c r="I2" s="5" t="s">
        <v>42</v>
      </c>
      <c r="J2" s="5" t="s">
        <v>43</v>
      </c>
      <c r="K2" s="5" t="str">
        <f>CONCATENATE(I2, " ", J2)</f>
        <v>DOUGLAS SCHMIESKORS III</v>
      </c>
      <c r="L2" s="5">
        <v>2</v>
      </c>
      <c r="M2" s="5" t="s">
        <v>44</v>
      </c>
      <c r="N2" s="7">
        <v>26.08</v>
      </c>
      <c r="O2" s="5" t="s">
        <v>46</v>
      </c>
      <c r="P2" s="5" t="s">
        <v>176</v>
      </c>
      <c r="Q2" s="5" t="s">
        <v>177</v>
      </c>
    </row>
    <row r="3" spans="1:17" x14ac:dyDescent="0.25">
      <c r="A3" s="5" t="s">
        <v>36</v>
      </c>
      <c r="B3" s="4">
        <v>16912722</v>
      </c>
      <c r="C3" s="6">
        <v>45597</v>
      </c>
      <c r="D3" s="5" t="s">
        <v>38</v>
      </c>
      <c r="E3" s="5" t="s">
        <v>47</v>
      </c>
      <c r="F3" s="5" t="s">
        <v>48</v>
      </c>
      <c r="G3" s="5" t="s">
        <v>49</v>
      </c>
      <c r="H3" s="5" t="str">
        <f>CONCATENATE(G3,2)</f>
        <v>Z0000515102</v>
      </c>
      <c r="I3" s="5" t="s">
        <v>50</v>
      </c>
      <c r="J3" s="5" t="s">
        <v>51</v>
      </c>
      <c r="K3" s="5" t="str">
        <f>CONCATENATE(I3, " ", J3)</f>
        <v>JAMES PRICE</v>
      </c>
      <c r="L3" s="5">
        <v>2</v>
      </c>
      <c r="M3" s="5" t="s">
        <v>52</v>
      </c>
      <c r="N3" s="7">
        <v>26.08</v>
      </c>
      <c r="O3" s="5" t="s">
        <v>46</v>
      </c>
      <c r="P3" s="5" t="s">
        <v>176</v>
      </c>
      <c r="Q3" s="5" t="s">
        <v>177</v>
      </c>
    </row>
    <row r="4" spans="1:17" x14ac:dyDescent="0.25">
      <c r="A4" s="5" t="s">
        <v>36</v>
      </c>
      <c r="B4" s="4">
        <v>16912722</v>
      </c>
      <c r="C4" s="6">
        <v>45627</v>
      </c>
      <c r="D4" s="5" t="s">
        <v>38</v>
      </c>
      <c r="E4" s="5" t="s">
        <v>39</v>
      </c>
      <c r="F4" s="5" t="s">
        <v>40</v>
      </c>
      <c r="G4" s="5" t="s">
        <v>41</v>
      </c>
      <c r="H4" s="5" t="str">
        <f>CONCATENATE(G4,2)</f>
        <v>Z0000535432</v>
      </c>
      <c r="I4" s="5" t="s">
        <v>42</v>
      </c>
      <c r="J4" s="5" t="s">
        <v>43</v>
      </c>
      <c r="K4" s="5" t="str">
        <f>CONCATENATE(I4, " ", J4)</f>
        <v>DOUGLAS SCHMIESKORS III</v>
      </c>
      <c r="L4" s="5">
        <v>2</v>
      </c>
      <c r="M4" s="5" t="s">
        <v>44</v>
      </c>
      <c r="N4" s="7">
        <v>26.08</v>
      </c>
      <c r="O4" s="5" t="s">
        <v>46</v>
      </c>
      <c r="P4" s="5" t="s">
        <v>176</v>
      </c>
      <c r="Q4" s="5" t="s">
        <v>177</v>
      </c>
    </row>
    <row r="5" spans="1:17" x14ac:dyDescent="0.25">
      <c r="A5" s="5" t="s">
        <v>36</v>
      </c>
      <c r="B5" s="4">
        <v>16912722</v>
      </c>
      <c r="C5" s="6">
        <v>45597</v>
      </c>
      <c r="D5" s="5" t="s">
        <v>38</v>
      </c>
      <c r="E5" s="5" t="s">
        <v>47</v>
      </c>
      <c r="F5" s="5" t="s">
        <v>48</v>
      </c>
      <c r="G5" s="5" t="s">
        <v>49</v>
      </c>
      <c r="H5" s="5" t="str">
        <f>CONCATENATE(G5,2)</f>
        <v>Z0000515102</v>
      </c>
      <c r="I5" s="5" t="s">
        <v>50</v>
      </c>
      <c r="J5" s="5" t="s">
        <v>51</v>
      </c>
      <c r="K5" s="5" t="str">
        <f>CONCATENATE(I5, " ", J5)</f>
        <v>JAMES PRICE</v>
      </c>
      <c r="L5" s="5">
        <v>2</v>
      </c>
      <c r="M5" s="5" t="s">
        <v>52</v>
      </c>
      <c r="N5" s="7">
        <v>26.08</v>
      </c>
      <c r="O5" s="5" t="s">
        <v>46</v>
      </c>
      <c r="P5" s="5" t="s">
        <v>176</v>
      </c>
      <c r="Q5" s="5" t="s">
        <v>177</v>
      </c>
    </row>
    <row r="6" spans="1:17" x14ac:dyDescent="0.25">
      <c r="A6" s="5" t="s">
        <v>53</v>
      </c>
      <c r="B6" s="4">
        <v>7146581</v>
      </c>
      <c r="C6" s="6">
        <v>45658</v>
      </c>
      <c r="D6" s="5" t="s">
        <v>38</v>
      </c>
      <c r="E6" s="5" t="s">
        <v>55</v>
      </c>
      <c r="F6" s="5" t="s">
        <v>56</v>
      </c>
      <c r="G6" s="5" t="s">
        <v>57</v>
      </c>
      <c r="H6" s="5" t="str">
        <f>CONCATENATE(G6,2)</f>
        <v>Z0000496342</v>
      </c>
      <c r="I6" s="5" t="s">
        <v>58</v>
      </c>
      <c r="J6" s="5" t="s">
        <v>59</v>
      </c>
      <c r="K6" s="5" t="str">
        <f>CONCATENATE(I6, " ", J6)</f>
        <v>RONALD KROWN</v>
      </c>
      <c r="L6" s="5">
        <v>2</v>
      </c>
      <c r="M6" s="5" t="s">
        <v>52</v>
      </c>
      <c r="N6" s="7">
        <v>26.08</v>
      </c>
      <c r="O6" s="5" t="s">
        <v>46</v>
      </c>
      <c r="P6" s="5" t="s">
        <v>176</v>
      </c>
      <c r="Q6" s="5" t="s">
        <v>177</v>
      </c>
    </row>
    <row r="7" spans="1:17" x14ac:dyDescent="0.25">
      <c r="A7" s="5" t="s">
        <v>53</v>
      </c>
      <c r="B7" s="4">
        <v>7146581</v>
      </c>
      <c r="C7" s="6">
        <v>45658</v>
      </c>
      <c r="D7" s="5" t="s">
        <v>38</v>
      </c>
      <c r="E7" s="5" t="s">
        <v>55</v>
      </c>
      <c r="F7" s="5" t="s">
        <v>56</v>
      </c>
      <c r="G7" s="5" t="s">
        <v>57</v>
      </c>
      <c r="H7" s="5" t="str">
        <f>CONCATENATE(G7,2)</f>
        <v>Z0000496342</v>
      </c>
      <c r="I7" s="5" t="s">
        <v>58</v>
      </c>
      <c r="J7" s="5" t="s">
        <v>59</v>
      </c>
      <c r="K7" s="5" t="str">
        <f>CONCATENATE(I7, " ", J7)</f>
        <v>RONALD KROWN</v>
      </c>
      <c r="L7" s="5">
        <v>2</v>
      </c>
      <c r="M7" s="5" t="s">
        <v>52</v>
      </c>
      <c r="N7" s="7">
        <v>26.08</v>
      </c>
      <c r="O7" s="5" t="s">
        <v>46</v>
      </c>
      <c r="P7" s="5" t="s">
        <v>176</v>
      </c>
      <c r="Q7" s="5" t="s">
        <v>177</v>
      </c>
    </row>
    <row r="8" spans="1:17" x14ac:dyDescent="0.25">
      <c r="A8" s="5" t="s">
        <v>164</v>
      </c>
      <c r="B8" s="4">
        <v>7152559</v>
      </c>
      <c r="C8" s="6">
        <v>45658</v>
      </c>
      <c r="D8" s="5" t="s">
        <v>38</v>
      </c>
      <c r="E8" s="5" t="s">
        <v>47</v>
      </c>
      <c r="F8" s="5" t="s">
        <v>166</v>
      </c>
      <c r="G8" s="5" t="s">
        <v>167</v>
      </c>
      <c r="H8" s="5" t="str">
        <f>CONCATENATE(G8,2)</f>
        <v>Z0000607512</v>
      </c>
      <c r="I8" s="5" t="s">
        <v>168</v>
      </c>
      <c r="J8" s="5" t="s">
        <v>169</v>
      </c>
      <c r="K8" s="5" t="str">
        <f>CONCATENATE(I8, " ", J8)</f>
        <v>ANTON MCDANIEL</v>
      </c>
      <c r="L8" s="5">
        <v>1</v>
      </c>
      <c r="M8" s="5" t="s">
        <v>52</v>
      </c>
      <c r="N8" s="7">
        <v>313</v>
      </c>
      <c r="O8" s="5" t="s">
        <v>46</v>
      </c>
      <c r="P8" s="5" t="s">
        <v>176</v>
      </c>
      <c r="Q8" s="5" t="s">
        <v>179</v>
      </c>
    </row>
    <row r="9" spans="1:17" x14ac:dyDescent="0.25">
      <c r="A9" s="5" t="s">
        <v>60</v>
      </c>
      <c r="B9" s="4">
        <v>17301495</v>
      </c>
      <c r="C9" s="6">
        <v>45597</v>
      </c>
      <c r="D9" s="5" t="s">
        <v>38</v>
      </c>
      <c r="E9" s="5" t="s">
        <v>47</v>
      </c>
      <c r="F9" s="5" t="s">
        <v>62</v>
      </c>
      <c r="G9" s="5" t="s">
        <v>63</v>
      </c>
      <c r="H9" s="5" t="str">
        <f>CONCATENATE(G9,2)</f>
        <v>Z0000480142</v>
      </c>
      <c r="I9" s="5" t="s">
        <v>64</v>
      </c>
      <c r="J9" s="5" t="s">
        <v>65</v>
      </c>
      <c r="K9" s="5" t="str">
        <f>CONCATENATE(I9, " ", J9)</f>
        <v>JOSE HERNANDEZ</v>
      </c>
      <c r="L9" s="5">
        <v>2</v>
      </c>
      <c r="M9" s="5" t="s">
        <v>52</v>
      </c>
      <c r="N9" s="7">
        <v>26.08</v>
      </c>
      <c r="O9" s="5" t="s">
        <v>46</v>
      </c>
      <c r="P9" s="5" t="s">
        <v>176</v>
      </c>
      <c r="Q9" s="5" t="s">
        <v>177</v>
      </c>
    </row>
    <row r="10" spans="1:17" x14ac:dyDescent="0.25">
      <c r="A10" s="5" t="s">
        <v>60</v>
      </c>
      <c r="B10" s="4">
        <v>17301495</v>
      </c>
      <c r="C10" s="6">
        <v>45536</v>
      </c>
      <c r="D10" s="5" t="s">
        <v>38</v>
      </c>
      <c r="E10" s="5" t="s">
        <v>47</v>
      </c>
      <c r="F10" s="5" t="s">
        <v>66</v>
      </c>
      <c r="G10" s="5" t="s">
        <v>67</v>
      </c>
      <c r="H10" s="5" t="str">
        <f>CONCATENATE(G10,2)</f>
        <v>Z0000456332</v>
      </c>
      <c r="I10" s="5" t="s">
        <v>68</v>
      </c>
      <c r="J10" s="5" t="s">
        <v>69</v>
      </c>
      <c r="K10" s="5" t="str">
        <f>CONCATENATE(I10, " ", J10)</f>
        <v>LINDA DANIEL</v>
      </c>
      <c r="L10" s="5">
        <v>2</v>
      </c>
      <c r="M10" s="5" t="s">
        <v>52</v>
      </c>
      <c r="N10" s="7">
        <v>26.08</v>
      </c>
      <c r="O10" s="5" t="s">
        <v>46</v>
      </c>
      <c r="P10" s="5" t="s">
        <v>176</v>
      </c>
      <c r="Q10" s="5" t="s">
        <v>177</v>
      </c>
    </row>
    <row r="11" spans="1:17" x14ac:dyDescent="0.25">
      <c r="A11" s="5" t="s">
        <v>60</v>
      </c>
      <c r="B11" s="4">
        <v>17301495</v>
      </c>
      <c r="C11" s="6">
        <v>45505</v>
      </c>
      <c r="D11" s="5" t="s">
        <v>38</v>
      </c>
      <c r="E11" s="5" t="s">
        <v>39</v>
      </c>
      <c r="F11" s="5" t="s">
        <v>70</v>
      </c>
      <c r="G11" s="5" t="s">
        <v>71</v>
      </c>
      <c r="H11" s="5" t="str">
        <f>CONCATENATE(G11,2)</f>
        <v>Z0000436442</v>
      </c>
      <c r="I11" s="5" t="s">
        <v>72</v>
      </c>
      <c r="J11" s="5" t="s">
        <v>73</v>
      </c>
      <c r="K11" s="5" t="str">
        <f>CONCATENATE(I11, " ", J11)</f>
        <v>OLEGARIO HERNANDEZ FLORES</v>
      </c>
      <c r="L11" s="5">
        <v>2</v>
      </c>
      <c r="M11" s="5" t="s">
        <v>52</v>
      </c>
      <c r="N11" s="7">
        <v>26.08</v>
      </c>
      <c r="O11" s="5" t="s">
        <v>46</v>
      </c>
      <c r="P11" s="5" t="s">
        <v>176</v>
      </c>
      <c r="Q11" s="5" t="s">
        <v>177</v>
      </c>
    </row>
    <row r="12" spans="1:17" x14ac:dyDescent="0.25">
      <c r="A12" s="5" t="s">
        <v>60</v>
      </c>
      <c r="B12" s="4">
        <v>17301495</v>
      </c>
      <c r="C12" s="6">
        <v>45566</v>
      </c>
      <c r="D12" s="5" t="s">
        <v>38</v>
      </c>
      <c r="E12" s="5" t="s">
        <v>47</v>
      </c>
      <c r="F12" s="5" t="s">
        <v>74</v>
      </c>
      <c r="G12" s="5" t="s">
        <v>75</v>
      </c>
      <c r="H12" s="5" t="str">
        <f>CONCATENATE(G12,2)</f>
        <v>Z0000461192</v>
      </c>
      <c r="I12" s="5" t="s">
        <v>76</v>
      </c>
      <c r="J12" s="5" t="s">
        <v>77</v>
      </c>
      <c r="K12" s="5" t="str">
        <f>CONCATENATE(I12, " ", J12)</f>
        <v>RENE DIAZ</v>
      </c>
      <c r="L12" s="5">
        <v>2</v>
      </c>
      <c r="M12" s="5" t="s">
        <v>52</v>
      </c>
      <c r="N12" s="7">
        <v>26.08</v>
      </c>
      <c r="O12" s="5" t="s">
        <v>46</v>
      </c>
      <c r="P12" s="5" t="s">
        <v>176</v>
      </c>
      <c r="Q12" s="5" t="s">
        <v>177</v>
      </c>
    </row>
    <row r="13" spans="1:17" x14ac:dyDescent="0.25">
      <c r="A13" s="5" t="s">
        <v>60</v>
      </c>
      <c r="B13" s="4">
        <v>17301495</v>
      </c>
      <c r="C13" s="6">
        <v>45658</v>
      </c>
      <c r="D13" s="5" t="s">
        <v>38</v>
      </c>
      <c r="E13" s="5" t="s">
        <v>47</v>
      </c>
      <c r="F13" s="5" t="s">
        <v>147</v>
      </c>
      <c r="G13" s="5" t="s">
        <v>148</v>
      </c>
      <c r="H13" s="5" t="str">
        <f>CONCATENATE(G13,2)</f>
        <v>Z0000551502</v>
      </c>
      <c r="I13" s="5" t="s">
        <v>149</v>
      </c>
      <c r="J13" s="5" t="s">
        <v>150</v>
      </c>
      <c r="K13" s="5" t="str">
        <f>CONCATENATE(I13, " ", J13)</f>
        <v>CARLOS CHAVEZ</v>
      </c>
      <c r="L13" s="5">
        <v>1</v>
      </c>
      <c r="M13" s="5" t="s">
        <v>52</v>
      </c>
      <c r="N13" s="7">
        <v>-313</v>
      </c>
      <c r="O13" s="5" t="s">
        <v>46</v>
      </c>
      <c r="P13" s="5" t="s">
        <v>176</v>
      </c>
      <c r="Q13" s="5" t="s">
        <v>179</v>
      </c>
    </row>
    <row r="14" spans="1:17" x14ac:dyDescent="0.25">
      <c r="A14" s="5" t="s">
        <v>60</v>
      </c>
      <c r="B14" s="4">
        <v>17301495</v>
      </c>
      <c r="C14" s="6">
        <v>45597</v>
      </c>
      <c r="D14" s="5" t="s">
        <v>38</v>
      </c>
      <c r="E14" s="5" t="s">
        <v>47</v>
      </c>
      <c r="F14" s="5" t="s">
        <v>62</v>
      </c>
      <c r="G14" s="5" t="s">
        <v>63</v>
      </c>
      <c r="H14" s="5" t="str">
        <f>CONCATENATE(G14,2)</f>
        <v>Z0000480142</v>
      </c>
      <c r="I14" s="5" t="s">
        <v>64</v>
      </c>
      <c r="J14" s="5" t="s">
        <v>65</v>
      </c>
      <c r="K14" s="5" t="str">
        <f>CONCATENATE(I14, " ", J14)</f>
        <v>JOSE HERNANDEZ</v>
      </c>
      <c r="L14" s="5">
        <v>2</v>
      </c>
      <c r="M14" s="5" t="s">
        <v>52</v>
      </c>
      <c r="N14" s="7">
        <v>26.08</v>
      </c>
      <c r="O14" s="5" t="s">
        <v>46</v>
      </c>
      <c r="P14" s="5" t="s">
        <v>176</v>
      </c>
      <c r="Q14" s="5" t="s">
        <v>177</v>
      </c>
    </row>
    <row r="15" spans="1:17" x14ac:dyDescent="0.25">
      <c r="A15" s="5" t="s">
        <v>60</v>
      </c>
      <c r="B15" s="4">
        <v>17301495</v>
      </c>
      <c r="C15" s="6">
        <v>45536</v>
      </c>
      <c r="D15" s="5" t="s">
        <v>38</v>
      </c>
      <c r="E15" s="5" t="s">
        <v>47</v>
      </c>
      <c r="F15" s="5" t="s">
        <v>66</v>
      </c>
      <c r="G15" s="5" t="s">
        <v>67</v>
      </c>
      <c r="H15" s="5" t="str">
        <f>CONCATENATE(G15,2)</f>
        <v>Z0000456332</v>
      </c>
      <c r="I15" s="5" t="s">
        <v>68</v>
      </c>
      <c r="J15" s="5" t="s">
        <v>69</v>
      </c>
      <c r="K15" s="5" t="str">
        <f>CONCATENATE(I15, " ", J15)</f>
        <v>LINDA DANIEL</v>
      </c>
      <c r="L15" s="5">
        <v>2</v>
      </c>
      <c r="M15" s="5" t="s">
        <v>52</v>
      </c>
      <c r="N15" s="7">
        <v>26.08</v>
      </c>
      <c r="O15" s="5" t="s">
        <v>46</v>
      </c>
      <c r="P15" s="5" t="s">
        <v>176</v>
      </c>
      <c r="Q15" s="5" t="s">
        <v>177</v>
      </c>
    </row>
    <row r="16" spans="1:17" x14ac:dyDescent="0.25">
      <c r="A16" s="5" t="s">
        <v>60</v>
      </c>
      <c r="B16" s="4">
        <v>17301495</v>
      </c>
      <c r="C16" s="6">
        <v>45505</v>
      </c>
      <c r="D16" s="5" t="s">
        <v>38</v>
      </c>
      <c r="E16" s="5" t="s">
        <v>39</v>
      </c>
      <c r="F16" s="5" t="s">
        <v>70</v>
      </c>
      <c r="G16" s="5" t="s">
        <v>71</v>
      </c>
      <c r="H16" s="5" t="str">
        <f>CONCATENATE(G16,2)</f>
        <v>Z0000436442</v>
      </c>
      <c r="I16" s="5" t="s">
        <v>72</v>
      </c>
      <c r="J16" s="5" t="s">
        <v>73</v>
      </c>
      <c r="K16" s="5" t="str">
        <f>CONCATENATE(I16, " ", J16)</f>
        <v>OLEGARIO HERNANDEZ FLORES</v>
      </c>
      <c r="L16" s="5">
        <v>2</v>
      </c>
      <c r="M16" s="5" t="s">
        <v>52</v>
      </c>
      <c r="N16" s="7">
        <v>26.08</v>
      </c>
      <c r="O16" s="5" t="s">
        <v>46</v>
      </c>
      <c r="P16" s="5" t="s">
        <v>176</v>
      </c>
      <c r="Q16" s="5" t="s">
        <v>177</v>
      </c>
    </row>
    <row r="17" spans="1:17" x14ac:dyDescent="0.25">
      <c r="A17" s="5" t="s">
        <v>60</v>
      </c>
      <c r="B17" s="4">
        <v>17301495</v>
      </c>
      <c r="C17" s="6">
        <v>45566</v>
      </c>
      <c r="D17" s="5" t="s">
        <v>38</v>
      </c>
      <c r="E17" s="5" t="s">
        <v>47</v>
      </c>
      <c r="F17" s="5" t="s">
        <v>74</v>
      </c>
      <c r="G17" s="5" t="s">
        <v>75</v>
      </c>
      <c r="H17" s="5" t="str">
        <f>CONCATENATE(G17,2)</f>
        <v>Z0000461192</v>
      </c>
      <c r="I17" s="5" t="s">
        <v>76</v>
      </c>
      <c r="J17" s="5" t="s">
        <v>77</v>
      </c>
      <c r="K17" s="5" t="str">
        <f>CONCATENATE(I17, " ", J17)</f>
        <v>RENE DIAZ</v>
      </c>
      <c r="L17" s="5">
        <v>2</v>
      </c>
      <c r="M17" s="5" t="s">
        <v>52</v>
      </c>
      <c r="N17" s="7">
        <v>26.08</v>
      </c>
      <c r="O17" s="5" t="s">
        <v>46</v>
      </c>
      <c r="P17" s="5" t="s">
        <v>176</v>
      </c>
      <c r="Q17" s="5" t="s">
        <v>177</v>
      </c>
    </row>
    <row r="18" spans="1:17" x14ac:dyDescent="0.25">
      <c r="A18" s="5" t="s">
        <v>60</v>
      </c>
      <c r="B18" s="4">
        <v>17301495</v>
      </c>
      <c r="C18" s="6">
        <v>45658</v>
      </c>
      <c r="D18" s="5" t="s">
        <v>38</v>
      </c>
      <c r="E18" s="5" t="s">
        <v>47</v>
      </c>
      <c r="F18" s="5" t="s">
        <v>171</v>
      </c>
      <c r="G18" s="5" t="s">
        <v>172</v>
      </c>
      <c r="H18" s="5" t="str">
        <f>CONCATENATE(G18,2)</f>
        <v>Z0000601592</v>
      </c>
      <c r="I18" s="5" t="s">
        <v>173</v>
      </c>
      <c r="J18" s="5" t="s">
        <v>174</v>
      </c>
      <c r="K18" s="5" t="str">
        <f>CONCATENATE(I18, " ", J18)</f>
        <v>DELORIS GILL</v>
      </c>
      <c r="L18" s="5">
        <v>1</v>
      </c>
      <c r="M18" s="5" t="s">
        <v>52</v>
      </c>
      <c r="N18" s="7">
        <v>313</v>
      </c>
      <c r="O18" s="5" t="s">
        <v>46</v>
      </c>
      <c r="P18" s="5" t="s">
        <v>176</v>
      </c>
      <c r="Q18" s="5" t="s">
        <v>179</v>
      </c>
    </row>
    <row r="19" spans="1:17" x14ac:dyDescent="0.25">
      <c r="A19" s="5" t="s">
        <v>78</v>
      </c>
      <c r="B19" s="4">
        <v>8814784</v>
      </c>
      <c r="C19" s="6">
        <v>45505</v>
      </c>
      <c r="D19" s="5" t="s">
        <v>38</v>
      </c>
      <c r="E19" s="5" t="s">
        <v>39</v>
      </c>
      <c r="F19" s="5" t="s">
        <v>80</v>
      </c>
      <c r="G19" s="5" t="s">
        <v>81</v>
      </c>
      <c r="H19" s="5" t="str">
        <f>CONCATENATE(G19,2)</f>
        <v>Z0000435132</v>
      </c>
      <c r="I19" s="5" t="s">
        <v>82</v>
      </c>
      <c r="J19" s="5" t="s">
        <v>83</v>
      </c>
      <c r="K19" s="5" t="str">
        <f>CONCATENATE(I19, " ", J19)</f>
        <v>WALTER ATTERBERRY</v>
      </c>
      <c r="L19" s="5">
        <v>2</v>
      </c>
      <c r="M19" s="5" t="s">
        <v>52</v>
      </c>
      <c r="N19" s="7">
        <v>26.08</v>
      </c>
      <c r="O19" s="5" t="s">
        <v>46</v>
      </c>
      <c r="P19" s="5" t="s">
        <v>176</v>
      </c>
      <c r="Q19" s="5" t="s">
        <v>177</v>
      </c>
    </row>
    <row r="20" spans="1:17" x14ac:dyDescent="0.25">
      <c r="A20" s="5" t="s">
        <v>78</v>
      </c>
      <c r="B20" s="4">
        <v>8814784</v>
      </c>
      <c r="C20" s="6">
        <v>45505</v>
      </c>
      <c r="D20" s="5" t="s">
        <v>38</v>
      </c>
      <c r="E20" s="5" t="s">
        <v>39</v>
      </c>
      <c r="F20" s="5" t="s">
        <v>80</v>
      </c>
      <c r="G20" s="5" t="s">
        <v>81</v>
      </c>
      <c r="H20" s="5" t="str">
        <f>CONCATENATE(G20,2)</f>
        <v>Z0000435132</v>
      </c>
      <c r="I20" s="5" t="s">
        <v>82</v>
      </c>
      <c r="J20" s="5" t="s">
        <v>83</v>
      </c>
      <c r="K20" s="5" t="str">
        <f>CONCATENATE(I20, " ", J20)</f>
        <v>WALTER ATTERBERRY</v>
      </c>
      <c r="L20" s="5">
        <v>2</v>
      </c>
      <c r="M20" s="5" t="s">
        <v>52</v>
      </c>
      <c r="N20" s="7">
        <v>26.08</v>
      </c>
      <c r="O20" s="5" t="s">
        <v>46</v>
      </c>
      <c r="P20" s="5" t="s">
        <v>176</v>
      </c>
      <c r="Q20" s="5" t="s">
        <v>177</v>
      </c>
    </row>
    <row r="21" spans="1:17" x14ac:dyDescent="0.25">
      <c r="A21" s="5" t="s">
        <v>84</v>
      </c>
      <c r="B21" s="4">
        <v>9213293</v>
      </c>
      <c r="C21" s="6">
        <v>45474</v>
      </c>
      <c r="D21" s="5" t="s">
        <v>38</v>
      </c>
      <c r="E21" s="5" t="s">
        <v>86</v>
      </c>
      <c r="F21" s="5" t="s">
        <v>87</v>
      </c>
      <c r="G21" s="5" t="s">
        <v>88</v>
      </c>
      <c r="H21" s="5" t="str">
        <f>CONCATENATE(G21,2)</f>
        <v>Z0000417102</v>
      </c>
      <c r="I21" s="5" t="s">
        <v>89</v>
      </c>
      <c r="J21" s="5" t="s">
        <v>90</v>
      </c>
      <c r="K21" s="5" t="str">
        <f>CONCATENATE(I21, " ", J21)</f>
        <v>ANGEL TORRES</v>
      </c>
      <c r="L21" s="5">
        <v>2</v>
      </c>
      <c r="M21" s="5" t="s">
        <v>52</v>
      </c>
      <c r="N21" s="7">
        <v>26.08</v>
      </c>
      <c r="O21" s="5" t="s">
        <v>46</v>
      </c>
      <c r="P21" s="5" t="s">
        <v>176</v>
      </c>
      <c r="Q21" s="5" t="s">
        <v>177</v>
      </c>
    </row>
    <row r="22" spans="1:17" x14ac:dyDescent="0.25">
      <c r="A22" s="5" t="s">
        <v>84</v>
      </c>
      <c r="B22" s="4">
        <v>9213293</v>
      </c>
      <c r="C22" s="6">
        <v>45689</v>
      </c>
      <c r="D22" s="5" t="s">
        <v>38</v>
      </c>
      <c r="E22" s="5" t="s">
        <v>47</v>
      </c>
      <c r="F22" s="5" t="s">
        <v>91</v>
      </c>
      <c r="G22" s="5" t="s">
        <v>92</v>
      </c>
      <c r="H22" s="5" t="str">
        <f>CONCATENATE(G22,2)</f>
        <v>Z0000668152</v>
      </c>
      <c r="I22" s="5" t="s">
        <v>93</v>
      </c>
      <c r="J22" s="5" t="s">
        <v>94</v>
      </c>
      <c r="K22" s="5" t="str">
        <f>CONCATENATE(I22, " ", J22)</f>
        <v>CRYSTAL SEBALLOS</v>
      </c>
      <c r="L22" s="5">
        <v>1</v>
      </c>
      <c r="M22" s="5" t="s">
        <v>52</v>
      </c>
      <c r="N22" s="7">
        <v>286.92</v>
      </c>
      <c r="O22" s="5" t="s">
        <v>46</v>
      </c>
      <c r="P22" s="5" t="s">
        <v>176</v>
      </c>
      <c r="Q22" s="5" t="s">
        <v>178</v>
      </c>
    </row>
    <row r="23" spans="1:17" x14ac:dyDescent="0.25">
      <c r="A23" s="5" t="s">
        <v>84</v>
      </c>
      <c r="B23" s="4">
        <v>9213293</v>
      </c>
      <c r="C23" s="6">
        <v>45689</v>
      </c>
      <c r="D23" s="5" t="s">
        <v>38</v>
      </c>
      <c r="E23" s="5" t="s">
        <v>47</v>
      </c>
      <c r="F23" s="5" t="s">
        <v>96</v>
      </c>
      <c r="G23" s="5" t="s">
        <v>97</v>
      </c>
      <c r="H23" s="5" t="str">
        <f>CONCATENATE(G23,2)</f>
        <v>Z0000668082</v>
      </c>
      <c r="I23" s="5" t="s">
        <v>98</v>
      </c>
      <c r="J23" s="5" t="s">
        <v>99</v>
      </c>
      <c r="K23" s="5" t="str">
        <f>CONCATENATE(I23, " ", J23)</f>
        <v>RALPH MINX</v>
      </c>
      <c r="L23" s="5">
        <v>1</v>
      </c>
      <c r="M23" s="5" t="s">
        <v>52</v>
      </c>
      <c r="N23" s="7">
        <v>286.92</v>
      </c>
      <c r="O23" s="5" t="s">
        <v>46</v>
      </c>
      <c r="P23" s="5" t="s">
        <v>176</v>
      </c>
      <c r="Q23" s="5" t="s">
        <v>178</v>
      </c>
    </row>
    <row r="24" spans="1:17" x14ac:dyDescent="0.25">
      <c r="A24" s="5" t="s">
        <v>84</v>
      </c>
      <c r="B24" s="4">
        <v>9213293</v>
      </c>
      <c r="C24" s="6">
        <v>45689</v>
      </c>
      <c r="D24" s="5" t="s">
        <v>38</v>
      </c>
      <c r="E24" s="5" t="s">
        <v>47</v>
      </c>
      <c r="F24" s="5" t="s">
        <v>100</v>
      </c>
      <c r="G24" s="5" t="s">
        <v>101</v>
      </c>
      <c r="H24" s="5" t="str">
        <f>CONCATENATE(G24,2)</f>
        <v>Z0000652092</v>
      </c>
      <c r="I24" s="5" t="s">
        <v>102</v>
      </c>
      <c r="J24" s="5" t="s">
        <v>103</v>
      </c>
      <c r="K24" s="5" t="str">
        <f>CONCATENATE(I24, " ", J24)</f>
        <v>SCOT STOLTZ</v>
      </c>
      <c r="L24" s="5">
        <v>1</v>
      </c>
      <c r="M24" s="5" t="s">
        <v>52</v>
      </c>
      <c r="N24" s="7">
        <v>286.92</v>
      </c>
      <c r="O24" s="5" t="s">
        <v>46</v>
      </c>
      <c r="P24" s="5" t="s">
        <v>176</v>
      </c>
      <c r="Q24" s="5" t="s">
        <v>178</v>
      </c>
    </row>
    <row r="25" spans="1:17" x14ac:dyDescent="0.25">
      <c r="A25" s="5" t="s">
        <v>84</v>
      </c>
      <c r="B25" s="4">
        <v>9213293</v>
      </c>
      <c r="C25" s="6">
        <v>45689</v>
      </c>
      <c r="D25" s="5" t="s">
        <v>38</v>
      </c>
      <c r="E25" s="5" t="s">
        <v>47</v>
      </c>
      <c r="F25" s="5" t="s">
        <v>104</v>
      </c>
      <c r="G25" s="5" t="s">
        <v>105</v>
      </c>
      <c r="H25" s="5" t="str">
        <f>CONCATENATE(G25,2)</f>
        <v>Z0000666012</v>
      </c>
      <c r="I25" s="5" t="s">
        <v>106</v>
      </c>
      <c r="J25" s="5" t="s">
        <v>107</v>
      </c>
      <c r="K25" s="5" t="str">
        <f>CONCATENATE(I25, " ", J25)</f>
        <v>SIXTO BRAVO HUESCA</v>
      </c>
      <c r="L25" s="5">
        <v>1</v>
      </c>
      <c r="M25" s="5" t="s">
        <v>52</v>
      </c>
      <c r="N25" s="7">
        <v>286.92</v>
      </c>
      <c r="O25" s="5" t="s">
        <v>46</v>
      </c>
      <c r="P25" s="5" t="s">
        <v>176</v>
      </c>
      <c r="Q25" s="5" t="s">
        <v>178</v>
      </c>
    </row>
    <row r="26" spans="1:17" x14ac:dyDescent="0.25">
      <c r="A26" s="5" t="s">
        <v>84</v>
      </c>
      <c r="B26" s="4">
        <v>9213293</v>
      </c>
      <c r="C26" s="6">
        <v>45474</v>
      </c>
      <c r="D26" s="5" t="s">
        <v>38</v>
      </c>
      <c r="E26" s="5" t="s">
        <v>86</v>
      </c>
      <c r="F26" s="5" t="s">
        <v>87</v>
      </c>
      <c r="G26" s="5" t="s">
        <v>88</v>
      </c>
      <c r="H26" s="5" t="str">
        <f>CONCATENATE(G26,2)</f>
        <v>Z0000417102</v>
      </c>
      <c r="I26" s="5" t="s">
        <v>89</v>
      </c>
      <c r="J26" s="5" t="s">
        <v>90</v>
      </c>
      <c r="K26" s="5" t="str">
        <f>CONCATENATE(I26, " ", J26)</f>
        <v>ANGEL TORRES</v>
      </c>
      <c r="L26" s="5">
        <v>2</v>
      </c>
      <c r="M26" s="5" t="s">
        <v>52</v>
      </c>
      <c r="N26" s="7">
        <v>26.08</v>
      </c>
      <c r="O26" s="5" t="s">
        <v>46</v>
      </c>
      <c r="P26" s="5" t="s">
        <v>176</v>
      </c>
      <c r="Q26" s="5" t="s">
        <v>177</v>
      </c>
    </row>
    <row r="27" spans="1:17" x14ac:dyDescent="0.25">
      <c r="A27" s="5" t="s">
        <v>108</v>
      </c>
      <c r="B27" s="4">
        <v>17094718</v>
      </c>
      <c r="C27" s="6">
        <v>45689</v>
      </c>
      <c r="D27" s="5" t="s">
        <v>38</v>
      </c>
      <c r="E27" s="5" t="s">
        <v>47</v>
      </c>
      <c r="F27" s="5" t="s">
        <v>110</v>
      </c>
      <c r="G27" s="5" t="s">
        <v>111</v>
      </c>
      <c r="H27" s="5" t="str">
        <f>CONCATENATE(G27,2)</f>
        <v>Z0000223722</v>
      </c>
      <c r="I27" s="5" t="s">
        <v>112</v>
      </c>
      <c r="J27" s="5" t="s">
        <v>113</v>
      </c>
      <c r="K27" s="5" t="str">
        <f>CONCATENATE(I27, " ", J27)</f>
        <v>YOLENE HOOPER</v>
      </c>
      <c r="L27" s="5">
        <v>1</v>
      </c>
      <c r="M27" s="5" t="s">
        <v>52</v>
      </c>
      <c r="N27" s="7">
        <v>286.92</v>
      </c>
      <c r="O27" s="5" t="s">
        <v>46</v>
      </c>
      <c r="P27" s="5" t="s">
        <v>176</v>
      </c>
      <c r="Q27" s="5" t="s">
        <v>178</v>
      </c>
    </row>
    <row r="28" spans="1:17" x14ac:dyDescent="0.25">
      <c r="A28" s="5" t="s">
        <v>108</v>
      </c>
      <c r="B28" s="4">
        <v>17094718</v>
      </c>
      <c r="C28" s="6">
        <v>45597</v>
      </c>
      <c r="D28" s="5" t="s">
        <v>38</v>
      </c>
      <c r="E28" s="5" t="s">
        <v>47</v>
      </c>
      <c r="F28" s="5" t="s">
        <v>152</v>
      </c>
      <c r="G28" s="5" t="s">
        <v>153</v>
      </c>
      <c r="H28" s="5" t="str">
        <f>CONCATENATE(G28,2)</f>
        <v>Z0000486722</v>
      </c>
      <c r="I28" s="5" t="s">
        <v>154</v>
      </c>
      <c r="J28" s="5" t="s">
        <v>155</v>
      </c>
      <c r="K28" s="5" t="str">
        <f>CONCATENATE(I28, " ", J28)</f>
        <v>VERA HARRIS</v>
      </c>
      <c r="L28" s="5">
        <v>2</v>
      </c>
      <c r="M28" s="5" t="s">
        <v>52</v>
      </c>
      <c r="N28" s="7">
        <v>26.08</v>
      </c>
      <c r="O28" s="5" t="s">
        <v>46</v>
      </c>
      <c r="P28" s="5" t="s">
        <v>176</v>
      </c>
      <c r="Q28" s="5" t="s">
        <v>177</v>
      </c>
    </row>
    <row r="29" spans="1:17" x14ac:dyDescent="0.25">
      <c r="A29" s="5" t="s">
        <v>114</v>
      </c>
      <c r="B29" s="4">
        <v>8307933</v>
      </c>
      <c r="C29" s="6">
        <v>45597</v>
      </c>
      <c r="D29" s="5" t="s">
        <v>38</v>
      </c>
      <c r="E29" s="5" t="s">
        <v>39</v>
      </c>
      <c r="F29" s="5" t="s">
        <v>116</v>
      </c>
      <c r="G29" s="5" t="s">
        <v>117</v>
      </c>
      <c r="H29" s="5" t="str">
        <f>CONCATENATE(G29,2)</f>
        <v>Z0000504592</v>
      </c>
      <c r="I29" s="5" t="s">
        <v>118</v>
      </c>
      <c r="J29" s="5" t="s">
        <v>119</v>
      </c>
      <c r="K29" s="5" t="str">
        <f>CONCATENATE(I29, " ", J29)</f>
        <v>ERLENE CARTER</v>
      </c>
      <c r="L29" s="5">
        <v>2</v>
      </c>
      <c r="M29" s="5" t="s">
        <v>52</v>
      </c>
      <c r="N29" s="7">
        <v>26.08</v>
      </c>
      <c r="O29" s="5" t="s">
        <v>46</v>
      </c>
      <c r="P29" s="5" t="s">
        <v>176</v>
      </c>
      <c r="Q29" s="5" t="s">
        <v>177</v>
      </c>
    </row>
    <row r="30" spans="1:17" x14ac:dyDescent="0.25">
      <c r="A30" s="5" t="s">
        <v>114</v>
      </c>
      <c r="B30" s="4">
        <v>8307933</v>
      </c>
      <c r="C30" s="6">
        <v>45597</v>
      </c>
      <c r="D30" s="5" t="s">
        <v>38</v>
      </c>
      <c r="E30" s="5" t="s">
        <v>39</v>
      </c>
      <c r="F30" s="5" t="s">
        <v>116</v>
      </c>
      <c r="G30" s="5" t="s">
        <v>117</v>
      </c>
      <c r="H30" s="5" t="str">
        <f>CONCATENATE(G30,2)</f>
        <v>Z0000504592</v>
      </c>
      <c r="I30" s="5" t="s">
        <v>118</v>
      </c>
      <c r="J30" s="5" t="s">
        <v>119</v>
      </c>
      <c r="K30" s="5" t="str">
        <f>CONCATENATE(I30, " ", J30)</f>
        <v>ERLENE CARTER</v>
      </c>
      <c r="L30" s="5">
        <v>2</v>
      </c>
      <c r="M30" s="5" t="s">
        <v>52</v>
      </c>
      <c r="N30" s="7">
        <v>26.08</v>
      </c>
      <c r="O30" s="5" t="s">
        <v>46</v>
      </c>
      <c r="P30" s="5" t="s">
        <v>176</v>
      </c>
      <c r="Q30" s="5" t="s">
        <v>177</v>
      </c>
    </row>
    <row r="31" spans="1:17" x14ac:dyDescent="0.25">
      <c r="A31" s="5" t="s">
        <v>120</v>
      </c>
      <c r="B31" s="4">
        <v>20212926</v>
      </c>
      <c r="C31" s="6">
        <v>45597</v>
      </c>
      <c r="D31" s="5" t="s">
        <v>38</v>
      </c>
      <c r="E31" s="5" t="s">
        <v>86</v>
      </c>
      <c r="F31" s="5" t="s">
        <v>122</v>
      </c>
      <c r="G31" s="5" t="s">
        <v>123</v>
      </c>
      <c r="H31" s="5" t="str">
        <f>CONCATENATE(G31,2)</f>
        <v>Z0000499722</v>
      </c>
      <c r="I31" s="5" t="s">
        <v>124</v>
      </c>
      <c r="J31" s="5" t="s">
        <v>125</v>
      </c>
      <c r="K31" s="5" t="str">
        <f>CONCATENATE(I31, " ", J31)</f>
        <v>FRANCISCO PEREZ GARCIA</v>
      </c>
      <c r="L31" s="5">
        <v>2</v>
      </c>
      <c r="M31" s="5" t="s">
        <v>52</v>
      </c>
      <c r="N31" s="7">
        <v>26.08</v>
      </c>
      <c r="O31" s="5" t="s">
        <v>46</v>
      </c>
      <c r="P31" s="5" t="s">
        <v>176</v>
      </c>
      <c r="Q31" s="5" t="s">
        <v>177</v>
      </c>
    </row>
    <row r="32" spans="1:17" x14ac:dyDescent="0.25">
      <c r="A32" s="5" t="s">
        <v>120</v>
      </c>
      <c r="B32" s="4">
        <v>20212926</v>
      </c>
      <c r="C32" s="6">
        <v>45658</v>
      </c>
      <c r="D32" s="5" t="s">
        <v>38</v>
      </c>
      <c r="E32" s="5" t="s">
        <v>126</v>
      </c>
      <c r="F32" s="5" t="s">
        <v>127</v>
      </c>
      <c r="G32" s="5" t="s">
        <v>128</v>
      </c>
      <c r="H32" s="5" t="str">
        <f>CONCATENATE(G32,2)</f>
        <v>Z0000489992</v>
      </c>
      <c r="I32" s="5" t="s">
        <v>129</v>
      </c>
      <c r="J32" s="5" t="s">
        <v>130</v>
      </c>
      <c r="K32" s="5" t="str">
        <f>CONCATENATE(I32, " ", J32)</f>
        <v>ISIDORO ORTIZ</v>
      </c>
      <c r="L32" s="5">
        <v>1</v>
      </c>
      <c r="M32" s="5" t="s">
        <v>44</v>
      </c>
      <c r="N32" s="7">
        <v>0</v>
      </c>
      <c r="O32" s="5" t="s">
        <v>46</v>
      </c>
      <c r="P32" s="5" t="s">
        <v>176</v>
      </c>
    </row>
    <row r="33" spans="1:17" x14ac:dyDescent="0.25">
      <c r="A33" s="5" t="s">
        <v>120</v>
      </c>
      <c r="B33" s="4">
        <v>20212926</v>
      </c>
      <c r="C33" s="6">
        <v>45597</v>
      </c>
      <c r="D33" s="5" t="s">
        <v>38</v>
      </c>
      <c r="E33" s="5" t="s">
        <v>86</v>
      </c>
      <c r="F33" s="5" t="s">
        <v>122</v>
      </c>
      <c r="G33" s="5" t="s">
        <v>123</v>
      </c>
      <c r="H33" s="5" t="str">
        <f>CONCATENATE(G33,2)</f>
        <v>Z0000499722</v>
      </c>
      <c r="I33" s="5" t="s">
        <v>124</v>
      </c>
      <c r="J33" s="5" t="s">
        <v>125</v>
      </c>
      <c r="K33" s="5" t="str">
        <f>CONCATENATE(I33, " ", J33)</f>
        <v>FRANCISCO PEREZ GARCIA</v>
      </c>
      <c r="L33" s="5">
        <v>2</v>
      </c>
      <c r="M33" s="5" t="s">
        <v>52</v>
      </c>
      <c r="N33" s="7">
        <v>26.08</v>
      </c>
      <c r="O33" s="5" t="s">
        <v>46</v>
      </c>
      <c r="P33" s="5" t="s">
        <v>176</v>
      </c>
      <c r="Q33" s="5" t="s">
        <v>177</v>
      </c>
    </row>
    <row r="34" spans="1:17" x14ac:dyDescent="0.25">
      <c r="A34" s="5" t="s">
        <v>120</v>
      </c>
      <c r="B34" s="4">
        <v>20212926</v>
      </c>
      <c r="C34" s="6">
        <v>45658</v>
      </c>
      <c r="D34" s="5" t="s">
        <v>38</v>
      </c>
      <c r="E34" s="5" t="s">
        <v>86</v>
      </c>
      <c r="F34" s="5" t="s">
        <v>156</v>
      </c>
      <c r="G34" s="5" t="s">
        <v>157</v>
      </c>
      <c r="H34" s="5" t="str">
        <f>CONCATENATE(G34,2)</f>
        <v>Z0000591642</v>
      </c>
      <c r="I34" s="5" t="s">
        <v>158</v>
      </c>
      <c r="J34" s="5" t="s">
        <v>159</v>
      </c>
      <c r="K34" s="5" t="str">
        <f>CONCATENATE(I34, " ", J34)</f>
        <v>NORMAN MALDONADO</v>
      </c>
      <c r="L34" s="5">
        <v>1</v>
      </c>
      <c r="M34" s="5" t="s">
        <v>52</v>
      </c>
      <c r="N34" s="7">
        <v>-313</v>
      </c>
      <c r="O34" s="5" t="s">
        <v>46</v>
      </c>
      <c r="P34" s="5" t="s">
        <v>176</v>
      </c>
      <c r="Q34" s="5" t="s">
        <v>179</v>
      </c>
    </row>
    <row r="35" spans="1:17" x14ac:dyDescent="0.25">
      <c r="A35" s="5" t="s">
        <v>180</v>
      </c>
      <c r="B35" s="5">
        <v>20411454</v>
      </c>
      <c r="C35" s="6">
        <v>45474</v>
      </c>
      <c r="D35" s="5" t="s">
        <v>38</v>
      </c>
      <c r="E35" s="5" t="s">
        <v>86</v>
      </c>
      <c r="F35" s="5" t="s">
        <v>87</v>
      </c>
      <c r="G35" s="5" t="s">
        <v>88</v>
      </c>
      <c r="H35" s="5" t="str">
        <f>CONCATENATE(G35,22)</f>
        <v>Z00004171022</v>
      </c>
      <c r="I35" s="5" t="s">
        <v>89</v>
      </c>
      <c r="J35" s="5" t="s">
        <v>90</v>
      </c>
      <c r="K35" s="5" t="str">
        <f>CONCATENATE(I35, " ", J35)</f>
        <v>ANGEL TORRES</v>
      </c>
      <c r="L35" s="5">
        <v>2</v>
      </c>
      <c r="M35" s="5" t="s">
        <v>52</v>
      </c>
      <c r="N35" s="7">
        <v>8.32</v>
      </c>
      <c r="O35" s="5" t="s">
        <v>132</v>
      </c>
      <c r="P35" s="5" t="s">
        <v>175</v>
      </c>
    </row>
    <row r="36" spans="1:17" x14ac:dyDescent="0.25">
      <c r="A36" s="5" t="s">
        <v>180</v>
      </c>
      <c r="B36" s="5">
        <v>20411454</v>
      </c>
      <c r="C36" s="6">
        <v>45689</v>
      </c>
      <c r="D36" s="5" t="s">
        <v>38</v>
      </c>
      <c r="E36" s="5" t="s">
        <v>47</v>
      </c>
      <c r="F36" s="5" t="s">
        <v>91</v>
      </c>
      <c r="G36" s="5" t="s">
        <v>92</v>
      </c>
      <c r="H36" s="5" t="str">
        <f>CONCATENATE(G36,22)</f>
        <v>Z00006681522</v>
      </c>
      <c r="I36" s="5" t="s">
        <v>93</v>
      </c>
      <c r="J36" s="5" t="s">
        <v>94</v>
      </c>
      <c r="K36" s="5" t="str">
        <f>CONCATENATE(I36, " ", J36)</f>
        <v>CRYSTAL SEBALLOS</v>
      </c>
      <c r="L36" s="5">
        <v>1</v>
      </c>
      <c r="M36" s="5" t="s">
        <v>52</v>
      </c>
      <c r="N36" s="7">
        <v>200</v>
      </c>
      <c r="O36" s="5" t="s">
        <v>132</v>
      </c>
      <c r="P36" s="5" t="s">
        <v>175</v>
      </c>
    </row>
    <row r="37" spans="1:17" x14ac:dyDescent="0.25">
      <c r="A37" s="5" t="s">
        <v>180</v>
      </c>
      <c r="B37" s="5">
        <v>20411454</v>
      </c>
      <c r="C37" s="6">
        <v>45566</v>
      </c>
      <c r="D37" s="5" t="s">
        <v>38</v>
      </c>
      <c r="E37" s="5" t="s">
        <v>39</v>
      </c>
      <c r="F37" s="5" t="s">
        <v>136</v>
      </c>
      <c r="G37" s="5" t="s">
        <v>137</v>
      </c>
      <c r="H37" s="5" t="str">
        <f>CONCATENATE(G37,22)</f>
        <v>Z00004814822</v>
      </c>
      <c r="I37" s="5" t="s">
        <v>138</v>
      </c>
      <c r="J37" s="5" t="s">
        <v>139</v>
      </c>
      <c r="K37" s="5" t="str">
        <f>CONCATENATE(I37, " ", J37)</f>
        <v>DAXABEN PATEL</v>
      </c>
      <c r="L37" s="5">
        <v>2</v>
      </c>
      <c r="M37" s="5" t="s">
        <v>52</v>
      </c>
      <c r="N37" s="7">
        <v>8.32</v>
      </c>
      <c r="O37" s="5" t="s">
        <v>132</v>
      </c>
      <c r="P37" s="5" t="s">
        <v>175</v>
      </c>
    </row>
    <row r="38" spans="1:17" x14ac:dyDescent="0.25">
      <c r="A38" s="5" t="s">
        <v>180</v>
      </c>
      <c r="B38" s="5">
        <v>20411454</v>
      </c>
      <c r="C38" s="6">
        <v>45627</v>
      </c>
      <c r="D38" s="5" t="s">
        <v>38</v>
      </c>
      <c r="E38" s="5" t="s">
        <v>39</v>
      </c>
      <c r="F38" s="5" t="s">
        <v>40</v>
      </c>
      <c r="G38" s="5" t="s">
        <v>41</v>
      </c>
      <c r="H38" s="5" t="str">
        <f>CONCATENATE(G38,22)</f>
        <v>Z00005354322</v>
      </c>
      <c r="I38" s="5" t="s">
        <v>42</v>
      </c>
      <c r="J38" s="5" t="s">
        <v>43</v>
      </c>
      <c r="K38" s="5" t="str">
        <f>CONCATENATE(I38, " ", J38)</f>
        <v>DOUGLAS SCHMIESKORS III</v>
      </c>
      <c r="L38" s="5">
        <v>2</v>
      </c>
      <c r="M38" s="5" t="s">
        <v>44</v>
      </c>
      <c r="N38" s="7">
        <v>8.32</v>
      </c>
      <c r="O38" s="5" t="s">
        <v>132</v>
      </c>
      <c r="P38" s="5" t="s">
        <v>175</v>
      </c>
    </row>
    <row r="39" spans="1:17" x14ac:dyDescent="0.25">
      <c r="A39" s="5" t="s">
        <v>180</v>
      </c>
      <c r="B39" s="5">
        <v>20411454</v>
      </c>
      <c r="C39" s="6">
        <v>45597</v>
      </c>
      <c r="D39" s="5" t="s">
        <v>38</v>
      </c>
      <c r="E39" s="5" t="s">
        <v>39</v>
      </c>
      <c r="F39" s="5" t="s">
        <v>116</v>
      </c>
      <c r="G39" s="5" t="s">
        <v>117</v>
      </c>
      <c r="H39" s="5" t="str">
        <f>CONCATENATE(G39,22)</f>
        <v>Z00005045922</v>
      </c>
      <c r="I39" s="5" t="s">
        <v>118</v>
      </c>
      <c r="J39" s="5" t="s">
        <v>119</v>
      </c>
      <c r="K39" s="5" t="str">
        <f>CONCATENATE(I39, " ", J39)</f>
        <v>ERLENE CARTER</v>
      </c>
      <c r="L39" s="5">
        <v>2</v>
      </c>
      <c r="M39" s="5" t="s">
        <v>52</v>
      </c>
      <c r="N39" s="7">
        <v>8.32</v>
      </c>
      <c r="O39" s="5" t="s">
        <v>132</v>
      </c>
      <c r="P39" s="5" t="s">
        <v>175</v>
      </c>
    </row>
    <row r="40" spans="1:17" x14ac:dyDescent="0.25">
      <c r="A40" s="5" t="s">
        <v>180</v>
      </c>
      <c r="B40" s="5">
        <v>20411454</v>
      </c>
      <c r="C40" s="6">
        <v>45597</v>
      </c>
      <c r="D40" s="5" t="s">
        <v>38</v>
      </c>
      <c r="E40" s="5" t="s">
        <v>86</v>
      </c>
      <c r="F40" s="5" t="s">
        <v>122</v>
      </c>
      <c r="G40" s="5" t="s">
        <v>123</v>
      </c>
      <c r="H40" s="5" t="str">
        <f>CONCATENATE(G40,22)</f>
        <v>Z00004997222</v>
      </c>
      <c r="I40" s="5" t="s">
        <v>124</v>
      </c>
      <c r="J40" s="5" t="s">
        <v>125</v>
      </c>
      <c r="K40" s="5" t="str">
        <f>CONCATENATE(I40, " ", J40)</f>
        <v>FRANCISCO PEREZ GARCIA</v>
      </c>
      <c r="L40" s="5">
        <v>2</v>
      </c>
      <c r="M40" s="5" t="s">
        <v>52</v>
      </c>
      <c r="N40" s="7">
        <v>8.32</v>
      </c>
      <c r="O40" s="5" t="s">
        <v>132</v>
      </c>
      <c r="P40" s="5" t="s">
        <v>175</v>
      </c>
    </row>
    <row r="41" spans="1:17" x14ac:dyDescent="0.25">
      <c r="A41" s="5" t="s">
        <v>180</v>
      </c>
      <c r="B41" s="5">
        <v>20411454</v>
      </c>
      <c r="C41" s="6">
        <v>45658</v>
      </c>
      <c r="D41" s="5" t="s">
        <v>38</v>
      </c>
      <c r="E41" s="5" t="s">
        <v>126</v>
      </c>
      <c r="F41" s="5" t="s">
        <v>127</v>
      </c>
      <c r="G41" s="5" t="s">
        <v>128</v>
      </c>
      <c r="H41" s="5" t="str">
        <f>CONCATENATE(G41,22)</f>
        <v>Z00004899922</v>
      </c>
      <c r="I41" s="5" t="s">
        <v>129</v>
      </c>
      <c r="J41" s="5" t="s">
        <v>130</v>
      </c>
      <c r="K41" s="5" t="str">
        <f>CONCATENATE(I41, " ", J41)</f>
        <v>ISIDORO ORTIZ</v>
      </c>
      <c r="L41" s="5">
        <v>1</v>
      </c>
      <c r="M41" s="5" t="s">
        <v>44</v>
      </c>
      <c r="N41" s="7">
        <v>0</v>
      </c>
      <c r="O41" s="5" t="s">
        <v>132</v>
      </c>
      <c r="P41" s="5" t="s">
        <v>175</v>
      </c>
    </row>
    <row r="42" spans="1:17" x14ac:dyDescent="0.25">
      <c r="A42" s="5" t="s">
        <v>180</v>
      </c>
      <c r="B42" s="5">
        <v>20411454</v>
      </c>
      <c r="C42" s="6">
        <v>45597</v>
      </c>
      <c r="D42" s="5" t="s">
        <v>38</v>
      </c>
      <c r="E42" s="5" t="s">
        <v>47</v>
      </c>
      <c r="F42" s="5" t="s">
        <v>48</v>
      </c>
      <c r="G42" s="5" t="s">
        <v>49</v>
      </c>
      <c r="H42" s="5" t="str">
        <f>CONCATENATE(G42,22)</f>
        <v>Z00005151022</v>
      </c>
      <c r="I42" s="5" t="s">
        <v>50</v>
      </c>
      <c r="J42" s="5" t="s">
        <v>51</v>
      </c>
      <c r="K42" s="5" t="str">
        <f>CONCATENATE(I42, " ", J42)</f>
        <v>JAMES PRICE</v>
      </c>
      <c r="L42" s="5">
        <v>2</v>
      </c>
      <c r="M42" s="5" t="s">
        <v>52</v>
      </c>
      <c r="N42" s="7">
        <v>8.32</v>
      </c>
      <c r="O42" s="5" t="s">
        <v>132</v>
      </c>
      <c r="P42" s="5" t="s">
        <v>175</v>
      </c>
    </row>
    <row r="43" spans="1:17" x14ac:dyDescent="0.25">
      <c r="A43" s="5" t="s">
        <v>180</v>
      </c>
      <c r="B43" s="5">
        <v>20411454</v>
      </c>
      <c r="C43" s="6">
        <v>45597</v>
      </c>
      <c r="D43" s="5" t="s">
        <v>38</v>
      </c>
      <c r="E43" s="5" t="s">
        <v>47</v>
      </c>
      <c r="F43" s="5" t="s">
        <v>62</v>
      </c>
      <c r="G43" s="5" t="s">
        <v>63</v>
      </c>
      <c r="H43" s="5" t="str">
        <f>CONCATENATE(G43,22)</f>
        <v>Z00004801422</v>
      </c>
      <c r="I43" s="5" t="s">
        <v>64</v>
      </c>
      <c r="J43" s="5" t="s">
        <v>65</v>
      </c>
      <c r="K43" s="5" t="str">
        <f>CONCATENATE(I43, " ", J43)</f>
        <v>JOSE HERNANDEZ</v>
      </c>
      <c r="L43" s="5">
        <v>2</v>
      </c>
      <c r="M43" s="5" t="s">
        <v>52</v>
      </c>
      <c r="N43" s="7">
        <v>8.32</v>
      </c>
      <c r="O43" s="5" t="s">
        <v>132</v>
      </c>
      <c r="P43" s="5" t="s">
        <v>175</v>
      </c>
    </row>
    <row r="44" spans="1:17" x14ac:dyDescent="0.25">
      <c r="A44" s="5" t="s">
        <v>180</v>
      </c>
      <c r="B44" s="5">
        <v>20411454</v>
      </c>
      <c r="C44" s="6">
        <v>45536</v>
      </c>
      <c r="D44" s="5" t="s">
        <v>38</v>
      </c>
      <c r="E44" s="5" t="s">
        <v>47</v>
      </c>
      <c r="F44" s="5" t="s">
        <v>66</v>
      </c>
      <c r="G44" s="5" t="s">
        <v>67</v>
      </c>
      <c r="H44" s="5" t="str">
        <f>CONCATENATE(G44,22)</f>
        <v>Z00004563322</v>
      </c>
      <c r="I44" s="5" t="s">
        <v>68</v>
      </c>
      <c r="J44" s="5" t="s">
        <v>69</v>
      </c>
      <c r="K44" s="5" t="str">
        <f>CONCATENATE(I44, " ", J44)</f>
        <v>LINDA DANIEL</v>
      </c>
      <c r="L44" s="5">
        <v>2</v>
      </c>
      <c r="M44" s="5" t="s">
        <v>52</v>
      </c>
      <c r="N44" s="7">
        <v>8.32</v>
      </c>
      <c r="O44" s="5" t="s">
        <v>132</v>
      </c>
      <c r="P44" s="5" t="s">
        <v>175</v>
      </c>
    </row>
    <row r="45" spans="1:17" x14ac:dyDescent="0.25">
      <c r="A45" s="5" t="s">
        <v>180</v>
      </c>
      <c r="B45" s="5">
        <v>20411454</v>
      </c>
      <c r="C45" s="6">
        <v>45505</v>
      </c>
      <c r="D45" s="5" t="s">
        <v>38</v>
      </c>
      <c r="E45" s="5" t="s">
        <v>39</v>
      </c>
      <c r="F45" s="5" t="s">
        <v>70</v>
      </c>
      <c r="G45" s="5" t="s">
        <v>71</v>
      </c>
      <c r="H45" s="5" t="str">
        <f>CONCATENATE(G45,22)</f>
        <v>Z00004364422</v>
      </c>
      <c r="I45" s="5" t="s">
        <v>72</v>
      </c>
      <c r="J45" s="5" t="s">
        <v>73</v>
      </c>
      <c r="K45" s="5" t="str">
        <f>CONCATENATE(I45, " ", J45)</f>
        <v>OLEGARIO HERNANDEZ FLORES</v>
      </c>
      <c r="L45" s="5">
        <v>2</v>
      </c>
      <c r="M45" s="5" t="s">
        <v>52</v>
      </c>
      <c r="N45" s="7">
        <v>8.32</v>
      </c>
      <c r="O45" s="5" t="s">
        <v>132</v>
      </c>
      <c r="P45" s="5" t="s">
        <v>175</v>
      </c>
    </row>
    <row r="46" spans="1:17" x14ac:dyDescent="0.25">
      <c r="A46" s="5" t="s">
        <v>180</v>
      </c>
      <c r="B46" s="5">
        <v>20411454</v>
      </c>
      <c r="C46" s="6">
        <v>45689</v>
      </c>
      <c r="D46" s="5" t="s">
        <v>38</v>
      </c>
      <c r="E46" s="5" t="s">
        <v>47</v>
      </c>
      <c r="F46" s="5" t="s">
        <v>96</v>
      </c>
      <c r="G46" s="5" t="s">
        <v>97</v>
      </c>
      <c r="H46" s="5" t="str">
        <f>CONCATENATE(G46,22)</f>
        <v>Z00006680822</v>
      </c>
      <c r="I46" s="5" t="s">
        <v>98</v>
      </c>
      <c r="J46" s="5" t="s">
        <v>99</v>
      </c>
      <c r="K46" s="5" t="str">
        <f>CONCATENATE(I46, " ", J46)</f>
        <v>RALPH MINX</v>
      </c>
      <c r="L46" s="5">
        <v>1</v>
      </c>
      <c r="M46" s="5" t="s">
        <v>52</v>
      </c>
      <c r="N46" s="7">
        <v>200</v>
      </c>
      <c r="O46" s="5" t="s">
        <v>132</v>
      </c>
      <c r="P46" s="5" t="s">
        <v>175</v>
      </c>
    </row>
    <row r="47" spans="1:17" x14ac:dyDescent="0.25">
      <c r="A47" s="5" t="s">
        <v>180</v>
      </c>
      <c r="B47" s="5">
        <v>20411454</v>
      </c>
      <c r="C47" s="6">
        <v>45566</v>
      </c>
      <c r="D47" s="5" t="s">
        <v>38</v>
      </c>
      <c r="E47" s="5" t="s">
        <v>47</v>
      </c>
      <c r="F47" s="5" t="s">
        <v>74</v>
      </c>
      <c r="G47" s="5" t="s">
        <v>75</v>
      </c>
      <c r="H47" s="5" t="str">
        <f>CONCATENATE(G47,22)</f>
        <v>Z00004611922</v>
      </c>
      <c r="I47" s="5" t="s">
        <v>76</v>
      </c>
      <c r="J47" s="5" t="s">
        <v>77</v>
      </c>
      <c r="K47" s="5" t="str">
        <f>CONCATENATE(I47, " ", J47)</f>
        <v>RENE DIAZ</v>
      </c>
      <c r="L47" s="5">
        <v>2</v>
      </c>
      <c r="M47" s="5" t="s">
        <v>52</v>
      </c>
      <c r="N47" s="7">
        <v>8.32</v>
      </c>
      <c r="O47" s="5" t="s">
        <v>132</v>
      </c>
      <c r="P47" s="5" t="s">
        <v>175</v>
      </c>
    </row>
    <row r="48" spans="1:17" x14ac:dyDescent="0.25">
      <c r="A48" s="5" t="s">
        <v>180</v>
      </c>
      <c r="B48" s="5">
        <v>20411454</v>
      </c>
      <c r="C48" s="6">
        <v>45658</v>
      </c>
      <c r="D48" s="5" t="s">
        <v>38</v>
      </c>
      <c r="E48" s="5" t="s">
        <v>55</v>
      </c>
      <c r="F48" s="5" t="s">
        <v>56</v>
      </c>
      <c r="G48" s="5" t="s">
        <v>57</v>
      </c>
      <c r="H48" s="5" t="str">
        <f>CONCATENATE(G48,22)</f>
        <v>Z00004963422</v>
      </c>
      <c r="I48" s="5" t="s">
        <v>58</v>
      </c>
      <c r="J48" s="5" t="s">
        <v>59</v>
      </c>
      <c r="K48" s="5" t="str">
        <f>CONCATENATE(I48, " ", J48)</f>
        <v>RONALD KROWN</v>
      </c>
      <c r="L48" s="5">
        <v>2</v>
      </c>
      <c r="M48" s="5" t="s">
        <v>52</v>
      </c>
      <c r="N48" s="7">
        <v>8.32</v>
      </c>
      <c r="O48" s="5" t="s">
        <v>132</v>
      </c>
      <c r="P48" s="5" t="s">
        <v>175</v>
      </c>
    </row>
    <row r="49" spans="1:16" x14ac:dyDescent="0.25">
      <c r="A49" s="5" t="s">
        <v>180</v>
      </c>
      <c r="B49" s="5">
        <v>20411454</v>
      </c>
      <c r="C49" s="6">
        <v>45689</v>
      </c>
      <c r="D49" s="5" t="s">
        <v>38</v>
      </c>
      <c r="E49" s="5" t="s">
        <v>47</v>
      </c>
      <c r="F49" s="5" t="s">
        <v>100</v>
      </c>
      <c r="G49" s="5" t="s">
        <v>101</v>
      </c>
      <c r="H49" s="5" t="str">
        <f>CONCATENATE(G49,22)</f>
        <v>Z00006520922</v>
      </c>
      <c r="I49" s="5" t="s">
        <v>102</v>
      </c>
      <c r="J49" s="5" t="s">
        <v>103</v>
      </c>
      <c r="K49" s="5" t="str">
        <f>CONCATENATE(I49, " ", J49)</f>
        <v>SCOT STOLTZ</v>
      </c>
      <c r="L49" s="5">
        <v>1</v>
      </c>
      <c r="M49" s="5" t="s">
        <v>52</v>
      </c>
      <c r="N49" s="7">
        <v>200</v>
      </c>
      <c r="O49" s="5" t="s">
        <v>132</v>
      </c>
      <c r="P49" s="5" t="s">
        <v>175</v>
      </c>
    </row>
    <row r="50" spans="1:16" x14ac:dyDescent="0.25">
      <c r="A50" s="5" t="s">
        <v>180</v>
      </c>
      <c r="B50" s="5">
        <v>20411454</v>
      </c>
      <c r="C50" s="6">
        <v>45689</v>
      </c>
      <c r="D50" s="5" t="s">
        <v>38</v>
      </c>
      <c r="E50" s="5" t="s">
        <v>47</v>
      </c>
      <c r="F50" s="5" t="s">
        <v>104</v>
      </c>
      <c r="G50" s="5" t="s">
        <v>105</v>
      </c>
      <c r="H50" s="5" t="str">
        <f>CONCATENATE(G50,22)</f>
        <v>Z00006660122</v>
      </c>
      <c r="I50" s="5" t="s">
        <v>106</v>
      </c>
      <c r="J50" s="5" t="s">
        <v>107</v>
      </c>
      <c r="K50" s="5" t="str">
        <f>CONCATENATE(I50, " ", J50)</f>
        <v>SIXTO BRAVO HUESCA</v>
      </c>
      <c r="L50" s="5">
        <v>1</v>
      </c>
      <c r="M50" s="5" t="s">
        <v>52</v>
      </c>
      <c r="N50" s="7">
        <v>200</v>
      </c>
      <c r="O50" s="5" t="s">
        <v>132</v>
      </c>
      <c r="P50" s="5" t="s">
        <v>175</v>
      </c>
    </row>
    <row r="51" spans="1:16" x14ac:dyDescent="0.25">
      <c r="A51" s="5" t="s">
        <v>180</v>
      </c>
      <c r="B51" s="5">
        <v>20411454</v>
      </c>
      <c r="C51" s="6">
        <v>45505</v>
      </c>
      <c r="D51" s="5" t="s">
        <v>38</v>
      </c>
      <c r="E51" s="5" t="s">
        <v>39</v>
      </c>
      <c r="F51" s="5" t="s">
        <v>80</v>
      </c>
      <c r="G51" s="5" t="s">
        <v>81</v>
      </c>
      <c r="H51" s="5" t="str">
        <f>CONCATENATE(G51,22)</f>
        <v>Z00004351322</v>
      </c>
      <c r="I51" s="5" t="s">
        <v>82</v>
      </c>
      <c r="J51" s="5" t="s">
        <v>83</v>
      </c>
      <c r="K51" s="5" t="str">
        <f>CONCATENATE(I51, " ", J51)</f>
        <v>WALTER ATTERBERRY</v>
      </c>
      <c r="L51" s="5">
        <v>2</v>
      </c>
      <c r="M51" s="5" t="s">
        <v>52</v>
      </c>
      <c r="N51" s="7">
        <v>8.32</v>
      </c>
      <c r="O51" s="5" t="s">
        <v>132</v>
      </c>
      <c r="P51" s="5" t="s">
        <v>175</v>
      </c>
    </row>
    <row r="52" spans="1:16" x14ac:dyDescent="0.25">
      <c r="A52" s="5" t="s">
        <v>180</v>
      </c>
      <c r="B52" s="5">
        <v>20411454</v>
      </c>
      <c r="C52" s="6">
        <v>45689</v>
      </c>
      <c r="D52" s="5" t="s">
        <v>38</v>
      </c>
      <c r="E52" s="5" t="s">
        <v>47</v>
      </c>
      <c r="F52" s="5" t="s">
        <v>110</v>
      </c>
      <c r="G52" s="5" t="s">
        <v>111</v>
      </c>
      <c r="H52" s="5" t="str">
        <f>CONCATENATE(G52,22)</f>
        <v>Z00002237222</v>
      </c>
      <c r="I52" s="5" t="s">
        <v>112</v>
      </c>
      <c r="J52" s="5" t="s">
        <v>113</v>
      </c>
      <c r="K52" s="5" t="str">
        <f>CONCATENATE(I52, " ", J52)</f>
        <v>YOLENE HOOPER</v>
      </c>
      <c r="L52" s="5">
        <v>1</v>
      </c>
      <c r="M52" s="5" t="s">
        <v>52</v>
      </c>
      <c r="N52" s="7">
        <v>200</v>
      </c>
      <c r="O52" s="5" t="s">
        <v>132</v>
      </c>
      <c r="P52" s="5" t="s">
        <v>175</v>
      </c>
    </row>
    <row r="53" spans="1:16" x14ac:dyDescent="0.25">
      <c r="A53" s="5" t="s">
        <v>180</v>
      </c>
      <c r="B53" s="5">
        <v>20411454</v>
      </c>
      <c r="C53" s="6">
        <v>45474</v>
      </c>
      <c r="D53" s="5" t="s">
        <v>38</v>
      </c>
      <c r="E53" s="5" t="s">
        <v>86</v>
      </c>
      <c r="F53" s="5" t="s">
        <v>87</v>
      </c>
      <c r="G53" s="5" t="s">
        <v>88</v>
      </c>
      <c r="H53" s="5" t="str">
        <f>CONCATENATE(G53,22)</f>
        <v>Z00004171022</v>
      </c>
      <c r="I53" s="5" t="s">
        <v>89</v>
      </c>
      <c r="J53" s="5" t="s">
        <v>90</v>
      </c>
      <c r="K53" s="5" t="str">
        <f>CONCATENATE(I53, " ", J53)</f>
        <v>ANGEL TORRES</v>
      </c>
      <c r="L53" s="5">
        <v>2</v>
      </c>
      <c r="M53" s="5" t="s">
        <v>52</v>
      </c>
      <c r="N53" s="7">
        <v>8.32</v>
      </c>
      <c r="O53" s="5" t="s">
        <v>132</v>
      </c>
      <c r="P53" s="5" t="s">
        <v>175</v>
      </c>
    </row>
    <row r="54" spans="1:16" x14ac:dyDescent="0.25">
      <c r="A54" s="5" t="s">
        <v>180</v>
      </c>
      <c r="B54" s="5">
        <v>20411454</v>
      </c>
      <c r="C54" s="6">
        <v>45658</v>
      </c>
      <c r="D54" s="5" t="s">
        <v>38</v>
      </c>
      <c r="E54" s="5" t="s">
        <v>47</v>
      </c>
      <c r="F54" s="5" t="s">
        <v>147</v>
      </c>
      <c r="G54" s="5" t="s">
        <v>148</v>
      </c>
      <c r="H54" s="5" t="str">
        <f>CONCATENATE(G54,22)</f>
        <v>Z00005515022</v>
      </c>
      <c r="I54" s="5" t="s">
        <v>149</v>
      </c>
      <c r="J54" s="5" t="s">
        <v>150</v>
      </c>
      <c r="K54" s="5" t="str">
        <f>CONCATENATE(I54, " ", J54)</f>
        <v>CARLOS CHAVEZ</v>
      </c>
      <c r="L54" s="5">
        <v>1</v>
      </c>
      <c r="M54" s="5" t="s">
        <v>52</v>
      </c>
      <c r="N54" s="7">
        <v>-200</v>
      </c>
      <c r="O54" s="5" t="s">
        <v>132</v>
      </c>
      <c r="P54" s="5" t="s">
        <v>175</v>
      </c>
    </row>
    <row r="55" spans="1:16" x14ac:dyDescent="0.25">
      <c r="A55" s="5" t="s">
        <v>180</v>
      </c>
      <c r="B55" s="5">
        <v>20411454</v>
      </c>
      <c r="C55" s="6">
        <v>45566</v>
      </c>
      <c r="D55" s="5" t="s">
        <v>38</v>
      </c>
      <c r="E55" s="5" t="s">
        <v>39</v>
      </c>
      <c r="F55" s="5" t="s">
        <v>136</v>
      </c>
      <c r="G55" s="5" t="s">
        <v>137</v>
      </c>
      <c r="H55" s="5" t="str">
        <f>CONCATENATE(G55,22)</f>
        <v>Z00004814822</v>
      </c>
      <c r="I55" s="5" t="s">
        <v>138</v>
      </c>
      <c r="J55" s="5" t="s">
        <v>139</v>
      </c>
      <c r="K55" s="5" t="str">
        <f>CONCATENATE(I55, " ", J55)</f>
        <v>DAXABEN PATEL</v>
      </c>
      <c r="L55" s="5">
        <v>2</v>
      </c>
      <c r="M55" s="5" t="s">
        <v>52</v>
      </c>
      <c r="N55" s="7">
        <v>8.32</v>
      </c>
      <c r="O55" s="5" t="s">
        <v>132</v>
      </c>
      <c r="P55" s="5" t="s">
        <v>175</v>
      </c>
    </row>
    <row r="56" spans="1:16" x14ac:dyDescent="0.25">
      <c r="A56" s="5" t="s">
        <v>180</v>
      </c>
      <c r="B56" s="5">
        <v>20411454</v>
      </c>
      <c r="C56" s="6">
        <v>45566</v>
      </c>
      <c r="D56" s="5" t="s">
        <v>38</v>
      </c>
      <c r="E56" s="5" t="s">
        <v>39</v>
      </c>
      <c r="F56" s="5" t="s">
        <v>136</v>
      </c>
      <c r="G56" s="5" t="s">
        <v>137</v>
      </c>
      <c r="H56" s="5" t="str">
        <f>CONCATENATE(G56,22)</f>
        <v>Z00004814822</v>
      </c>
      <c r="I56" s="5" t="s">
        <v>138</v>
      </c>
      <c r="J56" s="5" t="s">
        <v>139</v>
      </c>
      <c r="K56" s="5" t="str">
        <f>CONCATENATE(I56, " ", J56)</f>
        <v>DAXABEN PATEL</v>
      </c>
      <c r="L56" s="5">
        <v>1</v>
      </c>
      <c r="M56" s="5" t="s">
        <v>52</v>
      </c>
      <c r="N56" s="7">
        <v>166.8</v>
      </c>
      <c r="O56" s="5" t="s">
        <v>132</v>
      </c>
      <c r="P56" s="5" t="s">
        <v>175</v>
      </c>
    </row>
    <row r="57" spans="1:16" x14ac:dyDescent="0.25">
      <c r="A57" s="5" t="s">
        <v>180</v>
      </c>
      <c r="B57" s="5">
        <v>20411454</v>
      </c>
      <c r="C57" s="6">
        <v>45627</v>
      </c>
      <c r="D57" s="5" t="s">
        <v>38</v>
      </c>
      <c r="E57" s="5" t="s">
        <v>39</v>
      </c>
      <c r="F57" s="5" t="s">
        <v>40</v>
      </c>
      <c r="G57" s="5" t="s">
        <v>41</v>
      </c>
      <c r="H57" s="5" t="str">
        <f>CONCATENATE(G57,22)</f>
        <v>Z00005354322</v>
      </c>
      <c r="I57" s="5" t="s">
        <v>42</v>
      </c>
      <c r="J57" s="5" t="s">
        <v>43</v>
      </c>
      <c r="K57" s="5" t="str">
        <f>CONCATENATE(I57, " ", J57)</f>
        <v>DOUGLAS SCHMIESKORS III</v>
      </c>
      <c r="L57" s="5">
        <v>2</v>
      </c>
      <c r="M57" s="5" t="s">
        <v>44</v>
      </c>
      <c r="N57" s="7">
        <v>8.32</v>
      </c>
      <c r="O57" s="5" t="s">
        <v>132</v>
      </c>
      <c r="P57" s="5" t="s">
        <v>175</v>
      </c>
    </row>
    <row r="58" spans="1:16" x14ac:dyDescent="0.25">
      <c r="A58" s="5" t="s">
        <v>180</v>
      </c>
      <c r="B58" s="5">
        <v>20411454</v>
      </c>
      <c r="C58" s="6">
        <v>45597</v>
      </c>
      <c r="D58" s="5" t="s">
        <v>38</v>
      </c>
      <c r="E58" s="5" t="s">
        <v>39</v>
      </c>
      <c r="F58" s="5" t="s">
        <v>116</v>
      </c>
      <c r="G58" s="5" t="s">
        <v>117</v>
      </c>
      <c r="H58" s="5" t="str">
        <f>CONCATENATE(G58,22)</f>
        <v>Z00005045922</v>
      </c>
      <c r="I58" s="5" t="s">
        <v>118</v>
      </c>
      <c r="J58" s="5" t="s">
        <v>119</v>
      </c>
      <c r="K58" s="5" t="str">
        <f>CONCATENATE(I58, " ", J58)</f>
        <v>ERLENE CARTER</v>
      </c>
      <c r="L58" s="5">
        <v>2</v>
      </c>
      <c r="M58" s="5" t="s">
        <v>52</v>
      </c>
      <c r="N58" s="7">
        <v>8.32</v>
      </c>
      <c r="O58" s="5" t="s">
        <v>132</v>
      </c>
      <c r="P58" s="5" t="s">
        <v>175</v>
      </c>
    </row>
    <row r="59" spans="1:16" x14ac:dyDescent="0.25">
      <c r="A59" s="5" t="s">
        <v>180</v>
      </c>
      <c r="B59" s="5">
        <v>20411454</v>
      </c>
      <c r="C59" s="6">
        <v>45597</v>
      </c>
      <c r="D59" s="5" t="s">
        <v>38</v>
      </c>
      <c r="E59" s="5" t="s">
        <v>86</v>
      </c>
      <c r="F59" s="5" t="s">
        <v>122</v>
      </c>
      <c r="G59" s="5" t="s">
        <v>123</v>
      </c>
      <c r="H59" s="5" t="str">
        <f>CONCATENATE(G59,22)</f>
        <v>Z00004997222</v>
      </c>
      <c r="I59" s="5" t="s">
        <v>124</v>
      </c>
      <c r="J59" s="5" t="s">
        <v>125</v>
      </c>
      <c r="K59" s="5" t="str">
        <f>CONCATENATE(I59, " ", J59)</f>
        <v>FRANCISCO PEREZ GARCIA</v>
      </c>
      <c r="L59" s="5">
        <v>2</v>
      </c>
      <c r="M59" s="5" t="s">
        <v>52</v>
      </c>
      <c r="N59" s="7">
        <v>8.32</v>
      </c>
      <c r="O59" s="5" t="s">
        <v>132</v>
      </c>
      <c r="P59" s="5" t="s">
        <v>175</v>
      </c>
    </row>
    <row r="60" spans="1:16" x14ac:dyDescent="0.25">
      <c r="A60" s="5" t="s">
        <v>180</v>
      </c>
      <c r="B60" s="5">
        <v>20411454</v>
      </c>
      <c r="C60" s="6">
        <v>45597</v>
      </c>
      <c r="D60" s="5" t="s">
        <v>38</v>
      </c>
      <c r="E60" s="5" t="s">
        <v>47</v>
      </c>
      <c r="F60" s="5" t="s">
        <v>48</v>
      </c>
      <c r="G60" s="5" t="s">
        <v>49</v>
      </c>
      <c r="H60" s="5" t="str">
        <f>CONCATENATE(G60,22)</f>
        <v>Z00005151022</v>
      </c>
      <c r="I60" s="5" t="s">
        <v>50</v>
      </c>
      <c r="J60" s="5" t="s">
        <v>51</v>
      </c>
      <c r="K60" s="5" t="str">
        <f>CONCATENATE(I60, " ", J60)</f>
        <v>JAMES PRICE</v>
      </c>
      <c r="L60" s="5">
        <v>2</v>
      </c>
      <c r="M60" s="5" t="s">
        <v>52</v>
      </c>
      <c r="N60" s="7">
        <v>8.32</v>
      </c>
      <c r="O60" s="5" t="s">
        <v>132</v>
      </c>
      <c r="P60" s="5" t="s">
        <v>175</v>
      </c>
    </row>
    <row r="61" spans="1:16" x14ac:dyDescent="0.25">
      <c r="A61" s="5" t="s">
        <v>180</v>
      </c>
      <c r="B61" s="5">
        <v>20411454</v>
      </c>
      <c r="C61" s="6">
        <v>45597</v>
      </c>
      <c r="D61" s="5" t="s">
        <v>38</v>
      </c>
      <c r="E61" s="5" t="s">
        <v>47</v>
      </c>
      <c r="F61" s="5" t="s">
        <v>62</v>
      </c>
      <c r="G61" s="5" t="s">
        <v>63</v>
      </c>
      <c r="H61" s="5" t="str">
        <f>CONCATENATE(G61,22)</f>
        <v>Z00004801422</v>
      </c>
      <c r="I61" s="5" t="s">
        <v>64</v>
      </c>
      <c r="J61" s="5" t="s">
        <v>65</v>
      </c>
      <c r="K61" s="5" t="str">
        <f>CONCATENATE(I61, " ", J61)</f>
        <v>JOSE HERNANDEZ</v>
      </c>
      <c r="L61" s="5">
        <v>2</v>
      </c>
      <c r="M61" s="5" t="s">
        <v>52</v>
      </c>
      <c r="N61" s="7">
        <v>8.32</v>
      </c>
      <c r="O61" s="5" t="s">
        <v>132</v>
      </c>
      <c r="P61" s="5" t="s">
        <v>175</v>
      </c>
    </row>
    <row r="62" spans="1:16" x14ac:dyDescent="0.25">
      <c r="A62" s="5" t="s">
        <v>180</v>
      </c>
      <c r="B62" s="5">
        <v>20411454</v>
      </c>
      <c r="C62" s="6">
        <v>45536</v>
      </c>
      <c r="D62" s="5" t="s">
        <v>38</v>
      </c>
      <c r="E62" s="5" t="s">
        <v>47</v>
      </c>
      <c r="F62" s="5" t="s">
        <v>66</v>
      </c>
      <c r="G62" s="5" t="s">
        <v>67</v>
      </c>
      <c r="H62" s="5" t="str">
        <f>CONCATENATE(G62,22)</f>
        <v>Z00004563322</v>
      </c>
      <c r="I62" s="5" t="s">
        <v>68</v>
      </c>
      <c r="J62" s="5" t="s">
        <v>69</v>
      </c>
      <c r="K62" s="5" t="str">
        <f>CONCATENATE(I62, " ", J62)</f>
        <v>LINDA DANIEL</v>
      </c>
      <c r="L62" s="5">
        <v>2</v>
      </c>
      <c r="M62" s="5" t="s">
        <v>52</v>
      </c>
      <c r="N62" s="7">
        <v>8.32</v>
      </c>
      <c r="O62" s="5" t="s">
        <v>132</v>
      </c>
      <c r="P62" s="5" t="s">
        <v>175</v>
      </c>
    </row>
    <row r="63" spans="1:16" x14ac:dyDescent="0.25">
      <c r="A63" s="5" t="s">
        <v>180</v>
      </c>
      <c r="B63" s="5">
        <v>20411454</v>
      </c>
      <c r="C63" s="6">
        <v>45658</v>
      </c>
      <c r="D63" s="5" t="s">
        <v>38</v>
      </c>
      <c r="E63" s="5" t="s">
        <v>86</v>
      </c>
      <c r="F63" s="5" t="s">
        <v>156</v>
      </c>
      <c r="G63" s="5" t="s">
        <v>157</v>
      </c>
      <c r="H63" s="5" t="str">
        <f>CONCATENATE(G63,22)</f>
        <v>Z00005916422</v>
      </c>
      <c r="I63" s="5" t="s">
        <v>158</v>
      </c>
      <c r="J63" s="5" t="s">
        <v>159</v>
      </c>
      <c r="K63" s="5" t="str">
        <f>CONCATENATE(I63, " ", J63)</f>
        <v>NORMAN MALDONADO</v>
      </c>
      <c r="L63" s="5">
        <v>1</v>
      </c>
      <c r="M63" s="5" t="s">
        <v>52</v>
      </c>
      <c r="N63" s="7">
        <v>-200</v>
      </c>
      <c r="O63" s="5" t="s">
        <v>132</v>
      </c>
      <c r="P63" s="5" t="s">
        <v>175</v>
      </c>
    </row>
    <row r="64" spans="1:16" x14ac:dyDescent="0.25">
      <c r="A64" s="5" t="s">
        <v>180</v>
      </c>
      <c r="B64" s="5">
        <v>20411454</v>
      </c>
      <c r="C64" s="6">
        <v>45505</v>
      </c>
      <c r="D64" s="5" t="s">
        <v>38</v>
      </c>
      <c r="E64" s="5" t="s">
        <v>39</v>
      </c>
      <c r="F64" s="5" t="s">
        <v>70</v>
      </c>
      <c r="G64" s="5" t="s">
        <v>71</v>
      </c>
      <c r="H64" s="5" t="str">
        <f>CONCATENATE(G64,22)</f>
        <v>Z00004364422</v>
      </c>
      <c r="I64" s="5" t="s">
        <v>72</v>
      </c>
      <c r="J64" s="5" t="s">
        <v>73</v>
      </c>
      <c r="K64" s="5" t="str">
        <f>CONCATENATE(I64, " ", J64)</f>
        <v>OLEGARIO HERNANDEZ FLORES</v>
      </c>
      <c r="L64" s="5">
        <v>2</v>
      </c>
      <c r="M64" s="5" t="s">
        <v>52</v>
      </c>
      <c r="N64" s="7">
        <v>8.32</v>
      </c>
      <c r="O64" s="5" t="s">
        <v>132</v>
      </c>
      <c r="P64" s="5" t="s">
        <v>175</v>
      </c>
    </row>
    <row r="65" spans="1:17" x14ac:dyDescent="0.25">
      <c r="A65" s="5" t="s">
        <v>180</v>
      </c>
      <c r="B65" s="5">
        <v>20411454</v>
      </c>
      <c r="C65" s="6">
        <v>45566</v>
      </c>
      <c r="D65" s="5" t="s">
        <v>38</v>
      </c>
      <c r="E65" s="5" t="s">
        <v>47</v>
      </c>
      <c r="F65" s="5" t="s">
        <v>74</v>
      </c>
      <c r="G65" s="5" t="s">
        <v>75</v>
      </c>
      <c r="H65" s="5" t="str">
        <f>CONCATENATE(G65,22)</f>
        <v>Z00004611922</v>
      </c>
      <c r="I65" s="5" t="s">
        <v>76</v>
      </c>
      <c r="J65" s="5" t="s">
        <v>77</v>
      </c>
      <c r="K65" s="5" t="str">
        <f>CONCATENATE(I65, " ", J65)</f>
        <v>RENE DIAZ</v>
      </c>
      <c r="L65" s="5">
        <v>2</v>
      </c>
      <c r="M65" s="5" t="s">
        <v>52</v>
      </c>
      <c r="N65" s="7">
        <v>8.32</v>
      </c>
      <c r="O65" s="5" t="s">
        <v>132</v>
      </c>
      <c r="P65" s="5" t="s">
        <v>175</v>
      </c>
    </row>
    <row r="66" spans="1:17" x14ac:dyDescent="0.25">
      <c r="A66" s="5" t="s">
        <v>180</v>
      </c>
      <c r="B66" s="5">
        <v>20411454</v>
      </c>
      <c r="C66" s="6">
        <v>45658</v>
      </c>
      <c r="D66" s="5" t="s">
        <v>38</v>
      </c>
      <c r="E66" s="5" t="s">
        <v>55</v>
      </c>
      <c r="F66" s="5" t="s">
        <v>56</v>
      </c>
      <c r="G66" s="5" t="s">
        <v>57</v>
      </c>
      <c r="H66" s="5" t="str">
        <f>CONCATENATE(G66,22)</f>
        <v>Z00004963422</v>
      </c>
      <c r="I66" s="5" t="s">
        <v>58</v>
      </c>
      <c r="J66" s="5" t="s">
        <v>59</v>
      </c>
      <c r="K66" s="5" t="str">
        <f>CONCATENATE(I66, " ", J66)</f>
        <v>RONALD KROWN</v>
      </c>
      <c r="L66" s="5">
        <v>2</v>
      </c>
      <c r="M66" s="5" t="s">
        <v>52</v>
      </c>
      <c r="N66" s="7">
        <v>8.32</v>
      </c>
      <c r="O66" s="5" t="s">
        <v>132</v>
      </c>
      <c r="P66" s="5" t="s">
        <v>175</v>
      </c>
    </row>
    <row r="67" spans="1:17" x14ac:dyDescent="0.25">
      <c r="A67" s="5" t="s">
        <v>180</v>
      </c>
      <c r="B67" s="5">
        <v>20411454</v>
      </c>
      <c r="C67" s="6">
        <v>45597</v>
      </c>
      <c r="D67" s="5" t="s">
        <v>38</v>
      </c>
      <c r="E67" s="5" t="s">
        <v>47</v>
      </c>
      <c r="F67" s="5" t="s">
        <v>152</v>
      </c>
      <c r="G67" s="5" t="s">
        <v>153</v>
      </c>
      <c r="H67" s="5" t="str">
        <f>CONCATENATE(G67,22)</f>
        <v>Z00004867222</v>
      </c>
      <c r="I67" s="5" t="s">
        <v>154</v>
      </c>
      <c r="J67" s="5" t="s">
        <v>155</v>
      </c>
      <c r="K67" s="5" t="str">
        <f>CONCATENATE(I67, " ", J67)</f>
        <v>VERA HARRIS</v>
      </c>
      <c r="L67" s="5">
        <v>2</v>
      </c>
      <c r="M67" s="5" t="s">
        <v>52</v>
      </c>
      <c r="N67" s="7">
        <v>8.32</v>
      </c>
      <c r="O67" s="5" t="s">
        <v>132</v>
      </c>
      <c r="P67" s="5" t="s">
        <v>175</v>
      </c>
    </row>
    <row r="68" spans="1:17" x14ac:dyDescent="0.25">
      <c r="A68" s="5" t="s">
        <v>180</v>
      </c>
      <c r="B68" s="5">
        <v>20411454</v>
      </c>
      <c r="C68" s="6">
        <v>45597</v>
      </c>
      <c r="D68" s="5" t="s">
        <v>38</v>
      </c>
      <c r="E68" s="5" t="s">
        <v>47</v>
      </c>
      <c r="F68" s="5" t="s">
        <v>152</v>
      </c>
      <c r="G68" s="5" t="s">
        <v>153</v>
      </c>
      <c r="H68" s="5" t="str">
        <f>CONCATENATE(G68,22)</f>
        <v>Z00004867222</v>
      </c>
      <c r="I68" s="5" t="s">
        <v>154</v>
      </c>
      <c r="J68" s="5" t="s">
        <v>155</v>
      </c>
      <c r="K68" s="5" t="str">
        <f>CONCATENATE(I68, " ", J68)</f>
        <v>VERA HARRIS</v>
      </c>
      <c r="L68" s="5">
        <v>1</v>
      </c>
      <c r="M68" s="5" t="s">
        <v>52</v>
      </c>
      <c r="N68" s="7">
        <v>-166.68</v>
      </c>
      <c r="O68" s="5" t="s">
        <v>132</v>
      </c>
      <c r="P68" s="5" t="s">
        <v>175</v>
      </c>
    </row>
    <row r="69" spans="1:17" x14ac:dyDescent="0.25">
      <c r="A69" s="5" t="s">
        <v>180</v>
      </c>
      <c r="B69" s="5">
        <v>20411454</v>
      </c>
      <c r="C69" s="6">
        <v>45505</v>
      </c>
      <c r="D69" s="5" t="s">
        <v>38</v>
      </c>
      <c r="E69" s="5" t="s">
        <v>39</v>
      </c>
      <c r="F69" s="5" t="s">
        <v>80</v>
      </c>
      <c r="G69" s="5" t="s">
        <v>81</v>
      </c>
      <c r="H69" s="5" t="str">
        <f>CONCATENATE(G69,22)</f>
        <v>Z00004351322</v>
      </c>
      <c r="I69" s="5" t="s">
        <v>82</v>
      </c>
      <c r="J69" s="5" t="s">
        <v>83</v>
      </c>
      <c r="K69" s="5" t="str">
        <f>CONCATENATE(I69, " ", J69)</f>
        <v>WALTER ATTERBERRY</v>
      </c>
      <c r="L69" s="5">
        <v>2</v>
      </c>
      <c r="M69" s="5" t="s">
        <v>52</v>
      </c>
      <c r="N69" s="7">
        <v>8.32</v>
      </c>
      <c r="O69" s="5" t="s">
        <v>132</v>
      </c>
      <c r="P69" s="5" t="s">
        <v>175</v>
      </c>
    </row>
    <row r="70" spans="1:17" x14ac:dyDescent="0.25">
      <c r="A70" s="5" t="s">
        <v>180</v>
      </c>
      <c r="B70" s="5">
        <v>20411454</v>
      </c>
      <c r="C70" s="6">
        <v>45566</v>
      </c>
      <c r="D70" s="5" t="s">
        <v>38</v>
      </c>
      <c r="E70" s="5" t="s">
        <v>39</v>
      </c>
      <c r="F70" s="5" t="s">
        <v>136</v>
      </c>
      <c r="G70" s="5" t="s">
        <v>137</v>
      </c>
      <c r="H70" s="5" t="str">
        <f>CONCATENATE(G70,22)</f>
        <v>Z00004814822</v>
      </c>
      <c r="I70" s="5" t="s">
        <v>138</v>
      </c>
      <c r="J70" s="5" t="s">
        <v>139</v>
      </c>
      <c r="K70" s="5" t="str">
        <f>CONCATENATE(I70, " ", J70)</f>
        <v>DAXABEN PATEL</v>
      </c>
      <c r="L70" s="5">
        <v>1</v>
      </c>
      <c r="M70" s="5" t="s">
        <v>52</v>
      </c>
      <c r="N70" s="7">
        <v>50.92</v>
      </c>
      <c r="O70" s="5" t="s">
        <v>46</v>
      </c>
      <c r="P70" s="5" t="s">
        <v>175</v>
      </c>
    </row>
    <row r="71" spans="1:17" x14ac:dyDescent="0.25">
      <c r="A71" s="5" t="s">
        <v>134</v>
      </c>
      <c r="B71" s="4">
        <v>19396223</v>
      </c>
      <c r="C71" s="6">
        <v>45566</v>
      </c>
      <c r="D71" s="5" t="s">
        <v>38</v>
      </c>
      <c r="E71" s="5" t="s">
        <v>39</v>
      </c>
      <c r="F71" s="5" t="s">
        <v>136</v>
      </c>
      <c r="G71" s="5" t="s">
        <v>137</v>
      </c>
      <c r="H71" s="5" t="str">
        <f>CONCATENATE(G71,2)</f>
        <v>Z0000481482</v>
      </c>
      <c r="I71" s="5" t="s">
        <v>138</v>
      </c>
      <c r="J71" s="5" t="s">
        <v>139</v>
      </c>
      <c r="K71" s="5" t="str">
        <f>CONCATENATE(I71, " ", J71)</f>
        <v>DAXABEN PATEL</v>
      </c>
      <c r="L71" s="5">
        <v>2</v>
      </c>
      <c r="M71" s="5" t="s">
        <v>52</v>
      </c>
      <c r="N71" s="7">
        <v>26.08</v>
      </c>
      <c r="O71" s="5" t="s">
        <v>46</v>
      </c>
      <c r="P71" s="5" t="s">
        <v>176</v>
      </c>
      <c r="Q71" s="5" t="s">
        <v>177</v>
      </c>
    </row>
    <row r="72" spans="1:17" x14ac:dyDescent="0.25">
      <c r="A72" s="5" t="s">
        <v>134</v>
      </c>
      <c r="B72" s="4">
        <v>19396223</v>
      </c>
      <c r="C72" s="6">
        <v>45566</v>
      </c>
      <c r="D72" s="5" t="s">
        <v>38</v>
      </c>
      <c r="E72" s="5" t="s">
        <v>39</v>
      </c>
      <c r="F72" s="5" t="s">
        <v>136</v>
      </c>
      <c r="G72" s="5" t="s">
        <v>137</v>
      </c>
      <c r="H72" s="5" t="str">
        <f>CONCATENATE(G72,2)</f>
        <v>Z0000481482</v>
      </c>
      <c r="I72" s="5" t="s">
        <v>138</v>
      </c>
      <c r="J72" s="5" t="s">
        <v>139</v>
      </c>
      <c r="K72" s="5" t="str">
        <f>CONCATENATE(I72, " ", J72)</f>
        <v>DAXABEN PATEL</v>
      </c>
      <c r="L72" s="5">
        <v>2</v>
      </c>
      <c r="M72" s="5" t="s">
        <v>52</v>
      </c>
      <c r="N72" s="7">
        <v>26.08</v>
      </c>
      <c r="O72" s="5" t="s">
        <v>46</v>
      </c>
      <c r="P72" s="5" t="s">
        <v>176</v>
      </c>
      <c r="Q72" s="5" t="s">
        <v>177</v>
      </c>
    </row>
  </sheetData>
  <sortState xmlns:xlrd2="http://schemas.microsoft.com/office/spreadsheetml/2017/richdata2" ref="A2:S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2025-02-13T14:22:59Z</dcterms:created>
  <dcterms:modified xsi:type="dcterms:W3CDTF">2025-02-17T18:52:14Z</dcterms:modified>
</cp:coreProperties>
</file>