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Zing health\2025\Zing 3-7-25\"/>
    </mc:Choice>
  </mc:AlternateContent>
  <xr:revisionPtr revIDLastSave="0" documentId="13_ncr:1_{2C5EEDD0-4611-4D09-9F02-8770F5C0D61E}" xr6:coauthVersionLast="47" xr6:coauthVersionMax="47" xr10:uidLastSave="{00000000-0000-0000-0000-000000000000}"/>
  <bookViews>
    <workbookView xWindow="28680" yWindow="-120" windowWidth="29040" windowHeight="16440" activeTab="2" xr2:uid="{00000000-000D-0000-FFFF-FFFF00000000}"/>
  </bookViews>
  <sheets>
    <sheet name="Summary" sheetId="1" r:id="rId1"/>
    <sheet name="Detail" sheetId="2" r:id="rId2"/>
    <sheet name="Sheet1" sheetId="3" r:id="rId3"/>
  </sheets>
  <calcPr calcId="181029"/>
</workbook>
</file>

<file path=xl/calcChain.xml><?xml version="1.0" encoding="utf-8"?>
<calcChain xmlns="http://schemas.openxmlformats.org/spreadsheetml/2006/main">
  <c r="F24" i="3" l="1"/>
  <c r="F6" i="3"/>
  <c r="F51" i="3"/>
  <c r="F50" i="3"/>
  <c r="F3" i="3"/>
  <c r="F4" i="3"/>
  <c r="F5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2" i="3"/>
</calcChain>
</file>

<file path=xl/sharedStrings.xml><?xml version="1.0" encoding="utf-8"?>
<sst xmlns="http://schemas.openxmlformats.org/spreadsheetml/2006/main" count="1077" uniqueCount="186">
  <si>
    <t/>
  </si>
  <si>
    <t>Description</t>
  </si>
  <si>
    <t>Member Count</t>
  </si>
  <si>
    <t>Credits</t>
  </si>
  <si>
    <t>Debits</t>
  </si>
  <si>
    <t>Total</t>
  </si>
  <si>
    <t>Initial Enrollments</t>
  </si>
  <si>
    <t>$3,870.63</t>
  </si>
  <si>
    <t>$0.00</t>
  </si>
  <si>
    <t>Renewal Enrollments</t>
  </si>
  <si>
    <t>$378.40</t>
  </si>
  <si>
    <t>Rapid Disenrollments</t>
  </si>
  <si>
    <t>$252.32</t>
  </si>
  <si>
    <t>($2,878.12)</t>
  </si>
  <si>
    <t>($2,625.80)</t>
  </si>
  <si>
    <t>Disenrollments</t>
  </si>
  <si>
    <t>Bonus</t>
  </si>
  <si>
    <t>Activity</t>
  </si>
  <si>
    <t>Miscellaneous</t>
  </si>
  <si>
    <t>Balance</t>
  </si>
  <si>
    <t>($5,906.00)</t>
  </si>
  <si>
    <t>TOTAL</t>
  </si>
  <si>
    <t>$4,501.35</t>
  </si>
  <si>
    <t>($4,282.77)</t>
  </si>
  <si>
    <t>Rep Name</t>
  </si>
  <si>
    <t>NPN</t>
  </si>
  <si>
    <t>Effective Date</t>
  </si>
  <si>
    <t>Term Date</t>
  </si>
  <si>
    <t>Plan Group</t>
  </si>
  <si>
    <t>Plan Group Name</t>
  </si>
  <si>
    <t>Plan</t>
  </si>
  <si>
    <t>Member HIC</t>
  </si>
  <si>
    <t>Member ID</t>
  </si>
  <si>
    <t>Member First Name</t>
  </si>
  <si>
    <t>Member Last Name</t>
  </si>
  <si>
    <t>Member Year</t>
  </si>
  <si>
    <t>Prior Plan</t>
  </si>
  <si>
    <t>Cal Month</t>
  </si>
  <si>
    <t>Cal Year</t>
  </si>
  <si>
    <t>Payment</t>
  </si>
  <si>
    <t>Level</t>
  </si>
  <si>
    <t>Andrea Petrungaro</t>
  </si>
  <si>
    <t>16912722</t>
  </si>
  <si>
    <t>GRP-ZING</t>
  </si>
  <si>
    <t>Zing Select Diabetes &amp; Heart Complete IL (HMO C-SNP)</t>
  </si>
  <si>
    <t>8TC1FW7JQ32</t>
  </si>
  <si>
    <t>Z000053543</t>
  </si>
  <si>
    <t>DOUGLAS</t>
  </si>
  <si>
    <t>SCHMIESKORS III</t>
  </si>
  <si>
    <t>No</t>
  </si>
  <si>
    <t>Agent</t>
  </si>
  <si>
    <t>Zing Essential Wellness Diabetes and Heart IL (HMO C-SNP)</t>
  </si>
  <si>
    <t>1RQ6R88AC72</t>
  </si>
  <si>
    <t>Z000051510</t>
  </si>
  <si>
    <t>JAMES</t>
  </si>
  <si>
    <t>PRICE</t>
  </si>
  <si>
    <t>Yes</t>
  </si>
  <si>
    <t>Anthony Hunsberger</t>
  </si>
  <si>
    <t>7146581</t>
  </si>
  <si>
    <t>Zing Choice IL (HMO)</t>
  </si>
  <si>
    <t>2UF4QP9WC93</t>
  </si>
  <si>
    <t>Z000049634</t>
  </si>
  <si>
    <t>RONALD</t>
  </si>
  <si>
    <t>KROWN</t>
  </si>
  <si>
    <t>Barry Schumann</t>
  </si>
  <si>
    <t>19586992</t>
  </si>
  <si>
    <t>2W04T84WV75</t>
  </si>
  <si>
    <t>Z000069411</t>
  </si>
  <si>
    <t>RICK</t>
  </si>
  <si>
    <t>LATTANZIO</t>
  </si>
  <si>
    <t>Esther Herrera-Larsen</t>
  </si>
  <si>
    <t>17301495</t>
  </si>
  <si>
    <t>3YA4D39DG64</t>
  </si>
  <si>
    <t>Z000059609</t>
  </si>
  <si>
    <t>ANA</t>
  </si>
  <si>
    <t>MARTINEZ</t>
  </si>
  <si>
    <t>7R02C82MT02</t>
  </si>
  <si>
    <t>Z000060260</t>
  </si>
  <si>
    <t>CHARLES</t>
  </si>
  <si>
    <t>BARKER</t>
  </si>
  <si>
    <t>6K68N57AA25</t>
  </si>
  <si>
    <t>Z000069549</t>
  </si>
  <si>
    <t>IDALIA</t>
  </si>
  <si>
    <t>RIVERA</t>
  </si>
  <si>
    <t>2JF4PV6MC83</t>
  </si>
  <si>
    <t>Z000048014</t>
  </si>
  <si>
    <t>JOSE</t>
  </si>
  <si>
    <t>HERNANDEZ</t>
  </si>
  <si>
    <t>8FM2YJ2UJ25</t>
  </si>
  <si>
    <t>Z000045633</t>
  </si>
  <si>
    <t>LINDA</t>
  </si>
  <si>
    <t>DANIEL</t>
  </si>
  <si>
    <t>1T41NF5CD25</t>
  </si>
  <si>
    <t>Z000043644</t>
  </si>
  <si>
    <t>OLEGARIO</t>
  </si>
  <si>
    <t>HERNANDEZ FLORES</t>
  </si>
  <si>
    <t>4H02K67VA19</t>
  </si>
  <si>
    <t>Z000046119</t>
  </si>
  <si>
    <t>RENE</t>
  </si>
  <si>
    <t>DIAZ</t>
  </si>
  <si>
    <t>Frank Liskovec</t>
  </si>
  <si>
    <t>8814784</t>
  </si>
  <si>
    <t>8TG5ND1YP94</t>
  </si>
  <si>
    <t>Z000043513</t>
  </si>
  <si>
    <t>WALTER</t>
  </si>
  <si>
    <t>ATTERBERRY</t>
  </si>
  <si>
    <t>Gary Portugal</t>
  </si>
  <si>
    <t>9213293</t>
  </si>
  <si>
    <t>Zing Elite Diabetes &amp; Heart IL  (HMO C-SNP)</t>
  </si>
  <si>
    <t>2MN1EG1KV35</t>
  </si>
  <si>
    <t>Z000041710</t>
  </si>
  <si>
    <t>ANGEL</t>
  </si>
  <si>
    <t>TORRES</t>
  </si>
  <si>
    <t>6EW5FG2FV62</t>
  </si>
  <si>
    <t>Z000069161</t>
  </si>
  <si>
    <t>AUDREY</t>
  </si>
  <si>
    <t>MINX</t>
  </si>
  <si>
    <t>6WJ4YN0TW73</t>
  </si>
  <si>
    <t>Z000069821</t>
  </si>
  <si>
    <t>EDWARD</t>
  </si>
  <si>
    <t>WHITE</t>
  </si>
  <si>
    <t>3ME7Y04MF36</t>
  </si>
  <si>
    <t>Z000065132</t>
  </si>
  <si>
    <t>GARRY</t>
  </si>
  <si>
    <t>FETT</t>
  </si>
  <si>
    <t>9PY7WH7RU43</t>
  </si>
  <si>
    <t>Z000058485</t>
  </si>
  <si>
    <t>MARIA</t>
  </si>
  <si>
    <t>RAMIREZ</t>
  </si>
  <si>
    <t>3R38AE2UJ58</t>
  </si>
  <si>
    <t>Z000066601</t>
  </si>
  <si>
    <t>SIXTO</t>
  </si>
  <si>
    <t>BRAVO HUESCA</t>
  </si>
  <si>
    <t>Gregory Hansford</t>
  </si>
  <si>
    <t>17094718</t>
  </si>
  <si>
    <t>5RW9AR6CW53</t>
  </si>
  <si>
    <t>Z000050326</t>
  </si>
  <si>
    <t>SANDRA</t>
  </si>
  <si>
    <t>WASHINGTON SMILEY</t>
  </si>
  <si>
    <t>Gregory Teipel</t>
  </si>
  <si>
    <t>8307933</t>
  </si>
  <si>
    <t>8W82U48NP28</t>
  </si>
  <si>
    <t>Z000050459</t>
  </si>
  <si>
    <t>ERLENE</t>
  </si>
  <si>
    <t>CARTER</t>
  </si>
  <si>
    <t>Jonathan Aloff</t>
  </si>
  <si>
    <t>16683808</t>
  </si>
  <si>
    <t>Zing Elite Select IL (HMO)</t>
  </si>
  <si>
    <t>3Y65HJ2AE50</t>
  </si>
  <si>
    <t>Z000058481</t>
  </si>
  <si>
    <t>BEVERLY</t>
  </si>
  <si>
    <t>UKROPEN</t>
  </si>
  <si>
    <t>Jose Torres</t>
  </si>
  <si>
    <t>20212926</t>
  </si>
  <si>
    <t>Zing ESRD Select IL (HMO C-SNP)</t>
  </si>
  <si>
    <t>6WA3QD5JJ76</t>
  </si>
  <si>
    <t>Z000053946</t>
  </si>
  <si>
    <t>VICENTE</t>
  </si>
  <si>
    <t>ENRIQUEZ</t>
  </si>
  <si>
    <t>Admin</t>
  </si>
  <si>
    <t>Saadia Abdul</t>
  </si>
  <si>
    <t>19396223</t>
  </si>
  <si>
    <t>3J34V65XN82</t>
  </si>
  <si>
    <t>Z000048148</t>
  </si>
  <si>
    <t>DAXABEN</t>
  </si>
  <si>
    <t>PATEL</t>
  </si>
  <si>
    <t>Stephanie Drapac</t>
  </si>
  <si>
    <t>17126004</t>
  </si>
  <si>
    <t>2UE6TX6YE45</t>
  </si>
  <si>
    <t>Z000054898</t>
  </si>
  <si>
    <t>EILEEN</t>
  </si>
  <si>
    <t>CECHOTA</t>
  </si>
  <si>
    <t>4D61YN1FW01</t>
  </si>
  <si>
    <t>Z000048672</t>
  </si>
  <si>
    <t>VERA</t>
  </si>
  <si>
    <t>HARRIS</t>
  </si>
  <si>
    <t>[%/$=313][prorate=1/12]</t>
  </si>
  <si>
    <t>[%/$=313][prorate=10/12]</t>
  </si>
  <si>
    <t>[%/$=313][prorate=12/12]</t>
  </si>
  <si>
    <t>[%/$=626]</t>
  </si>
  <si>
    <t>[%/$=313][prorate=11/12]</t>
  </si>
  <si>
    <t>[%/$=313][prorate=2/12]</t>
  </si>
  <si>
    <t>Zing MAPD 2025*</t>
  </si>
  <si>
    <t>Zing MAPD 2025</t>
  </si>
  <si>
    <t>Zing 2025 OVR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</si>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</sst>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/mm/dd\ "/>
    <numFmt numFmtId="165" formatCode="yyyy/dd/mm\ "/>
    <numFmt numFmtId="166" formatCode="\$#,##0.00"/>
    <numFmt numFmtId="167" formatCode="&quot;$&quot;#,##0.0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0" borderId="0" xfId="0" applyFill="1"/>
    <xf numFmtId="14" fontId="0" fillId="0" borderId="0" xfId="0" applyNumberFormat="1" applyFill="1"/>
    <xf numFmtId="0" fontId="0" fillId="0" borderId="0" xfId="0" applyNumberFormat="1" applyFill="1" applyAlignment="1">
      <alignment horizontal="left"/>
    </xf>
    <xf numFmtId="167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workbookViewId="0">
      <selection activeCell="D18" sqref="D18"/>
    </sheetView>
  </sheetViews>
  <sheetFormatPr defaultRowHeight="15" x14ac:dyDescent="0.25"/>
  <cols>
    <col min="1" max="1" width="25" customWidth="1"/>
    <col min="2" max="2" width="20" customWidth="1"/>
    <col min="3" max="5" width="15" customWidth="1"/>
  </cols>
  <sheetData>
    <row r="1" spans="1:16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16" x14ac:dyDescent="0.25">
      <c r="A2" t="s">
        <v>6</v>
      </c>
      <c r="B2">
        <v>8</v>
      </c>
      <c r="C2" t="s">
        <v>7</v>
      </c>
      <c r="D2" t="s">
        <v>8</v>
      </c>
      <c r="E2" t="s">
        <v>7</v>
      </c>
      <c r="P2" s="4"/>
    </row>
    <row r="3" spans="1:16" x14ac:dyDescent="0.25">
      <c r="A3" t="s">
        <v>9</v>
      </c>
      <c r="B3">
        <v>11</v>
      </c>
      <c r="C3" t="s">
        <v>10</v>
      </c>
      <c r="D3" t="s">
        <v>8</v>
      </c>
      <c r="E3" t="s">
        <v>10</v>
      </c>
      <c r="P3" s="4"/>
    </row>
    <row r="4" spans="1:16" x14ac:dyDescent="0.25">
      <c r="A4" t="s">
        <v>11</v>
      </c>
      <c r="B4">
        <v>7</v>
      </c>
      <c r="C4" t="s">
        <v>12</v>
      </c>
      <c r="D4" t="s">
        <v>13</v>
      </c>
      <c r="E4" t="s">
        <v>14</v>
      </c>
      <c r="P4" s="4"/>
    </row>
    <row r="5" spans="1:16" x14ac:dyDescent="0.25">
      <c r="A5" t="s">
        <v>15</v>
      </c>
      <c r="B5">
        <v>0</v>
      </c>
      <c r="C5" t="s">
        <v>8</v>
      </c>
      <c r="D5" t="s">
        <v>8</v>
      </c>
      <c r="E5" t="s">
        <v>8</v>
      </c>
      <c r="P5" s="4"/>
    </row>
    <row r="6" spans="1:16" x14ac:dyDescent="0.25">
      <c r="A6" t="s">
        <v>16</v>
      </c>
      <c r="B6">
        <v>0</v>
      </c>
      <c r="C6" t="s">
        <v>8</v>
      </c>
      <c r="D6" t="s">
        <v>8</v>
      </c>
      <c r="E6" t="s">
        <v>8</v>
      </c>
      <c r="P6" s="4"/>
    </row>
    <row r="7" spans="1:16" x14ac:dyDescent="0.25">
      <c r="A7" t="s">
        <v>17</v>
      </c>
      <c r="B7">
        <v>0</v>
      </c>
      <c r="C7" t="s">
        <v>8</v>
      </c>
      <c r="D7" t="s">
        <v>8</v>
      </c>
      <c r="E7" t="s">
        <v>8</v>
      </c>
      <c r="P7" s="4"/>
    </row>
    <row r="8" spans="1:16" x14ac:dyDescent="0.25">
      <c r="A8" t="s">
        <v>18</v>
      </c>
      <c r="B8">
        <v>0</v>
      </c>
      <c r="C8" t="s">
        <v>8</v>
      </c>
      <c r="D8" t="s">
        <v>8</v>
      </c>
      <c r="E8" t="s">
        <v>8</v>
      </c>
      <c r="P8" s="4"/>
    </row>
    <row r="9" spans="1:16" x14ac:dyDescent="0.25">
      <c r="A9" t="s">
        <v>19</v>
      </c>
      <c r="E9" t="s">
        <v>20</v>
      </c>
      <c r="P9" s="4"/>
    </row>
    <row r="10" spans="1:16" x14ac:dyDescent="0.25">
      <c r="A10" t="s">
        <v>21</v>
      </c>
      <c r="B10">
        <v>25</v>
      </c>
      <c r="C10" t="s">
        <v>22</v>
      </c>
      <c r="D10" t="s">
        <v>13</v>
      </c>
      <c r="E10" t="s">
        <v>23</v>
      </c>
      <c r="P10" s="4"/>
    </row>
    <row r="11" spans="1:16" x14ac:dyDescent="0.25">
      <c r="P11" s="4"/>
    </row>
    <row r="12" spans="1:16" x14ac:dyDescent="0.25">
      <c r="P12" s="4"/>
    </row>
    <row r="13" spans="1:16" x14ac:dyDescent="0.25">
      <c r="P13" s="4"/>
    </row>
    <row r="14" spans="1:16" x14ac:dyDescent="0.25">
      <c r="P14" s="4"/>
    </row>
    <row r="15" spans="1:16" x14ac:dyDescent="0.25">
      <c r="P15" s="4"/>
    </row>
    <row r="16" spans="1:16" x14ac:dyDescent="0.25">
      <c r="P16" s="4"/>
    </row>
    <row r="17" spans="16:16" x14ac:dyDescent="0.25">
      <c r="P17" s="4"/>
    </row>
    <row r="18" spans="16:16" x14ac:dyDescent="0.25">
      <c r="P18" s="4"/>
    </row>
    <row r="19" spans="16:16" x14ac:dyDescent="0.25">
      <c r="P19" s="4"/>
    </row>
    <row r="20" spans="16:16" x14ac:dyDescent="0.25">
      <c r="P20" s="4"/>
    </row>
    <row r="21" spans="16:16" x14ac:dyDescent="0.25">
      <c r="P21" s="4"/>
    </row>
    <row r="22" spans="16:16" x14ac:dyDescent="0.25">
      <c r="P22" s="4"/>
    </row>
    <row r="23" spans="16:16" x14ac:dyDescent="0.25">
      <c r="P23" s="4"/>
    </row>
    <row r="24" spans="16:16" x14ac:dyDescent="0.25">
      <c r="P24" s="4"/>
    </row>
    <row r="25" spans="16:16" x14ac:dyDescent="0.25">
      <c r="P25" s="4"/>
    </row>
    <row r="26" spans="16:16" x14ac:dyDescent="0.25">
      <c r="P26" s="4"/>
    </row>
    <row r="27" spans="16:16" x14ac:dyDescent="0.25">
      <c r="P27" s="4"/>
    </row>
    <row r="28" spans="16:16" x14ac:dyDescent="0.25">
      <c r="P28" s="4"/>
    </row>
    <row r="29" spans="16:16" x14ac:dyDescent="0.25">
      <c r="P29" s="4"/>
    </row>
    <row r="30" spans="16:16" x14ac:dyDescent="0.25">
      <c r="P30" s="4"/>
    </row>
    <row r="31" spans="16:16" x14ac:dyDescent="0.25">
      <c r="P31" s="4"/>
    </row>
    <row r="32" spans="16:16" x14ac:dyDescent="0.25">
      <c r="P32" s="4"/>
    </row>
    <row r="33" spans="16:16" x14ac:dyDescent="0.25">
      <c r="P33" s="4"/>
    </row>
    <row r="34" spans="16:16" x14ac:dyDescent="0.25">
      <c r="P34" s="4"/>
    </row>
    <row r="35" spans="16:16" x14ac:dyDescent="0.25">
      <c r="P35" s="4"/>
    </row>
    <row r="36" spans="16:16" x14ac:dyDescent="0.25">
      <c r="P36" s="4"/>
    </row>
    <row r="37" spans="16:16" x14ac:dyDescent="0.25">
      <c r="P37" s="4"/>
    </row>
    <row r="38" spans="16:16" x14ac:dyDescent="0.25">
      <c r="P38" s="4"/>
    </row>
    <row r="39" spans="16:16" x14ac:dyDescent="0.25">
      <c r="P39" s="4"/>
    </row>
    <row r="40" spans="16:16" x14ac:dyDescent="0.25">
      <c r="P40" s="4"/>
    </row>
    <row r="41" spans="16:16" x14ac:dyDescent="0.25">
      <c r="P41" s="4"/>
    </row>
    <row r="42" spans="16:16" x14ac:dyDescent="0.25">
      <c r="P42" s="4"/>
    </row>
    <row r="43" spans="16:16" x14ac:dyDescent="0.25">
      <c r="P43" s="4"/>
    </row>
    <row r="44" spans="16:16" x14ac:dyDescent="0.25">
      <c r="P44" s="4"/>
    </row>
    <row r="45" spans="16:16" x14ac:dyDescent="0.25">
      <c r="P45" s="4"/>
    </row>
    <row r="46" spans="16:16" x14ac:dyDescent="0.25">
      <c r="P46" s="4"/>
    </row>
    <row r="47" spans="16:16" x14ac:dyDescent="0.25">
      <c r="P47" s="4"/>
    </row>
    <row r="48" spans="16:16" x14ac:dyDescent="0.25">
      <c r="P48" s="4"/>
    </row>
    <row r="49" spans="16:16" x14ac:dyDescent="0.25">
      <c r="P49" s="4"/>
    </row>
    <row r="50" spans="16:16" x14ac:dyDescent="0.25">
      <c r="P50" s="4"/>
    </row>
    <row r="51" spans="16:16" x14ac:dyDescent="0.25">
      <c r="P5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1"/>
  <sheetViews>
    <sheetView topLeftCell="B22" workbookViewId="0">
      <selection activeCell="G32" sqref="G32"/>
    </sheetView>
  </sheetViews>
  <sheetFormatPr defaultRowHeight="15" x14ac:dyDescent="0.25"/>
  <cols>
    <col min="1" max="1" width="25" customWidth="1"/>
    <col min="2" max="2" width="20" customWidth="1"/>
    <col min="3" max="4" width="15" customWidth="1"/>
    <col min="6" max="6" width="16.85546875" bestFit="1" customWidth="1"/>
    <col min="7" max="7" width="53.85546875" bestFit="1" customWidth="1"/>
    <col min="8" max="8" width="15.42578125" bestFit="1" customWidth="1"/>
    <col min="9" max="9" width="12.140625" bestFit="1" customWidth="1"/>
    <col min="10" max="10" width="19" bestFit="1" customWidth="1"/>
    <col min="11" max="11" width="21" bestFit="1" customWidth="1"/>
    <col min="12" max="12" width="13.28515625" bestFit="1" customWidth="1"/>
    <col min="13" max="13" width="9.7109375" bestFit="1" customWidth="1"/>
    <col min="14" max="14" width="10.28515625" bestFit="1" customWidth="1"/>
    <col min="15" max="15" width="8.28515625" bestFit="1" customWidth="1"/>
    <col min="16" max="16" width="9.5703125" bestFit="1" customWidth="1"/>
    <col min="17" max="17" width="6.85546875" bestFit="1" customWidth="1"/>
  </cols>
  <sheetData>
    <row r="1" spans="1:17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s="3" t="s">
        <v>37</v>
      </c>
      <c r="O1" t="s">
        <v>38</v>
      </c>
      <c r="P1" t="s">
        <v>39</v>
      </c>
      <c r="Q1" t="s">
        <v>40</v>
      </c>
    </row>
    <row r="2" spans="1:17" x14ac:dyDescent="0.25">
      <c r="A2" t="s">
        <v>41</v>
      </c>
      <c r="B2" t="s">
        <v>42</v>
      </c>
      <c r="C2" s="1">
        <v>45627</v>
      </c>
      <c r="D2" t="s">
        <v>0</v>
      </c>
      <c r="E2" t="s">
        <v>43</v>
      </c>
      <c r="F2" t="s">
        <v>0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>
        <v>2</v>
      </c>
      <c r="M2" t="s">
        <v>49</v>
      </c>
      <c r="N2" s="3" t="s">
        <v>0</v>
      </c>
      <c r="O2" t="s">
        <v>0</v>
      </c>
      <c r="P2" s="4">
        <v>26.08</v>
      </c>
      <c r="Q2" t="s">
        <v>50</v>
      </c>
    </row>
    <row r="3" spans="1:17" x14ac:dyDescent="0.25">
      <c r="A3" t="s">
        <v>41</v>
      </c>
      <c r="B3" t="s">
        <v>42</v>
      </c>
      <c r="C3" s="1">
        <v>45597</v>
      </c>
      <c r="D3" t="s">
        <v>0</v>
      </c>
      <c r="E3" t="s">
        <v>43</v>
      </c>
      <c r="F3" t="s">
        <v>0</v>
      </c>
      <c r="G3" t="s">
        <v>51</v>
      </c>
      <c r="H3" t="s">
        <v>52</v>
      </c>
      <c r="I3" t="s">
        <v>53</v>
      </c>
      <c r="J3" t="s">
        <v>54</v>
      </c>
      <c r="K3" t="s">
        <v>55</v>
      </c>
      <c r="L3">
        <v>2</v>
      </c>
      <c r="M3" t="s">
        <v>56</v>
      </c>
      <c r="N3" s="3" t="s">
        <v>0</v>
      </c>
      <c r="O3" t="s">
        <v>0</v>
      </c>
      <c r="P3" s="4">
        <v>26.08</v>
      </c>
      <c r="Q3" t="s">
        <v>50</v>
      </c>
    </row>
    <row r="4" spans="1:17" x14ac:dyDescent="0.25">
      <c r="A4" t="s">
        <v>57</v>
      </c>
      <c r="B4" t="s">
        <v>58</v>
      </c>
      <c r="C4" s="2">
        <v>45658</v>
      </c>
      <c r="D4" t="s">
        <v>0</v>
      </c>
      <c r="E4" t="s">
        <v>43</v>
      </c>
      <c r="F4" t="s">
        <v>0</v>
      </c>
      <c r="G4" t="s">
        <v>59</v>
      </c>
      <c r="H4" t="s">
        <v>60</v>
      </c>
      <c r="I4" t="s">
        <v>61</v>
      </c>
      <c r="J4" t="s">
        <v>62</v>
      </c>
      <c r="K4" t="s">
        <v>63</v>
      </c>
      <c r="L4">
        <v>2</v>
      </c>
      <c r="M4" t="s">
        <v>56</v>
      </c>
      <c r="N4" s="3" t="s">
        <v>0</v>
      </c>
      <c r="O4" t="s">
        <v>0</v>
      </c>
      <c r="P4" s="4">
        <v>26.08</v>
      </c>
      <c r="Q4" t="s">
        <v>50</v>
      </c>
    </row>
    <row r="5" spans="1:17" x14ac:dyDescent="0.25">
      <c r="A5" t="s">
        <v>64</v>
      </c>
      <c r="B5" t="s">
        <v>65</v>
      </c>
      <c r="C5" s="1">
        <v>45717</v>
      </c>
      <c r="D5" t="s">
        <v>0</v>
      </c>
      <c r="E5" t="s">
        <v>43</v>
      </c>
      <c r="F5" t="s">
        <v>0</v>
      </c>
      <c r="G5" t="s">
        <v>51</v>
      </c>
      <c r="H5" t="s">
        <v>66</v>
      </c>
      <c r="I5" t="s">
        <v>67</v>
      </c>
      <c r="J5" t="s">
        <v>68</v>
      </c>
      <c r="K5" t="s">
        <v>69</v>
      </c>
      <c r="L5">
        <v>1</v>
      </c>
      <c r="M5" t="s">
        <v>56</v>
      </c>
      <c r="N5" s="3" t="s">
        <v>0</v>
      </c>
      <c r="O5" t="s">
        <v>0</v>
      </c>
      <c r="P5" s="4">
        <v>260.83</v>
      </c>
      <c r="Q5" t="s">
        <v>50</v>
      </c>
    </row>
    <row r="6" spans="1:17" x14ac:dyDescent="0.25">
      <c r="A6" t="s">
        <v>70</v>
      </c>
      <c r="B6" t="s">
        <v>71</v>
      </c>
      <c r="C6" s="1">
        <v>45717</v>
      </c>
      <c r="D6" t="s">
        <v>0</v>
      </c>
      <c r="E6" t="s">
        <v>43</v>
      </c>
      <c r="F6" t="s">
        <v>0</v>
      </c>
      <c r="G6" t="s">
        <v>51</v>
      </c>
      <c r="H6" t="s">
        <v>72</v>
      </c>
      <c r="I6" t="s">
        <v>73</v>
      </c>
      <c r="J6" t="s">
        <v>74</v>
      </c>
      <c r="K6" t="s">
        <v>75</v>
      </c>
      <c r="L6">
        <v>1</v>
      </c>
      <c r="M6" t="s">
        <v>49</v>
      </c>
      <c r="N6" s="3" t="s">
        <v>0</v>
      </c>
      <c r="O6" t="s">
        <v>0</v>
      </c>
      <c r="P6" s="4">
        <v>626</v>
      </c>
      <c r="Q6" t="s">
        <v>50</v>
      </c>
    </row>
    <row r="7" spans="1:17" x14ac:dyDescent="0.25">
      <c r="A7" t="s">
        <v>70</v>
      </c>
      <c r="B7" t="s">
        <v>71</v>
      </c>
      <c r="C7" s="2">
        <v>45658</v>
      </c>
      <c r="D7" s="1">
        <v>45716</v>
      </c>
      <c r="E7" t="s">
        <v>43</v>
      </c>
      <c r="F7" t="s">
        <v>0</v>
      </c>
      <c r="G7" t="s">
        <v>51</v>
      </c>
      <c r="H7" t="s">
        <v>76</v>
      </c>
      <c r="I7" t="s">
        <v>77</v>
      </c>
      <c r="J7" t="s">
        <v>78</v>
      </c>
      <c r="K7" t="s">
        <v>79</v>
      </c>
      <c r="L7">
        <v>1</v>
      </c>
      <c r="M7" t="s">
        <v>56</v>
      </c>
      <c r="N7" s="3" t="s">
        <v>0</v>
      </c>
      <c r="O7" t="s">
        <v>0</v>
      </c>
      <c r="P7" s="4">
        <v>-313</v>
      </c>
      <c r="Q7" t="s">
        <v>50</v>
      </c>
    </row>
    <row r="8" spans="1:17" x14ac:dyDescent="0.25">
      <c r="A8" t="s">
        <v>70</v>
      </c>
      <c r="B8" t="s">
        <v>71</v>
      </c>
      <c r="C8" s="1">
        <v>45717</v>
      </c>
      <c r="D8" t="s">
        <v>0</v>
      </c>
      <c r="E8" t="s">
        <v>43</v>
      </c>
      <c r="F8" t="s">
        <v>0</v>
      </c>
      <c r="G8" t="s">
        <v>51</v>
      </c>
      <c r="H8" t="s">
        <v>80</v>
      </c>
      <c r="I8" t="s">
        <v>81</v>
      </c>
      <c r="J8" t="s">
        <v>82</v>
      </c>
      <c r="K8" t="s">
        <v>83</v>
      </c>
      <c r="L8">
        <v>1</v>
      </c>
      <c r="M8" t="s">
        <v>56</v>
      </c>
      <c r="N8" s="3" t="s">
        <v>0</v>
      </c>
      <c r="O8" t="s">
        <v>0</v>
      </c>
      <c r="P8" s="4">
        <v>260.83</v>
      </c>
      <c r="Q8" t="s">
        <v>50</v>
      </c>
    </row>
    <row r="9" spans="1:17" x14ac:dyDescent="0.25">
      <c r="A9" t="s">
        <v>70</v>
      </c>
      <c r="B9" t="s">
        <v>71</v>
      </c>
      <c r="C9" s="1">
        <v>45597</v>
      </c>
      <c r="D9" t="s">
        <v>0</v>
      </c>
      <c r="E9" t="s">
        <v>43</v>
      </c>
      <c r="F9" t="s">
        <v>0</v>
      </c>
      <c r="G9" t="s">
        <v>51</v>
      </c>
      <c r="H9" t="s">
        <v>84</v>
      </c>
      <c r="I9" t="s">
        <v>85</v>
      </c>
      <c r="J9" t="s">
        <v>86</v>
      </c>
      <c r="K9" t="s">
        <v>87</v>
      </c>
      <c r="L9">
        <v>2</v>
      </c>
      <c r="M9" t="s">
        <v>56</v>
      </c>
      <c r="N9" s="3" t="s">
        <v>0</v>
      </c>
      <c r="O9" t="s">
        <v>0</v>
      </c>
      <c r="P9" s="4">
        <v>26.08</v>
      </c>
      <c r="Q9" t="s">
        <v>50</v>
      </c>
    </row>
    <row r="10" spans="1:17" x14ac:dyDescent="0.25">
      <c r="A10" t="s">
        <v>70</v>
      </c>
      <c r="B10" t="s">
        <v>71</v>
      </c>
      <c r="C10" s="1">
        <v>45536</v>
      </c>
      <c r="D10" t="s">
        <v>0</v>
      </c>
      <c r="E10" t="s">
        <v>43</v>
      </c>
      <c r="F10" t="s">
        <v>0</v>
      </c>
      <c r="G10" t="s">
        <v>51</v>
      </c>
      <c r="H10" t="s">
        <v>88</v>
      </c>
      <c r="I10" t="s">
        <v>89</v>
      </c>
      <c r="J10" t="s">
        <v>90</v>
      </c>
      <c r="K10" t="s">
        <v>91</v>
      </c>
      <c r="L10">
        <v>2</v>
      </c>
      <c r="M10" t="s">
        <v>56</v>
      </c>
      <c r="N10" s="3" t="s">
        <v>0</v>
      </c>
      <c r="O10" t="s">
        <v>0</v>
      </c>
      <c r="P10" s="4">
        <v>26.08</v>
      </c>
      <c r="Q10" t="s">
        <v>50</v>
      </c>
    </row>
    <row r="11" spans="1:17" x14ac:dyDescent="0.25">
      <c r="A11" t="s">
        <v>70</v>
      </c>
      <c r="B11" t="s">
        <v>71</v>
      </c>
      <c r="C11" s="1">
        <v>45505</v>
      </c>
      <c r="D11" t="s">
        <v>0</v>
      </c>
      <c r="E11" t="s">
        <v>43</v>
      </c>
      <c r="F11" t="s">
        <v>0</v>
      </c>
      <c r="G11" t="s">
        <v>44</v>
      </c>
      <c r="H11" t="s">
        <v>92</v>
      </c>
      <c r="I11" t="s">
        <v>93</v>
      </c>
      <c r="J11" t="s">
        <v>94</v>
      </c>
      <c r="K11" t="s">
        <v>95</v>
      </c>
      <c r="L11">
        <v>2</v>
      </c>
      <c r="M11" t="s">
        <v>56</v>
      </c>
      <c r="N11" s="3" t="s">
        <v>0</v>
      </c>
      <c r="O11" t="s">
        <v>0</v>
      </c>
      <c r="P11" s="4">
        <v>26.08</v>
      </c>
      <c r="Q11" t="s">
        <v>50</v>
      </c>
    </row>
    <row r="12" spans="1:17" x14ac:dyDescent="0.25">
      <c r="A12" t="s">
        <v>70</v>
      </c>
      <c r="B12" t="s">
        <v>71</v>
      </c>
      <c r="C12" s="1">
        <v>45566</v>
      </c>
      <c r="D12" t="s">
        <v>0</v>
      </c>
      <c r="E12" t="s">
        <v>43</v>
      </c>
      <c r="F12" t="s">
        <v>0</v>
      </c>
      <c r="G12" t="s">
        <v>51</v>
      </c>
      <c r="H12" t="s">
        <v>96</v>
      </c>
      <c r="I12" t="s">
        <v>97</v>
      </c>
      <c r="J12" t="s">
        <v>98</v>
      </c>
      <c r="K12" t="s">
        <v>99</v>
      </c>
      <c r="L12">
        <v>2</v>
      </c>
      <c r="M12" t="s">
        <v>56</v>
      </c>
      <c r="N12" s="3" t="s">
        <v>0</v>
      </c>
      <c r="O12" t="s">
        <v>0</v>
      </c>
      <c r="P12" s="4">
        <v>26.08</v>
      </c>
      <c r="Q12" t="s">
        <v>50</v>
      </c>
    </row>
    <row r="13" spans="1:17" x14ac:dyDescent="0.25">
      <c r="A13" t="s">
        <v>100</v>
      </c>
      <c r="B13" t="s">
        <v>101</v>
      </c>
      <c r="C13" s="1">
        <v>45505</v>
      </c>
      <c r="D13" t="s">
        <v>0</v>
      </c>
      <c r="E13" t="s">
        <v>43</v>
      </c>
      <c r="F13" t="s">
        <v>0</v>
      </c>
      <c r="G13" t="s">
        <v>44</v>
      </c>
      <c r="H13" t="s">
        <v>102</v>
      </c>
      <c r="I13" t="s">
        <v>103</v>
      </c>
      <c r="J13" t="s">
        <v>104</v>
      </c>
      <c r="K13" t="s">
        <v>105</v>
      </c>
      <c r="L13">
        <v>2</v>
      </c>
      <c r="M13" t="s">
        <v>56</v>
      </c>
      <c r="N13" s="3" t="s">
        <v>0</v>
      </c>
      <c r="O13" t="s">
        <v>0</v>
      </c>
      <c r="P13" s="4">
        <v>26.08</v>
      </c>
      <c r="Q13" t="s">
        <v>50</v>
      </c>
    </row>
    <row r="14" spans="1:17" x14ac:dyDescent="0.25">
      <c r="A14" t="s">
        <v>106</v>
      </c>
      <c r="B14" t="s">
        <v>107</v>
      </c>
      <c r="C14" s="1">
        <v>45474</v>
      </c>
      <c r="D14" t="s">
        <v>0</v>
      </c>
      <c r="E14" t="s">
        <v>43</v>
      </c>
      <c r="F14" t="s">
        <v>0</v>
      </c>
      <c r="G14" t="s">
        <v>108</v>
      </c>
      <c r="H14" t="s">
        <v>109</v>
      </c>
      <c r="I14" t="s">
        <v>110</v>
      </c>
      <c r="J14" t="s">
        <v>111</v>
      </c>
      <c r="K14" t="s">
        <v>112</v>
      </c>
      <c r="L14">
        <v>2</v>
      </c>
      <c r="M14" t="s">
        <v>56</v>
      </c>
      <c r="N14" s="3" t="s">
        <v>0</v>
      </c>
      <c r="O14" t="s">
        <v>0</v>
      </c>
      <c r="P14" s="4">
        <v>26.08</v>
      </c>
      <c r="Q14" t="s">
        <v>50</v>
      </c>
    </row>
    <row r="15" spans="1:17" x14ac:dyDescent="0.25">
      <c r="A15" t="s">
        <v>106</v>
      </c>
      <c r="B15" t="s">
        <v>107</v>
      </c>
      <c r="C15" s="1">
        <v>45717</v>
      </c>
      <c r="D15" t="s">
        <v>0</v>
      </c>
      <c r="E15" t="s">
        <v>43</v>
      </c>
      <c r="F15" t="s">
        <v>0</v>
      </c>
      <c r="G15" t="s">
        <v>51</v>
      </c>
      <c r="H15" t="s">
        <v>113</v>
      </c>
      <c r="I15" t="s">
        <v>114</v>
      </c>
      <c r="J15" t="s">
        <v>115</v>
      </c>
      <c r="K15" t="s">
        <v>116</v>
      </c>
      <c r="L15">
        <v>1</v>
      </c>
      <c r="M15" t="s">
        <v>56</v>
      </c>
      <c r="N15" s="3" t="s">
        <v>0</v>
      </c>
      <c r="O15" t="s">
        <v>0</v>
      </c>
      <c r="P15" s="4">
        <v>260.83</v>
      </c>
      <c r="Q15" t="s">
        <v>50</v>
      </c>
    </row>
    <row r="16" spans="1:17" x14ac:dyDescent="0.25">
      <c r="A16" t="s">
        <v>106</v>
      </c>
      <c r="B16" t="s">
        <v>107</v>
      </c>
      <c r="C16" s="1">
        <v>45717</v>
      </c>
      <c r="D16" t="s">
        <v>0</v>
      </c>
      <c r="E16" t="s">
        <v>43</v>
      </c>
      <c r="F16" t="s">
        <v>0</v>
      </c>
      <c r="G16" t="s">
        <v>51</v>
      </c>
      <c r="H16" t="s">
        <v>117</v>
      </c>
      <c r="I16" t="s">
        <v>118</v>
      </c>
      <c r="J16" t="s">
        <v>119</v>
      </c>
      <c r="K16" t="s">
        <v>120</v>
      </c>
      <c r="L16">
        <v>1</v>
      </c>
      <c r="M16" t="s">
        <v>56</v>
      </c>
      <c r="N16" s="3" t="s">
        <v>0</v>
      </c>
      <c r="O16" t="s">
        <v>0</v>
      </c>
      <c r="P16" s="4">
        <v>260.83</v>
      </c>
      <c r="Q16" t="s">
        <v>50</v>
      </c>
    </row>
    <row r="17" spans="1:17" x14ac:dyDescent="0.25">
      <c r="A17" t="s">
        <v>106</v>
      </c>
      <c r="B17" t="s">
        <v>107</v>
      </c>
      <c r="C17" s="1">
        <v>45689</v>
      </c>
      <c r="D17" t="s">
        <v>0</v>
      </c>
      <c r="E17" t="s">
        <v>43</v>
      </c>
      <c r="F17" t="s">
        <v>0</v>
      </c>
      <c r="G17" t="s">
        <v>51</v>
      </c>
      <c r="H17" t="s">
        <v>121</v>
      </c>
      <c r="I17" t="s">
        <v>122</v>
      </c>
      <c r="J17" t="s">
        <v>123</v>
      </c>
      <c r="K17" t="s">
        <v>124</v>
      </c>
      <c r="L17">
        <v>1</v>
      </c>
      <c r="M17" t="s">
        <v>56</v>
      </c>
      <c r="N17" s="3" t="s">
        <v>0</v>
      </c>
      <c r="O17" t="s">
        <v>0</v>
      </c>
      <c r="P17" s="4">
        <v>286.92</v>
      </c>
      <c r="Q17" t="s">
        <v>50</v>
      </c>
    </row>
    <row r="18" spans="1:17" x14ac:dyDescent="0.25">
      <c r="A18" t="s">
        <v>106</v>
      </c>
      <c r="B18" t="s">
        <v>107</v>
      </c>
      <c r="C18" s="2">
        <v>45658</v>
      </c>
      <c r="D18" s="1">
        <v>45716</v>
      </c>
      <c r="E18" t="s">
        <v>43</v>
      </c>
      <c r="F18" t="s">
        <v>0</v>
      </c>
      <c r="G18" t="s">
        <v>59</v>
      </c>
      <c r="H18" t="s">
        <v>125</v>
      </c>
      <c r="I18" t="s">
        <v>126</v>
      </c>
      <c r="J18" t="s">
        <v>127</v>
      </c>
      <c r="K18" t="s">
        <v>128</v>
      </c>
      <c r="L18">
        <v>1</v>
      </c>
      <c r="M18" t="s">
        <v>56</v>
      </c>
      <c r="N18" s="3" t="s">
        <v>0</v>
      </c>
      <c r="O18" t="s">
        <v>0</v>
      </c>
      <c r="P18" s="4">
        <v>-313</v>
      </c>
      <c r="Q18" t="s">
        <v>50</v>
      </c>
    </row>
    <row r="19" spans="1:17" x14ac:dyDescent="0.25">
      <c r="A19" t="s">
        <v>106</v>
      </c>
      <c r="B19" t="s">
        <v>107</v>
      </c>
      <c r="C19" s="1">
        <v>45689</v>
      </c>
      <c r="D19" t="s">
        <v>0</v>
      </c>
      <c r="E19" t="s">
        <v>43</v>
      </c>
      <c r="F19" t="s">
        <v>0</v>
      </c>
      <c r="G19" t="s">
        <v>51</v>
      </c>
      <c r="H19" t="s">
        <v>129</v>
      </c>
      <c r="I19" t="s">
        <v>130</v>
      </c>
      <c r="J19" t="s">
        <v>131</v>
      </c>
      <c r="K19" t="s">
        <v>132</v>
      </c>
      <c r="L19">
        <v>1</v>
      </c>
      <c r="M19" t="s">
        <v>56</v>
      </c>
      <c r="N19" s="3" t="s">
        <v>0</v>
      </c>
      <c r="O19" t="s">
        <v>0</v>
      </c>
      <c r="P19" s="4">
        <v>286.91000000000003</v>
      </c>
      <c r="Q19" t="s">
        <v>50</v>
      </c>
    </row>
    <row r="20" spans="1:17" x14ac:dyDescent="0.25">
      <c r="A20" t="s">
        <v>133</v>
      </c>
      <c r="B20" t="s">
        <v>134</v>
      </c>
      <c r="C20" s="2">
        <v>45658</v>
      </c>
      <c r="D20" s="1">
        <v>45716</v>
      </c>
      <c r="E20" t="s">
        <v>43</v>
      </c>
      <c r="F20" t="s">
        <v>0</v>
      </c>
      <c r="G20" t="s">
        <v>51</v>
      </c>
      <c r="H20" t="s">
        <v>135</v>
      </c>
      <c r="I20" t="s">
        <v>136</v>
      </c>
      <c r="J20" t="s">
        <v>137</v>
      </c>
      <c r="K20" t="s">
        <v>138</v>
      </c>
      <c r="L20">
        <v>1</v>
      </c>
      <c r="M20" t="s">
        <v>56</v>
      </c>
      <c r="N20" s="3" t="s">
        <v>0</v>
      </c>
      <c r="O20" t="s">
        <v>0</v>
      </c>
      <c r="P20" s="4">
        <v>52.16</v>
      </c>
      <c r="Q20" t="s">
        <v>50</v>
      </c>
    </row>
    <row r="21" spans="1:17" x14ac:dyDescent="0.25">
      <c r="A21" t="s">
        <v>133</v>
      </c>
      <c r="B21" t="s">
        <v>134</v>
      </c>
      <c r="C21" s="1">
        <v>45717</v>
      </c>
      <c r="D21" t="s">
        <v>0</v>
      </c>
      <c r="E21" t="s">
        <v>43</v>
      </c>
      <c r="F21" t="s">
        <v>0</v>
      </c>
      <c r="G21" t="s">
        <v>51</v>
      </c>
      <c r="H21" t="s">
        <v>135</v>
      </c>
      <c r="I21" t="s">
        <v>136</v>
      </c>
      <c r="J21" t="s">
        <v>137</v>
      </c>
      <c r="K21" t="s">
        <v>138</v>
      </c>
      <c r="L21">
        <v>1</v>
      </c>
      <c r="M21" t="s">
        <v>56</v>
      </c>
      <c r="N21" s="3" t="s">
        <v>0</v>
      </c>
      <c r="O21" t="s">
        <v>0</v>
      </c>
      <c r="P21" s="4">
        <v>260.83999999999997</v>
      </c>
      <c r="Q21" t="s">
        <v>50</v>
      </c>
    </row>
    <row r="22" spans="1:17" x14ac:dyDescent="0.25">
      <c r="A22" t="s">
        <v>139</v>
      </c>
      <c r="B22" t="s">
        <v>140</v>
      </c>
      <c r="C22" s="1">
        <v>45597</v>
      </c>
      <c r="D22" t="s">
        <v>0</v>
      </c>
      <c r="E22" t="s">
        <v>43</v>
      </c>
      <c r="F22" t="s">
        <v>0</v>
      </c>
      <c r="G22" t="s">
        <v>44</v>
      </c>
      <c r="H22" t="s">
        <v>141</v>
      </c>
      <c r="I22" t="s">
        <v>142</v>
      </c>
      <c r="J22" t="s">
        <v>143</v>
      </c>
      <c r="K22" t="s">
        <v>144</v>
      </c>
      <c r="L22">
        <v>2</v>
      </c>
      <c r="M22" t="s">
        <v>56</v>
      </c>
      <c r="N22" s="3" t="s">
        <v>0</v>
      </c>
      <c r="O22" t="s">
        <v>0</v>
      </c>
      <c r="P22" s="4">
        <v>26.08</v>
      </c>
      <c r="Q22" t="s">
        <v>50</v>
      </c>
    </row>
    <row r="23" spans="1:17" x14ac:dyDescent="0.25">
      <c r="A23" t="s">
        <v>145</v>
      </c>
      <c r="B23" t="s">
        <v>146</v>
      </c>
      <c r="C23" s="2">
        <v>45658</v>
      </c>
      <c r="D23" s="1">
        <v>45716</v>
      </c>
      <c r="E23" t="s">
        <v>43</v>
      </c>
      <c r="F23" t="s">
        <v>0</v>
      </c>
      <c r="G23" t="s">
        <v>147</v>
      </c>
      <c r="H23" t="s">
        <v>148</v>
      </c>
      <c r="I23" t="s">
        <v>149</v>
      </c>
      <c r="J23" t="s">
        <v>150</v>
      </c>
      <c r="K23" t="s">
        <v>151</v>
      </c>
      <c r="L23">
        <v>1</v>
      </c>
      <c r="M23" t="s">
        <v>56</v>
      </c>
      <c r="N23" s="3" t="s">
        <v>0</v>
      </c>
      <c r="O23" t="s">
        <v>0</v>
      </c>
      <c r="P23" s="4">
        <v>-313</v>
      </c>
      <c r="Q23" t="s">
        <v>50</v>
      </c>
    </row>
    <row r="24" spans="1:17" x14ac:dyDescent="0.25">
      <c r="A24" t="s">
        <v>152</v>
      </c>
      <c r="B24" t="s">
        <v>153</v>
      </c>
      <c r="C24" s="2">
        <v>45658</v>
      </c>
      <c r="D24" s="1">
        <v>45716</v>
      </c>
      <c r="E24" t="s">
        <v>43</v>
      </c>
      <c r="F24" t="s">
        <v>0</v>
      </c>
      <c r="G24" t="s">
        <v>154</v>
      </c>
      <c r="H24" t="s">
        <v>155</v>
      </c>
      <c r="I24" t="s">
        <v>156</v>
      </c>
      <c r="J24" t="s">
        <v>157</v>
      </c>
      <c r="K24" t="s">
        <v>158</v>
      </c>
      <c r="L24">
        <v>1</v>
      </c>
      <c r="M24" t="s">
        <v>49</v>
      </c>
      <c r="N24" s="3" t="s">
        <v>0</v>
      </c>
      <c r="O24" t="s">
        <v>0</v>
      </c>
      <c r="P24" s="4">
        <v>-626</v>
      </c>
      <c r="Q24" t="s">
        <v>50</v>
      </c>
    </row>
    <row r="25" spans="1:17" x14ac:dyDescent="0.25">
      <c r="A25" t="s">
        <v>70</v>
      </c>
      <c r="B25" t="s">
        <v>71</v>
      </c>
      <c r="C25" s="1">
        <v>45717</v>
      </c>
      <c r="D25" t="s">
        <v>0</v>
      </c>
      <c r="E25" t="s">
        <v>43</v>
      </c>
      <c r="F25" t="s">
        <v>0</v>
      </c>
      <c r="G25" t="s">
        <v>51</v>
      </c>
      <c r="H25" t="s">
        <v>72</v>
      </c>
      <c r="I25" t="s">
        <v>73</v>
      </c>
      <c r="J25" t="s">
        <v>74</v>
      </c>
      <c r="K25" t="s">
        <v>75</v>
      </c>
      <c r="L25">
        <v>1</v>
      </c>
      <c r="M25" t="s">
        <v>49</v>
      </c>
      <c r="N25" s="3" t="s">
        <v>0</v>
      </c>
      <c r="O25" t="s">
        <v>0</v>
      </c>
      <c r="P25" s="4">
        <v>200</v>
      </c>
      <c r="Q25" t="s">
        <v>159</v>
      </c>
    </row>
    <row r="26" spans="1:17" x14ac:dyDescent="0.25">
      <c r="A26" t="s">
        <v>106</v>
      </c>
      <c r="B26" t="s">
        <v>107</v>
      </c>
      <c r="C26" s="1">
        <v>45474</v>
      </c>
      <c r="D26" t="s">
        <v>0</v>
      </c>
      <c r="E26" t="s">
        <v>43</v>
      </c>
      <c r="F26" t="s">
        <v>0</v>
      </c>
      <c r="G26" t="s">
        <v>108</v>
      </c>
      <c r="H26" t="s">
        <v>109</v>
      </c>
      <c r="I26" t="s">
        <v>110</v>
      </c>
      <c r="J26" t="s">
        <v>111</v>
      </c>
      <c r="K26" t="s">
        <v>112</v>
      </c>
      <c r="L26">
        <v>2</v>
      </c>
      <c r="M26" t="s">
        <v>56</v>
      </c>
      <c r="N26" s="3" t="s">
        <v>0</v>
      </c>
      <c r="O26" t="s">
        <v>0</v>
      </c>
      <c r="P26" s="4">
        <v>8.32</v>
      </c>
      <c r="Q26" t="s">
        <v>159</v>
      </c>
    </row>
    <row r="27" spans="1:17" x14ac:dyDescent="0.25">
      <c r="A27" t="s">
        <v>106</v>
      </c>
      <c r="B27" t="s">
        <v>107</v>
      </c>
      <c r="C27" s="1">
        <v>45717</v>
      </c>
      <c r="D27" t="s">
        <v>0</v>
      </c>
      <c r="E27" t="s">
        <v>43</v>
      </c>
      <c r="F27" t="s">
        <v>0</v>
      </c>
      <c r="G27" t="s">
        <v>51</v>
      </c>
      <c r="H27" t="s">
        <v>113</v>
      </c>
      <c r="I27" t="s">
        <v>114</v>
      </c>
      <c r="J27" t="s">
        <v>115</v>
      </c>
      <c r="K27" t="s">
        <v>116</v>
      </c>
      <c r="L27">
        <v>1</v>
      </c>
      <c r="M27" t="s">
        <v>56</v>
      </c>
      <c r="N27" s="3" t="s">
        <v>0</v>
      </c>
      <c r="O27" t="s">
        <v>0</v>
      </c>
      <c r="P27" s="4">
        <v>200</v>
      </c>
      <c r="Q27" t="s">
        <v>159</v>
      </c>
    </row>
    <row r="28" spans="1:17" x14ac:dyDescent="0.25">
      <c r="A28" t="s">
        <v>145</v>
      </c>
      <c r="B28" t="s">
        <v>146</v>
      </c>
      <c r="C28" s="2">
        <v>45658</v>
      </c>
      <c r="D28" s="1">
        <v>45716</v>
      </c>
      <c r="E28" t="s">
        <v>43</v>
      </c>
      <c r="F28" t="s">
        <v>0</v>
      </c>
      <c r="G28" t="s">
        <v>147</v>
      </c>
      <c r="H28" t="s">
        <v>148</v>
      </c>
      <c r="I28" t="s">
        <v>149</v>
      </c>
      <c r="J28" t="s">
        <v>150</v>
      </c>
      <c r="K28" t="s">
        <v>151</v>
      </c>
      <c r="L28">
        <v>1</v>
      </c>
      <c r="M28" t="s">
        <v>56</v>
      </c>
      <c r="N28" s="3" t="s">
        <v>0</v>
      </c>
      <c r="O28" t="s">
        <v>0</v>
      </c>
      <c r="P28" s="4">
        <v>-200</v>
      </c>
      <c r="Q28" t="s">
        <v>159</v>
      </c>
    </row>
    <row r="29" spans="1:17" x14ac:dyDescent="0.25">
      <c r="A29" t="s">
        <v>70</v>
      </c>
      <c r="B29" t="s">
        <v>71</v>
      </c>
      <c r="C29" s="2">
        <v>45658</v>
      </c>
      <c r="D29" s="1">
        <v>45716</v>
      </c>
      <c r="E29" t="s">
        <v>43</v>
      </c>
      <c r="F29" t="s">
        <v>0</v>
      </c>
      <c r="G29" t="s">
        <v>51</v>
      </c>
      <c r="H29" t="s">
        <v>76</v>
      </c>
      <c r="I29" t="s">
        <v>77</v>
      </c>
      <c r="J29" t="s">
        <v>78</v>
      </c>
      <c r="K29" t="s">
        <v>79</v>
      </c>
      <c r="L29">
        <v>1</v>
      </c>
      <c r="M29" t="s">
        <v>56</v>
      </c>
      <c r="N29" s="3" t="s">
        <v>0</v>
      </c>
      <c r="O29" t="s">
        <v>0</v>
      </c>
      <c r="P29" s="4">
        <v>-200</v>
      </c>
      <c r="Q29" t="s">
        <v>159</v>
      </c>
    </row>
    <row r="30" spans="1:17" x14ac:dyDescent="0.25">
      <c r="A30" t="s">
        <v>160</v>
      </c>
      <c r="B30" t="s">
        <v>161</v>
      </c>
      <c r="C30" s="1">
        <v>45566</v>
      </c>
      <c r="D30" t="s">
        <v>0</v>
      </c>
      <c r="E30" t="s">
        <v>43</v>
      </c>
      <c r="F30" t="s">
        <v>0</v>
      </c>
      <c r="G30" t="s">
        <v>44</v>
      </c>
      <c r="H30" t="s">
        <v>162</v>
      </c>
      <c r="I30" t="s">
        <v>163</v>
      </c>
      <c r="J30" t="s">
        <v>164</v>
      </c>
      <c r="K30" t="s">
        <v>165</v>
      </c>
      <c r="L30">
        <v>2</v>
      </c>
      <c r="M30" t="s">
        <v>56</v>
      </c>
      <c r="N30" s="3" t="s">
        <v>0</v>
      </c>
      <c r="O30" t="s">
        <v>0</v>
      </c>
      <c r="P30" s="4">
        <v>8.32</v>
      </c>
      <c r="Q30" t="s">
        <v>159</v>
      </c>
    </row>
    <row r="31" spans="1:17" x14ac:dyDescent="0.25">
      <c r="A31" t="s">
        <v>41</v>
      </c>
      <c r="B31" t="s">
        <v>42</v>
      </c>
      <c r="C31" s="1">
        <v>45627</v>
      </c>
      <c r="D31" t="s">
        <v>0</v>
      </c>
      <c r="E31" t="s">
        <v>43</v>
      </c>
      <c r="F31" t="s">
        <v>0</v>
      </c>
      <c r="G31" t="s">
        <v>44</v>
      </c>
      <c r="H31" t="s">
        <v>45</v>
      </c>
      <c r="I31" t="s">
        <v>46</v>
      </c>
      <c r="J31" t="s">
        <v>47</v>
      </c>
      <c r="K31" t="s">
        <v>48</v>
      </c>
      <c r="L31">
        <v>2</v>
      </c>
      <c r="M31" t="s">
        <v>49</v>
      </c>
      <c r="N31" s="3" t="s">
        <v>0</v>
      </c>
      <c r="O31" t="s">
        <v>0</v>
      </c>
      <c r="P31" s="4">
        <v>8.32</v>
      </c>
      <c r="Q31" t="s">
        <v>159</v>
      </c>
    </row>
    <row r="32" spans="1:17" x14ac:dyDescent="0.25">
      <c r="A32" t="s">
        <v>106</v>
      </c>
      <c r="B32" t="s">
        <v>107</v>
      </c>
      <c r="C32" s="1">
        <v>45717</v>
      </c>
      <c r="D32" t="s">
        <v>0</v>
      </c>
      <c r="E32" t="s">
        <v>43</v>
      </c>
      <c r="F32" t="s">
        <v>0</v>
      </c>
      <c r="G32" t="s">
        <v>51</v>
      </c>
      <c r="H32" t="s">
        <v>117</v>
      </c>
      <c r="I32" t="s">
        <v>118</v>
      </c>
      <c r="J32" t="s">
        <v>119</v>
      </c>
      <c r="K32" t="s">
        <v>120</v>
      </c>
      <c r="L32">
        <v>1</v>
      </c>
      <c r="M32" t="s">
        <v>56</v>
      </c>
      <c r="N32" s="3" t="s">
        <v>0</v>
      </c>
      <c r="O32" t="s">
        <v>0</v>
      </c>
      <c r="P32" s="4">
        <v>200</v>
      </c>
      <c r="Q32" t="s">
        <v>159</v>
      </c>
    </row>
    <row r="33" spans="1:17" x14ac:dyDescent="0.25">
      <c r="A33" t="s">
        <v>166</v>
      </c>
      <c r="B33" t="s">
        <v>167</v>
      </c>
      <c r="C33" s="2">
        <v>45658</v>
      </c>
      <c r="D33" s="1">
        <v>45716</v>
      </c>
      <c r="E33" t="s">
        <v>43</v>
      </c>
      <c r="F33" t="s">
        <v>0</v>
      </c>
      <c r="G33" t="s">
        <v>59</v>
      </c>
      <c r="H33" t="s">
        <v>168</v>
      </c>
      <c r="I33" t="s">
        <v>169</v>
      </c>
      <c r="J33" t="s">
        <v>170</v>
      </c>
      <c r="K33" t="s">
        <v>171</v>
      </c>
      <c r="L33">
        <v>1</v>
      </c>
      <c r="M33" t="s">
        <v>56</v>
      </c>
      <c r="N33" s="3" t="s">
        <v>0</v>
      </c>
      <c r="O33" t="s">
        <v>0</v>
      </c>
      <c r="P33" s="4">
        <v>-200</v>
      </c>
      <c r="Q33" t="s">
        <v>159</v>
      </c>
    </row>
    <row r="34" spans="1:17" x14ac:dyDescent="0.25">
      <c r="A34" t="s">
        <v>139</v>
      </c>
      <c r="B34" t="s">
        <v>140</v>
      </c>
      <c r="C34" s="1">
        <v>45597</v>
      </c>
      <c r="D34" t="s">
        <v>0</v>
      </c>
      <c r="E34" t="s">
        <v>43</v>
      </c>
      <c r="F34" t="s">
        <v>0</v>
      </c>
      <c r="G34" t="s">
        <v>44</v>
      </c>
      <c r="H34" t="s">
        <v>141</v>
      </c>
      <c r="I34" t="s">
        <v>142</v>
      </c>
      <c r="J34" t="s">
        <v>143</v>
      </c>
      <c r="K34" t="s">
        <v>144</v>
      </c>
      <c r="L34">
        <v>2</v>
      </c>
      <c r="M34" t="s">
        <v>56</v>
      </c>
      <c r="N34" s="3" t="s">
        <v>0</v>
      </c>
      <c r="O34" t="s">
        <v>0</v>
      </c>
      <c r="P34" s="4">
        <v>8.32</v>
      </c>
      <c r="Q34" t="s">
        <v>159</v>
      </c>
    </row>
    <row r="35" spans="1:17" x14ac:dyDescent="0.25">
      <c r="A35" t="s">
        <v>106</v>
      </c>
      <c r="B35" t="s">
        <v>107</v>
      </c>
      <c r="C35" s="1">
        <v>45689</v>
      </c>
      <c r="D35" t="s">
        <v>0</v>
      </c>
      <c r="E35" t="s">
        <v>43</v>
      </c>
      <c r="F35" t="s">
        <v>0</v>
      </c>
      <c r="G35" t="s">
        <v>51</v>
      </c>
      <c r="H35" t="s">
        <v>121</v>
      </c>
      <c r="I35" t="s">
        <v>122</v>
      </c>
      <c r="J35" t="s">
        <v>123</v>
      </c>
      <c r="K35" t="s">
        <v>124</v>
      </c>
      <c r="L35">
        <v>1</v>
      </c>
      <c r="M35" t="s">
        <v>56</v>
      </c>
      <c r="N35" s="3" t="s">
        <v>0</v>
      </c>
      <c r="O35" t="s">
        <v>0</v>
      </c>
      <c r="P35" s="4">
        <v>200</v>
      </c>
      <c r="Q35" t="s">
        <v>159</v>
      </c>
    </row>
    <row r="36" spans="1:17" x14ac:dyDescent="0.25">
      <c r="A36" t="s">
        <v>70</v>
      </c>
      <c r="B36" t="s">
        <v>71</v>
      </c>
      <c r="C36" s="1">
        <v>45717</v>
      </c>
      <c r="D36" t="s">
        <v>0</v>
      </c>
      <c r="E36" t="s">
        <v>43</v>
      </c>
      <c r="F36" t="s">
        <v>0</v>
      </c>
      <c r="G36" t="s">
        <v>51</v>
      </c>
      <c r="H36" t="s">
        <v>80</v>
      </c>
      <c r="I36" t="s">
        <v>81</v>
      </c>
      <c r="J36" t="s">
        <v>82</v>
      </c>
      <c r="K36" t="s">
        <v>83</v>
      </c>
      <c r="L36">
        <v>1</v>
      </c>
      <c r="M36" t="s">
        <v>56</v>
      </c>
      <c r="N36" s="3" t="s">
        <v>0</v>
      </c>
      <c r="O36" t="s">
        <v>0</v>
      </c>
      <c r="P36" s="4">
        <v>200</v>
      </c>
      <c r="Q36" t="s">
        <v>159</v>
      </c>
    </row>
    <row r="37" spans="1:17" x14ac:dyDescent="0.25">
      <c r="A37" t="s">
        <v>41</v>
      </c>
      <c r="B37" t="s">
        <v>42</v>
      </c>
      <c r="C37" s="1">
        <v>45597</v>
      </c>
      <c r="D37" t="s">
        <v>0</v>
      </c>
      <c r="E37" t="s">
        <v>43</v>
      </c>
      <c r="F37" t="s">
        <v>0</v>
      </c>
      <c r="G37" t="s">
        <v>51</v>
      </c>
      <c r="H37" t="s">
        <v>52</v>
      </c>
      <c r="I37" t="s">
        <v>53</v>
      </c>
      <c r="J37" t="s">
        <v>54</v>
      </c>
      <c r="K37" t="s">
        <v>55</v>
      </c>
      <c r="L37">
        <v>2</v>
      </c>
      <c r="M37" t="s">
        <v>56</v>
      </c>
      <c r="N37" s="3" t="s">
        <v>0</v>
      </c>
      <c r="O37" t="s">
        <v>0</v>
      </c>
      <c r="P37" s="4">
        <v>8.32</v>
      </c>
      <c r="Q37" t="s">
        <v>159</v>
      </c>
    </row>
    <row r="38" spans="1:17" x14ac:dyDescent="0.25">
      <c r="A38" t="s">
        <v>70</v>
      </c>
      <c r="B38" t="s">
        <v>71</v>
      </c>
      <c r="C38" s="1">
        <v>45597</v>
      </c>
      <c r="D38" t="s">
        <v>0</v>
      </c>
      <c r="E38" t="s">
        <v>43</v>
      </c>
      <c r="F38" t="s">
        <v>0</v>
      </c>
      <c r="G38" t="s">
        <v>51</v>
      </c>
      <c r="H38" t="s">
        <v>84</v>
      </c>
      <c r="I38" t="s">
        <v>85</v>
      </c>
      <c r="J38" t="s">
        <v>86</v>
      </c>
      <c r="K38" t="s">
        <v>87</v>
      </c>
      <c r="L38">
        <v>2</v>
      </c>
      <c r="M38" t="s">
        <v>56</v>
      </c>
      <c r="N38" s="3" t="s">
        <v>0</v>
      </c>
      <c r="O38" t="s">
        <v>0</v>
      </c>
      <c r="P38" s="4">
        <v>8.32</v>
      </c>
      <c r="Q38" t="s">
        <v>159</v>
      </c>
    </row>
    <row r="39" spans="1:17" x14ac:dyDescent="0.25">
      <c r="A39" t="s">
        <v>70</v>
      </c>
      <c r="B39" t="s">
        <v>71</v>
      </c>
      <c r="C39" s="1">
        <v>45536</v>
      </c>
      <c r="D39" t="s">
        <v>0</v>
      </c>
      <c r="E39" t="s">
        <v>43</v>
      </c>
      <c r="F39" t="s">
        <v>0</v>
      </c>
      <c r="G39" t="s">
        <v>51</v>
      </c>
      <c r="H39" t="s">
        <v>88</v>
      </c>
      <c r="I39" t="s">
        <v>89</v>
      </c>
      <c r="J39" t="s">
        <v>90</v>
      </c>
      <c r="K39" t="s">
        <v>91</v>
      </c>
      <c r="L39">
        <v>2</v>
      </c>
      <c r="M39" t="s">
        <v>56</v>
      </c>
      <c r="N39" s="3" t="s">
        <v>0</v>
      </c>
      <c r="O39" t="s">
        <v>0</v>
      </c>
      <c r="P39" s="4">
        <v>8.32</v>
      </c>
      <c r="Q39" t="s">
        <v>159</v>
      </c>
    </row>
    <row r="40" spans="1:17" x14ac:dyDescent="0.25">
      <c r="A40" t="s">
        <v>106</v>
      </c>
      <c r="B40" t="s">
        <v>107</v>
      </c>
      <c r="C40" s="2">
        <v>45658</v>
      </c>
      <c r="D40" s="1">
        <v>45716</v>
      </c>
      <c r="E40" t="s">
        <v>43</v>
      </c>
      <c r="F40" t="s">
        <v>0</v>
      </c>
      <c r="G40" t="s">
        <v>59</v>
      </c>
      <c r="H40" t="s">
        <v>125</v>
      </c>
      <c r="I40" t="s">
        <v>126</v>
      </c>
      <c r="J40" t="s">
        <v>127</v>
      </c>
      <c r="K40" t="s">
        <v>128</v>
      </c>
      <c r="L40">
        <v>1</v>
      </c>
      <c r="M40" t="s">
        <v>56</v>
      </c>
      <c r="N40" s="3" t="s">
        <v>0</v>
      </c>
      <c r="O40" t="s">
        <v>0</v>
      </c>
      <c r="P40" s="4">
        <v>-200</v>
      </c>
      <c r="Q40" t="s">
        <v>159</v>
      </c>
    </row>
    <row r="41" spans="1:17" x14ac:dyDescent="0.25">
      <c r="A41" t="s">
        <v>70</v>
      </c>
      <c r="B41" t="s">
        <v>71</v>
      </c>
      <c r="C41" s="1">
        <v>45505</v>
      </c>
      <c r="D41" t="s">
        <v>0</v>
      </c>
      <c r="E41" t="s">
        <v>43</v>
      </c>
      <c r="F41" t="s">
        <v>0</v>
      </c>
      <c r="G41" t="s">
        <v>44</v>
      </c>
      <c r="H41" t="s">
        <v>92</v>
      </c>
      <c r="I41" t="s">
        <v>93</v>
      </c>
      <c r="J41" t="s">
        <v>94</v>
      </c>
      <c r="K41" t="s">
        <v>95</v>
      </c>
      <c r="L41">
        <v>2</v>
      </c>
      <c r="M41" t="s">
        <v>56</v>
      </c>
      <c r="N41" s="3" t="s">
        <v>0</v>
      </c>
      <c r="O41" t="s">
        <v>0</v>
      </c>
      <c r="P41" s="4">
        <v>8.32</v>
      </c>
      <c r="Q41" t="s">
        <v>159</v>
      </c>
    </row>
    <row r="42" spans="1:17" x14ac:dyDescent="0.25">
      <c r="A42" t="s">
        <v>70</v>
      </c>
      <c r="B42" t="s">
        <v>71</v>
      </c>
      <c r="C42" s="1">
        <v>45566</v>
      </c>
      <c r="D42" t="s">
        <v>0</v>
      </c>
      <c r="E42" t="s">
        <v>43</v>
      </c>
      <c r="F42" t="s">
        <v>0</v>
      </c>
      <c r="G42" t="s">
        <v>51</v>
      </c>
      <c r="H42" t="s">
        <v>96</v>
      </c>
      <c r="I42" t="s">
        <v>97</v>
      </c>
      <c r="J42" t="s">
        <v>98</v>
      </c>
      <c r="K42" t="s">
        <v>99</v>
      </c>
      <c r="L42">
        <v>2</v>
      </c>
      <c r="M42" t="s">
        <v>56</v>
      </c>
      <c r="N42" s="3" t="s">
        <v>0</v>
      </c>
      <c r="O42" t="s">
        <v>0</v>
      </c>
      <c r="P42" s="4">
        <v>8.32</v>
      </c>
      <c r="Q42" t="s">
        <v>159</v>
      </c>
    </row>
    <row r="43" spans="1:17" x14ac:dyDescent="0.25">
      <c r="A43" t="s">
        <v>64</v>
      </c>
      <c r="B43" t="s">
        <v>65</v>
      </c>
      <c r="C43" s="1">
        <v>45717</v>
      </c>
      <c r="D43" t="s">
        <v>0</v>
      </c>
      <c r="E43" t="s">
        <v>43</v>
      </c>
      <c r="F43" t="s">
        <v>0</v>
      </c>
      <c r="G43" t="s">
        <v>51</v>
      </c>
      <c r="H43" t="s">
        <v>66</v>
      </c>
      <c r="I43" t="s">
        <v>67</v>
      </c>
      <c r="J43" t="s">
        <v>68</v>
      </c>
      <c r="K43" t="s">
        <v>69</v>
      </c>
      <c r="L43">
        <v>1</v>
      </c>
      <c r="M43" t="s">
        <v>56</v>
      </c>
      <c r="N43" s="3" t="s">
        <v>0</v>
      </c>
      <c r="O43" t="s">
        <v>0</v>
      </c>
      <c r="P43" s="4">
        <v>200</v>
      </c>
      <c r="Q43" t="s">
        <v>159</v>
      </c>
    </row>
    <row r="44" spans="1:17" x14ac:dyDescent="0.25">
      <c r="A44" t="s">
        <v>57</v>
      </c>
      <c r="B44" t="s">
        <v>58</v>
      </c>
      <c r="C44" s="2">
        <v>45658</v>
      </c>
      <c r="D44" t="s">
        <v>0</v>
      </c>
      <c r="E44" t="s">
        <v>43</v>
      </c>
      <c r="F44" t="s">
        <v>0</v>
      </c>
      <c r="G44" t="s">
        <v>59</v>
      </c>
      <c r="H44" t="s">
        <v>60</v>
      </c>
      <c r="I44" t="s">
        <v>61</v>
      </c>
      <c r="J44" t="s">
        <v>62</v>
      </c>
      <c r="K44" t="s">
        <v>63</v>
      </c>
      <c r="L44">
        <v>2</v>
      </c>
      <c r="M44" t="s">
        <v>56</v>
      </c>
      <c r="N44" s="3" t="s">
        <v>0</v>
      </c>
      <c r="O44" t="s">
        <v>0</v>
      </c>
      <c r="P44" s="4">
        <v>8.32</v>
      </c>
      <c r="Q44" t="s">
        <v>159</v>
      </c>
    </row>
    <row r="45" spans="1:17" x14ac:dyDescent="0.25">
      <c r="A45" t="s">
        <v>133</v>
      </c>
      <c r="B45" t="s">
        <v>134</v>
      </c>
      <c r="C45" s="2">
        <v>45658</v>
      </c>
      <c r="D45" s="1">
        <v>45716</v>
      </c>
      <c r="E45" t="s">
        <v>43</v>
      </c>
      <c r="F45" t="s">
        <v>0</v>
      </c>
      <c r="G45" t="s">
        <v>51</v>
      </c>
      <c r="H45" t="s">
        <v>135</v>
      </c>
      <c r="I45" t="s">
        <v>136</v>
      </c>
      <c r="J45" t="s">
        <v>137</v>
      </c>
      <c r="K45" t="s">
        <v>138</v>
      </c>
      <c r="L45">
        <v>1</v>
      </c>
      <c r="M45" t="s">
        <v>56</v>
      </c>
      <c r="N45" s="3" t="s">
        <v>0</v>
      </c>
      <c r="O45" t="s">
        <v>0</v>
      </c>
      <c r="P45" s="4">
        <v>33.36</v>
      </c>
      <c r="Q45" t="s">
        <v>159</v>
      </c>
    </row>
    <row r="46" spans="1:17" x14ac:dyDescent="0.25">
      <c r="A46" t="s">
        <v>133</v>
      </c>
      <c r="B46" t="s">
        <v>134</v>
      </c>
      <c r="C46" s="1">
        <v>45717</v>
      </c>
      <c r="D46" t="s">
        <v>0</v>
      </c>
      <c r="E46" t="s">
        <v>43</v>
      </c>
      <c r="F46" t="s">
        <v>0</v>
      </c>
      <c r="G46" t="s">
        <v>51</v>
      </c>
      <c r="H46" t="s">
        <v>135</v>
      </c>
      <c r="I46" t="s">
        <v>136</v>
      </c>
      <c r="J46" t="s">
        <v>137</v>
      </c>
      <c r="K46" t="s">
        <v>138</v>
      </c>
      <c r="L46">
        <v>1</v>
      </c>
      <c r="M46" t="s">
        <v>56</v>
      </c>
      <c r="N46" s="3" t="s">
        <v>0</v>
      </c>
      <c r="O46" t="s">
        <v>0</v>
      </c>
      <c r="P46" s="4">
        <v>166.64</v>
      </c>
      <c r="Q46" t="s">
        <v>159</v>
      </c>
    </row>
    <row r="47" spans="1:17" x14ac:dyDescent="0.25">
      <c r="A47" t="s">
        <v>133</v>
      </c>
      <c r="B47" t="s">
        <v>134</v>
      </c>
      <c r="C47" s="1">
        <v>45597</v>
      </c>
      <c r="D47" s="1">
        <v>45657</v>
      </c>
      <c r="E47" t="s">
        <v>43</v>
      </c>
      <c r="F47" t="s">
        <v>0</v>
      </c>
      <c r="G47" t="s">
        <v>51</v>
      </c>
      <c r="H47" t="s">
        <v>172</v>
      </c>
      <c r="I47" t="s">
        <v>173</v>
      </c>
      <c r="J47" t="s">
        <v>174</v>
      </c>
      <c r="K47" t="s">
        <v>175</v>
      </c>
      <c r="L47">
        <v>1</v>
      </c>
      <c r="M47" t="s">
        <v>56</v>
      </c>
      <c r="N47" s="3" t="s">
        <v>0</v>
      </c>
      <c r="O47" t="s">
        <v>0</v>
      </c>
      <c r="P47" s="4">
        <v>166.68</v>
      </c>
      <c r="Q47" t="s">
        <v>159</v>
      </c>
    </row>
    <row r="48" spans="1:17" x14ac:dyDescent="0.25">
      <c r="A48" t="s">
        <v>152</v>
      </c>
      <c r="B48" t="s">
        <v>153</v>
      </c>
      <c r="C48" s="2">
        <v>45658</v>
      </c>
      <c r="D48" s="1">
        <v>45716</v>
      </c>
      <c r="E48" t="s">
        <v>43</v>
      </c>
      <c r="F48" t="s">
        <v>0</v>
      </c>
      <c r="G48" t="s">
        <v>154</v>
      </c>
      <c r="H48" t="s">
        <v>155</v>
      </c>
      <c r="I48" t="s">
        <v>156</v>
      </c>
      <c r="J48" t="s">
        <v>157</v>
      </c>
      <c r="K48" t="s">
        <v>158</v>
      </c>
      <c r="L48">
        <v>1</v>
      </c>
      <c r="M48" t="s">
        <v>49</v>
      </c>
      <c r="N48" s="3" t="s">
        <v>0</v>
      </c>
      <c r="O48" t="s">
        <v>0</v>
      </c>
      <c r="P48" s="4">
        <v>-200</v>
      </c>
      <c r="Q48" t="s">
        <v>159</v>
      </c>
    </row>
    <row r="49" spans="1:17" x14ac:dyDescent="0.25">
      <c r="A49" t="s">
        <v>100</v>
      </c>
      <c r="B49" t="s">
        <v>101</v>
      </c>
      <c r="C49" s="1">
        <v>45505</v>
      </c>
      <c r="D49" t="s">
        <v>0</v>
      </c>
      <c r="E49" t="s">
        <v>43</v>
      </c>
      <c r="F49" t="s">
        <v>0</v>
      </c>
      <c r="G49" t="s">
        <v>44</v>
      </c>
      <c r="H49" t="s">
        <v>102</v>
      </c>
      <c r="I49" t="s">
        <v>103</v>
      </c>
      <c r="J49" t="s">
        <v>104</v>
      </c>
      <c r="K49" t="s">
        <v>105</v>
      </c>
      <c r="L49">
        <v>2</v>
      </c>
      <c r="M49" t="s">
        <v>56</v>
      </c>
      <c r="N49" s="3" t="s">
        <v>0</v>
      </c>
      <c r="O49" t="s">
        <v>0</v>
      </c>
      <c r="P49" s="4">
        <v>8.32</v>
      </c>
      <c r="Q49" t="s">
        <v>159</v>
      </c>
    </row>
    <row r="50" spans="1:17" x14ac:dyDescent="0.25">
      <c r="A50" t="s">
        <v>160</v>
      </c>
      <c r="B50" t="s">
        <v>161</v>
      </c>
      <c r="C50" s="1">
        <v>45566</v>
      </c>
      <c r="D50" t="s">
        <v>0</v>
      </c>
      <c r="E50" t="s">
        <v>43</v>
      </c>
      <c r="F50" t="s">
        <v>0</v>
      </c>
      <c r="G50" t="s">
        <v>44</v>
      </c>
      <c r="H50" t="s">
        <v>162</v>
      </c>
      <c r="I50" t="s">
        <v>163</v>
      </c>
      <c r="J50" t="s">
        <v>164</v>
      </c>
      <c r="K50" t="s">
        <v>165</v>
      </c>
      <c r="L50">
        <v>2</v>
      </c>
      <c r="M50" t="s">
        <v>56</v>
      </c>
      <c r="N50" s="3" t="s">
        <v>0</v>
      </c>
      <c r="O50" t="s">
        <v>0</v>
      </c>
      <c r="P50" s="4">
        <v>26.08</v>
      </c>
      <c r="Q50" t="s">
        <v>50</v>
      </c>
    </row>
    <row r="51" spans="1:17" x14ac:dyDescent="0.25">
      <c r="A51" t="s">
        <v>166</v>
      </c>
      <c r="B51" t="s">
        <v>167</v>
      </c>
      <c r="C51" s="2">
        <v>45658</v>
      </c>
      <c r="D51" s="1">
        <v>45716</v>
      </c>
      <c r="E51" t="s">
        <v>43</v>
      </c>
      <c r="F51" t="s">
        <v>0</v>
      </c>
      <c r="G51" t="s">
        <v>59</v>
      </c>
      <c r="H51" t="s">
        <v>168</v>
      </c>
      <c r="I51" t="s">
        <v>169</v>
      </c>
      <c r="J51" t="s">
        <v>170</v>
      </c>
      <c r="K51" t="s">
        <v>171</v>
      </c>
      <c r="L51">
        <v>1</v>
      </c>
      <c r="M51" t="s">
        <v>56</v>
      </c>
      <c r="N51" s="3" t="s">
        <v>0</v>
      </c>
      <c r="O51" t="s">
        <v>0</v>
      </c>
      <c r="P51" s="4">
        <v>-313</v>
      </c>
      <c r="Q51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F1353-3EA9-4312-AD8B-9438129082C4}">
  <dimension ref="A1:M51"/>
  <sheetViews>
    <sheetView tabSelected="1" topLeftCell="B4" workbookViewId="0">
      <selection activeCell="G21" sqref="G21"/>
    </sheetView>
  </sheetViews>
  <sheetFormatPr defaultRowHeight="15" x14ac:dyDescent="0.25"/>
  <cols>
    <col min="1" max="1" width="25" style="5" customWidth="1"/>
    <col min="2" max="2" width="20" style="5" customWidth="1"/>
    <col min="3" max="3" width="15" style="6" customWidth="1"/>
    <col min="4" max="4" width="53.85546875" style="5" bestFit="1" customWidth="1"/>
    <col min="5" max="5" width="12.140625" style="5" bestFit="1" customWidth="1"/>
    <col min="6" max="6" width="13.140625" style="5" bestFit="1" customWidth="1"/>
    <col min="7" max="7" width="19" style="5" bestFit="1" customWidth="1"/>
    <col min="8" max="8" width="21" style="5" bestFit="1" customWidth="1"/>
    <col min="9" max="9" width="28.7109375" style="5" bestFit="1" customWidth="1"/>
    <col min="10" max="10" width="13.28515625" style="5" bestFit="1" customWidth="1"/>
    <col min="11" max="11" width="9.5703125" style="5" bestFit="1" customWidth="1"/>
    <col min="12" max="12" width="30.7109375" style="5" customWidth="1"/>
    <col min="13" max="16384" width="9.140625" style="5"/>
  </cols>
  <sheetData>
    <row r="1" spans="1:13" x14ac:dyDescent="0.25">
      <c r="A1" s="5" t="s">
        <v>24</v>
      </c>
      <c r="B1" s="5" t="s">
        <v>25</v>
      </c>
      <c r="C1" s="6" t="s">
        <v>26</v>
      </c>
      <c r="D1" s="5" t="s">
        <v>30</v>
      </c>
      <c r="E1" s="5" t="s">
        <v>32</v>
      </c>
      <c r="G1" s="5" t="s">
        <v>33</v>
      </c>
      <c r="H1" s="5" t="s">
        <v>34</v>
      </c>
      <c r="J1" s="5" t="s">
        <v>35</v>
      </c>
      <c r="K1" s="5" t="s">
        <v>39</v>
      </c>
    </row>
    <row r="2" spans="1:13" x14ac:dyDescent="0.25">
      <c r="A2" s="5" t="s">
        <v>41</v>
      </c>
      <c r="B2" s="7">
        <v>16912722</v>
      </c>
      <c r="C2" s="6">
        <v>45627</v>
      </c>
      <c r="D2" s="5" t="s">
        <v>44</v>
      </c>
      <c r="E2" s="5" t="s">
        <v>46</v>
      </c>
      <c r="F2" s="5" t="str">
        <f>CONCATENATE(E2,2)</f>
        <v>Z0000535432</v>
      </c>
      <c r="G2" s="5" t="s">
        <v>47</v>
      </c>
      <c r="H2" s="5" t="s">
        <v>48</v>
      </c>
      <c r="I2" s="5" t="str">
        <f>CONCATENATE(G2, " ",H2)</f>
        <v>DOUGLAS SCHMIESKORS III</v>
      </c>
      <c r="J2" s="5">
        <v>2</v>
      </c>
      <c r="K2" s="8">
        <v>26.08</v>
      </c>
      <c r="L2" s="5" t="s">
        <v>182</v>
      </c>
      <c r="M2" s="5" t="s">
        <v>176</v>
      </c>
    </row>
    <row r="3" spans="1:13" x14ac:dyDescent="0.25">
      <c r="A3" s="5" t="s">
        <v>41</v>
      </c>
      <c r="B3" s="7">
        <v>16912722</v>
      </c>
      <c r="C3" s="6">
        <v>45597</v>
      </c>
      <c r="D3" s="5" t="s">
        <v>51</v>
      </c>
      <c r="E3" s="5" t="s">
        <v>53</v>
      </c>
      <c r="F3" s="5" t="str">
        <f>CONCATENATE(E3,2)</f>
        <v>Z0000515102</v>
      </c>
      <c r="G3" s="5" t="s">
        <v>54</v>
      </c>
      <c r="H3" s="5" t="s">
        <v>55</v>
      </c>
      <c r="I3" s="5" t="str">
        <f>CONCATENATE(G3, " ",H3)</f>
        <v>JAMES PRICE</v>
      </c>
      <c r="J3" s="5">
        <v>2</v>
      </c>
      <c r="K3" s="8">
        <v>26.08</v>
      </c>
      <c r="L3" s="5" t="s">
        <v>182</v>
      </c>
      <c r="M3" s="5" t="s">
        <v>176</v>
      </c>
    </row>
    <row r="4" spans="1:13" x14ac:dyDescent="0.25">
      <c r="A4" s="5" t="s">
        <v>57</v>
      </c>
      <c r="B4" s="7">
        <v>7146581</v>
      </c>
      <c r="C4" s="6">
        <v>45658</v>
      </c>
      <c r="D4" s="5" t="s">
        <v>59</v>
      </c>
      <c r="E4" s="5" t="s">
        <v>61</v>
      </c>
      <c r="F4" s="5" t="str">
        <f>CONCATENATE(E4,2)</f>
        <v>Z0000496342</v>
      </c>
      <c r="G4" s="5" t="s">
        <v>62</v>
      </c>
      <c r="H4" s="5" t="s">
        <v>63</v>
      </c>
      <c r="I4" s="5" t="str">
        <f>CONCATENATE(G4, " ",H4)</f>
        <v>RONALD KROWN</v>
      </c>
      <c r="J4" s="5">
        <v>2</v>
      </c>
      <c r="K4" s="8">
        <v>26.08</v>
      </c>
      <c r="L4" s="5" t="s">
        <v>182</v>
      </c>
      <c r="M4" s="5" t="s">
        <v>176</v>
      </c>
    </row>
    <row r="5" spans="1:13" x14ac:dyDescent="0.25">
      <c r="A5" s="5" t="s">
        <v>64</v>
      </c>
      <c r="B5" s="7">
        <v>19586992</v>
      </c>
      <c r="C5" s="6">
        <v>45717</v>
      </c>
      <c r="D5" s="5" t="s">
        <v>51</v>
      </c>
      <c r="E5" s="5" t="s">
        <v>67</v>
      </c>
      <c r="F5" s="5" t="str">
        <f>CONCATENATE(E5,2)</f>
        <v>Z0000694112</v>
      </c>
      <c r="G5" s="5" t="s">
        <v>68</v>
      </c>
      <c r="H5" s="5" t="s">
        <v>69</v>
      </c>
      <c r="I5" s="5" t="str">
        <f>CONCATENATE(G5, " ",H5)</f>
        <v>RICK LATTANZIO</v>
      </c>
      <c r="J5" s="5">
        <v>1</v>
      </c>
      <c r="K5" s="8">
        <v>260.83</v>
      </c>
      <c r="L5" s="5" t="s">
        <v>182</v>
      </c>
      <c r="M5" s="5" t="s">
        <v>177</v>
      </c>
    </row>
    <row r="6" spans="1:13" x14ac:dyDescent="0.25">
      <c r="A6" s="5" t="s">
        <v>70</v>
      </c>
      <c r="B6" s="7">
        <v>17301495</v>
      </c>
      <c r="C6" s="6">
        <v>45717</v>
      </c>
      <c r="D6" s="5" t="s">
        <v>51</v>
      </c>
      <c r="E6" s="5" t="s">
        <v>73</v>
      </c>
      <c r="F6" s="5" t="str">
        <f>CONCATENATE(E6)</f>
        <v>Z000059609</v>
      </c>
      <c r="G6" s="5" t="s">
        <v>74</v>
      </c>
      <c r="H6" s="5" t="s">
        <v>75</v>
      </c>
      <c r="I6" s="5" t="str">
        <f>CONCATENATE(G6, " ",H6)</f>
        <v>ANA MARTINEZ</v>
      </c>
      <c r="J6" s="5">
        <v>1</v>
      </c>
      <c r="K6" s="8">
        <v>626</v>
      </c>
      <c r="L6" s="5" t="s">
        <v>183</v>
      </c>
      <c r="M6" s="5" t="s">
        <v>179</v>
      </c>
    </row>
    <row r="7" spans="1:13" x14ac:dyDescent="0.25">
      <c r="A7" s="5" t="s">
        <v>70</v>
      </c>
      <c r="B7" s="7">
        <v>17301495</v>
      </c>
      <c r="C7" s="6">
        <v>45658</v>
      </c>
      <c r="D7" s="5" t="s">
        <v>51</v>
      </c>
      <c r="E7" s="5" t="s">
        <v>77</v>
      </c>
      <c r="F7" s="5" t="str">
        <f>CONCATENATE(E7,2)</f>
        <v>Z0000602602</v>
      </c>
      <c r="G7" s="5" t="s">
        <v>78</v>
      </c>
      <c r="H7" s="5" t="s">
        <v>79</v>
      </c>
      <c r="I7" s="5" t="str">
        <f>CONCATENATE(G7, " ",H7)</f>
        <v>CHARLES BARKER</v>
      </c>
      <c r="J7" s="5">
        <v>1</v>
      </c>
      <c r="K7" s="8">
        <v>-313</v>
      </c>
      <c r="L7" s="5" t="s">
        <v>182</v>
      </c>
      <c r="M7" s="5" t="s">
        <v>178</v>
      </c>
    </row>
    <row r="8" spans="1:13" x14ac:dyDescent="0.25">
      <c r="A8" s="5" t="s">
        <v>70</v>
      </c>
      <c r="B8" s="7">
        <v>17301495</v>
      </c>
      <c r="C8" s="6">
        <v>45717</v>
      </c>
      <c r="D8" s="5" t="s">
        <v>51</v>
      </c>
      <c r="E8" s="5" t="s">
        <v>81</v>
      </c>
      <c r="F8" s="5" t="str">
        <f>CONCATENATE(E8,2)</f>
        <v>Z0000695492</v>
      </c>
      <c r="G8" s="5" t="s">
        <v>82</v>
      </c>
      <c r="H8" s="5" t="s">
        <v>83</v>
      </c>
      <c r="I8" s="5" t="str">
        <f>CONCATENATE(G8, " ",H8)</f>
        <v>IDALIA RIVERA</v>
      </c>
      <c r="J8" s="5">
        <v>1</v>
      </c>
      <c r="K8" s="8">
        <v>260.83</v>
      </c>
      <c r="L8" s="5" t="s">
        <v>182</v>
      </c>
      <c r="M8" s="5" t="s">
        <v>177</v>
      </c>
    </row>
    <row r="9" spans="1:13" x14ac:dyDescent="0.25">
      <c r="A9" s="5" t="s">
        <v>70</v>
      </c>
      <c r="B9" s="7">
        <v>17301495</v>
      </c>
      <c r="C9" s="6">
        <v>45597</v>
      </c>
      <c r="D9" s="5" t="s">
        <v>51</v>
      </c>
      <c r="E9" s="5" t="s">
        <v>85</v>
      </c>
      <c r="F9" s="5" t="str">
        <f>CONCATENATE(E9,2)</f>
        <v>Z0000480142</v>
      </c>
      <c r="G9" s="5" t="s">
        <v>86</v>
      </c>
      <c r="H9" s="5" t="s">
        <v>87</v>
      </c>
      <c r="I9" s="5" t="str">
        <f>CONCATENATE(G9, " ",H9)</f>
        <v>JOSE HERNANDEZ</v>
      </c>
      <c r="J9" s="5">
        <v>2</v>
      </c>
      <c r="K9" s="8">
        <v>26.08</v>
      </c>
      <c r="L9" s="5" t="s">
        <v>182</v>
      </c>
      <c r="M9" s="5" t="s">
        <v>176</v>
      </c>
    </row>
    <row r="10" spans="1:13" x14ac:dyDescent="0.25">
      <c r="A10" s="5" t="s">
        <v>70</v>
      </c>
      <c r="B10" s="7">
        <v>17301495</v>
      </c>
      <c r="C10" s="6">
        <v>45536</v>
      </c>
      <c r="D10" s="5" t="s">
        <v>51</v>
      </c>
      <c r="E10" s="5" t="s">
        <v>89</v>
      </c>
      <c r="F10" s="5" t="str">
        <f>CONCATENATE(E10,2)</f>
        <v>Z0000456332</v>
      </c>
      <c r="G10" s="5" t="s">
        <v>90</v>
      </c>
      <c r="H10" s="5" t="s">
        <v>91</v>
      </c>
      <c r="I10" s="5" t="str">
        <f>CONCATENATE(G10, " ",H10)</f>
        <v>LINDA DANIEL</v>
      </c>
      <c r="J10" s="5">
        <v>2</v>
      </c>
      <c r="K10" s="8">
        <v>26.08</v>
      </c>
      <c r="L10" s="5" t="s">
        <v>182</v>
      </c>
      <c r="M10" s="5" t="s">
        <v>176</v>
      </c>
    </row>
    <row r="11" spans="1:13" x14ac:dyDescent="0.25">
      <c r="A11" s="5" t="s">
        <v>70</v>
      </c>
      <c r="B11" s="7">
        <v>17301495</v>
      </c>
      <c r="C11" s="6">
        <v>45505</v>
      </c>
      <c r="D11" s="5" t="s">
        <v>44</v>
      </c>
      <c r="E11" s="5" t="s">
        <v>93</v>
      </c>
      <c r="F11" s="5" t="str">
        <f>CONCATENATE(E11,2)</f>
        <v>Z0000436442</v>
      </c>
      <c r="G11" s="5" t="s">
        <v>94</v>
      </c>
      <c r="H11" s="5" t="s">
        <v>95</v>
      </c>
      <c r="I11" s="5" t="str">
        <f>CONCATENATE(G11, " ",H11)</f>
        <v>OLEGARIO HERNANDEZ FLORES</v>
      </c>
      <c r="J11" s="5">
        <v>2</v>
      </c>
      <c r="K11" s="8">
        <v>26.08</v>
      </c>
      <c r="L11" s="5" t="s">
        <v>182</v>
      </c>
      <c r="M11" s="5" t="s">
        <v>176</v>
      </c>
    </row>
    <row r="12" spans="1:13" x14ac:dyDescent="0.25">
      <c r="A12" s="5" t="s">
        <v>70</v>
      </c>
      <c r="B12" s="7">
        <v>17301495</v>
      </c>
      <c r="C12" s="6">
        <v>45566</v>
      </c>
      <c r="D12" s="5" t="s">
        <v>51</v>
      </c>
      <c r="E12" s="5" t="s">
        <v>97</v>
      </c>
      <c r="F12" s="5" t="str">
        <f>CONCATENATE(E12,2)</f>
        <v>Z0000461192</v>
      </c>
      <c r="G12" s="5" t="s">
        <v>98</v>
      </c>
      <c r="H12" s="5" t="s">
        <v>99</v>
      </c>
      <c r="I12" s="5" t="str">
        <f>CONCATENATE(G12, " ",H12)</f>
        <v>RENE DIAZ</v>
      </c>
      <c r="J12" s="5">
        <v>2</v>
      </c>
      <c r="K12" s="8">
        <v>26.08</v>
      </c>
      <c r="L12" s="5" t="s">
        <v>182</v>
      </c>
      <c r="M12" s="5" t="s">
        <v>176</v>
      </c>
    </row>
    <row r="13" spans="1:13" x14ac:dyDescent="0.25">
      <c r="A13" s="5" t="s">
        <v>100</v>
      </c>
      <c r="B13" s="7">
        <v>8814784</v>
      </c>
      <c r="C13" s="6">
        <v>45505</v>
      </c>
      <c r="D13" s="5" t="s">
        <v>44</v>
      </c>
      <c r="E13" s="5" t="s">
        <v>103</v>
      </c>
      <c r="F13" s="5" t="str">
        <f>CONCATENATE(E13,2)</f>
        <v>Z0000435132</v>
      </c>
      <c r="G13" s="5" t="s">
        <v>104</v>
      </c>
      <c r="H13" s="5" t="s">
        <v>105</v>
      </c>
      <c r="I13" s="5" t="str">
        <f>CONCATENATE(G13, " ",H13)</f>
        <v>WALTER ATTERBERRY</v>
      </c>
      <c r="J13" s="5">
        <v>2</v>
      </c>
      <c r="K13" s="8">
        <v>26.08</v>
      </c>
      <c r="L13" s="5" t="s">
        <v>182</v>
      </c>
      <c r="M13" s="5" t="s">
        <v>176</v>
      </c>
    </row>
    <row r="14" spans="1:13" x14ac:dyDescent="0.25">
      <c r="A14" s="5" t="s">
        <v>106</v>
      </c>
      <c r="B14" s="7">
        <v>9213293</v>
      </c>
      <c r="C14" s="6">
        <v>45474</v>
      </c>
      <c r="D14" s="5" t="s">
        <v>108</v>
      </c>
      <c r="E14" s="5" t="s">
        <v>110</v>
      </c>
      <c r="F14" s="5" t="str">
        <f>CONCATENATE(E14,2)</f>
        <v>Z0000417102</v>
      </c>
      <c r="G14" s="5" t="s">
        <v>111</v>
      </c>
      <c r="H14" s="5" t="s">
        <v>112</v>
      </c>
      <c r="I14" s="5" t="str">
        <f>CONCATENATE(G14, " ",H14)</f>
        <v>ANGEL TORRES</v>
      </c>
      <c r="J14" s="5">
        <v>2</v>
      </c>
      <c r="K14" s="8">
        <v>26.08</v>
      </c>
      <c r="L14" s="5" t="s">
        <v>182</v>
      </c>
      <c r="M14" s="5" t="s">
        <v>176</v>
      </c>
    </row>
    <row r="15" spans="1:13" x14ac:dyDescent="0.25">
      <c r="A15" s="5" t="s">
        <v>106</v>
      </c>
      <c r="B15" s="7">
        <v>9213293</v>
      </c>
      <c r="C15" s="6">
        <v>45717</v>
      </c>
      <c r="D15" s="5" t="s">
        <v>51</v>
      </c>
      <c r="E15" s="5" t="s">
        <v>114</v>
      </c>
      <c r="F15" s="5" t="str">
        <f>CONCATENATE(E15,2)</f>
        <v>Z0000691612</v>
      </c>
      <c r="G15" s="5" t="s">
        <v>115</v>
      </c>
      <c r="H15" s="5" t="s">
        <v>116</v>
      </c>
      <c r="I15" s="5" t="str">
        <f>CONCATENATE(G15, " ",H15)</f>
        <v>AUDREY MINX</v>
      </c>
      <c r="J15" s="5">
        <v>1</v>
      </c>
      <c r="K15" s="8">
        <v>260.83</v>
      </c>
      <c r="L15" s="5" t="s">
        <v>182</v>
      </c>
      <c r="M15" s="5" t="s">
        <v>177</v>
      </c>
    </row>
    <row r="16" spans="1:13" x14ac:dyDescent="0.25">
      <c r="A16" s="5" t="s">
        <v>106</v>
      </c>
      <c r="B16" s="7">
        <v>9213293</v>
      </c>
      <c r="C16" s="6">
        <v>45717</v>
      </c>
      <c r="D16" s="5" t="s">
        <v>51</v>
      </c>
      <c r="E16" s="5" t="s">
        <v>118</v>
      </c>
      <c r="F16" s="5" t="str">
        <f>CONCATENATE(E16,2)</f>
        <v>Z0000698212</v>
      </c>
      <c r="G16" s="5" t="s">
        <v>119</v>
      </c>
      <c r="H16" s="5" t="s">
        <v>120</v>
      </c>
      <c r="I16" s="5" t="str">
        <f>CONCATENATE(G16, " ",H16)</f>
        <v>EDWARD WHITE</v>
      </c>
      <c r="J16" s="5">
        <v>1</v>
      </c>
      <c r="K16" s="8">
        <v>260.83</v>
      </c>
      <c r="L16" s="5" t="s">
        <v>182</v>
      </c>
      <c r="M16" s="5" t="s">
        <v>177</v>
      </c>
    </row>
    <row r="17" spans="1:13" x14ac:dyDescent="0.25">
      <c r="A17" s="5" t="s">
        <v>106</v>
      </c>
      <c r="B17" s="7">
        <v>9213293</v>
      </c>
      <c r="C17" s="6">
        <v>45689</v>
      </c>
      <c r="D17" s="5" t="s">
        <v>51</v>
      </c>
      <c r="E17" s="5" t="s">
        <v>122</v>
      </c>
      <c r="F17" s="5" t="str">
        <f>CONCATENATE(E17,2)</f>
        <v>Z0000651322</v>
      </c>
      <c r="G17" s="5" t="s">
        <v>123</v>
      </c>
      <c r="H17" s="5" t="s">
        <v>124</v>
      </c>
      <c r="I17" s="5" t="str">
        <f>CONCATENATE(G17, " ",H17)</f>
        <v>GARRY FETT</v>
      </c>
      <c r="J17" s="5">
        <v>1</v>
      </c>
      <c r="K17" s="8">
        <v>286.92</v>
      </c>
      <c r="L17" s="5" t="s">
        <v>182</v>
      </c>
      <c r="M17" s="5" t="s">
        <v>180</v>
      </c>
    </row>
    <row r="18" spans="1:13" x14ac:dyDescent="0.25">
      <c r="A18" s="5" t="s">
        <v>106</v>
      </c>
      <c r="B18" s="7">
        <v>9213293</v>
      </c>
      <c r="C18" s="6">
        <v>45658</v>
      </c>
      <c r="D18" s="5" t="s">
        <v>59</v>
      </c>
      <c r="E18" s="5" t="s">
        <v>126</v>
      </c>
      <c r="F18" s="5" t="str">
        <f>CONCATENATE(E18,2)</f>
        <v>Z0000584852</v>
      </c>
      <c r="G18" s="5" t="s">
        <v>127</v>
      </c>
      <c r="H18" s="5" t="s">
        <v>128</v>
      </c>
      <c r="I18" s="5" t="str">
        <f>CONCATENATE(G18, " ",H18)</f>
        <v>MARIA RAMIREZ</v>
      </c>
      <c r="J18" s="5">
        <v>1</v>
      </c>
      <c r="K18" s="8">
        <v>-313</v>
      </c>
      <c r="L18" s="5" t="s">
        <v>182</v>
      </c>
      <c r="M18" s="5" t="s">
        <v>178</v>
      </c>
    </row>
    <row r="19" spans="1:13" x14ac:dyDescent="0.25">
      <c r="A19" s="5" t="s">
        <v>106</v>
      </c>
      <c r="B19" s="7">
        <v>9213293</v>
      </c>
      <c r="C19" s="6">
        <v>45689</v>
      </c>
      <c r="D19" s="5" t="s">
        <v>51</v>
      </c>
      <c r="E19" s="5" t="s">
        <v>130</v>
      </c>
      <c r="F19" s="5" t="str">
        <f>CONCATENATE(E19,2)</f>
        <v>Z0000666012</v>
      </c>
      <c r="G19" s="5" t="s">
        <v>131</v>
      </c>
      <c r="H19" s="5" t="s">
        <v>132</v>
      </c>
      <c r="I19" s="5" t="str">
        <f>CONCATENATE(G19, " ",H19)</f>
        <v>SIXTO BRAVO HUESCA</v>
      </c>
      <c r="J19" s="5">
        <v>1</v>
      </c>
      <c r="K19" s="8">
        <v>286.91000000000003</v>
      </c>
      <c r="L19" s="5" t="s">
        <v>182</v>
      </c>
      <c r="M19" s="5" t="s">
        <v>180</v>
      </c>
    </row>
    <row r="20" spans="1:13" x14ac:dyDescent="0.25">
      <c r="A20" s="5" t="s">
        <v>133</v>
      </c>
      <c r="B20" s="7">
        <v>17094718</v>
      </c>
      <c r="C20" s="6">
        <v>45658</v>
      </c>
      <c r="D20" s="5" t="s">
        <v>51</v>
      </c>
      <c r="E20" s="5" t="s">
        <v>136</v>
      </c>
      <c r="F20" s="5" t="str">
        <f>CONCATENATE(E20,2)</f>
        <v>Z0000503262</v>
      </c>
      <c r="G20" s="5" t="s">
        <v>137</v>
      </c>
      <c r="H20" s="5" t="s">
        <v>138</v>
      </c>
      <c r="I20" s="5" t="str">
        <f>CONCATENATE(G20, " ",H20)</f>
        <v>SANDRA WASHINGTON SMILEY</v>
      </c>
      <c r="J20" s="5">
        <v>1</v>
      </c>
      <c r="K20" s="8">
        <v>52.16</v>
      </c>
      <c r="L20" s="5" t="s">
        <v>182</v>
      </c>
      <c r="M20" s="5" t="s">
        <v>181</v>
      </c>
    </row>
    <row r="21" spans="1:13" x14ac:dyDescent="0.25">
      <c r="A21" s="5" t="s">
        <v>133</v>
      </c>
      <c r="B21" s="7">
        <v>17094718</v>
      </c>
      <c r="C21" s="6">
        <v>45717</v>
      </c>
      <c r="D21" s="5" t="s">
        <v>51</v>
      </c>
      <c r="E21" s="5" t="s">
        <v>136</v>
      </c>
      <c r="F21" s="5" t="str">
        <f>CONCATENATE(E21,2)</f>
        <v>Z0000503262</v>
      </c>
      <c r="G21" s="5" t="s">
        <v>137</v>
      </c>
      <c r="H21" s="5" t="s">
        <v>138</v>
      </c>
      <c r="I21" s="5" t="str">
        <f>CONCATENATE(G21, " ",H21)</f>
        <v>SANDRA WASHINGTON SMILEY</v>
      </c>
      <c r="J21" s="5">
        <v>1</v>
      </c>
      <c r="K21" s="8">
        <v>260.83999999999997</v>
      </c>
      <c r="L21" s="5" t="s">
        <v>182</v>
      </c>
      <c r="M21" s="5" t="s">
        <v>177</v>
      </c>
    </row>
    <row r="22" spans="1:13" x14ac:dyDescent="0.25">
      <c r="A22" s="5" t="s">
        <v>139</v>
      </c>
      <c r="B22" s="7">
        <v>8307933</v>
      </c>
      <c r="C22" s="6">
        <v>45597</v>
      </c>
      <c r="D22" s="5" t="s">
        <v>44</v>
      </c>
      <c r="E22" s="5" t="s">
        <v>142</v>
      </c>
      <c r="F22" s="5" t="str">
        <f>CONCATENATE(E22,2)</f>
        <v>Z0000504592</v>
      </c>
      <c r="G22" s="5" t="s">
        <v>143</v>
      </c>
      <c r="H22" s="5" t="s">
        <v>144</v>
      </c>
      <c r="I22" s="5" t="str">
        <f>CONCATENATE(G22, " ",H22)</f>
        <v>ERLENE CARTER</v>
      </c>
      <c r="J22" s="5">
        <v>2</v>
      </c>
      <c r="K22" s="8">
        <v>26.08</v>
      </c>
      <c r="L22" s="5" t="s">
        <v>182</v>
      </c>
      <c r="M22" s="5" t="s">
        <v>176</v>
      </c>
    </row>
    <row r="23" spans="1:13" x14ac:dyDescent="0.25">
      <c r="A23" s="5" t="s">
        <v>145</v>
      </c>
      <c r="B23" s="7">
        <v>16683808</v>
      </c>
      <c r="C23" s="6">
        <v>45658</v>
      </c>
      <c r="D23" s="5" t="s">
        <v>147</v>
      </c>
      <c r="E23" s="5" t="s">
        <v>149</v>
      </c>
      <c r="F23" s="5" t="str">
        <f>CONCATENATE(E23,2)</f>
        <v>Z0000584812</v>
      </c>
      <c r="G23" s="5" t="s">
        <v>150</v>
      </c>
      <c r="H23" s="5" t="s">
        <v>151</v>
      </c>
      <c r="I23" s="5" t="str">
        <f>CONCATENATE(G23, " ",H23)</f>
        <v>BEVERLY UKROPEN</v>
      </c>
      <c r="J23" s="5">
        <v>1</v>
      </c>
      <c r="K23" s="8">
        <v>-313</v>
      </c>
      <c r="L23" s="5" t="s">
        <v>182</v>
      </c>
      <c r="M23" s="5" t="s">
        <v>178</v>
      </c>
    </row>
    <row r="24" spans="1:13" x14ac:dyDescent="0.25">
      <c r="A24" s="5" t="s">
        <v>152</v>
      </c>
      <c r="B24" s="7">
        <v>20212926</v>
      </c>
      <c r="C24" s="6">
        <v>45658</v>
      </c>
      <c r="D24" s="5" t="s">
        <v>154</v>
      </c>
      <c r="E24" s="5" t="s">
        <v>156</v>
      </c>
      <c r="F24" s="5" t="str">
        <f>CONCATENATE(E24)</f>
        <v>Z000053946</v>
      </c>
      <c r="G24" s="5" t="s">
        <v>157</v>
      </c>
      <c r="H24" s="5" t="s">
        <v>158</v>
      </c>
      <c r="I24" s="5" t="str">
        <f>CONCATENATE(G24, " ",H24)</f>
        <v>VICENTE ENRIQUEZ</v>
      </c>
      <c r="J24" s="5">
        <v>1</v>
      </c>
      <c r="K24" s="8">
        <v>-626</v>
      </c>
      <c r="L24" s="5" t="s">
        <v>183</v>
      </c>
      <c r="M24" s="5" t="s">
        <v>179</v>
      </c>
    </row>
    <row r="25" spans="1:13" x14ac:dyDescent="0.25">
      <c r="A25" s="5" t="s">
        <v>185</v>
      </c>
      <c r="B25" s="7">
        <v>20411454</v>
      </c>
      <c r="C25" s="6">
        <v>45717</v>
      </c>
      <c r="D25" s="5" t="s">
        <v>51</v>
      </c>
      <c r="E25" s="5" t="s">
        <v>73</v>
      </c>
      <c r="F25" s="5" t="str">
        <f>CONCATENATE(E25,22)</f>
        <v>Z00005960922</v>
      </c>
      <c r="G25" s="5" t="s">
        <v>74</v>
      </c>
      <c r="H25" s="5" t="s">
        <v>75</v>
      </c>
      <c r="I25" s="5" t="str">
        <f>CONCATENATE(G25, " ",H25)</f>
        <v>ANA MARTINEZ</v>
      </c>
      <c r="J25" s="5">
        <v>1</v>
      </c>
      <c r="K25" s="8">
        <v>200</v>
      </c>
      <c r="L25" s="5" t="s">
        <v>184</v>
      </c>
    </row>
    <row r="26" spans="1:13" x14ac:dyDescent="0.25">
      <c r="A26" s="5" t="s">
        <v>185</v>
      </c>
      <c r="B26" s="7">
        <v>20411454</v>
      </c>
      <c r="C26" s="6">
        <v>45474</v>
      </c>
      <c r="D26" s="5" t="s">
        <v>108</v>
      </c>
      <c r="E26" s="5" t="s">
        <v>110</v>
      </c>
      <c r="F26" s="5" t="str">
        <f>CONCATENATE(E26,22)</f>
        <v>Z00004171022</v>
      </c>
      <c r="G26" s="5" t="s">
        <v>111</v>
      </c>
      <c r="H26" s="5" t="s">
        <v>112</v>
      </c>
      <c r="I26" s="5" t="str">
        <f>CONCATENATE(G26, " ",H26)</f>
        <v>ANGEL TORRES</v>
      </c>
      <c r="J26" s="5">
        <v>2</v>
      </c>
      <c r="K26" s="8">
        <v>8.32</v>
      </c>
      <c r="L26" s="5" t="s">
        <v>184</v>
      </c>
    </row>
    <row r="27" spans="1:13" x14ac:dyDescent="0.25">
      <c r="A27" s="5" t="s">
        <v>185</v>
      </c>
      <c r="B27" s="7">
        <v>20411454</v>
      </c>
      <c r="C27" s="6">
        <v>45717</v>
      </c>
      <c r="D27" s="5" t="s">
        <v>51</v>
      </c>
      <c r="E27" s="5" t="s">
        <v>114</v>
      </c>
      <c r="F27" s="5" t="str">
        <f>CONCATENATE(E27,22)</f>
        <v>Z00006916122</v>
      </c>
      <c r="G27" s="5" t="s">
        <v>115</v>
      </c>
      <c r="H27" s="5" t="s">
        <v>116</v>
      </c>
      <c r="I27" s="5" t="str">
        <f>CONCATENATE(G27, " ",H27)</f>
        <v>AUDREY MINX</v>
      </c>
      <c r="J27" s="5">
        <v>1</v>
      </c>
      <c r="K27" s="8">
        <v>200</v>
      </c>
      <c r="L27" s="5" t="s">
        <v>184</v>
      </c>
    </row>
    <row r="28" spans="1:13" x14ac:dyDescent="0.25">
      <c r="A28" s="5" t="s">
        <v>185</v>
      </c>
      <c r="B28" s="7">
        <v>20411454</v>
      </c>
      <c r="C28" s="6">
        <v>45658</v>
      </c>
      <c r="D28" s="5" t="s">
        <v>147</v>
      </c>
      <c r="E28" s="5" t="s">
        <v>149</v>
      </c>
      <c r="F28" s="5" t="str">
        <f>CONCATENATE(E28,22)</f>
        <v>Z00005848122</v>
      </c>
      <c r="G28" s="5" t="s">
        <v>150</v>
      </c>
      <c r="H28" s="5" t="s">
        <v>151</v>
      </c>
      <c r="I28" s="5" t="str">
        <f>CONCATENATE(G28, " ",H28)</f>
        <v>BEVERLY UKROPEN</v>
      </c>
      <c r="J28" s="5">
        <v>1</v>
      </c>
      <c r="K28" s="8">
        <v>-200</v>
      </c>
      <c r="L28" s="5" t="s">
        <v>184</v>
      </c>
    </row>
    <row r="29" spans="1:13" x14ac:dyDescent="0.25">
      <c r="A29" s="5" t="s">
        <v>185</v>
      </c>
      <c r="B29" s="7">
        <v>20411454</v>
      </c>
      <c r="C29" s="6">
        <v>45658</v>
      </c>
      <c r="D29" s="5" t="s">
        <v>51</v>
      </c>
      <c r="E29" s="5" t="s">
        <v>77</v>
      </c>
      <c r="F29" s="5" t="str">
        <f>CONCATENATE(E29,22)</f>
        <v>Z00006026022</v>
      </c>
      <c r="G29" s="5" t="s">
        <v>78</v>
      </c>
      <c r="H29" s="5" t="s">
        <v>79</v>
      </c>
      <c r="I29" s="5" t="str">
        <f>CONCATENATE(G29, " ",H29)</f>
        <v>CHARLES BARKER</v>
      </c>
      <c r="J29" s="5">
        <v>1</v>
      </c>
      <c r="K29" s="8">
        <v>-200</v>
      </c>
      <c r="L29" s="5" t="s">
        <v>184</v>
      </c>
    </row>
    <row r="30" spans="1:13" x14ac:dyDescent="0.25">
      <c r="A30" s="5" t="s">
        <v>185</v>
      </c>
      <c r="B30" s="7">
        <v>20411454</v>
      </c>
      <c r="C30" s="6">
        <v>45566</v>
      </c>
      <c r="D30" s="5" t="s">
        <v>44</v>
      </c>
      <c r="E30" s="5" t="s">
        <v>163</v>
      </c>
      <c r="F30" s="5" t="str">
        <f>CONCATENATE(E30,22)</f>
        <v>Z00004814822</v>
      </c>
      <c r="G30" s="5" t="s">
        <v>164</v>
      </c>
      <c r="H30" s="5" t="s">
        <v>165</v>
      </c>
      <c r="I30" s="5" t="str">
        <f>CONCATENATE(G30, " ",H30)</f>
        <v>DAXABEN PATEL</v>
      </c>
      <c r="J30" s="5">
        <v>2</v>
      </c>
      <c r="K30" s="8">
        <v>8.32</v>
      </c>
      <c r="L30" s="5" t="s">
        <v>184</v>
      </c>
    </row>
    <row r="31" spans="1:13" x14ac:dyDescent="0.25">
      <c r="A31" s="5" t="s">
        <v>185</v>
      </c>
      <c r="B31" s="7">
        <v>20411454</v>
      </c>
      <c r="C31" s="6">
        <v>45627</v>
      </c>
      <c r="D31" s="5" t="s">
        <v>44</v>
      </c>
      <c r="E31" s="5" t="s">
        <v>46</v>
      </c>
      <c r="F31" s="5" t="str">
        <f>CONCATENATE(E31,22)</f>
        <v>Z00005354322</v>
      </c>
      <c r="G31" s="5" t="s">
        <v>47</v>
      </c>
      <c r="H31" s="5" t="s">
        <v>48</v>
      </c>
      <c r="I31" s="5" t="str">
        <f>CONCATENATE(G31, " ",H31)</f>
        <v>DOUGLAS SCHMIESKORS III</v>
      </c>
      <c r="J31" s="5">
        <v>2</v>
      </c>
      <c r="K31" s="8">
        <v>8.32</v>
      </c>
      <c r="L31" s="5" t="s">
        <v>184</v>
      </c>
    </row>
    <row r="32" spans="1:13" x14ac:dyDescent="0.25">
      <c r="A32" s="5" t="s">
        <v>185</v>
      </c>
      <c r="B32" s="7">
        <v>20411454</v>
      </c>
      <c r="C32" s="6">
        <v>45717</v>
      </c>
      <c r="D32" s="5" t="s">
        <v>51</v>
      </c>
      <c r="E32" s="5" t="s">
        <v>118</v>
      </c>
      <c r="F32" s="5" t="str">
        <f>CONCATENATE(E32,22)</f>
        <v>Z00006982122</v>
      </c>
      <c r="G32" s="5" t="s">
        <v>119</v>
      </c>
      <c r="H32" s="5" t="s">
        <v>120</v>
      </c>
      <c r="I32" s="5" t="str">
        <f>CONCATENATE(G32, " ",H32)</f>
        <v>EDWARD WHITE</v>
      </c>
      <c r="J32" s="5">
        <v>1</v>
      </c>
      <c r="K32" s="8">
        <v>200</v>
      </c>
      <c r="L32" s="5" t="s">
        <v>184</v>
      </c>
    </row>
    <row r="33" spans="1:12" x14ac:dyDescent="0.25">
      <c r="A33" s="5" t="s">
        <v>185</v>
      </c>
      <c r="B33" s="7">
        <v>20411454</v>
      </c>
      <c r="C33" s="6">
        <v>45658</v>
      </c>
      <c r="D33" s="5" t="s">
        <v>59</v>
      </c>
      <c r="E33" s="5" t="s">
        <v>169</v>
      </c>
      <c r="F33" s="5" t="str">
        <f>CONCATENATE(E33,22)</f>
        <v>Z00005489822</v>
      </c>
      <c r="G33" s="5" t="s">
        <v>170</v>
      </c>
      <c r="H33" s="5" t="s">
        <v>171</v>
      </c>
      <c r="I33" s="5" t="str">
        <f>CONCATENATE(G33, " ",H33)</f>
        <v>EILEEN CECHOTA</v>
      </c>
      <c r="J33" s="5">
        <v>1</v>
      </c>
      <c r="K33" s="8">
        <v>-200</v>
      </c>
      <c r="L33" s="5" t="s">
        <v>184</v>
      </c>
    </row>
    <row r="34" spans="1:12" x14ac:dyDescent="0.25">
      <c r="A34" s="5" t="s">
        <v>185</v>
      </c>
      <c r="B34" s="7">
        <v>20411454</v>
      </c>
      <c r="C34" s="6">
        <v>45597</v>
      </c>
      <c r="D34" s="5" t="s">
        <v>44</v>
      </c>
      <c r="E34" s="5" t="s">
        <v>142</v>
      </c>
      <c r="F34" s="5" t="str">
        <f>CONCATENATE(E34,22)</f>
        <v>Z00005045922</v>
      </c>
      <c r="G34" s="5" t="s">
        <v>143</v>
      </c>
      <c r="H34" s="5" t="s">
        <v>144</v>
      </c>
      <c r="I34" s="5" t="str">
        <f>CONCATENATE(G34, " ",H34)</f>
        <v>ERLENE CARTER</v>
      </c>
      <c r="J34" s="5">
        <v>2</v>
      </c>
      <c r="K34" s="8">
        <v>8.32</v>
      </c>
      <c r="L34" s="5" t="s">
        <v>184</v>
      </c>
    </row>
    <row r="35" spans="1:12" x14ac:dyDescent="0.25">
      <c r="A35" s="5" t="s">
        <v>185</v>
      </c>
      <c r="B35" s="7">
        <v>20411454</v>
      </c>
      <c r="C35" s="6">
        <v>45689</v>
      </c>
      <c r="D35" s="5" t="s">
        <v>51</v>
      </c>
      <c r="E35" s="5" t="s">
        <v>122</v>
      </c>
      <c r="F35" s="5" t="str">
        <f>CONCATENATE(E35,22)</f>
        <v>Z00006513222</v>
      </c>
      <c r="G35" s="5" t="s">
        <v>123</v>
      </c>
      <c r="H35" s="5" t="s">
        <v>124</v>
      </c>
      <c r="I35" s="5" t="str">
        <f>CONCATENATE(G35, " ",H35)</f>
        <v>GARRY FETT</v>
      </c>
      <c r="J35" s="5">
        <v>1</v>
      </c>
      <c r="K35" s="8">
        <v>200</v>
      </c>
      <c r="L35" s="5" t="s">
        <v>184</v>
      </c>
    </row>
    <row r="36" spans="1:12" x14ac:dyDescent="0.25">
      <c r="A36" s="5" t="s">
        <v>185</v>
      </c>
      <c r="B36" s="7">
        <v>20411454</v>
      </c>
      <c r="C36" s="6">
        <v>45717</v>
      </c>
      <c r="D36" s="5" t="s">
        <v>51</v>
      </c>
      <c r="E36" s="5" t="s">
        <v>81</v>
      </c>
      <c r="F36" s="5" t="str">
        <f>CONCATENATE(E36,22)</f>
        <v>Z00006954922</v>
      </c>
      <c r="G36" s="5" t="s">
        <v>82</v>
      </c>
      <c r="H36" s="5" t="s">
        <v>83</v>
      </c>
      <c r="I36" s="5" t="str">
        <f>CONCATENATE(G36, " ",H36)</f>
        <v>IDALIA RIVERA</v>
      </c>
      <c r="J36" s="5">
        <v>1</v>
      </c>
      <c r="K36" s="8">
        <v>200</v>
      </c>
      <c r="L36" s="5" t="s">
        <v>184</v>
      </c>
    </row>
    <row r="37" spans="1:12" x14ac:dyDescent="0.25">
      <c r="A37" s="5" t="s">
        <v>185</v>
      </c>
      <c r="B37" s="7">
        <v>20411454</v>
      </c>
      <c r="C37" s="6">
        <v>45597</v>
      </c>
      <c r="D37" s="5" t="s">
        <v>51</v>
      </c>
      <c r="E37" s="5" t="s">
        <v>53</v>
      </c>
      <c r="F37" s="5" t="str">
        <f>CONCATENATE(E37,22)</f>
        <v>Z00005151022</v>
      </c>
      <c r="G37" s="5" t="s">
        <v>54</v>
      </c>
      <c r="H37" s="5" t="s">
        <v>55</v>
      </c>
      <c r="I37" s="5" t="str">
        <f>CONCATENATE(G37, " ",H37)</f>
        <v>JAMES PRICE</v>
      </c>
      <c r="J37" s="5">
        <v>2</v>
      </c>
      <c r="K37" s="8">
        <v>8.32</v>
      </c>
      <c r="L37" s="5" t="s">
        <v>184</v>
      </c>
    </row>
    <row r="38" spans="1:12" x14ac:dyDescent="0.25">
      <c r="A38" s="5" t="s">
        <v>185</v>
      </c>
      <c r="B38" s="7">
        <v>20411454</v>
      </c>
      <c r="C38" s="6">
        <v>45597</v>
      </c>
      <c r="D38" s="5" t="s">
        <v>51</v>
      </c>
      <c r="E38" s="5" t="s">
        <v>85</v>
      </c>
      <c r="F38" s="5" t="str">
        <f>CONCATENATE(E38,22)</f>
        <v>Z00004801422</v>
      </c>
      <c r="G38" s="5" t="s">
        <v>86</v>
      </c>
      <c r="H38" s="5" t="s">
        <v>87</v>
      </c>
      <c r="I38" s="5" t="str">
        <f>CONCATENATE(G38, " ",H38)</f>
        <v>JOSE HERNANDEZ</v>
      </c>
      <c r="J38" s="5">
        <v>2</v>
      </c>
      <c r="K38" s="8">
        <v>8.32</v>
      </c>
      <c r="L38" s="5" t="s">
        <v>184</v>
      </c>
    </row>
    <row r="39" spans="1:12" x14ac:dyDescent="0.25">
      <c r="A39" s="5" t="s">
        <v>185</v>
      </c>
      <c r="B39" s="7">
        <v>20411454</v>
      </c>
      <c r="C39" s="6">
        <v>45536</v>
      </c>
      <c r="D39" s="5" t="s">
        <v>51</v>
      </c>
      <c r="E39" s="5" t="s">
        <v>89</v>
      </c>
      <c r="F39" s="5" t="str">
        <f>CONCATENATE(E39,22)</f>
        <v>Z00004563322</v>
      </c>
      <c r="G39" s="5" t="s">
        <v>90</v>
      </c>
      <c r="H39" s="5" t="s">
        <v>91</v>
      </c>
      <c r="I39" s="5" t="str">
        <f>CONCATENATE(G39, " ",H39)</f>
        <v>LINDA DANIEL</v>
      </c>
      <c r="J39" s="5">
        <v>2</v>
      </c>
      <c r="K39" s="8">
        <v>8.32</v>
      </c>
      <c r="L39" s="5" t="s">
        <v>184</v>
      </c>
    </row>
    <row r="40" spans="1:12" x14ac:dyDescent="0.25">
      <c r="A40" s="5" t="s">
        <v>185</v>
      </c>
      <c r="B40" s="7">
        <v>20411454</v>
      </c>
      <c r="C40" s="6">
        <v>45658</v>
      </c>
      <c r="D40" s="5" t="s">
        <v>59</v>
      </c>
      <c r="E40" s="5" t="s">
        <v>126</v>
      </c>
      <c r="F40" s="5" t="str">
        <f>CONCATENATE(E40,22)</f>
        <v>Z00005848522</v>
      </c>
      <c r="G40" s="5" t="s">
        <v>127</v>
      </c>
      <c r="H40" s="5" t="s">
        <v>128</v>
      </c>
      <c r="I40" s="5" t="str">
        <f>CONCATENATE(G40, " ",H40)</f>
        <v>MARIA RAMIREZ</v>
      </c>
      <c r="J40" s="5">
        <v>1</v>
      </c>
      <c r="K40" s="8">
        <v>-200</v>
      </c>
      <c r="L40" s="5" t="s">
        <v>184</v>
      </c>
    </row>
    <row r="41" spans="1:12" x14ac:dyDescent="0.25">
      <c r="A41" s="5" t="s">
        <v>185</v>
      </c>
      <c r="B41" s="7">
        <v>20411454</v>
      </c>
      <c r="C41" s="6">
        <v>45505</v>
      </c>
      <c r="D41" s="5" t="s">
        <v>44</v>
      </c>
      <c r="E41" s="5" t="s">
        <v>93</v>
      </c>
      <c r="F41" s="5" t="str">
        <f>CONCATENATE(E41,22)</f>
        <v>Z00004364422</v>
      </c>
      <c r="G41" s="5" t="s">
        <v>94</v>
      </c>
      <c r="H41" s="5" t="s">
        <v>95</v>
      </c>
      <c r="I41" s="5" t="str">
        <f>CONCATENATE(G41, " ",H41)</f>
        <v>OLEGARIO HERNANDEZ FLORES</v>
      </c>
      <c r="J41" s="5">
        <v>2</v>
      </c>
      <c r="K41" s="8">
        <v>8.32</v>
      </c>
      <c r="L41" s="5" t="s">
        <v>184</v>
      </c>
    </row>
    <row r="42" spans="1:12" x14ac:dyDescent="0.25">
      <c r="A42" s="5" t="s">
        <v>185</v>
      </c>
      <c r="B42" s="7">
        <v>20411454</v>
      </c>
      <c r="C42" s="6">
        <v>45566</v>
      </c>
      <c r="D42" s="5" t="s">
        <v>51</v>
      </c>
      <c r="E42" s="5" t="s">
        <v>97</v>
      </c>
      <c r="F42" s="5" t="str">
        <f>CONCATENATE(E42,22)</f>
        <v>Z00004611922</v>
      </c>
      <c r="G42" s="5" t="s">
        <v>98</v>
      </c>
      <c r="H42" s="5" t="s">
        <v>99</v>
      </c>
      <c r="I42" s="5" t="str">
        <f>CONCATENATE(G42, " ",H42)</f>
        <v>RENE DIAZ</v>
      </c>
      <c r="J42" s="5">
        <v>2</v>
      </c>
      <c r="K42" s="8">
        <v>8.32</v>
      </c>
      <c r="L42" s="5" t="s">
        <v>184</v>
      </c>
    </row>
    <row r="43" spans="1:12" x14ac:dyDescent="0.25">
      <c r="A43" s="5" t="s">
        <v>185</v>
      </c>
      <c r="B43" s="7">
        <v>20411454</v>
      </c>
      <c r="C43" s="6">
        <v>45717</v>
      </c>
      <c r="D43" s="5" t="s">
        <v>51</v>
      </c>
      <c r="E43" s="5" t="s">
        <v>67</v>
      </c>
      <c r="F43" s="5" t="str">
        <f>CONCATENATE(E43,22)</f>
        <v>Z00006941122</v>
      </c>
      <c r="G43" s="5" t="s">
        <v>68</v>
      </c>
      <c r="H43" s="5" t="s">
        <v>69</v>
      </c>
      <c r="I43" s="5" t="str">
        <f>CONCATENATE(G43, " ",H43)</f>
        <v>RICK LATTANZIO</v>
      </c>
      <c r="J43" s="5">
        <v>1</v>
      </c>
      <c r="K43" s="8">
        <v>200</v>
      </c>
      <c r="L43" s="5" t="s">
        <v>184</v>
      </c>
    </row>
    <row r="44" spans="1:12" x14ac:dyDescent="0.25">
      <c r="A44" s="5" t="s">
        <v>185</v>
      </c>
      <c r="B44" s="7">
        <v>20411454</v>
      </c>
      <c r="C44" s="6">
        <v>45658</v>
      </c>
      <c r="D44" s="5" t="s">
        <v>59</v>
      </c>
      <c r="E44" s="5" t="s">
        <v>61</v>
      </c>
      <c r="F44" s="5" t="str">
        <f>CONCATENATE(E44,22)</f>
        <v>Z00004963422</v>
      </c>
      <c r="G44" s="5" t="s">
        <v>62</v>
      </c>
      <c r="H44" s="5" t="s">
        <v>63</v>
      </c>
      <c r="I44" s="5" t="str">
        <f>CONCATENATE(G44, " ",H44)</f>
        <v>RONALD KROWN</v>
      </c>
      <c r="J44" s="5">
        <v>2</v>
      </c>
      <c r="K44" s="8">
        <v>8.32</v>
      </c>
      <c r="L44" s="5" t="s">
        <v>184</v>
      </c>
    </row>
    <row r="45" spans="1:12" x14ac:dyDescent="0.25">
      <c r="A45" s="5" t="s">
        <v>185</v>
      </c>
      <c r="B45" s="7">
        <v>20411454</v>
      </c>
      <c r="C45" s="6">
        <v>45658</v>
      </c>
      <c r="D45" s="5" t="s">
        <v>51</v>
      </c>
      <c r="E45" s="5" t="s">
        <v>136</v>
      </c>
      <c r="F45" s="5" t="str">
        <f>CONCATENATE(E45,22)</f>
        <v>Z00005032622</v>
      </c>
      <c r="G45" s="5" t="s">
        <v>137</v>
      </c>
      <c r="H45" s="5" t="s">
        <v>138</v>
      </c>
      <c r="I45" s="5" t="str">
        <f>CONCATENATE(G45, " ",H45)</f>
        <v>SANDRA WASHINGTON SMILEY</v>
      </c>
      <c r="J45" s="5">
        <v>1</v>
      </c>
      <c r="K45" s="8">
        <v>33.36</v>
      </c>
      <c r="L45" s="5" t="s">
        <v>184</v>
      </c>
    </row>
    <row r="46" spans="1:12" x14ac:dyDescent="0.25">
      <c r="A46" s="5" t="s">
        <v>185</v>
      </c>
      <c r="B46" s="7">
        <v>20411454</v>
      </c>
      <c r="C46" s="6">
        <v>45717</v>
      </c>
      <c r="D46" s="5" t="s">
        <v>51</v>
      </c>
      <c r="E46" s="5" t="s">
        <v>136</v>
      </c>
      <c r="F46" s="5" t="str">
        <f>CONCATENATE(E46,22)</f>
        <v>Z00005032622</v>
      </c>
      <c r="G46" s="5" t="s">
        <v>137</v>
      </c>
      <c r="H46" s="5" t="s">
        <v>138</v>
      </c>
      <c r="I46" s="5" t="str">
        <f>CONCATENATE(G46, " ",H46)</f>
        <v>SANDRA WASHINGTON SMILEY</v>
      </c>
      <c r="J46" s="5">
        <v>1</v>
      </c>
      <c r="K46" s="8">
        <v>166.64</v>
      </c>
      <c r="L46" s="5" t="s">
        <v>184</v>
      </c>
    </row>
    <row r="47" spans="1:12" x14ac:dyDescent="0.25">
      <c r="A47" s="5" t="s">
        <v>185</v>
      </c>
      <c r="B47" s="7">
        <v>20411454</v>
      </c>
      <c r="C47" s="6">
        <v>45597</v>
      </c>
      <c r="D47" s="5" t="s">
        <v>51</v>
      </c>
      <c r="E47" s="5" t="s">
        <v>173</v>
      </c>
      <c r="F47" s="5" t="str">
        <f>CONCATENATE(E47,22)</f>
        <v>Z00004867222</v>
      </c>
      <c r="G47" s="5" t="s">
        <v>174</v>
      </c>
      <c r="H47" s="5" t="s">
        <v>175</v>
      </c>
      <c r="I47" s="5" t="str">
        <f>CONCATENATE(G47, " ",H47)</f>
        <v>VERA HARRIS</v>
      </c>
      <c r="J47" s="5">
        <v>1</v>
      </c>
      <c r="K47" s="8">
        <v>166.68</v>
      </c>
      <c r="L47" s="5" t="s">
        <v>184</v>
      </c>
    </row>
    <row r="48" spans="1:12" x14ac:dyDescent="0.25">
      <c r="A48" s="5" t="s">
        <v>185</v>
      </c>
      <c r="B48" s="7">
        <v>20411454</v>
      </c>
      <c r="C48" s="6">
        <v>45658</v>
      </c>
      <c r="D48" s="5" t="s">
        <v>154</v>
      </c>
      <c r="E48" s="5" t="s">
        <v>156</v>
      </c>
      <c r="F48" s="5" t="str">
        <f>CONCATENATE(E48,22)</f>
        <v>Z00005394622</v>
      </c>
      <c r="G48" s="5" t="s">
        <v>157</v>
      </c>
      <c r="H48" s="5" t="s">
        <v>158</v>
      </c>
      <c r="I48" s="5" t="str">
        <f>CONCATENATE(G48, " ",H48)</f>
        <v>VICENTE ENRIQUEZ</v>
      </c>
      <c r="J48" s="5">
        <v>1</v>
      </c>
      <c r="K48" s="8">
        <v>-200</v>
      </c>
      <c r="L48" s="5" t="s">
        <v>184</v>
      </c>
    </row>
    <row r="49" spans="1:13" x14ac:dyDescent="0.25">
      <c r="A49" s="5" t="s">
        <v>185</v>
      </c>
      <c r="B49" s="7">
        <v>20411454</v>
      </c>
      <c r="C49" s="6">
        <v>45505</v>
      </c>
      <c r="D49" s="5" t="s">
        <v>44</v>
      </c>
      <c r="E49" s="5" t="s">
        <v>103</v>
      </c>
      <c r="F49" s="5" t="str">
        <f>CONCATENATE(E49,22)</f>
        <v>Z00004351322</v>
      </c>
      <c r="G49" s="5" t="s">
        <v>104</v>
      </c>
      <c r="H49" s="5" t="s">
        <v>105</v>
      </c>
      <c r="I49" s="5" t="str">
        <f>CONCATENATE(G49, " ",H49)</f>
        <v>WALTER ATTERBERRY</v>
      </c>
      <c r="J49" s="5">
        <v>2</v>
      </c>
      <c r="K49" s="8">
        <v>8.32</v>
      </c>
      <c r="L49" s="5" t="s">
        <v>184</v>
      </c>
    </row>
    <row r="50" spans="1:13" x14ac:dyDescent="0.25">
      <c r="A50" s="5" t="s">
        <v>160</v>
      </c>
      <c r="B50" s="7">
        <v>19396223</v>
      </c>
      <c r="C50" s="6">
        <v>45566</v>
      </c>
      <c r="D50" s="5" t="s">
        <v>44</v>
      </c>
      <c r="E50" s="5" t="s">
        <v>163</v>
      </c>
      <c r="F50" s="5" t="str">
        <f>CONCATENATE(E50,2)</f>
        <v>Z0000481482</v>
      </c>
      <c r="G50" s="5" t="s">
        <v>164</v>
      </c>
      <c r="H50" s="5" t="s">
        <v>165</v>
      </c>
      <c r="I50" s="5" t="str">
        <f>CONCATENATE(G50, " ",H50)</f>
        <v>DAXABEN PATEL</v>
      </c>
      <c r="J50" s="5">
        <v>2</v>
      </c>
      <c r="K50" s="8">
        <v>26.08</v>
      </c>
      <c r="L50" s="5" t="s">
        <v>182</v>
      </c>
      <c r="M50" s="5" t="s">
        <v>176</v>
      </c>
    </row>
    <row r="51" spans="1:13" x14ac:dyDescent="0.25">
      <c r="A51" s="5" t="s">
        <v>166</v>
      </c>
      <c r="B51" s="7">
        <v>17126004</v>
      </c>
      <c r="C51" s="6">
        <v>45658</v>
      </c>
      <c r="D51" s="5" t="s">
        <v>59</v>
      </c>
      <c r="E51" s="5" t="s">
        <v>169</v>
      </c>
      <c r="F51" s="5" t="str">
        <f>CONCATENATE(E51,2)</f>
        <v>Z0000548982</v>
      </c>
      <c r="G51" s="5" t="s">
        <v>170</v>
      </c>
      <c r="H51" s="5" t="s">
        <v>171</v>
      </c>
      <c r="I51" s="5" t="str">
        <f>CONCATENATE(G51, " ",H51)</f>
        <v>EILEEN CECHOTA</v>
      </c>
      <c r="J51" s="5">
        <v>1</v>
      </c>
      <c r="K51" s="8">
        <v>-313</v>
      </c>
      <c r="L51" s="5" t="s">
        <v>182</v>
      </c>
      <c r="M51" s="5" t="s">
        <v>178</v>
      </c>
    </row>
  </sheetData>
  <sortState xmlns:xlrd2="http://schemas.microsoft.com/office/spreadsheetml/2017/richdata2" ref="A2:T51">
    <sortCondition ref="A2:A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Cabel, Denisse Raeka</cp:lastModifiedBy>
  <dcterms:created xsi:type="dcterms:W3CDTF">2025-03-13T13:04:19Z</dcterms:created>
  <dcterms:modified xsi:type="dcterms:W3CDTF">2025-03-13T14:46:00Z</dcterms:modified>
</cp:coreProperties>
</file>