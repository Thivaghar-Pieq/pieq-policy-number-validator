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3-21-25\"/>
    </mc:Choice>
  </mc:AlternateContent>
  <xr:revisionPtr revIDLastSave="0" documentId="13_ncr:1_{9E924C10-08F3-4E5F-9FF3-E0E4E0F507CB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2" i="3"/>
  <c r="F47" i="3"/>
  <c r="F38" i="3"/>
  <c r="F32" i="3"/>
  <c r="F40" i="3"/>
  <c r="F34" i="3"/>
  <c r="F28" i="3"/>
  <c r="F51" i="3"/>
  <c r="F30" i="3"/>
  <c r="F43" i="3"/>
  <c r="F45" i="3"/>
  <c r="F36" i="3"/>
  <c r="F37" i="3"/>
  <c r="F46" i="3"/>
  <c r="F50" i="3"/>
  <c r="F48" i="3"/>
  <c r="F39" i="3"/>
  <c r="F33" i="3"/>
  <c r="F41" i="3"/>
  <c r="F35" i="3"/>
  <c r="F29" i="3"/>
  <c r="F52" i="3"/>
  <c r="F31" i="3"/>
  <c r="F44" i="3"/>
  <c r="F42" i="3"/>
  <c r="F53" i="3"/>
  <c r="F49" i="3"/>
  <c r="F17" i="3"/>
  <c r="F23" i="3"/>
  <c r="F4" i="3"/>
  <c r="F21" i="3"/>
  <c r="F12" i="3"/>
  <c r="F6" i="3"/>
  <c r="F14" i="3"/>
  <c r="F8" i="3"/>
  <c r="F2" i="3"/>
  <c r="F19" i="3"/>
  <c r="F10" i="3"/>
  <c r="F11" i="3"/>
  <c r="F20" i="3"/>
  <c r="F26" i="3"/>
  <c r="F18" i="3"/>
  <c r="F24" i="3"/>
  <c r="F5" i="3"/>
  <c r="F22" i="3"/>
  <c r="F13" i="3"/>
  <c r="F7" i="3"/>
  <c r="F15" i="3"/>
  <c r="F9" i="3"/>
  <c r="F3" i="3"/>
  <c r="F16" i="3"/>
  <c r="F27" i="3"/>
  <c r="F25" i="3"/>
</calcChain>
</file>

<file path=xl/sharedStrings.xml><?xml version="1.0" encoding="utf-8"?>
<sst xmlns="http://schemas.openxmlformats.org/spreadsheetml/2006/main" count="1155" uniqueCount="133">
  <si>
    <t/>
  </si>
  <si>
    <t>Description</t>
  </si>
  <si>
    <t>Member Count</t>
  </si>
  <si>
    <t>Credits</t>
  </si>
  <si>
    <t>Debits</t>
  </si>
  <si>
    <t>Total</t>
  </si>
  <si>
    <t>Initial Enrollments</t>
  </si>
  <si>
    <t>$921.66</t>
  </si>
  <si>
    <t>$0.00</t>
  </si>
  <si>
    <t>Renewal Enrollments</t>
  </si>
  <si>
    <t>$1,032.00</t>
  </si>
  <si>
    <t>Rapid Disenrollments</t>
  </si>
  <si>
    <t>$103.20</t>
  </si>
  <si>
    <t>($722.40)</t>
  </si>
  <si>
    <t>($619.20)</t>
  </si>
  <si>
    <t>Disenrollments</t>
  </si>
  <si>
    <t>($412.80)</t>
  </si>
  <si>
    <t>Bonus</t>
  </si>
  <si>
    <t>Activity</t>
  </si>
  <si>
    <t>Miscellaneous</t>
  </si>
  <si>
    <t>Balance</t>
  </si>
  <si>
    <t>($4,282.77)</t>
  </si>
  <si>
    <t>TOTAL</t>
  </si>
  <si>
    <t>$2,056.86</t>
  </si>
  <si>
    <t>($1,135.20)</t>
  </si>
  <si>
    <t>($3,361.11)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</si>
  <si>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</si>
  <si>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</si>
  <si>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</si>
  <si>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</si>
  <si>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</si>
  <si>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</si>
  <si>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</si>
  <si>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</si>
  <si>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</si>
  <si>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</si>
  <si>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</si>
  <si>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</si>
  <si>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</si>
  <si>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</si>
  <si>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</si>
  <si>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</si>
  <si>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</si>
  <si>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</si>
  <si>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</si>
  <si>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</si>
  <si>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</si>
  <si>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</si>
  <si>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</si>
  <si>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</si>
  <si>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</si>
  <si>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No</t>
  </si>
  <si>
    <t>Agent</t>
  </si>
  <si>
    <t>Yes</t>
  </si>
  <si>
    <t>Zing Essential Wellness Diabetes and Heart IL (HMO C-SNP)</t>
  </si>
  <si>
    <t>1RQ6R88AC72</t>
  </si>
  <si>
    <t>Z000051510</t>
  </si>
  <si>
    <t>JAMES</t>
  </si>
  <si>
    <t>PRICE</t>
  </si>
  <si>
    <t>Barry Schumann</t>
  </si>
  <si>
    <t>19586992</t>
  </si>
  <si>
    <t>7V79CK2VW53</t>
  </si>
  <si>
    <t>Z000069904</t>
  </si>
  <si>
    <t>CLIFTON</t>
  </si>
  <si>
    <t>MCKENNIE</t>
  </si>
  <si>
    <t>Esther Herrera-Larsen</t>
  </si>
  <si>
    <t>17301495</t>
  </si>
  <si>
    <t>2JF4PV6MC83</t>
  </si>
  <si>
    <t>Z000048014</t>
  </si>
  <si>
    <t>JOSE</t>
  </si>
  <si>
    <t>HERNANDEZ</t>
  </si>
  <si>
    <t>8FM2YJ2UJ25</t>
  </si>
  <si>
    <t>Z000045633</t>
  </si>
  <si>
    <t>LINDA</t>
  </si>
  <si>
    <t>DANIEL</t>
  </si>
  <si>
    <t>1T41NF5CD25</t>
  </si>
  <si>
    <t>Z000043644</t>
  </si>
  <si>
    <t>OLEGARIO</t>
  </si>
  <si>
    <t>HERNANDEZ FLORES</t>
  </si>
  <si>
    <t>4H02K67VA19</t>
  </si>
  <si>
    <t>Z000046119</t>
  </si>
  <si>
    <t>RENE</t>
  </si>
  <si>
    <t>DIAZ</t>
  </si>
  <si>
    <t>9HF2XQ3WW29</t>
  </si>
  <si>
    <t>Z000069876</t>
  </si>
  <si>
    <t>STANLEY</t>
  </si>
  <si>
    <t>WARMUZ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</si>
  <si>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</si>
  <si>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</si>
  <si>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</si>
  <si>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</si>
  <si>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</si>
  <si>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</si>
  <si>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</si>
  <si>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</si>
  <si>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Zing Elite Diabetes &amp; Heart IL  (HMO C-SNP)</t>
  </si>
  <si>
    <t>2MN1EG1KV35</t>
  </si>
  <si>
    <t>Z000041710</t>
  </si>
  <si>
    <t>ANGEL</t>
  </si>
  <si>
    <t>TORRES</t>
  </si>
  <si>
    <t>Gregory Hansford</t>
  </si>
  <si>
    <t>17094718</t>
  </si>
  <si>
    <t>4D61YN1FW01</t>
  </si>
  <si>
    <t>Z000048672</t>
  </si>
  <si>
    <t>VERA</t>
  </si>
  <si>
    <t>HARRIS</t>
  </si>
  <si>
    <t>Gregory Teipel</t>
  </si>
  <si>
    <t>8307933</t>
  </si>
  <si>
    <t>8W82U48NP28</t>
  </si>
  <si>
    <t>Z000050459</t>
  </si>
  <si>
    <t>ERLENE</t>
  </si>
  <si>
    <t>CARTER</t>
  </si>
  <si>
    <t>Jose Torres</t>
  </si>
  <si>
    <t>20212926</t>
  </si>
  <si>
    <t>9JU6MM9XT50</t>
  </si>
  <si>
    <t>Z000049972</t>
  </si>
  <si>
    <t>FRANCISCO</t>
  </si>
  <si>
    <t>PEREZ GARCIA</t>
  </si>
  <si>
    <t>Admin</t>
  </si>
  <si>
    <t>Saadia Abdul</t>
  </si>
  <si>
    <t>19396223</t>
  </si>
  <si>
    <t>3J34V65XN82</t>
  </si>
  <si>
    <t>Z000048148</t>
  </si>
  <si>
    <t>DAXABEN</t>
  </si>
  <si>
    <t>PATEL</t>
  </si>
  <si>
    <t>[%/$=313][prorate=1/12]</t>
  </si>
  <si>
    <t>[%/$=313][prorate=3/12]</t>
  </si>
  <si>
    <t>Zing MAPD 2025*</t>
  </si>
  <si>
    <t>[%/$=313][prorate=2/12]</t>
  </si>
  <si>
    <t>Zing 2025 OVR</t>
  </si>
  <si>
    <t>[%/$=313][prorate=10/12]</t>
  </si>
  <si>
    <t>Main Line Benefits</t>
  </si>
  <si>
    <t>SCHMIESKORS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</si>
</sst>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/mm/dd\ "/>
    <numFmt numFmtId="165" formatCode="yyyy/dd/mm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D22" sqref="D22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2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>
        <v>10</v>
      </c>
      <c r="C3" t="s">
        <v>10</v>
      </c>
      <c r="D3" t="s">
        <v>8</v>
      </c>
      <c r="E3" t="s">
        <v>10</v>
      </c>
    </row>
    <row r="4" spans="1:5" x14ac:dyDescent="0.25">
      <c r="A4" t="s">
        <v>11</v>
      </c>
      <c r="B4">
        <v>8</v>
      </c>
      <c r="C4" t="s">
        <v>12</v>
      </c>
      <c r="D4" t="s">
        <v>13</v>
      </c>
      <c r="E4" t="s">
        <v>14</v>
      </c>
    </row>
    <row r="5" spans="1:5" x14ac:dyDescent="0.25">
      <c r="A5" t="s">
        <v>15</v>
      </c>
      <c r="B5">
        <v>4</v>
      </c>
      <c r="C5" t="s">
        <v>8</v>
      </c>
      <c r="D5" t="s">
        <v>16</v>
      </c>
      <c r="E5" t="s">
        <v>16</v>
      </c>
    </row>
    <row r="6" spans="1:5" x14ac:dyDescent="0.25">
      <c r="A6" t="s">
        <v>17</v>
      </c>
      <c r="B6">
        <v>0</v>
      </c>
      <c r="C6" t="s">
        <v>8</v>
      </c>
      <c r="D6" t="s">
        <v>8</v>
      </c>
      <c r="E6" t="s">
        <v>8</v>
      </c>
    </row>
    <row r="7" spans="1:5" x14ac:dyDescent="0.25">
      <c r="A7" t="s">
        <v>18</v>
      </c>
      <c r="B7">
        <v>0</v>
      </c>
      <c r="C7" t="s">
        <v>8</v>
      </c>
      <c r="D7" t="s">
        <v>8</v>
      </c>
      <c r="E7" t="s">
        <v>8</v>
      </c>
    </row>
    <row r="8" spans="1:5" x14ac:dyDescent="0.25">
      <c r="A8" t="s">
        <v>19</v>
      </c>
      <c r="B8">
        <v>0</v>
      </c>
      <c r="C8" t="s">
        <v>8</v>
      </c>
      <c r="D8" t="s">
        <v>8</v>
      </c>
      <c r="E8" t="s">
        <v>8</v>
      </c>
    </row>
    <row r="9" spans="1:5" x14ac:dyDescent="0.25">
      <c r="A9" t="s">
        <v>20</v>
      </c>
      <c r="E9" t="s">
        <v>21</v>
      </c>
    </row>
    <row r="10" spans="1:5" x14ac:dyDescent="0.25">
      <c r="A10" t="s">
        <v>22</v>
      </c>
      <c r="B10">
        <v>14</v>
      </c>
      <c r="C10" t="s">
        <v>23</v>
      </c>
      <c r="D10" t="s">
        <v>24</v>
      </c>
      <c r="E1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3"/>
  <sheetViews>
    <sheetView workbookViewId="0">
      <selection activeCell="G35" sqref="G35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5.5703125" bestFit="1" customWidth="1"/>
    <col min="9" max="9" width="12.140625" bestFit="1" customWidth="1"/>
    <col min="10" max="10" width="19" bestFit="1" customWidth="1"/>
    <col min="11" max="11" width="19.4257812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6.85546875" bestFit="1" customWidth="1"/>
  </cols>
  <sheetData>
    <row r="1" spans="1:17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s="3" t="s">
        <v>39</v>
      </c>
      <c r="O1" t="s">
        <v>40</v>
      </c>
      <c r="P1" t="s">
        <v>41</v>
      </c>
      <c r="Q1" t="s">
        <v>42</v>
      </c>
    </row>
    <row r="2" spans="1:17" x14ac:dyDescent="0.25">
      <c r="A2" t="s">
        <v>43</v>
      </c>
      <c r="B2" t="s">
        <v>44</v>
      </c>
      <c r="C2" s="1">
        <v>45627</v>
      </c>
      <c r="D2" s="1">
        <v>45657</v>
      </c>
      <c r="E2" t="s">
        <v>45</v>
      </c>
      <c r="F2" t="s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>
        <v>2</v>
      </c>
      <c r="M2" t="s">
        <v>51</v>
      </c>
      <c r="N2" s="3" t="s">
        <v>0</v>
      </c>
      <c r="O2" t="s">
        <v>0</v>
      </c>
      <c r="P2" s="5">
        <v>-78.239999999999995</v>
      </c>
      <c r="Q2" t="s">
        <v>52</v>
      </c>
    </row>
    <row r="3" spans="1:17" x14ac:dyDescent="0.25">
      <c r="A3" t="s">
        <v>43</v>
      </c>
      <c r="B3" t="s">
        <v>44</v>
      </c>
      <c r="C3" s="2">
        <v>45658</v>
      </c>
      <c r="D3" t="s">
        <v>0</v>
      </c>
      <c r="E3" t="s">
        <v>45</v>
      </c>
      <c r="F3" t="s">
        <v>0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>
        <v>2</v>
      </c>
      <c r="M3" t="s">
        <v>53</v>
      </c>
      <c r="N3" s="3" t="s">
        <v>0</v>
      </c>
      <c r="O3" t="s">
        <v>0</v>
      </c>
      <c r="P3" s="5">
        <v>78.239999999999995</v>
      </c>
      <c r="Q3" t="s">
        <v>52</v>
      </c>
    </row>
    <row r="4" spans="1:17" x14ac:dyDescent="0.25">
      <c r="A4" t="s">
        <v>43</v>
      </c>
      <c r="B4" t="s">
        <v>44</v>
      </c>
      <c r="C4" s="1">
        <v>45597</v>
      </c>
      <c r="D4" s="1">
        <v>45657</v>
      </c>
      <c r="E4" t="s">
        <v>45</v>
      </c>
      <c r="F4" t="s">
        <v>0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>
        <v>2</v>
      </c>
      <c r="M4" t="s">
        <v>53</v>
      </c>
      <c r="N4" s="3" t="s">
        <v>0</v>
      </c>
      <c r="O4" t="s">
        <v>0</v>
      </c>
      <c r="P4" s="5">
        <v>-78.239999999999995</v>
      </c>
      <c r="Q4" t="s">
        <v>52</v>
      </c>
    </row>
    <row r="5" spans="1:17" x14ac:dyDescent="0.25">
      <c r="A5" t="s">
        <v>43</v>
      </c>
      <c r="B5" t="s">
        <v>44</v>
      </c>
      <c r="C5" s="2">
        <v>45658</v>
      </c>
      <c r="D5" t="s">
        <v>0</v>
      </c>
      <c r="E5" t="s">
        <v>45</v>
      </c>
      <c r="F5" t="s">
        <v>0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>
        <v>2</v>
      </c>
      <c r="M5" t="s">
        <v>53</v>
      </c>
      <c r="N5" s="3" t="s">
        <v>0</v>
      </c>
      <c r="O5" t="s">
        <v>0</v>
      </c>
      <c r="P5" s="5">
        <v>78.239999999999995</v>
      </c>
      <c r="Q5" t="s">
        <v>52</v>
      </c>
    </row>
    <row r="6" spans="1:17" x14ac:dyDescent="0.25">
      <c r="A6" t="s">
        <v>59</v>
      </c>
      <c r="B6" t="s">
        <v>60</v>
      </c>
      <c r="C6" s="1">
        <v>45717</v>
      </c>
      <c r="D6" t="s">
        <v>0</v>
      </c>
      <c r="E6" t="s">
        <v>45</v>
      </c>
      <c r="F6" t="s">
        <v>0</v>
      </c>
      <c r="G6" t="s">
        <v>54</v>
      </c>
      <c r="H6" t="s">
        <v>61</v>
      </c>
      <c r="I6" t="s">
        <v>62</v>
      </c>
      <c r="J6" t="s">
        <v>63</v>
      </c>
      <c r="K6" t="s">
        <v>64</v>
      </c>
      <c r="L6">
        <v>1</v>
      </c>
      <c r="M6" t="s">
        <v>53</v>
      </c>
      <c r="N6" s="3" t="s">
        <v>0</v>
      </c>
      <c r="O6" t="s">
        <v>0</v>
      </c>
      <c r="P6" s="5">
        <v>260.83</v>
      </c>
      <c r="Q6" t="s">
        <v>52</v>
      </c>
    </row>
    <row r="7" spans="1:17" x14ac:dyDescent="0.25">
      <c r="A7" t="s">
        <v>65</v>
      </c>
      <c r="B7" t="s">
        <v>66</v>
      </c>
      <c r="C7" s="1">
        <v>45597</v>
      </c>
      <c r="D7" s="1">
        <v>45657</v>
      </c>
      <c r="E7" t="s">
        <v>45</v>
      </c>
      <c r="F7" t="s">
        <v>0</v>
      </c>
      <c r="G7" t="s">
        <v>54</v>
      </c>
      <c r="H7" t="s">
        <v>67</v>
      </c>
      <c r="I7" t="s">
        <v>68</v>
      </c>
      <c r="J7" t="s">
        <v>69</v>
      </c>
      <c r="K7" t="s">
        <v>70</v>
      </c>
      <c r="L7">
        <v>2</v>
      </c>
      <c r="M7" t="s">
        <v>53</v>
      </c>
      <c r="N7" s="3" t="s">
        <v>0</v>
      </c>
      <c r="O7" t="s">
        <v>0</v>
      </c>
      <c r="P7" s="5">
        <v>-78.239999999999995</v>
      </c>
      <c r="Q7" t="s">
        <v>52</v>
      </c>
    </row>
    <row r="8" spans="1:17" x14ac:dyDescent="0.25">
      <c r="A8" t="s">
        <v>65</v>
      </c>
      <c r="B8" t="s">
        <v>66</v>
      </c>
      <c r="C8" s="2">
        <v>45658</v>
      </c>
      <c r="D8" t="s">
        <v>0</v>
      </c>
      <c r="E8" t="s">
        <v>45</v>
      </c>
      <c r="F8" t="s">
        <v>0</v>
      </c>
      <c r="G8" t="s">
        <v>54</v>
      </c>
      <c r="H8" t="s">
        <v>67</v>
      </c>
      <c r="I8" t="s">
        <v>68</v>
      </c>
      <c r="J8" t="s">
        <v>69</v>
      </c>
      <c r="K8" t="s">
        <v>70</v>
      </c>
      <c r="L8">
        <v>2</v>
      </c>
      <c r="M8" t="s">
        <v>53</v>
      </c>
      <c r="N8" s="3" t="s">
        <v>0</v>
      </c>
      <c r="O8" t="s">
        <v>0</v>
      </c>
      <c r="P8" s="5">
        <v>78.239999999999995</v>
      </c>
      <c r="Q8" t="s">
        <v>52</v>
      </c>
    </row>
    <row r="9" spans="1:17" x14ac:dyDescent="0.25">
      <c r="A9" t="s">
        <v>65</v>
      </c>
      <c r="B9" t="s">
        <v>66</v>
      </c>
      <c r="C9" s="1">
        <v>45536</v>
      </c>
      <c r="D9" s="1">
        <v>45657</v>
      </c>
      <c r="E9" t="s">
        <v>45</v>
      </c>
      <c r="F9" t="s">
        <v>0</v>
      </c>
      <c r="G9" t="s">
        <v>54</v>
      </c>
      <c r="H9" t="s">
        <v>71</v>
      </c>
      <c r="I9" t="s">
        <v>72</v>
      </c>
      <c r="J9" t="s">
        <v>73</v>
      </c>
      <c r="K9" t="s">
        <v>74</v>
      </c>
      <c r="L9">
        <v>2</v>
      </c>
      <c r="M9" t="s">
        <v>53</v>
      </c>
      <c r="N9" s="3" t="s">
        <v>0</v>
      </c>
      <c r="O9" t="s">
        <v>0</v>
      </c>
      <c r="P9" s="5">
        <v>-78.239999999999995</v>
      </c>
      <c r="Q9" t="s">
        <v>52</v>
      </c>
    </row>
    <row r="10" spans="1:17" x14ac:dyDescent="0.25">
      <c r="A10" t="s">
        <v>65</v>
      </c>
      <c r="B10" t="s">
        <v>66</v>
      </c>
      <c r="C10" s="2">
        <v>45658</v>
      </c>
      <c r="D10" t="s">
        <v>0</v>
      </c>
      <c r="E10" t="s">
        <v>45</v>
      </c>
      <c r="F10" t="s">
        <v>0</v>
      </c>
      <c r="G10" t="s">
        <v>54</v>
      </c>
      <c r="H10" t="s">
        <v>71</v>
      </c>
      <c r="I10" t="s">
        <v>72</v>
      </c>
      <c r="J10" t="s">
        <v>73</v>
      </c>
      <c r="K10" t="s">
        <v>74</v>
      </c>
      <c r="L10">
        <v>2</v>
      </c>
      <c r="M10" t="s">
        <v>53</v>
      </c>
      <c r="N10" s="3" t="s">
        <v>0</v>
      </c>
      <c r="O10" t="s">
        <v>0</v>
      </c>
      <c r="P10" s="5">
        <v>78.239999999999995</v>
      </c>
      <c r="Q10" t="s">
        <v>52</v>
      </c>
    </row>
    <row r="11" spans="1:17" x14ac:dyDescent="0.25">
      <c r="A11" t="s">
        <v>65</v>
      </c>
      <c r="B11" t="s">
        <v>66</v>
      </c>
      <c r="C11" s="1">
        <v>45505</v>
      </c>
      <c r="D11" s="1">
        <v>45657</v>
      </c>
      <c r="E11" t="s">
        <v>45</v>
      </c>
      <c r="F11" t="s">
        <v>0</v>
      </c>
      <c r="G11" t="s">
        <v>46</v>
      </c>
      <c r="H11" t="s">
        <v>75</v>
      </c>
      <c r="I11" t="s">
        <v>76</v>
      </c>
      <c r="J11" t="s">
        <v>77</v>
      </c>
      <c r="K11" t="s">
        <v>78</v>
      </c>
      <c r="L11">
        <v>2</v>
      </c>
      <c r="M11" t="s">
        <v>53</v>
      </c>
      <c r="N11" s="3" t="s">
        <v>0</v>
      </c>
      <c r="O11" t="s">
        <v>0</v>
      </c>
      <c r="P11" s="5">
        <v>-78.239999999999995</v>
      </c>
      <c r="Q11" t="s">
        <v>52</v>
      </c>
    </row>
    <row r="12" spans="1:17" x14ac:dyDescent="0.25">
      <c r="A12" t="s">
        <v>65</v>
      </c>
      <c r="B12" t="s">
        <v>66</v>
      </c>
      <c r="C12" s="2">
        <v>45658</v>
      </c>
      <c r="D12" t="s">
        <v>0</v>
      </c>
      <c r="E12" t="s">
        <v>45</v>
      </c>
      <c r="F12" t="s">
        <v>0</v>
      </c>
      <c r="G12" t="s">
        <v>46</v>
      </c>
      <c r="H12" t="s">
        <v>75</v>
      </c>
      <c r="I12" t="s">
        <v>76</v>
      </c>
      <c r="J12" t="s">
        <v>77</v>
      </c>
      <c r="K12" t="s">
        <v>78</v>
      </c>
      <c r="L12">
        <v>2</v>
      </c>
      <c r="M12" t="s">
        <v>53</v>
      </c>
      <c r="N12" s="3" t="s">
        <v>0</v>
      </c>
      <c r="O12" t="s">
        <v>0</v>
      </c>
      <c r="P12" s="5">
        <v>78.239999999999995</v>
      </c>
      <c r="Q12" t="s">
        <v>52</v>
      </c>
    </row>
    <row r="13" spans="1:17" x14ac:dyDescent="0.25">
      <c r="A13" t="s">
        <v>65</v>
      </c>
      <c r="B13" t="s">
        <v>66</v>
      </c>
      <c r="C13" s="1">
        <v>45566</v>
      </c>
      <c r="D13" s="1">
        <v>45657</v>
      </c>
      <c r="E13" t="s">
        <v>45</v>
      </c>
      <c r="F13" t="s">
        <v>0</v>
      </c>
      <c r="G13" t="s">
        <v>54</v>
      </c>
      <c r="H13" t="s">
        <v>79</v>
      </c>
      <c r="I13" t="s">
        <v>80</v>
      </c>
      <c r="J13" t="s">
        <v>81</v>
      </c>
      <c r="K13" t="s">
        <v>82</v>
      </c>
      <c r="L13">
        <v>2</v>
      </c>
      <c r="M13" t="s">
        <v>53</v>
      </c>
      <c r="N13" s="3" t="s">
        <v>0</v>
      </c>
      <c r="O13" t="s">
        <v>0</v>
      </c>
      <c r="P13" s="5">
        <v>-78.239999999999995</v>
      </c>
      <c r="Q13" t="s">
        <v>52</v>
      </c>
    </row>
    <row r="14" spans="1:17" x14ac:dyDescent="0.25">
      <c r="A14" t="s">
        <v>65</v>
      </c>
      <c r="B14" t="s">
        <v>66</v>
      </c>
      <c r="C14" s="2">
        <v>45658</v>
      </c>
      <c r="D14" t="s">
        <v>0</v>
      </c>
      <c r="E14" t="s">
        <v>45</v>
      </c>
      <c r="F14" t="s">
        <v>0</v>
      </c>
      <c r="G14" t="s">
        <v>54</v>
      </c>
      <c r="H14" t="s">
        <v>79</v>
      </c>
      <c r="I14" t="s">
        <v>80</v>
      </c>
      <c r="J14" t="s">
        <v>81</v>
      </c>
      <c r="K14" t="s">
        <v>82</v>
      </c>
      <c r="L14">
        <v>2</v>
      </c>
      <c r="M14" t="s">
        <v>53</v>
      </c>
      <c r="N14" s="3" t="s">
        <v>0</v>
      </c>
      <c r="O14" t="s">
        <v>0</v>
      </c>
      <c r="P14" s="5">
        <v>78.239999999999995</v>
      </c>
      <c r="Q14" t="s">
        <v>52</v>
      </c>
    </row>
    <row r="15" spans="1:17" x14ac:dyDescent="0.25">
      <c r="A15" t="s">
        <v>65</v>
      </c>
      <c r="B15" t="s">
        <v>66</v>
      </c>
      <c r="C15" s="1">
        <v>45717</v>
      </c>
      <c r="D15" t="s">
        <v>0</v>
      </c>
      <c r="E15" t="s">
        <v>45</v>
      </c>
      <c r="F15" t="s">
        <v>0</v>
      </c>
      <c r="G15" t="s">
        <v>54</v>
      </c>
      <c r="H15" t="s">
        <v>83</v>
      </c>
      <c r="I15" t="s">
        <v>84</v>
      </c>
      <c r="J15" t="s">
        <v>85</v>
      </c>
      <c r="K15" t="s">
        <v>86</v>
      </c>
      <c r="L15">
        <v>1</v>
      </c>
      <c r="M15" t="s">
        <v>53</v>
      </c>
      <c r="N15" s="3" t="s">
        <v>0</v>
      </c>
      <c r="O15" t="s">
        <v>0</v>
      </c>
      <c r="P15" s="5">
        <v>260.83</v>
      </c>
      <c r="Q15" t="s">
        <v>52</v>
      </c>
    </row>
    <row r="16" spans="1:17" x14ac:dyDescent="0.25">
      <c r="A16" t="s">
        <v>87</v>
      </c>
      <c r="B16" t="s">
        <v>88</v>
      </c>
      <c r="C16" s="1">
        <v>45505</v>
      </c>
      <c r="D16" s="1">
        <v>45657</v>
      </c>
      <c r="E16" t="s">
        <v>45</v>
      </c>
      <c r="F16" t="s">
        <v>0</v>
      </c>
      <c r="G16" t="s">
        <v>46</v>
      </c>
      <c r="H16" t="s">
        <v>89</v>
      </c>
      <c r="I16" t="s">
        <v>90</v>
      </c>
      <c r="J16" t="s">
        <v>91</v>
      </c>
      <c r="K16" t="s">
        <v>92</v>
      </c>
      <c r="L16">
        <v>2</v>
      </c>
      <c r="M16" t="s">
        <v>53</v>
      </c>
      <c r="N16" s="3" t="s">
        <v>0</v>
      </c>
      <c r="O16" t="s">
        <v>0</v>
      </c>
      <c r="P16" s="5">
        <v>-78.239999999999995</v>
      </c>
      <c r="Q16" t="s">
        <v>52</v>
      </c>
    </row>
    <row r="17" spans="1:17" x14ac:dyDescent="0.25">
      <c r="A17" t="s">
        <v>87</v>
      </c>
      <c r="B17" t="s">
        <v>88</v>
      </c>
      <c r="C17" s="2">
        <v>45658</v>
      </c>
      <c r="D17" t="s">
        <v>0</v>
      </c>
      <c r="E17" t="s">
        <v>45</v>
      </c>
      <c r="F17" t="s">
        <v>0</v>
      </c>
      <c r="G17" t="s">
        <v>46</v>
      </c>
      <c r="H17" t="s">
        <v>89</v>
      </c>
      <c r="I17" t="s">
        <v>90</v>
      </c>
      <c r="J17" t="s">
        <v>91</v>
      </c>
      <c r="K17" t="s">
        <v>92</v>
      </c>
      <c r="L17">
        <v>2</v>
      </c>
      <c r="M17" t="s">
        <v>53</v>
      </c>
      <c r="N17" s="3" t="s">
        <v>0</v>
      </c>
      <c r="O17" t="s">
        <v>0</v>
      </c>
      <c r="P17" s="5">
        <v>78.239999999999995</v>
      </c>
      <c r="Q17" t="s">
        <v>52</v>
      </c>
    </row>
    <row r="18" spans="1:17" x14ac:dyDescent="0.25">
      <c r="A18" t="s">
        <v>93</v>
      </c>
      <c r="B18" t="s">
        <v>94</v>
      </c>
      <c r="C18" s="1">
        <v>45474</v>
      </c>
      <c r="D18" s="1">
        <v>45657</v>
      </c>
      <c r="E18" t="s">
        <v>45</v>
      </c>
      <c r="F18" t="s">
        <v>0</v>
      </c>
      <c r="G18" t="s">
        <v>95</v>
      </c>
      <c r="H18" t="s">
        <v>96</v>
      </c>
      <c r="I18" t="s">
        <v>97</v>
      </c>
      <c r="J18" t="s">
        <v>98</v>
      </c>
      <c r="K18" t="s">
        <v>99</v>
      </c>
      <c r="L18">
        <v>2</v>
      </c>
      <c r="M18" t="s">
        <v>53</v>
      </c>
      <c r="N18" s="3" t="s">
        <v>0</v>
      </c>
      <c r="O18" t="s">
        <v>0</v>
      </c>
      <c r="P18" s="5">
        <v>-78.239999999999995</v>
      </c>
      <c r="Q18" t="s">
        <v>52</v>
      </c>
    </row>
    <row r="19" spans="1:17" x14ac:dyDescent="0.25">
      <c r="A19" t="s">
        <v>93</v>
      </c>
      <c r="B19" t="s">
        <v>94</v>
      </c>
      <c r="C19" s="2">
        <v>45658</v>
      </c>
      <c r="D19" t="s">
        <v>0</v>
      </c>
      <c r="E19" t="s">
        <v>45</v>
      </c>
      <c r="F19" t="s">
        <v>0</v>
      </c>
      <c r="G19" t="s">
        <v>95</v>
      </c>
      <c r="H19" t="s">
        <v>96</v>
      </c>
      <c r="I19" t="s">
        <v>97</v>
      </c>
      <c r="J19" t="s">
        <v>98</v>
      </c>
      <c r="K19" t="s">
        <v>99</v>
      </c>
      <c r="L19">
        <v>2</v>
      </c>
      <c r="M19" t="s">
        <v>53</v>
      </c>
      <c r="N19" s="3" t="s">
        <v>0</v>
      </c>
      <c r="O19" t="s">
        <v>0</v>
      </c>
      <c r="P19" s="5">
        <v>78.239999999999995</v>
      </c>
      <c r="Q19" t="s">
        <v>52</v>
      </c>
    </row>
    <row r="20" spans="1:17" x14ac:dyDescent="0.25">
      <c r="A20" t="s">
        <v>100</v>
      </c>
      <c r="B20" t="s">
        <v>101</v>
      </c>
      <c r="C20" s="1">
        <v>45597</v>
      </c>
      <c r="D20" s="1">
        <v>45657</v>
      </c>
      <c r="E20" t="s">
        <v>45</v>
      </c>
      <c r="F20" t="s">
        <v>0</v>
      </c>
      <c r="G20" t="s">
        <v>54</v>
      </c>
      <c r="H20" t="s">
        <v>102</v>
      </c>
      <c r="I20" t="s">
        <v>103</v>
      </c>
      <c r="J20" t="s">
        <v>104</v>
      </c>
      <c r="K20" t="s">
        <v>105</v>
      </c>
      <c r="L20">
        <v>2</v>
      </c>
      <c r="M20" t="s">
        <v>53</v>
      </c>
      <c r="N20" s="3" t="s">
        <v>0</v>
      </c>
      <c r="O20" t="s">
        <v>0</v>
      </c>
      <c r="P20" s="5">
        <v>-26.08</v>
      </c>
      <c r="Q20" t="s">
        <v>52</v>
      </c>
    </row>
    <row r="21" spans="1:17" x14ac:dyDescent="0.25">
      <c r="A21" t="s">
        <v>100</v>
      </c>
      <c r="B21" t="s">
        <v>101</v>
      </c>
      <c r="C21" s="2">
        <v>45658</v>
      </c>
      <c r="D21" s="1">
        <v>45688</v>
      </c>
      <c r="E21" t="s">
        <v>45</v>
      </c>
      <c r="F21" t="s">
        <v>0</v>
      </c>
      <c r="G21" t="s">
        <v>54</v>
      </c>
      <c r="H21" t="s">
        <v>102</v>
      </c>
      <c r="I21" t="s">
        <v>103</v>
      </c>
      <c r="J21" t="s">
        <v>104</v>
      </c>
      <c r="K21" t="s">
        <v>105</v>
      </c>
      <c r="L21">
        <v>2</v>
      </c>
      <c r="M21" t="s">
        <v>53</v>
      </c>
      <c r="N21" s="3" t="s">
        <v>0</v>
      </c>
      <c r="O21" t="s">
        <v>0</v>
      </c>
      <c r="P21" s="5">
        <v>26.08</v>
      </c>
      <c r="Q21" t="s">
        <v>52</v>
      </c>
    </row>
    <row r="22" spans="1:17" x14ac:dyDescent="0.25">
      <c r="A22" t="s">
        <v>106</v>
      </c>
      <c r="B22" t="s">
        <v>107</v>
      </c>
      <c r="C22" s="1">
        <v>45597</v>
      </c>
      <c r="D22" s="1">
        <v>45657</v>
      </c>
      <c r="E22" t="s">
        <v>45</v>
      </c>
      <c r="F22" t="s">
        <v>0</v>
      </c>
      <c r="G22" t="s">
        <v>46</v>
      </c>
      <c r="H22" t="s">
        <v>108</v>
      </c>
      <c r="I22" t="s">
        <v>109</v>
      </c>
      <c r="J22" t="s">
        <v>110</v>
      </c>
      <c r="K22" t="s">
        <v>111</v>
      </c>
      <c r="L22">
        <v>2</v>
      </c>
      <c r="M22" t="s">
        <v>53</v>
      </c>
      <c r="N22" s="3" t="s">
        <v>0</v>
      </c>
      <c r="O22" t="s">
        <v>0</v>
      </c>
      <c r="P22" s="5">
        <v>-78.239999999999995</v>
      </c>
      <c r="Q22" t="s">
        <v>52</v>
      </c>
    </row>
    <row r="23" spans="1:17" x14ac:dyDescent="0.25">
      <c r="A23" t="s">
        <v>106</v>
      </c>
      <c r="B23" t="s">
        <v>107</v>
      </c>
      <c r="C23" s="2">
        <v>45658</v>
      </c>
      <c r="D23" t="s">
        <v>0</v>
      </c>
      <c r="E23" t="s">
        <v>45</v>
      </c>
      <c r="F23" t="s">
        <v>0</v>
      </c>
      <c r="G23" t="s">
        <v>46</v>
      </c>
      <c r="H23" t="s">
        <v>108</v>
      </c>
      <c r="I23" t="s">
        <v>109</v>
      </c>
      <c r="J23" t="s">
        <v>110</v>
      </c>
      <c r="K23" t="s">
        <v>111</v>
      </c>
      <c r="L23">
        <v>2</v>
      </c>
      <c r="M23" t="s">
        <v>53</v>
      </c>
      <c r="N23" s="3" t="s">
        <v>0</v>
      </c>
      <c r="O23" t="s">
        <v>0</v>
      </c>
      <c r="P23" s="5">
        <v>78.239999999999995</v>
      </c>
      <c r="Q23" t="s">
        <v>52</v>
      </c>
    </row>
    <row r="24" spans="1:17" x14ac:dyDescent="0.25">
      <c r="A24" t="s">
        <v>112</v>
      </c>
      <c r="B24" t="s">
        <v>113</v>
      </c>
      <c r="C24" s="1">
        <v>45597</v>
      </c>
      <c r="D24" s="1">
        <v>45657</v>
      </c>
      <c r="E24" t="s">
        <v>45</v>
      </c>
      <c r="F24" t="s">
        <v>0</v>
      </c>
      <c r="G24" t="s">
        <v>95</v>
      </c>
      <c r="H24" t="s">
        <v>114</v>
      </c>
      <c r="I24" t="s">
        <v>115</v>
      </c>
      <c r="J24" t="s">
        <v>116</v>
      </c>
      <c r="K24" t="s">
        <v>117</v>
      </c>
      <c r="L24">
        <v>2</v>
      </c>
      <c r="M24" t="s">
        <v>53</v>
      </c>
      <c r="N24" s="3" t="s">
        <v>0</v>
      </c>
      <c r="O24" t="s">
        <v>0</v>
      </c>
      <c r="P24" s="5">
        <v>-52.16</v>
      </c>
      <c r="Q24" t="s">
        <v>52</v>
      </c>
    </row>
    <row r="25" spans="1:17" x14ac:dyDescent="0.25">
      <c r="A25" t="s">
        <v>112</v>
      </c>
      <c r="B25" t="s">
        <v>113</v>
      </c>
      <c r="C25" s="2">
        <v>45658</v>
      </c>
      <c r="D25" s="1">
        <v>45716</v>
      </c>
      <c r="E25" t="s">
        <v>45</v>
      </c>
      <c r="F25" t="s">
        <v>0</v>
      </c>
      <c r="G25" t="s">
        <v>95</v>
      </c>
      <c r="H25" t="s">
        <v>114</v>
      </c>
      <c r="I25" t="s">
        <v>115</v>
      </c>
      <c r="J25" t="s">
        <v>116</v>
      </c>
      <c r="K25" t="s">
        <v>117</v>
      </c>
      <c r="L25">
        <v>2</v>
      </c>
      <c r="M25" t="s">
        <v>53</v>
      </c>
      <c r="N25" s="3" t="s">
        <v>0</v>
      </c>
      <c r="O25" t="s">
        <v>0</v>
      </c>
      <c r="P25" s="5">
        <v>52.16</v>
      </c>
      <c r="Q25" t="s">
        <v>52</v>
      </c>
    </row>
    <row r="26" spans="1:17" x14ac:dyDescent="0.25">
      <c r="A26" t="s">
        <v>93</v>
      </c>
      <c r="B26" t="s">
        <v>94</v>
      </c>
      <c r="C26" s="1">
        <v>45474</v>
      </c>
      <c r="D26" s="1">
        <v>45657</v>
      </c>
      <c r="E26" t="s">
        <v>45</v>
      </c>
      <c r="F26" t="s">
        <v>0</v>
      </c>
      <c r="G26" t="s">
        <v>95</v>
      </c>
      <c r="H26" t="s">
        <v>96</v>
      </c>
      <c r="I26" t="s">
        <v>97</v>
      </c>
      <c r="J26" t="s">
        <v>98</v>
      </c>
      <c r="K26" t="s">
        <v>99</v>
      </c>
      <c r="L26">
        <v>2</v>
      </c>
      <c r="M26" t="s">
        <v>53</v>
      </c>
      <c r="N26" s="3" t="s">
        <v>0</v>
      </c>
      <c r="O26" t="s">
        <v>0</v>
      </c>
      <c r="P26" s="5">
        <v>-24.96</v>
      </c>
      <c r="Q26" t="s">
        <v>118</v>
      </c>
    </row>
    <row r="27" spans="1:17" x14ac:dyDescent="0.25">
      <c r="A27" t="s">
        <v>93</v>
      </c>
      <c r="B27" t="s">
        <v>94</v>
      </c>
      <c r="C27" s="2">
        <v>45658</v>
      </c>
      <c r="D27" t="s">
        <v>0</v>
      </c>
      <c r="E27" t="s">
        <v>45</v>
      </c>
      <c r="F27" t="s">
        <v>0</v>
      </c>
      <c r="G27" t="s">
        <v>95</v>
      </c>
      <c r="H27" t="s">
        <v>96</v>
      </c>
      <c r="I27" t="s">
        <v>97</v>
      </c>
      <c r="J27" t="s">
        <v>98</v>
      </c>
      <c r="K27" t="s">
        <v>99</v>
      </c>
      <c r="L27">
        <v>2</v>
      </c>
      <c r="M27" t="s">
        <v>53</v>
      </c>
      <c r="N27" s="3" t="s">
        <v>0</v>
      </c>
      <c r="O27" t="s">
        <v>0</v>
      </c>
      <c r="P27" s="5">
        <v>24.96</v>
      </c>
      <c r="Q27" t="s">
        <v>118</v>
      </c>
    </row>
    <row r="28" spans="1:17" x14ac:dyDescent="0.25">
      <c r="A28" t="s">
        <v>59</v>
      </c>
      <c r="B28" t="s">
        <v>60</v>
      </c>
      <c r="C28" s="1">
        <v>45717</v>
      </c>
      <c r="D28" t="s">
        <v>0</v>
      </c>
      <c r="E28" t="s">
        <v>45</v>
      </c>
      <c r="F28" t="s">
        <v>0</v>
      </c>
      <c r="G28" t="s">
        <v>54</v>
      </c>
      <c r="H28" t="s">
        <v>61</v>
      </c>
      <c r="I28" t="s">
        <v>62</v>
      </c>
      <c r="J28" t="s">
        <v>63</v>
      </c>
      <c r="K28" t="s">
        <v>64</v>
      </c>
      <c r="L28">
        <v>1</v>
      </c>
      <c r="M28" t="s">
        <v>53</v>
      </c>
      <c r="N28" s="3" t="s">
        <v>0</v>
      </c>
      <c r="O28" t="s">
        <v>0</v>
      </c>
      <c r="P28" s="5">
        <v>200</v>
      </c>
      <c r="Q28" t="s">
        <v>118</v>
      </c>
    </row>
    <row r="29" spans="1:17" x14ac:dyDescent="0.25">
      <c r="A29" t="s">
        <v>119</v>
      </c>
      <c r="B29" t="s">
        <v>120</v>
      </c>
      <c r="C29" s="1">
        <v>45566</v>
      </c>
      <c r="D29" s="1">
        <v>45657</v>
      </c>
      <c r="E29" t="s">
        <v>45</v>
      </c>
      <c r="F29" t="s">
        <v>0</v>
      </c>
      <c r="G29" t="s">
        <v>46</v>
      </c>
      <c r="H29" t="s">
        <v>121</v>
      </c>
      <c r="I29" t="s">
        <v>122</v>
      </c>
      <c r="J29" t="s">
        <v>123</v>
      </c>
      <c r="K29" t="s">
        <v>124</v>
      </c>
      <c r="L29">
        <v>2</v>
      </c>
      <c r="M29" t="s">
        <v>53</v>
      </c>
      <c r="N29" s="3" t="s">
        <v>0</v>
      </c>
      <c r="O29" t="s">
        <v>0</v>
      </c>
      <c r="P29" s="5">
        <v>-24.96</v>
      </c>
      <c r="Q29" t="s">
        <v>118</v>
      </c>
    </row>
    <row r="30" spans="1:17" x14ac:dyDescent="0.25">
      <c r="A30" t="s">
        <v>119</v>
      </c>
      <c r="B30" t="s">
        <v>120</v>
      </c>
      <c r="C30" s="2">
        <v>45658</v>
      </c>
      <c r="D30" t="s">
        <v>0</v>
      </c>
      <c r="E30" t="s">
        <v>45</v>
      </c>
      <c r="F30" t="s">
        <v>0</v>
      </c>
      <c r="G30" t="s">
        <v>46</v>
      </c>
      <c r="H30" t="s">
        <v>121</v>
      </c>
      <c r="I30" t="s">
        <v>122</v>
      </c>
      <c r="J30" t="s">
        <v>123</v>
      </c>
      <c r="K30" t="s">
        <v>124</v>
      </c>
      <c r="L30">
        <v>2</v>
      </c>
      <c r="M30" t="s">
        <v>53</v>
      </c>
      <c r="N30" s="3" t="s">
        <v>0</v>
      </c>
      <c r="O30" t="s">
        <v>0</v>
      </c>
      <c r="P30" s="5">
        <v>24.96</v>
      </c>
      <c r="Q30" t="s">
        <v>118</v>
      </c>
    </row>
    <row r="31" spans="1:17" x14ac:dyDescent="0.25">
      <c r="A31" t="s">
        <v>43</v>
      </c>
      <c r="B31" t="s">
        <v>44</v>
      </c>
      <c r="C31" s="1">
        <v>45627</v>
      </c>
      <c r="D31" s="1">
        <v>45657</v>
      </c>
      <c r="E31" t="s">
        <v>45</v>
      </c>
      <c r="F31" t="s">
        <v>0</v>
      </c>
      <c r="G31" t="s">
        <v>46</v>
      </c>
      <c r="H31" t="s">
        <v>47</v>
      </c>
      <c r="I31" t="s">
        <v>48</v>
      </c>
      <c r="J31" t="s">
        <v>49</v>
      </c>
      <c r="K31" t="s">
        <v>50</v>
      </c>
      <c r="L31">
        <v>2</v>
      </c>
      <c r="M31" t="s">
        <v>51</v>
      </c>
      <c r="N31" s="3" t="s">
        <v>0</v>
      </c>
      <c r="O31" t="s">
        <v>0</v>
      </c>
      <c r="P31" s="5">
        <v>-24.96</v>
      </c>
      <c r="Q31" t="s">
        <v>118</v>
      </c>
    </row>
    <row r="32" spans="1:17" x14ac:dyDescent="0.25">
      <c r="A32" t="s">
        <v>43</v>
      </c>
      <c r="B32" t="s">
        <v>44</v>
      </c>
      <c r="C32" s="2">
        <v>45658</v>
      </c>
      <c r="D32" t="s">
        <v>0</v>
      </c>
      <c r="E32" t="s">
        <v>45</v>
      </c>
      <c r="F32" t="s">
        <v>0</v>
      </c>
      <c r="G32" t="s">
        <v>46</v>
      </c>
      <c r="H32" t="s">
        <v>47</v>
      </c>
      <c r="I32" t="s">
        <v>48</v>
      </c>
      <c r="J32" t="s">
        <v>49</v>
      </c>
      <c r="K32" t="s">
        <v>50</v>
      </c>
      <c r="L32">
        <v>2</v>
      </c>
      <c r="M32" t="s">
        <v>53</v>
      </c>
      <c r="N32" s="3" t="s">
        <v>0</v>
      </c>
      <c r="O32" t="s">
        <v>0</v>
      </c>
      <c r="P32" s="5">
        <v>24.96</v>
      </c>
      <c r="Q32" t="s">
        <v>118</v>
      </c>
    </row>
    <row r="33" spans="1:17" x14ac:dyDescent="0.25">
      <c r="A33" t="s">
        <v>106</v>
      </c>
      <c r="B33" t="s">
        <v>107</v>
      </c>
      <c r="C33" s="1">
        <v>45597</v>
      </c>
      <c r="D33" s="1">
        <v>45657</v>
      </c>
      <c r="E33" t="s">
        <v>45</v>
      </c>
      <c r="F33" t="s">
        <v>0</v>
      </c>
      <c r="G33" t="s">
        <v>46</v>
      </c>
      <c r="H33" t="s">
        <v>108</v>
      </c>
      <c r="I33" t="s">
        <v>109</v>
      </c>
      <c r="J33" t="s">
        <v>110</v>
      </c>
      <c r="K33" t="s">
        <v>111</v>
      </c>
      <c r="L33">
        <v>2</v>
      </c>
      <c r="M33" t="s">
        <v>53</v>
      </c>
      <c r="N33" s="3" t="s">
        <v>0</v>
      </c>
      <c r="O33" t="s">
        <v>0</v>
      </c>
      <c r="P33" s="5">
        <v>-24.96</v>
      </c>
      <c r="Q33" t="s">
        <v>118</v>
      </c>
    </row>
    <row r="34" spans="1:17" x14ac:dyDescent="0.25">
      <c r="A34" t="s">
        <v>106</v>
      </c>
      <c r="B34" t="s">
        <v>107</v>
      </c>
      <c r="C34" s="2">
        <v>45658</v>
      </c>
      <c r="D34" t="s">
        <v>0</v>
      </c>
      <c r="E34" t="s">
        <v>45</v>
      </c>
      <c r="F34" t="s">
        <v>0</v>
      </c>
      <c r="G34" t="s">
        <v>46</v>
      </c>
      <c r="H34" t="s">
        <v>108</v>
      </c>
      <c r="I34" t="s">
        <v>109</v>
      </c>
      <c r="J34" t="s">
        <v>110</v>
      </c>
      <c r="K34" t="s">
        <v>111</v>
      </c>
      <c r="L34">
        <v>2</v>
      </c>
      <c r="M34" t="s">
        <v>53</v>
      </c>
      <c r="N34" s="3" t="s">
        <v>0</v>
      </c>
      <c r="O34" t="s">
        <v>0</v>
      </c>
      <c r="P34" s="5">
        <v>24.96</v>
      </c>
      <c r="Q34" t="s">
        <v>118</v>
      </c>
    </row>
    <row r="35" spans="1:17" x14ac:dyDescent="0.25">
      <c r="A35" t="s">
        <v>112</v>
      </c>
      <c r="B35" t="s">
        <v>113</v>
      </c>
      <c r="C35" s="1">
        <v>45597</v>
      </c>
      <c r="D35" s="1">
        <v>45657</v>
      </c>
      <c r="E35" t="s">
        <v>45</v>
      </c>
      <c r="F35" t="s">
        <v>0</v>
      </c>
      <c r="G35" t="s">
        <v>95</v>
      </c>
      <c r="H35" t="s">
        <v>114</v>
      </c>
      <c r="I35" t="s">
        <v>115</v>
      </c>
      <c r="J35" t="s">
        <v>116</v>
      </c>
      <c r="K35" t="s">
        <v>117</v>
      </c>
      <c r="L35">
        <v>2</v>
      </c>
      <c r="M35" t="s">
        <v>53</v>
      </c>
      <c r="N35" s="3" t="s">
        <v>0</v>
      </c>
      <c r="O35" t="s">
        <v>0</v>
      </c>
      <c r="P35" s="5">
        <v>-16.64</v>
      </c>
      <c r="Q35" t="s">
        <v>118</v>
      </c>
    </row>
    <row r="36" spans="1:17" x14ac:dyDescent="0.25">
      <c r="A36" t="s">
        <v>112</v>
      </c>
      <c r="B36" t="s">
        <v>113</v>
      </c>
      <c r="C36" s="2">
        <v>45658</v>
      </c>
      <c r="D36" s="1">
        <v>45716</v>
      </c>
      <c r="E36" t="s">
        <v>45</v>
      </c>
      <c r="F36" t="s">
        <v>0</v>
      </c>
      <c r="G36" t="s">
        <v>95</v>
      </c>
      <c r="H36" t="s">
        <v>114</v>
      </c>
      <c r="I36" t="s">
        <v>115</v>
      </c>
      <c r="J36" t="s">
        <v>116</v>
      </c>
      <c r="K36" t="s">
        <v>117</v>
      </c>
      <c r="L36">
        <v>2</v>
      </c>
      <c r="M36" t="s">
        <v>53</v>
      </c>
      <c r="N36" s="3" t="s">
        <v>0</v>
      </c>
      <c r="O36" t="s">
        <v>0</v>
      </c>
      <c r="P36" s="5">
        <v>16.64</v>
      </c>
      <c r="Q36" t="s">
        <v>118</v>
      </c>
    </row>
    <row r="37" spans="1:17" x14ac:dyDescent="0.25">
      <c r="A37" t="s">
        <v>43</v>
      </c>
      <c r="B37" t="s">
        <v>44</v>
      </c>
      <c r="C37" s="1">
        <v>45597</v>
      </c>
      <c r="D37" s="1">
        <v>45657</v>
      </c>
      <c r="E37" t="s">
        <v>45</v>
      </c>
      <c r="F37" t="s">
        <v>0</v>
      </c>
      <c r="G37" t="s">
        <v>54</v>
      </c>
      <c r="H37" t="s">
        <v>55</v>
      </c>
      <c r="I37" t="s">
        <v>56</v>
      </c>
      <c r="J37" t="s">
        <v>57</v>
      </c>
      <c r="K37" t="s">
        <v>58</v>
      </c>
      <c r="L37">
        <v>2</v>
      </c>
      <c r="M37" t="s">
        <v>53</v>
      </c>
      <c r="N37" s="3" t="s">
        <v>0</v>
      </c>
      <c r="O37" t="s">
        <v>0</v>
      </c>
      <c r="P37" s="5">
        <v>-24.96</v>
      </c>
      <c r="Q37" t="s">
        <v>118</v>
      </c>
    </row>
    <row r="38" spans="1:17" x14ac:dyDescent="0.25">
      <c r="A38" t="s">
        <v>43</v>
      </c>
      <c r="B38" t="s">
        <v>44</v>
      </c>
      <c r="C38" s="2">
        <v>45658</v>
      </c>
      <c r="D38" t="s">
        <v>0</v>
      </c>
      <c r="E38" t="s">
        <v>45</v>
      </c>
      <c r="F38" t="s">
        <v>0</v>
      </c>
      <c r="G38" t="s">
        <v>54</v>
      </c>
      <c r="H38" t="s">
        <v>55</v>
      </c>
      <c r="I38" t="s">
        <v>56</v>
      </c>
      <c r="J38" t="s">
        <v>57</v>
      </c>
      <c r="K38" t="s">
        <v>58</v>
      </c>
      <c r="L38">
        <v>2</v>
      </c>
      <c r="M38" t="s">
        <v>53</v>
      </c>
      <c r="N38" s="3" t="s">
        <v>0</v>
      </c>
      <c r="O38" t="s">
        <v>0</v>
      </c>
      <c r="P38" s="5">
        <v>24.96</v>
      </c>
      <c r="Q38" t="s">
        <v>118</v>
      </c>
    </row>
    <row r="39" spans="1:17" x14ac:dyDescent="0.25">
      <c r="A39" t="s">
        <v>65</v>
      </c>
      <c r="B39" t="s">
        <v>66</v>
      </c>
      <c r="C39" s="1">
        <v>45597</v>
      </c>
      <c r="D39" s="1">
        <v>45657</v>
      </c>
      <c r="E39" t="s">
        <v>45</v>
      </c>
      <c r="F39" t="s">
        <v>0</v>
      </c>
      <c r="G39" t="s">
        <v>54</v>
      </c>
      <c r="H39" t="s">
        <v>67</v>
      </c>
      <c r="I39" t="s">
        <v>68</v>
      </c>
      <c r="J39" t="s">
        <v>69</v>
      </c>
      <c r="K39" t="s">
        <v>70</v>
      </c>
      <c r="L39">
        <v>2</v>
      </c>
      <c r="M39" t="s">
        <v>53</v>
      </c>
      <c r="N39" s="3" t="s">
        <v>0</v>
      </c>
      <c r="O39" t="s">
        <v>0</v>
      </c>
      <c r="P39" s="5">
        <v>-24.96</v>
      </c>
      <c r="Q39" t="s">
        <v>118</v>
      </c>
    </row>
    <row r="40" spans="1:17" x14ac:dyDescent="0.25">
      <c r="A40" t="s">
        <v>65</v>
      </c>
      <c r="B40" t="s">
        <v>66</v>
      </c>
      <c r="C40" s="2">
        <v>45658</v>
      </c>
      <c r="D40" t="s">
        <v>0</v>
      </c>
      <c r="E40" t="s">
        <v>45</v>
      </c>
      <c r="F40" t="s">
        <v>0</v>
      </c>
      <c r="G40" t="s">
        <v>54</v>
      </c>
      <c r="H40" t="s">
        <v>67</v>
      </c>
      <c r="I40" t="s">
        <v>68</v>
      </c>
      <c r="J40" t="s">
        <v>69</v>
      </c>
      <c r="K40" t="s">
        <v>70</v>
      </c>
      <c r="L40">
        <v>2</v>
      </c>
      <c r="M40" t="s">
        <v>53</v>
      </c>
      <c r="N40" s="3" t="s">
        <v>0</v>
      </c>
      <c r="O40" t="s">
        <v>0</v>
      </c>
      <c r="P40" s="5">
        <v>24.96</v>
      </c>
      <c r="Q40" t="s">
        <v>118</v>
      </c>
    </row>
    <row r="41" spans="1:17" x14ac:dyDescent="0.25">
      <c r="A41" t="s">
        <v>65</v>
      </c>
      <c r="B41" t="s">
        <v>66</v>
      </c>
      <c r="C41" s="1">
        <v>45536</v>
      </c>
      <c r="D41" s="1">
        <v>45657</v>
      </c>
      <c r="E41" t="s">
        <v>45</v>
      </c>
      <c r="F41" t="s">
        <v>0</v>
      </c>
      <c r="G41" t="s">
        <v>54</v>
      </c>
      <c r="H41" t="s">
        <v>71</v>
      </c>
      <c r="I41" t="s">
        <v>72</v>
      </c>
      <c r="J41" t="s">
        <v>73</v>
      </c>
      <c r="K41" t="s">
        <v>74</v>
      </c>
      <c r="L41">
        <v>2</v>
      </c>
      <c r="M41" t="s">
        <v>53</v>
      </c>
      <c r="N41" s="3" t="s">
        <v>0</v>
      </c>
      <c r="O41" t="s">
        <v>0</v>
      </c>
      <c r="P41" s="5">
        <v>-24.96</v>
      </c>
      <c r="Q41" t="s">
        <v>118</v>
      </c>
    </row>
    <row r="42" spans="1:17" x14ac:dyDescent="0.25">
      <c r="A42" t="s">
        <v>65</v>
      </c>
      <c r="B42" t="s">
        <v>66</v>
      </c>
      <c r="C42" s="2">
        <v>45658</v>
      </c>
      <c r="D42" t="s">
        <v>0</v>
      </c>
      <c r="E42" t="s">
        <v>45</v>
      </c>
      <c r="F42" t="s">
        <v>0</v>
      </c>
      <c r="G42" t="s">
        <v>54</v>
      </c>
      <c r="H42" t="s">
        <v>71</v>
      </c>
      <c r="I42" t="s">
        <v>72</v>
      </c>
      <c r="J42" t="s">
        <v>73</v>
      </c>
      <c r="K42" t="s">
        <v>74</v>
      </c>
      <c r="L42">
        <v>2</v>
      </c>
      <c r="M42" t="s">
        <v>53</v>
      </c>
      <c r="N42" s="3" t="s">
        <v>0</v>
      </c>
      <c r="O42" t="s">
        <v>0</v>
      </c>
      <c r="P42" s="5">
        <v>24.96</v>
      </c>
      <c r="Q42" t="s">
        <v>118</v>
      </c>
    </row>
    <row r="43" spans="1:17" x14ac:dyDescent="0.25">
      <c r="A43" t="s">
        <v>65</v>
      </c>
      <c r="B43" t="s">
        <v>66</v>
      </c>
      <c r="C43" s="1">
        <v>45505</v>
      </c>
      <c r="D43" s="1">
        <v>45657</v>
      </c>
      <c r="E43" t="s">
        <v>45</v>
      </c>
      <c r="F43" t="s">
        <v>0</v>
      </c>
      <c r="G43" t="s">
        <v>46</v>
      </c>
      <c r="H43" t="s">
        <v>75</v>
      </c>
      <c r="I43" t="s">
        <v>76</v>
      </c>
      <c r="J43" t="s">
        <v>77</v>
      </c>
      <c r="K43" t="s">
        <v>78</v>
      </c>
      <c r="L43">
        <v>2</v>
      </c>
      <c r="M43" t="s">
        <v>53</v>
      </c>
      <c r="N43" s="3" t="s">
        <v>0</v>
      </c>
      <c r="O43" t="s">
        <v>0</v>
      </c>
      <c r="P43" s="5">
        <v>-24.96</v>
      </c>
      <c r="Q43" t="s">
        <v>118</v>
      </c>
    </row>
    <row r="44" spans="1:17" x14ac:dyDescent="0.25">
      <c r="A44" t="s">
        <v>65</v>
      </c>
      <c r="B44" t="s">
        <v>66</v>
      </c>
      <c r="C44" s="2">
        <v>45658</v>
      </c>
      <c r="D44" t="s">
        <v>0</v>
      </c>
      <c r="E44" t="s">
        <v>45</v>
      </c>
      <c r="F44" t="s">
        <v>0</v>
      </c>
      <c r="G44" t="s">
        <v>46</v>
      </c>
      <c r="H44" t="s">
        <v>75</v>
      </c>
      <c r="I44" t="s">
        <v>76</v>
      </c>
      <c r="J44" t="s">
        <v>77</v>
      </c>
      <c r="K44" t="s">
        <v>78</v>
      </c>
      <c r="L44">
        <v>2</v>
      </c>
      <c r="M44" t="s">
        <v>53</v>
      </c>
      <c r="N44" s="3" t="s">
        <v>0</v>
      </c>
      <c r="O44" t="s">
        <v>0</v>
      </c>
      <c r="P44" s="5">
        <v>24.96</v>
      </c>
      <c r="Q44" t="s">
        <v>118</v>
      </c>
    </row>
    <row r="45" spans="1:17" x14ac:dyDescent="0.25">
      <c r="A45" t="s">
        <v>65</v>
      </c>
      <c r="B45" t="s">
        <v>66</v>
      </c>
      <c r="C45" s="1">
        <v>45566</v>
      </c>
      <c r="D45" s="1">
        <v>45657</v>
      </c>
      <c r="E45" t="s">
        <v>45</v>
      </c>
      <c r="F45" t="s">
        <v>0</v>
      </c>
      <c r="G45" t="s">
        <v>54</v>
      </c>
      <c r="H45" t="s">
        <v>79</v>
      </c>
      <c r="I45" t="s">
        <v>80</v>
      </c>
      <c r="J45" t="s">
        <v>81</v>
      </c>
      <c r="K45" t="s">
        <v>82</v>
      </c>
      <c r="L45">
        <v>2</v>
      </c>
      <c r="M45" t="s">
        <v>53</v>
      </c>
      <c r="N45" s="3" t="s">
        <v>0</v>
      </c>
      <c r="O45" t="s">
        <v>0</v>
      </c>
      <c r="P45" s="5">
        <v>-24.96</v>
      </c>
      <c r="Q45" t="s">
        <v>118</v>
      </c>
    </row>
    <row r="46" spans="1:17" x14ac:dyDescent="0.25">
      <c r="A46" t="s">
        <v>65</v>
      </c>
      <c r="B46" t="s">
        <v>66</v>
      </c>
      <c r="C46" s="2">
        <v>45658</v>
      </c>
      <c r="D46" t="s">
        <v>0</v>
      </c>
      <c r="E46" t="s">
        <v>45</v>
      </c>
      <c r="F46" t="s">
        <v>0</v>
      </c>
      <c r="G46" t="s">
        <v>54</v>
      </c>
      <c r="H46" t="s">
        <v>79</v>
      </c>
      <c r="I46" t="s">
        <v>80</v>
      </c>
      <c r="J46" t="s">
        <v>81</v>
      </c>
      <c r="K46" t="s">
        <v>82</v>
      </c>
      <c r="L46">
        <v>2</v>
      </c>
      <c r="M46" t="s">
        <v>53</v>
      </c>
      <c r="N46" s="3" t="s">
        <v>0</v>
      </c>
      <c r="O46" t="s">
        <v>0</v>
      </c>
      <c r="P46" s="5">
        <v>24.96</v>
      </c>
      <c r="Q46" t="s">
        <v>118</v>
      </c>
    </row>
    <row r="47" spans="1:17" x14ac:dyDescent="0.25">
      <c r="A47" t="s">
        <v>65</v>
      </c>
      <c r="B47" t="s">
        <v>66</v>
      </c>
      <c r="C47" s="1">
        <v>45717</v>
      </c>
      <c r="D47" t="s">
        <v>0</v>
      </c>
      <c r="E47" t="s">
        <v>45</v>
      </c>
      <c r="F47" t="s">
        <v>0</v>
      </c>
      <c r="G47" t="s">
        <v>54</v>
      </c>
      <c r="H47" t="s">
        <v>83</v>
      </c>
      <c r="I47" t="s">
        <v>84</v>
      </c>
      <c r="J47" t="s">
        <v>85</v>
      </c>
      <c r="K47" t="s">
        <v>86</v>
      </c>
      <c r="L47">
        <v>1</v>
      </c>
      <c r="M47" t="s">
        <v>53</v>
      </c>
      <c r="N47" s="3" t="s">
        <v>0</v>
      </c>
      <c r="O47" t="s">
        <v>0</v>
      </c>
      <c r="P47" s="5">
        <v>200</v>
      </c>
      <c r="Q47" t="s">
        <v>118</v>
      </c>
    </row>
    <row r="48" spans="1:17" x14ac:dyDescent="0.25">
      <c r="A48" t="s">
        <v>100</v>
      </c>
      <c r="B48" t="s">
        <v>101</v>
      </c>
      <c r="C48" s="1">
        <v>45597</v>
      </c>
      <c r="D48" s="1">
        <v>45657</v>
      </c>
      <c r="E48" t="s">
        <v>45</v>
      </c>
      <c r="F48" t="s">
        <v>0</v>
      </c>
      <c r="G48" t="s">
        <v>54</v>
      </c>
      <c r="H48" t="s">
        <v>102</v>
      </c>
      <c r="I48" t="s">
        <v>103</v>
      </c>
      <c r="J48" t="s">
        <v>104</v>
      </c>
      <c r="K48" t="s">
        <v>105</v>
      </c>
      <c r="L48">
        <v>2</v>
      </c>
      <c r="M48" t="s">
        <v>53</v>
      </c>
      <c r="N48" s="3" t="s">
        <v>0</v>
      </c>
      <c r="O48" t="s">
        <v>0</v>
      </c>
      <c r="P48" s="5">
        <v>-8.32</v>
      </c>
      <c r="Q48" t="s">
        <v>118</v>
      </c>
    </row>
    <row r="49" spans="1:17" x14ac:dyDescent="0.25">
      <c r="A49" t="s">
        <v>100</v>
      </c>
      <c r="B49" t="s">
        <v>101</v>
      </c>
      <c r="C49" s="2">
        <v>45658</v>
      </c>
      <c r="D49" s="1">
        <v>45688</v>
      </c>
      <c r="E49" t="s">
        <v>45</v>
      </c>
      <c r="F49" t="s">
        <v>0</v>
      </c>
      <c r="G49" t="s">
        <v>54</v>
      </c>
      <c r="H49" t="s">
        <v>102</v>
      </c>
      <c r="I49" t="s">
        <v>103</v>
      </c>
      <c r="J49" t="s">
        <v>104</v>
      </c>
      <c r="K49" t="s">
        <v>105</v>
      </c>
      <c r="L49">
        <v>2</v>
      </c>
      <c r="M49" t="s">
        <v>53</v>
      </c>
      <c r="N49" s="3" t="s">
        <v>0</v>
      </c>
      <c r="O49" t="s">
        <v>0</v>
      </c>
      <c r="P49" s="5">
        <v>8.32</v>
      </c>
      <c r="Q49" t="s">
        <v>118</v>
      </c>
    </row>
    <row r="50" spans="1:17" x14ac:dyDescent="0.25">
      <c r="A50" t="s">
        <v>87</v>
      </c>
      <c r="B50" t="s">
        <v>88</v>
      </c>
      <c r="C50" s="1">
        <v>45505</v>
      </c>
      <c r="D50" s="1">
        <v>45657</v>
      </c>
      <c r="E50" t="s">
        <v>45</v>
      </c>
      <c r="F50" t="s">
        <v>0</v>
      </c>
      <c r="G50" t="s">
        <v>46</v>
      </c>
      <c r="H50" t="s">
        <v>89</v>
      </c>
      <c r="I50" t="s">
        <v>90</v>
      </c>
      <c r="J50" t="s">
        <v>91</v>
      </c>
      <c r="K50" t="s">
        <v>92</v>
      </c>
      <c r="L50">
        <v>2</v>
      </c>
      <c r="M50" t="s">
        <v>53</v>
      </c>
      <c r="N50" s="3" t="s">
        <v>0</v>
      </c>
      <c r="O50" t="s">
        <v>0</v>
      </c>
      <c r="P50" s="5">
        <v>-24.96</v>
      </c>
      <c r="Q50" t="s">
        <v>118</v>
      </c>
    </row>
    <row r="51" spans="1:17" x14ac:dyDescent="0.25">
      <c r="A51" t="s">
        <v>87</v>
      </c>
      <c r="B51" t="s">
        <v>88</v>
      </c>
      <c r="C51" s="2">
        <v>45658</v>
      </c>
      <c r="D51" t="s">
        <v>0</v>
      </c>
      <c r="E51" t="s">
        <v>45</v>
      </c>
      <c r="F51" t="s">
        <v>0</v>
      </c>
      <c r="G51" t="s">
        <v>46</v>
      </c>
      <c r="H51" t="s">
        <v>89</v>
      </c>
      <c r="I51" t="s">
        <v>90</v>
      </c>
      <c r="J51" t="s">
        <v>91</v>
      </c>
      <c r="K51" t="s">
        <v>92</v>
      </c>
      <c r="L51">
        <v>2</v>
      </c>
      <c r="M51" t="s">
        <v>53</v>
      </c>
      <c r="N51" s="3" t="s">
        <v>0</v>
      </c>
      <c r="O51" t="s">
        <v>0</v>
      </c>
      <c r="P51" s="5">
        <v>24.96</v>
      </c>
      <c r="Q51" t="s">
        <v>118</v>
      </c>
    </row>
    <row r="52" spans="1:17" x14ac:dyDescent="0.25">
      <c r="A52" t="s">
        <v>119</v>
      </c>
      <c r="B52" t="s">
        <v>120</v>
      </c>
      <c r="C52" s="1">
        <v>45566</v>
      </c>
      <c r="D52" s="1">
        <v>45657</v>
      </c>
      <c r="E52" t="s">
        <v>45</v>
      </c>
      <c r="F52" t="s">
        <v>0</v>
      </c>
      <c r="G52" t="s">
        <v>46</v>
      </c>
      <c r="H52" t="s">
        <v>121</v>
      </c>
      <c r="I52" t="s">
        <v>122</v>
      </c>
      <c r="J52" t="s">
        <v>123</v>
      </c>
      <c r="K52" t="s">
        <v>124</v>
      </c>
      <c r="L52">
        <v>2</v>
      </c>
      <c r="M52" t="s">
        <v>53</v>
      </c>
      <c r="N52" s="3" t="s">
        <v>0</v>
      </c>
      <c r="O52" t="s">
        <v>0</v>
      </c>
      <c r="P52" s="5">
        <v>-78.239999999999995</v>
      </c>
      <c r="Q52" t="s">
        <v>52</v>
      </c>
    </row>
    <row r="53" spans="1:17" x14ac:dyDescent="0.25">
      <c r="A53" t="s">
        <v>119</v>
      </c>
      <c r="B53" t="s">
        <v>120</v>
      </c>
      <c r="C53" s="2">
        <v>45658</v>
      </c>
      <c r="D53" t="s">
        <v>0</v>
      </c>
      <c r="E53" t="s">
        <v>45</v>
      </c>
      <c r="F53" t="s">
        <v>0</v>
      </c>
      <c r="G53" t="s">
        <v>46</v>
      </c>
      <c r="H53" t="s">
        <v>121</v>
      </c>
      <c r="I53" t="s">
        <v>122</v>
      </c>
      <c r="J53" t="s">
        <v>123</v>
      </c>
      <c r="K53" t="s">
        <v>124</v>
      </c>
      <c r="L53">
        <v>2</v>
      </c>
      <c r="M53" t="s">
        <v>53</v>
      </c>
      <c r="N53" s="3" t="s">
        <v>0</v>
      </c>
      <c r="O53" t="s">
        <v>0</v>
      </c>
      <c r="P53" s="5">
        <v>78.239999999999995</v>
      </c>
      <c r="Q53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7277-D1DD-493C-A4CD-88A8980C2666}">
  <dimension ref="A1:M53"/>
  <sheetViews>
    <sheetView tabSelected="1" topLeftCell="A14" workbookViewId="0">
      <selection activeCell="M2" sqref="M2:M53"/>
    </sheetView>
  </sheetViews>
  <sheetFormatPr defaultRowHeight="15" x14ac:dyDescent="0.25"/>
  <cols>
    <col min="1" max="1" width="25" customWidth="1"/>
    <col min="2" max="2" width="20" customWidth="1"/>
    <col min="3" max="3" width="15" style="6" customWidth="1"/>
    <col min="4" max="4" width="53.85546875" bestFit="1" customWidth="1"/>
    <col min="5" max="5" width="12.140625" bestFit="1" customWidth="1"/>
    <col min="6" max="6" width="13.140625" bestFit="1" customWidth="1"/>
    <col min="7" max="7" width="19" bestFit="1" customWidth="1"/>
    <col min="8" max="8" width="19.42578125" bestFit="1" customWidth="1"/>
    <col min="9" max="9" width="19.42578125" customWidth="1"/>
    <col min="10" max="10" width="9" bestFit="1" customWidth="1"/>
    <col min="11" max="11" width="6.85546875" bestFit="1" customWidth="1"/>
    <col min="12" max="12" width="16.140625" bestFit="1" customWidth="1"/>
  </cols>
  <sheetData>
    <row r="1" spans="1:12" x14ac:dyDescent="0.25">
      <c r="A1" t="s">
        <v>26</v>
      </c>
      <c r="B1" t="s">
        <v>27</v>
      </c>
      <c r="C1" s="6" t="s">
        <v>28</v>
      </c>
      <c r="D1" t="s">
        <v>32</v>
      </c>
      <c r="E1" t="s">
        <v>34</v>
      </c>
      <c r="G1" t="s">
        <v>35</v>
      </c>
      <c r="H1" t="s">
        <v>36</v>
      </c>
      <c r="J1" t="s">
        <v>41</v>
      </c>
      <c r="K1" t="s">
        <v>42</v>
      </c>
    </row>
    <row r="2" spans="1:12" x14ac:dyDescent="0.25">
      <c r="A2" t="s">
        <v>131</v>
      </c>
      <c r="B2">
        <v>20411454</v>
      </c>
      <c r="C2" s="6">
        <v>45505</v>
      </c>
      <c r="D2" t="s">
        <v>46</v>
      </c>
      <c r="E2" t="s">
        <v>90</v>
      </c>
      <c r="F2" t="str">
        <f>CONCATENATE(E2,22)</f>
        <v>Z00004351322</v>
      </c>
      <c r="G2" t="s">
        <v>91</v>
      </c>
      <c r="H2" t="s">
        <v>92</v>
      </c>
      <c r="I2" t="str">
        <f>CONCATENATE(G2, " ", H2)</f>
        <v>WALTER ATTERBERRY</v>
      </c>
      <c r="J2" s="5">
        <v>-24.96</v>
      </c>
      <c r="K2" t="s">
        <v>118</v>
      </c>
      <c r="L2" t="s">
        <v>129</v>
      </c>
    </row>
    <row r="3" spans="1:12" x14ac:dyDescent="0.25">
      <c r="A3" t="s">
        <v>131</v>
      </c>
      <c r="B3">
        <v>20411454</v>
      </c>
      <c r="C3" s="6">
        <v>45658</v>
      </c>
      <c r="D3" t="s">
        <v>46</v>
      </c>
      <c r="E3" t="s">
        <v>90</v>
      </c>
      <c r="F3" t="str">
        <f>CONCATENATE(E3,22)</f>
        <v>Z00004351322</v>
      </c>
      <c r="G3" t="s">
        <v>91</v>
      </c>
      <c r="H3" t="s">
        <v>92</v>
      </c>
      <c r="I3" t="str">
        <f t="shared" ref="I3:I53" si="0">CONCATENATE(G3, " ", H3)</f>
        <v>WALTER ATTERBERRY</v>
      </c>
      <c r="J3" s="5">
        <v>24.96</v>
      </c>
      <c r="K3" t="s">
        <v>118</v>
      </c>
      <c r="L3" t="s">
        <v>129</v>
      </c>
    </row>
    <row r="4" spans="1:12" x14ac:dyDescent="0.25">
      <c r="A4" t="s">
        <v>131</v>
      </c>
      <c r="B4">
        <v>20411454</v>
      </c>
      <c r="C4" s="6">
        <v>45597</v>
      </c>
      <c r="D4" t="s">
        <v>46</v>
      </c>
      <c r="E4" t="s">
        <v>109</v>
      </c>
      <c r="F4" t="str">
        <f>CONCATENATE(E4,22)</f>
        <v>Z00005045922</v>
      </c>
      <c r="G4" t="s">
        <v>110</v>
      </c>
      <c r="H4" t="s">
        <v>111</v>
      </c>
      <c r="I4" t="str">
        <f t="shared" si="0"/>
        <v>ERLENE CARTER</v>
      </c>
      <c r="J4" s="5">
        <v>-24.96</v>
      </c>
      <c r="K4" t="s">
        <v>118</v>
      </c>
      <c r="L4" t="s">
        <v>129</v>
      </c>
    </row>
    <row r="5" spans="1:12" x14ac:dyDescent="0.25">
      <c r="A5" t="s">
        <v>131</v>
      </c>
      <c r="B5">
        <v>20411454</v>
      </c>
      <c r="C5" s="6">
        <v>45658</v>
      </c>
      <c r="D5" t="s">
        <v>46</v>
      </c>
      <c r="E5" t="s">
        <v>109</v>
      </c>
      <c r="F5" t="str">
        <f>CONCATENATE(E5,22)</f>
        <v>Z00005045922</v>
      </c>
      <c r="G5" t="s">
        <v>110</v>
      </c>
      <c r="H5" t="s">
        <v>111</v>
      </c>
      <c r="I5" t="str">
        <f t="shared" si="0"/>
        <v>ERLENE CARTER</v>
      </c>
      <c r="J5" s="5">
        <v>24.96</v>
      </c>
      <c r="K5" t="s">
        <v>118</v>
      </c>
      <c r="L5" t="s">
        <v>129</v>
      </c>
    </row>
    <row r="6" spans="1:12" x14ac:dyDescent="0.25">
      <c r="A6" t="s">
        <v>131</v>
      </c>
      <c r="B6">
        <v>20411454</v>
      </c>
      <c r="C6" s="6">
        <v>45536</v>
      </c>
      <c r="D6" t="s">
        <v>54</v>
      </c>
      <c r="E6" t="s">
        <v>72</v>
      </c>
      <c r="F6" t="str">
        <f>CONCATENATE(E6,22)</f>
        <v>Z00004563322</v>
      </c>
      <c r="G6" t="s">
        <v>73</v>
      </c>
      <c r="H6" t="s">
        <v>74</v>
      </c>
      <c r="I6" t="str">
        <f t="shared" si="0"/>
        <v>LINDA DANIEL</v>
      </c>
      <c r="J6" s="5">
        <v>-24.96</v>
      </c>
      <c r="K6" t="s">
        <v>118</v>
      </c>
      <c r="L6" t="s">
        <v>129</v>
      </c>
    </row>
    <row r="7" spans="1:12" x14ac:dyDescent="0.25">
      <c r="A7" t="s">
        <v>131</v>
      </c>
      <c r="B7">
        <v>20411454</v>
      </c>
      <c r="C7" s="6">
        <v>45658</v>
      </c>
      <c r="D7" t="s">
        <v>54</v>
      </c>
      <c r="E7" t="s">
        <v>72</v>
      </c>
      <c r="F7" t="str">
        <f>CONCATENATE(E7,22)</f>
        <v>Z00004563322</v>
      </c>
      <c r="G7" t="s">
        <v>73</v>
      </c>
      <c r="H7" t="s">
        <v>74</v>
      </c>
      <c r="I7" t="str">
        <f t="shared" si="0"/>
        <v>LINDA DANIEL</v>
      </c>
      <c r="J7" s="5">
        <v>24.96</v>
      </c>
      <c r="K7" t="s">
        <v>118</v>
      </c>
      <c r="L7" t="s">
        <v>129</v>
      </c>
    </row>
    <row r="8" spans="1:12" x14ac:dyDescent="0.25">
      <c r="A8" t="s">
        <v>131</v>
      </c>
      <c r="B8">
        <v>20411454</v>
      </c>
      <c r="C8" s="6">
        <v>45566</v>
      </c>
      <c r="D8" t="s">
        <v>54</v>
      </c>
      <c r="E8" t="s">
        <v>80</v>
      </c>
      <c r="F8" t="str">
        <f>CONCATENATE(E8,22)</f>
        <v>Z00004611922</v>
      </c>
      <c r="G8" t="s">
        <v>81</v>
      </c>
      <c r="H8" t="s">
        <v>82</v>
      </c>
      <c r="I8" t="str">
        <f t="shared" si="0"/>
        <v>RENE DIAZ</v>
      </c>
      <c r="J8" s="5">
        <v>-24.96</v>
      </c>
      <c r="K8" t="s">
        <v>118</v>
      </c>
      <c r="L8" t="s">
        <v>129</v>
      </c>
    </row>
    <row r="9" spans="1:12" x14ac:dyDescent="0.25">
      <c r="A9" t="s">
        <v>131</v>
      </c>
      <c r="B9">
        <v>20411454</v>
      </c>
      <c r="C9" s="6">
        <v>45658</v>
      </c>
      <c r="D9" t="s">
        <v>54</v>
      </c>
      <c r="E9" t="s">
        <v>80</v>
      </c>
      <c r="F9" t="str">
        <f>CONCATENATE(E9,22)</f>
        <v>Z00004611922</v>
      </c>
      <c r="G9" t="s">
        <v>81</v>
      </c>
      <c r="H9" t="s">
        <v>82</v>
      </c>
      <c r="I9" t="str">
        <f t="shared" si="0"/>
        <v>RENE DIAZ</v>
      </c>
      <c r="J9" s="5">
        <v>24.96</v>
      </c>
      <c r="K9" t="s">
        <v>118</v>
      </c>
      <c r="L9" t="s">
        <v>129</v>
      </c>
    </row>
    <row r="10" spans="1:12" x14ac:dyDescent="0.25">
      <c r="A10" t="s">
        <v>131</v>
      </c>
      <c r="B10">
        <v>20411454</v>
      </c>
      <c r="C10" s="6">
        <v>45597</v>
      </c>
      <c r="D10" t="s">
        <v>54</v>
      </c>
      <c r="E10" t="s">
        <v>103</v>
      </c>
      <c r="F10" t="str">
        <f>CONCATENATE(E10,22)</f>
        <v>Z00004867222</v>
      </c>
      <c r="G10" t="s">
        <v>104</v>
      </c>
      <c r="H10" t="s">
        <v>105</v>
      </c>
      <c r="I10" t="str">
        <f t="shared" si="0"/>
        <v>VERA HARRIS</v>
      </c>
      <c r="J10" s="5">
        <v>-8.32</v>
      </c>
      <c r="K10" t="s">
        <v>118</v>
      </c>
      <c r="L10" t="s">
        <v>129</v>
      </c>
    </row>
    <row r="11" spans="1:12" x14ac:dyDescent="0.25">
      <c r="A11" t="s">
        <v>131</v>
      </c>
      <c r="B11">
        <v>20411454</v>
      </c>
      <c r="C11" s="6">
        <v>45658</v>
      </c>
      <c r="D11" t="s">
        <v>54</v>
      </c>
      <c r="E11" t="s">
        <v>103</v>
      </c>
      <c r="F11" t="str">
        <f>CONCATENATE(E11,22)</f>
        <v>Z00004867222</v>
      </c>
      <c r="G11" t="s">
        <v>104</v>
      </c>
      <c r="H11" t="s">
        <v>105</v>
      </c>
      <c r="I11" t="str">
        <f t="shared" si="0"/>
        <v>VERA HARRIS</v>
      </c>
      <c r="J11" s="5">
        <v>8.32</v>
      </c>
      <c r="K11" t="s">
        <v>118</v>
      </c>
      <c r="L11" t="s">
        <v>129</v>
      </c>
    </row>
    <row r="12" spans="1:12" x14ac:dyDescent="0.25">
      <c r="A12" t="s">
        <v>131</v>
      </c>
      <c r="B12">
        <v>20411454</v>
      </c>
      <c r="C12" s="6">
        <v>45597</v>
      </c>
      <c r="D12" t="s">
        <v>54</v>
      </c>
      <c r="E12" t="s">
        <v>68</v>
      </c>
      <c r="F12" t="str">
        <f>CONCATENATE(E12,22)</f>
        <v>Z00004801422</v>
      </c>
      <c r="G12" t="s">
        <v>69</v>
      </c>
      <c r="H12" t="s">
        <v>70</v>
      </c>
      <c r="I12" t="str">
        <f t="shared" si="0"/>
        <v>JOSE HERNANDEZ</v>
      </c>
      <c r="J12" s="5">
        <v>-24.96</v>
      </c>
      <c r="K12" t="s">
        <v>118</v>
      </c>
      <c r="L12" t="s">
        <v>129</v>
      </c>
    </row>
    <row r="13" spans="1:12" x14ac:dyDescent="0.25">
      <c r="A13" t="s">
        <v>131</v>
      </c>
      <c r="B13">
        <v>20411454</v>
      </c>
      <c r="C13" s="6">
        <v>45658</v>
      </c>
      <c r="D13" t="s">
        <v>54</v>
      </c>
      <c r="E13" t="s">
        <v>68</v>
      </c>
      <c r="F13" t="str">
        <f>CONCATENATE(E13,22)</f>
        <v>Z00004801422</v>
      </c>
      <c r="G13" t="s">
        <v>69</v>
      </c>
      <c r="H13" t="s">
        <v>70</v>
      </c>
      <c r="I13" t="str">
        <f t="shared" si="0"/>
        <v>JOSE HERNANDEZ</v>
      </c>
      <c r="J13" s="5">
        <v>24.96</v>
      </c>
      <c r="K13" t="s">
        <v>118</v>
      </c>
      <c r="L13" t="s">
        <v>129</v>
      </c>
    </row>
    <row r="14" spans="1:12" x14ac:dyDescent="0.25">
      <c r="A14" t="s">
        <v>131</v>
      </c>
      <c r="B14">
        <v>20411454</v>
      </c>
      <c r="C14" s="6">
        <v>45505</v>
      </c>
      <c r="D14" t="s">
        <v>46</v>
      </c>
      <c r="E14" t="s">
        <v>76</v>
      </c>
      <c r="F14" t="str">
        <f>CONCATENATE(E14,22)</f>
        <v>Z00004364422</v>
      </c>
      <c r="G14" t="s">
        <v>77</v>
      </c>
      <c r="H14" t="s">
        <v>78</v>
      </c>
      <c r="I14" t="str">
        <f t="shared" si="0"/>
        <v>OLEGARIO HERNANDEZ FLORES</v>
      </c>
      <c r="J14" s="5">
        <v>-24.96</v>
      </c>
      <c r="K14" t="s">
        <v>118</v>
      </c>
      <c r="L14" t="s">
        <v>129</v>
      </c>
    </row>
    <row r="15" spans="1:12" x14ac:dyDescent="0.25">
      <c r="A15" t="s">
        <v>131</v>
      </c>
      <c r="B15">
        <v>20411454</v>
      </c>
      <c r="C15" s="6">
        <v>45658</v>
      </c>
      <c r="D15" t="s">
        <v>46</v>
      </c>
      <c r="E15" t="s">
        <v>76</v>
      </c>
      <c r="F15" t="str">
        <f>CONCATENATE(E15,22)</f>
        <v>Z00004364422</v>
      </c>
      <c r="G15" t="s">
        <v>77</v>
      </c>
      <c r="H15" t="s">
        <v>78</v>
      </c>
      <c r="I15" t="str">
        <f t="shared" si="0"/>
        <v>OLEGARIO HERNANDEZ FLORES</v>
      </c>
      <c r="J15" s="5">
        <v>24.96</v>
      </c>
      <c r="K15" t="s">
        <v>118</v>
      </c>
      <c r="L15" t="s">
        <v>129</v>
      </c>
    </row>
    <row r="16" spans="1:12" x14ac:dyDescent="0.25">
      <c r="A16" t="s">
        <v>131</v>
      </c>
      <c r="B16">
        <v>20411454</v>
      </c>
      <c r="C16" s="6">
        <v>45717</v>
      </c>
      <c r="D16" t="s">
        <v>54</v>
      </c>
      <c r="E16" t="s">
        <v>62</v>
      </c>
      <c r="F16" t="str">
        <f>CONCATENATE(E16,22)</f>
        <v>Z00006990422</v>
      </c>
      <c r="G16" t="s">
        <v>63</v>
      </c>
      <c r="H16" t="s">
        <v>64</v>
      </c>
      <c r="I16" t="str">
        <f t="shared" si="0"/>
        <v>CLIFTON MCKENNIE</v>
      </c>
      <c r="J16" s="5">
        <v>200</v>
      </c>
      <c r="K16" t="s">
        <v>118</v>
      </c>
      <c r="L16" t="s">
        <v>129</v>
      </c>
    </row>
    <row r="17" spans="1:13" x14ac:dyDescent="0.25">
      <c r="A17" t="s">
        <v>131</v>
      </c>
      <c r="B17">
        <v>20411454</v>
      </c>
      <c r="C17" s="6">
        <v>45566</v>
      </c>
      <c r="D17" t="s">
        <v>46</v>
      </c>
      <c r="E17" t="s">
        <v>122</v>
      </c>
      <c r="F17" t="str">
        <f>CONCATENATE(E17,22)</f>
        <v>Z00004814822</v>
      </c>
      <c r="G17" t="s">
        <v>123</v>
      </c>
      <c r="H17" t="s">
        <v>124</v>
      </c>
      <c r="I17" t="str">
        <f t="shared" si="0"/>
        <v>DAXABEN PATEL</v>
      </c>
      <c r="J17" s="5">
        <v>-24.96</v>
      </c>
      <c r="K17" t="s">
        <v>118</v>
      </c>
      <c r="L17" t="s">
        <v>129</v>
      </c>
    </row>
    <row r="18" spans="1:13" x14ac:dyDescent="0.25">
      <c r="A18" t="s">
        <v>131</v>
      </c>
      <c r="B18">
        <v>20411454</v>
      </c>
      <c r="C18" s="6">
        <v>45658</v>
      </c>
      <c r="D18" t="s">
        <v>46</v>
      </c>
      <c r="E18" t="s">
        <v>122</v>
      </c>
      <c r="F18" t="str">
        <f>CONCATENATE(E18,22)</f>
        <v>Z00004814822</v>
      </c>
      <c r="G18" t="s">
        <v>123</v>
      </c>
      <c r="H18" t="s">
        <v>124</v>
      </c>
      <c r="I18" t="str">
        <f t="shared" si="0"/>
        <v>DAXABEN PATEL</v>
      </c>
      <c r="J18" s="5">
        <v>24.96</v>
      </c>
      <c r="K18" t="s">
        <v>118</v>
      </c>
      <c r="L18" t="s">
        <v>129</v>
      </c>
    </row>
    <row r="19" spans="1:13" x14ac:dyDescent="0.25">
      <c r="A19" t="s">
        <v>131</v>
      </c>
      <c r="B19">
        <v>20411454</v>
      </c>
      <c r="C19" s="6">
        <v>45597</v>
      </c>
      <c r="D19" t="s">
        <v>95</v>
      </c>
      <c r="E19" t="s">
        <v>115</v>
      </c>
      <c r="F19" t="str">
        <f>CONCATENATE(E19,22)</f>
        <v>Z00004997222</v>
      </c>
      <c r="G19" t="s">
        <v>116</v>
      </c>
      <c r="H19" t="s">
        <v>117</v>
      </c>
      <c r="I19" t="str">
        <f t="shared" si="0"/>
        <v>FRANCISCO PEREZ GARCIA</v>
      </c>
      <c r="J19" s="5">
        <v>-16.64</v>
      </c>
      <c r="K19" t="s">
        <v>118</v>
      </c>
      <c r="L19" t="s">
        <v>129</v>
      </c>
    </row>
    <row r="20" spans="1:13" x14ac:dyDescent="0.25">
      <c r="A20" t="s">
        <v>131</v>
      </c>
      <c r="B20">
        <v>20411454</v>
      </c>
      <c r="C20" s="6">
        <v>45658</v>
      </c>
      <c r="D20" t="s">
        <v>95</v>
      </c>
      <c r="E20" t="s">
        <v>115</v>
      </c>
      <c r="F20" t="str">
        <f>CONCATENATE(E20,22)</f>
        <v>Z00004997222</v>
      </c>
      <c r="G20" t="s">
        <v>116</v>
      </c>
      <c r="H20" t="s">
        <v>117</v>
      </c>
      <c r="I20" t="str">
        <f t="shared" si="0"/>
        <v>FRANCISCO PEREZ GARCIA</v>
      </c>
      <c r="J20" s="5">
        <v>16.64</v>
      </c>
      <c r="K20" t="s">
        <v>118</v>
      </c>
      <c r="L20" t="s">
        <v>129</v>
      </c>
    </row>
    <row r="21" spans="1:13" x14ac:dyDescent="0.25">
      <c r="A21" t="s">
        <v>131</v>
      </c>
      <c r="B21">
        <v>20411454</v>
      </c>
      <c r="C21" s="6">
        <v>45597</v>
      </c>
      <c r="D21" t="s">
        <v>54</v>
      </c>
      <c r="E21" t="s">
        <v>56</v>
      </c>
      <c r="F21" t="str">
        <f>CONCATENATE(E21,22)</f>
        <v>Z00005151022</v>
      </c>
      <c r="G21" t="s">
        <v>57</v>
      </c>
      <c r="H21" t="s">
        <v>58</v>
      </c>
      <c r="I21" t="str">
        <f t="shared" si="0"/>
        <v>JAMES PRICE</v>
      </c>
      <c r="J21" s="5">
        <v>-24.96</v>
      </c>
      <c r="K21" t="s">
        <v>118</v>
      </c>
      <c r="L21" t="s">
        <v>129</v>
      </c>
    </row>
    <row r="22" spans="1:13" x14ac:dyDescent="0.25">
      <c r="A22" t="s">
        <v>131</v>
      </c>
      <c r="B22">
        <v>20411454</v>
      </c>
      <c r="C22" s="6">
        <v>45658</v>
      </c>
      <c r="D22" t="s">
        <v>54</v>
      </c>
      <c r="E22" t="s">
        <v>56</v>
      </c>
      <c r="F22" t="str">
        <f>CONCATENATE(E22,22)</f>
        <v>Z00005151022</v>
      </c>
      <c r="G22" t="s">
        <v>57</v>
      </c>
      <c r="H22" t="s">
        <v>58</v>
      </c>
      <c r="I22" t="str">
        <f t="shared" si="0"/>
        <v>JAMES PRICE</v>
      </c>
      <c r="J22" s="5">
        <v>24.96</v>
      </c>
      <c r="K22" t="s">
        <v>118</v>
      </c>
      <c r="L22" t="s">
        <v>129</v>
      </c>
    </row>
    <row r="23" spans="1:13" x14ac:dyDescent="0.25">
      <c r="A23" t="s">
        <v>131</v>
      </c>
      <c r="B23">
        <v>20411454</v>
      </c>
      <c r="C23" s="6">
        <v>45627</v>
      </c>
      <c r="D23" t="s">
        <v>46</v>
      </c>
      <c r="E23" t="s">
        <v>48</v>
      </c>
      <c r="F23" t="str">
        <f>CONCATENATE(E23,22)</f>
        <v>Z00005354322</v>
      </c>
      <c r="G23" t="s">
        <v>49</v>
      </c>
      <c r="H23" t="s">
        <v>132</v>
      </c>
      <c r="I23" t="str">
        <f t="shared" si="0"/>
        <v>DOUGLAS SCHMIESKORS</v>
      </c>
      <c r="J23" s="5">
        <v>-24.96</v>
      </c>
      <c r="K23" t="s">
        <v>118</v>
      </c>
      <c r="L23" t="s">
        <v>129</v>
      </c>
    </row>
    <row r="24" spans="1:13" x14ac:dyDescent="0.25">
      <c r="A24" t="s">
        <v>131</v>
      </c>
      <c r="B24">
        <v>20411454</v>
      </c>
      <c r="C24" s="6">
        <v>45658</v>
      </c>
      <c r="D24" t="s">
        <v>46</v>
      </c>
      <c r="E24" t="s">
        <v>48</v>
      </c>
      <c r="F24" t="str">
        <f>CONCATENATE(E24,22)</f>
        <v>Z00005354322</v>
      </c>
      <c r="G24" t="s">
        <v>49</v>
      </c>
      <c r="H24" t="s">
        <v>132</v>
      </c>
      <c r="I24" t="str">
        <f t="shared" si="0"/>
        <v>DOUGLAS SCHMIESKORS</v>
      </c>
      <c r="J24" s="5">
        <v>24.96</v>
      </c>
      <c r="K24" t="s">
        <v>118</v>
      </c>
      <c r="L24" t="s">
        <v>129</v>
      </c>
    </row>
    <row r="25" spans="1:13" x14ac:dyDescent="0.25">
      <c r="A25" t="s">
        <v>131</v>
      </c>
      <c r="B25">
        <v>20411454</v>
      </c>
      <c r="C25" s="6">
        <v>45474</v>
      </c>
      <c r="D25" t="s">
        <v>95</v>
      </c>
      <c r="E25" t="s">
        <v>97</v>
      </c>
      <c r="F25" t="str">
        <f>CONCATENATE(E25,22)</f>
        <v>Z00004171022</v>
      </c>
      <c r="G25" t="s">
        <v>98</v>
      </c>
      <c r="H25" t="s">
        <v>99</v>
      </c>
      <c r="I25" t="str">
        <f t="shared" si="0"/>
        <v>ANGEL TORRES</v>
      </c>
      <c r="J25" s="5">
        <v>-24.96</v>
      </c>
      <c r="K25" t="s">
        <v>118</v>
      </c>
      <c r="L25" t="s">
        <v>129</v>
      </c>
    </row>
    <row r="26" spans="1:13" x14ac:dyDescent="0.25">
      <c r="A26" t="s">
        <v>131</v>
      </c>
      <c r="B26">
        <v>20411454</v>
      </c>
      <c r="C26" s="6">
        <v>45658</v>
      </c>
      <c r="D26" t="s">
        <v>95</v>
      </c>
      <c r="E26" t="s">
        <v>97</v>
      </c>
      <c r="F26" t="str">
        <f>CONCATENATE(E26,22)</f>
        <v>Z00004171022</v>
      </c>
      <c r="G26" t="s">
        <v>98</v>
      </c>
      <c r="H26" t="s">
        <v>99</v>
      </c>
      <c r="I26" t="str">
        <f t="shared" si="0"/>
        <v>ANGEL TORRES</v>
      </c>
      <c r="J26" s="5">
        <v>24.96</v>
      </c>
      <c r="K26" t="s">
        <v>118</v>
      </c>
      <c r="L26" t="s">
        <v>129</v>
      </c>
    </row>
    <row r="27" spans="1:13" x14ac:dyDescent="0.25">
      <c r="A27" t="s">
        <v>131</v>
      </c>
      <c r="B27">
        <v>20411454</v>
      </c>
      <c r="C27" s="6">
        <v>45717</v>
      </c>
      <c r="D27" t="s">
        <v>54</v>
      </c>
      <c r="E27" t="s">
        <v>84</v>
      </c>
      <c r="F27" t="str">
        <f>CONCATENATE(E27,22)</f>
        <v>Z00006987622</v>
      </c>
      <c r="G27" t="s">
        <v>85</v>
      </c>
      <c r="H27" t="s">
        <v>86</v>
      </c>
      <c r="I27" t="str">
        <f t="shared" si="0"/>
        <v>STANLEY WARMUZ</v>
      </c>
      <c r="J27" s="5">
        <v>200</v>
      </c>
      <c r="K27" t="s">
        <v>118</v>
      </c>
      <c r="L27" t="s">
        <v>129</v>
      </c>
    </row>
    <row r="28" spans="1:13" x14ac:dyDescent="0.25">
      <c r="A28" t="s">
        <v>87</v>
      </c>
      <c r="B28" s="4">
        <v>8814784</v>
      </c>
      <c r="C28" s="6">
        <v>45505</v>
      </c>
      <c r="D28" t="s">
        <v>46</v>
      </c>
      <c r="E28" t="s">
        <v>90</v>
      </c>
      <c r="F28" t="str">
        <f>CONCATENATE(E28,2)</f>
        <v>Z0000435132</v>
      </c>
      <c r="G28" t="s">
        <v>91</v>
      </c>
      <c r="H28" t="s">
        <v>92</v>
      </c>
      <c r="I28" t="str">
        <f t="shared" si="0"/>
        <v>WALTER ATTERBERRY</v>
      </c>
      <c r="J28" s="5">
        <v>-78.239999999999995</v>
      </c>
      <c r="K28" t="s">
        <v>52</v>
      </c>
      <c r="L28" t="s">
        <v>127</v>
      </c>
      <c r="M28" t="s">
        <v>126</v>
      </c>
    </row>
    <row r="29" spans="1:13" x14ac:dyDescent="0.25">
      <c r="A29" t="s">
        <v>87</v>
      </c>
      <c r="B29" s="4">
        <v>8814784</v>
      </c>
      <c r="C29" s="6">
        <v>45658</v>
      </c>
      <c r="D29" t="s">
        <v>46</v>
      </c>
      <c r="E29" t="s">
        <v>90</v>
      </c>
      <c r="F29" t="str">
        <f>CONCATENATE(E29,2)</f>
        <v>Z0000435132</v>
      </c>
      <c r="G29" t="s">
        <v>91</v>
      </c>
      <c r="H29" t="s">
        <v>92</v>
      </c>
      <c r="I29" t="str">
        <f t="shared" si="0"/>
        <v>WALTER ATTERBERRY</v>
      </c>
      <c r="J29" s="5">
        <v>78.239999999999995</v>
      </c>
      <c r="K29" t="s">
        <v>52</v>
      </c>
      <c r="L29" t="s">
        <v>127</v>
      </c>
      <c r="M29" t="s">
        <v>126</v>
      </c>
    </row>
    <row r="30" spans="1:13" x14ac:dyDescent="0.25">
      <c r="A30" t="s">
        <v>106</v>
      </c>
      <c r="B30" s="4">
        <v>8307933</v>
      </c>
      <c r="C30" s="6">
        <v>45597</v>
      </c>
      <c r="D30" t="s">
        <v>46</v>
      </c>
      <c r="E30" t="s">
        <v>109</v>
      </c>
      <c r="F30" t="str">
        <f>CONCATENATE(E30,2)</f>
        <v>Z0000504592</v>
      </c>
      <c r="G30" t="s">
        <v>110</v>
      </c>
      <c r="H30" t="s">
        <v>111</v>
      </c>
      <c r="I30" t="str">
        <f t="shared" si="0"/>
        <v>ERLENE CARTER</v>
      </c>
      <c r="J30" s="5">
        <v>-78.239999999999995</v>
      </c>
      <c r="K30" t="s">
        <v>52</v>
      </c>
      <c r="L30" t="s">
        <v>127</v>
      </c>
      <c r="M30" t="s">
        <v>126</v>
      </c>
    </row>
    <row r="31" spans="1:13" x14ac:dyDescent="0.25">
      <c r="A31" t="s">
        <v>106</v>
      </c>
      <c r="B31" s="4">
        <v>8307933</v>
      </c>
      <c r="C31" s="6">
        <v>45658</v>
      </c>
      <c r="D31" t="s">
        <v>46</v>
      </c>
      <c r="E31" t="s">
        <v>109</v>
      </c>
      <c r="F31" t="str">
        <f>CONCATENATE(E31,2)</f>
        <v>Z0000504592</v>
      </c>
      <c r="G31" t="s">
        <v>110</v>
      </c>
      <c r="H31" t="s">
        <v>111</v>
      </c>
      <c r="I31" t="str">
        <f t="shared" si="0"/>
        <v>ERLENE CARTER</v>
      </c>
      <c r="J31" s="5">
        <v>78.239999999999995</v>
      </c>
      <c r="K31" t="s">
        <v>52</v>
      </c>
      <c r="L31" t="s">
        <v>127</v>
      </c>
      <c r="M31" t="s">
        <v>126</v>
      </c>
    </row>
    <row r="32" spans="1:13" x14ac:dyDescent="0.25">
      <c r="A32" t="s">
        <v>65</v>
      </c>
      <c r="B32" s="4">
        <v>17301495</v>
      </c>
      <c r="C32" s="6">
        <v>45536</v>
      </c>
      <c r="D32" t="s">
        <v>54</v>
      </c>
      <c r="E32" t="s">
        <v>72</v>
      </c>
      <c r="F32" t="str">
        <f>CONCATENATE(E32,2)</f>
        <v>Z0000456332</v>
      </c>
      <c r="G32" t="s">
        <v>73</v>
      </c>
      <c r="H32" t="s">
        <v>74</v>
      </c>
      <c r="I32" t="str">
        <f t="shared" si="0"/>
        <v>LINDA DANIEL</v>
      </c>
      <c r="J32" s="5">
        <v>-78.239999999999995</v>
      </c>
      <c r="K32" t="s">
        <v>52</v>
      </c>
      <c r="L32" t="s">
        <v>127</v>
      </c>
      <c r="M32" t="s">
        <v>126</v>
      </c>
    </row>
    <row r="33" spans="1:13" x14ac:dyDescent="0.25">
      <c r="A33" t="s">
        <v>65</v>
      </c>
      <c r="B33" s="4">
        <v>17301495</v>
      </c>
      <c r="C33" s="6">
        <v>45658</v>
      </c>
      <c r="D33" t="s">
        <v>54</v>
      </c>
      <c r="E33" t="s">
        <v>72</v>
      </c>
      <c r="F33" t="str">
        <f>CONCATENATE(E33,2)</f>
        <v>Z0000456332</v>
      </c>
      <c r="G33" t="s">
        <v>73</v>
      </c>
      <c r="H33" t="s">
        <v>74</v>
      </c>
      <c r="I33" t="str">
        <f t="shared" si="0"/>
        <v>LINDA DANIEL</v>
      </c>
      <c r="J33" s="5">
        <v>78.239999999999995</v>
      </c>
      <c r="K33" t="s">
        <v>52</v>
      </c>
      <c r="L33" t="s">
        <v>127</v>
      </c>
      <c r="M33" t="s">
        <v>126</v>
      </c>
    </row>
    <row r="34" spans="1:13" x14ac:dyDescent="0.25">
      <c r="A34" t="s">
        <v>65</v>
      </c>
      <c r="B34" s="4">
        <v>17301495</v>
      </c>
      <c r="C34" s="6">
        <v>45566</v>
      </c>
      <c r="D34" t="s">
        <v>54</v>
      </c>
      <c r="E34" t="s">
        <v>80</v>
      </c>
      <c r="F34" t="str">
        <f>CONCATENATE(E34,2)</f>
        <v>Z0000461192</v>
      </c>
      <c r="G34" t="s">
        <v>81</v>
      </c>
      <c r="H34" t="s">
        <v>82</v>
      </c>
      <c r="I34" t="str">
        <f t="shared" si="0"/>
        <v>RENE DIAZ</v>
      </c>
      <c r="J34" s="5">
        <v>-78.239999999999995</v>
      </c>
      <c r="K34" t="s">
        <v>52</v>
      </c>
      <c r="L34" t="s">
        <v>127</v>
      </c>
      <c r="M34" t="s">
        <v>126</v>
      </c>
    </row>
    <row r="35" spans="1:13" x14ac:dyDescent="0.25">
      <c r="A35" t="s">
        <v>65</v>
      </c>
      <c r="B35" s="4">
        <v>17301495</v>
      </c>
      <c r="C35" s="6">
        <v>45658</v>
      </c>
      <c r="D35" t="s">
        <v>54</v>
      </c>
      <c r="E35" t="s">
        <v>80</v>
      </c>
      <c r="F35" t="str">
        <f>CONCATENATE(E35,2)</f>
        <v>Z0000461192</v>
      </c>
      <c r="G35" t="s">
        <v>81</v>
      </c>
      <c r="H35" t="s">
        <v>82</v>
      </c>
      <c r="I35" t="str">
        <f t="shared" si="0"/>
        <v>RENE DIAZ</v>
      </c>
      <c r="J35" s="5">
        <v>78.239999999999995</v>
      </c>
      <c r="K35" t="s">
        <v>52</v>
      </c>
      <c r="L35" t="s">
        <v>127</v>
      </c>
      <c r="M35" t="s">
        <v>126</v>
      </c>
    </row>
    <row r="36" spans="1:13" x14ac:dyDescent="0.25">
      <c r="A36" t="s">
        <v>100</v>
      </c>
      <c r="B36" s="4">
        <v>17094718</v>
      </c>
      <c r="C36" s="6">
        <v>45597</v>
      </c>
      <c r="D36" t="s">
        <v>54</v>
      </c>
      <c r="E36" t="s">
        <v>103</v>
      </c>
      <c r="F36" t="str">
        <f>CONCATENATE(E36,2)</f>
        <v>Z0000486722</v>
      </c>
      <c r="G36" t="s">
        <v>104</v>
      </c>
      <c r="H36" t="s">
        <v>105</v>
      </c>
      <c r="I36" t="str">
        <f t="shared" si="0"/>
        <v>VERA HARRIS</v>
      </c>
      <c r="J36" s="5">
        <v>-26.08</v>
      </c>
      <c r="K36" t="s">
        <v>52</v>
      </c>
      <c r="L36" t="s">
        <v>127</v>
      </c>
      <c r="M36" t="s">
        <v>125</v>
      </c>
    </row>
    <row r="37" spans="1:13" x14ac:dyDescent="0.25">
      <c r="A37" t="s">
        <v>100</v>
      </c>
      <c r="B37" s="4">
        <v>17094718</v>
      </c>
      <c r="C37" s="6">
        <v>45658</v>
      </c>
      <c r="D37" t="s">
        <v>54</v>
      </c>
      <c r="E37" t="s">
        <v>103</v>
      </c>
      <c r="F37" t="str">
        <f>CONCATENATE(E37,2)</f>
        <v>Z0000486722</v>
      </c>
      <c r="G37" t="s">
        <v>104</v>
      </c>
      <c r="H37" t="s">
        <v>105</v>
      </c>
      <c r="I37" t="str">
        <f t="shared" si="0"/>
        <v>VERA HARRIS</v>
      </c>
      <c r="J37" s="5">
        <v>26.08</v>
      </c>
      <c r="K37" t="s">
        <v>52</v>
      </c>
      <c r="L37" t="s">
        <v>127</v>
      </c>
      <c r="M37" t="s">
        <v>125</v>
      </c>
    </row>
    <row r="38" spans="1:13" x14ac:dyDescent="0.25">
      <c r="A38" t="s">
        <v>65</v>
      </c>
      <c r="B38" s="4">
        <v>17301495</v>
      </c>
      <c r="C38" s="6">
        <v>45597</v>
      </c>
      <c r="D38" t="s">
        <v>54</v>
      </c>
      <c r="E38" t="s">
        <v>68</v>
      </c>
      <c r="F38" t="str">
        <f>CONCATENATE(E38,2)</f>
        <v>Z0000480142</v>
      </c>
      <c r="G38" t="s">
        <v>69</v>
      </c>
      <c r="H38" t="s">
        <v>70</v>
      </c>
      <c r="I38" t="str">
        <f t="shared" si="0"/>
        <v>JOSE HERNANDEZ</v>
      </c>
      <c r="J38" s="5">
        <v>-78.239999999999995</v>
      </c>
      <c r="K38" t="s">
        <v>52</v>
      </c>
      <c r="L38" t="s">
        <v>127</v>
      </c>
      <c r="M38" t="s">
        <v>126</v>
      </c>
    </row>
    <row r="39" spans="1:13" x14ac:dyDescent="0.25">
      <c r="A39" t="s">
        <v>65</v>
      </c>
      <c r="B39" s="4">
        <v>17301495</v>
      </c>
      <c r="C39" s="6">
        <v>45658</v>
      </c>
      <c r="D39" t="s">
        <v>54</v>
      </c>
      <c r="E39" t="s">
        <v>68</v>
      </c>
      <c r="F39" t="str">
        <f>CONCATENATE(E39,2)</f>
        <v>Z0000480142</v>
      </c>
      <c r="G39" t="s">
        <v>69</v>
      </c>
      <c r="H39" t="s">
        <v>70</v>
      </c>
      <c r="I39" t="str">
        <f t="shared" si="0"/>
        <v>JOSE HERNANDEZ</v>
      </c>
      <c r="J39" s="5">
        <v>78.239999999999995</v>
      </c>
      <c r="K39" t="s">
        <v>52</v>
      </c>
      <c r="L39" t="s">
        <v>127</v>
      </c>
      <c r="M39" t="s">
        <v>126</v>
      </c>
    </row>
    <row r="40" spans="1:13" x14ac:dyDescent="0.25">
      <c r="A40" t="s">
        <v>65</v>
      </c>
      <c r="B40" s="4">
        <v>17301495</v>
      </c>
      <c r="C40" s="6">
        <v>45505</v>
      </c>
      <c r="D40" t="s">
        <v>46</v>
      </c>
      <c r="E40" t="s">
        <v>76</v>
      </c>
      <c r="F40" t="str">
        <f>CONCATENATE(E40,2)</f>
        <v>Z0000436442</v>
      </c>
      <c r="G40" t="s">
        <v>77</v>
      </c>
      <c r="H40" t="s">
        <v>78</v>
      </c>
      <c r="I40" t="str">
        <f t="shared" si="0"/>
        <v>OLEGARIO HERNANDEZ FLORES</v>
      </c>
      <c r="J40" s="5">
        <v>-78.239999999999995</v>
      </c>
      <c r="K40" t="s">
        <v>52</v>
      </c>
      <c r="L40" t="s">
        <v>127</v>
      </c>
      <c r="M40" t="s">
        <v>126</v>
      </c>
    </row>
    <row r="41" spans="1:13" x14ac:dyDescent="0.25">
      <c r="A41" t="s">
        <v>65</v>
      </c>
      <c r="B41" s="4">
        <v>17301495</v>
      </c>
      <c r="C41" s="6">
        <v>45658</v>
      </c>
      <c r="D41" t="s">
        <v>46</v>
      </c>
      <c r="E41" t="s">
        <v>76</v>
      </c>
      <c r="F41" t="str">
        <f>CONCATENATE(E41,2)</f>
        <v>Z0000436442</v>
      </c>
      <c r="G41" t="s">
        <v>77</v>
      </c>
      <c r="H41" t="s">
        <v>78</v>
      </c>
      <c r="I41" t="str">
        <f t="shared" si="0"/>
        <v>OLEGARIO HERNANDEZ FLORES</v>
      </c>
      <c r="J41" s="5">
        <v>78.239999999999995</v>
      </c>
      <c r="K41" t="s">
        <v>52</v>
      </c>
      <c r="L41" t="s">
        <v>127</v>
      </c>
      <c r="M41" t="s">
        <v>126</v>
      </c>
    </row>
    <row r="42" spans="1:13" x14ac:dyDescent="0.25">
      <c r="A42" t="s">
        <v>59</v>
      </c>
      <c r="B42" s="4">
        <v>19586992</v>
      </c>
      <c r="C42" s="6">
        <v>45717</v>
      </c>
      <c r="D42" t="s">
        <v>54</v>
      </c>
      <c r="E42" t="s">
        <v>62</v>
      </c>
      <c r="F42" t="str">
        <f>CONCATENATE(E42,2)</f>
        <v>Z0000699042</v>
      </c>
      <c r="G42" t="s">
        <v>63</v>
      </c>
      <c r="H42" t="s">
        <v>64</v>
      </c>
      <c r="I42" t="str">
        <f t="shared" si="0"/>
        <v>CLIFTON MCKENNIE</v>
      </c>
      <c r="J42" s="5">
        <v>260.83</v>
      </c>
      <c r="K42" t="s">
        <v>52</v>
      </c>
      <c r="L42" t="s">
        <v>127</v>
      </c>
      <c r="M42" t="s">
        <v>130</v>
      </c>
    </row>
    <row r="43" spans="1:13" x14ac:dyDescent="0.25">
      <c r="A43" t="s">
        <v>119</v>
      </c>
      <c r="B43" s="4">
        <v>19396223</v>
      </c>
      <c r="C43" s="6">
        <v>45566</v>
      </c>
      <c r="D43" t="s">
        <v>46</v>
      </c>
      <c r="E43" t="s">
        <v>122</v>
      </c>
      <c r="F43" t="str">
        <f>CONCATENATE(E43,2)</f>
        <v>Z0000481482</v>
      </c>
      <c r="G43" t="s">
        <v>123</v>
      </c>
      <c r="H43" t="s">
        <v>124</v>
      </c>
      <c r="I43" t="str">
        <f t="shared" si="0"/>
        <v>DAXABEN PATEL</v>
      </c>
      <c r="J43" s="5">
        <v>-78.239999999999995</v>
      </c>
      <c r="K43" t="s">
        <v>52</v>
      </c>
      <c r="L43" t="s">
        <v>127</v>
      </c>
      <c r="M43" t="s">
        <v>126</v>
      </c>
    </row>
    <row r="44" spans="1:13" x14ac:dyDescent="0.25">
      <c r="A44" t="s">
        <v>119</v>
      </c>
      <c r="B44" s="4">
        <v>19396223</v>
      </c>
      <c r="C44" s="6">
        <v>45658</v>
      </c>
      <c r="D44" t="s">
        <v>46</v>
      </c>
      <c r="E44" t="s">
        <v>122</v>
      </c>
      <c r="F44" t="str">
        <f>CONCATENATE(E44,2)</f>
        <v>Z0000481482</v>
      </c>
      <c r="G44" t="s">
        <v>123</v>
      </c>
      <c r="H44" t="s">
        <v>124</v>
      </c>
      <c r="I44" t="str">
        <f t="shared" si="0"/>
        <v>DAXABEN PATEL</v>
      </c>
      <c r="J44" s="5">
        <v>78.239999999999995</v>
      </c>
      <c r="K44" t="s">
        <v>52</v>
      </c>
      <c r="L44" t="s">
        <v>127</v>
      </c>
      <c r="M44" t="s">
        <v>126</v>
      </c>
    </row>
    <row r="45" spans="1:13" x14ac:dyDescent="0.25">
      <c r="A45" t="s">
        <v>112</v>
      </c>
      <c r="B45" s="4">
        <v>20212926</v>
      </c>
      <c r="C45" s="6">
        <v>45597</v>
      </c>
      <c r="D45" t="s">
        <v>95</v>
      </c>
      <c r="E45" t="s">
        <v>115</v>
      </c>
      <c r="F45" t="str">
        <f>CONCATENATE(E45,2)</f>
        <v>Z0000499722</v>
      </c>
      <c r="G45" t="s">
        <v>116</v>
      </c>
      <c r="H45" t="s">
        <v>117</v>
      </c>
      <c r="I45" t="str">
        <f t="shared" si="0"/>
        <v>FRANCISCO PEREZ GARCIA</v>
      </c>
      <c r="J45" s="5">
        <v>-52.16</v>
      </c>
      <c r="K45" t="s">
        <v>52</v>
      </c>
      <c r="L45" t="s">
        <v>127</v>
      </c>
      <c r="M45" t="s">
        <v>128</v>
      </c>
    </row>
    <row r="46" spans="1:13" x14ac:dyDescent="0.25">
      <c r="A46" t="s">
        <v>112</v>
      </c>
      <c r="B46" s="4">
        <v>20212926</v>
      </c>
      <c r="C46" s="6">
        <v>45658</v>
      </c>
      <c r="D46" t="s">
        <v>95</v>
      </c>
      <c r="E46" t="s">
        <v>115</v>
      </c>
      <c r="F46" t="str">
        <f>CONCATENATE(E46,2)</f>
        <v>Z0000499722</v>
      </c>
      <c r="G46" t="s">
        <v>116</v>
      </c>
      <c r="H46" t="s">
        <v>117</v>
      </c>
      <c r="I46" t="str">
        <f t="shared" si="0"/>
        <v>FRANCISCO PEREZ GARCIA</v>
      </c>
      <c r="J46" s="5">
        <v>52.16</v>
      </c>
      <c r="K46" t="s">
        <v>52</v>
      </c>
      <c r="L46" t="s">
        <v>127</v>
      </c>
      <c r="M46" t="s">
        <v>128</v>
      </c>
    </row>
    <row r="47" spans="1:13" x14ac:dyDescent="0.25">
      <c r="A47" t="s">
        <v>43</v>
      </c>
      <c r="B47" s="4">
        <v>16912722</v>
      </c>
      <c r="C47" s="6">
        <v>45597</v>
      </c>
      <c r="D47" t="s">
        <v>54</v>
      </c>
      <c r="E47" t="s">
        <v>56</v>
      </c>
      <c r="F47" t="str">
        <f>CONCATENATE(E47,2)</f>
        <v>Z0000515102</v>
      </c>
      <c r="G47" t="s">
        <v>57</v>
      </c>
      <c r="H47" t="s">
        <v>58</v>
      </c>
      <c r="I47" t="str">
        <f t="shared" si="0"/>
        <v>JAMES PRICE</v>
      </c>
      <c r="J47" s="5">
        <v>-78.239999999999995</v>
      </c>
      <c r="K47" t="s">
        <v>52</v>
      </c>
      <c r="L47" t="s">
        <v>127</v>
      </c>
      <c r="M47" t="s">
        <v>126</v>
      </c>
    </row>
    <row r="48" spans="1:13" x14ac:dyDescent="0.25">
      <c r="A48" t="s">
        <v>43</v>
      </c>
      <c r="B48" s="4">
        <v>16912722</v>
      </c>
      <c r="C48" s="6">
        <v>45658</v>
      </c>
      <c r="D48" t="s">
        <v>54</v>
      </c>
      <c r="E48" t="s">
        <v>56</v>
      </c>
      <c r="F48" t="str">
        <f>CONCATENATE(E48,2)</f>
        <v>Z0000515102</v>
      </c>
      <c r="G48" t="s">
        <v>57</v>
      </c>
      <c r="H48" t="s">
        <v>58</v>
      </c>
      <c r="I48" t="str">
        <f t="shared" si="0"/>
        <v>JAMES PRICE</v>
      </c>
      <c r="J48" s="5">
        <v>78.239999999999995</v>
      </c>
      <c r="K48" t="s">
        <v>52</v>
      </c>
      <c r="L48" t="s">
        <v>127</v>
      </c>
      <c r="M48" t="s">
        <v>126</v>
      </c>
    </row>
    <row r="49" spans="1:13" x14ac:dyDescent="0.25">
      <c r="A49" t="s">
        <v>43</v>
      </c>
      <c r="B49" s="4">
        <v>16912722</v>
      </c>
      <c r="C49" s="6">
        <v>45627</v>
      </c>
      <c r="D49" t="s">
        <v>46</v>
      </c>
      <c r="E49" t="s">
        <v>48</v>
      </c>
      <c r="F49" t="str">
        <f>CONCATENATE(E49,2)</f>
        <v>Z0000535432</v>
      </c>
      <c r="G49" t="s">
        <v>49</v>
      </c>
      <c r="H49" t="s">
        <v>132</v>
      </c>
      <c r="I49" t="str">
        <f t="shared" si="0"/>
        <v>DOUGLAS SCHMIESKORS</v>
      </c>
      <c r="J49" s="5">
        <v>-78.239999999999995</v>
      </c>
      <c r="K49" t="s">
        <v>52</v>
      </c>
      <c r="L49" t="s">
        <v>127</v>
      </c>
      <c r="M49" t="s">
        <v>126</v>
      </c>
    </row>
    <row r="50" spans="1:13" x14ac:dyDescent="0.25">
      <c r="A50" t="s">
        <v>43</v>
      </c>
      <c r="B50" s="4">
        <v>16912722</v>
      </c>
      <c r="C50" s="6">
        <v>45658</v>
      </c>
      <c r="D50" t="s">
        <v>46</v>
      </c>
      <c r="E50" t="s">
        <v>48</v>
      </c>
      <c r="F50" t="str">
        <f>CONCATENATE(E50,2)</f>
        <v>Z0000535432</v>
      </c>
      <c r="G50" t="s">
        <v>49</v>
      </c>
      <c r="H50" t="s">
        <v>132</v>
      </c>
      <c r="I50" t="str">
        <f t="shared" si="0"/>
        <v>DOUGLAS SCHMIESKORS</v>
      </c>
      <c r="J50" s="5">
        <v>78.239999999999995</v>
      </c>
      <c r="K50" t="s">
        <v>52</v>
      </c>
      <c r="L50" t="s">
        <v>127</v>
      </c>
      <c r="M50" t="s">
        <v>126</v>
      </c>
    </row>
    <row r="51" spans="1:13" x14ac:dyDescent="0.25">
      <c r="A51" t="s">
        <v>93</v>
      </c>
      <c r="B51" s="4">
        <v>9213293</v>
      </c>
      <c r="C51" s="6">
        <v>45474</v>
      </c>
      <c r="D51" t="s">
        <v>95</v>
      </c>
      <c r="E51" t="s">
        <v>97</v>
      </c>
      <c r="F51" t="str">
        <f>CONCATENATE(E51,2)</f>
        <v>Z0000417102</v>
      </c>
      <c r="G51" t="s">
        <v>98</v>
      </c>
      <c r="H51" t="s">
        <v>99</v>
      </c>
      <c r="I51" t="str">
        <f t="shared" si="0"/>
        <v>ANGEL TORRES</v>
      </c>
      <c r="J51" s="5">
        <v>-78.239999999999995</v>
      </c>
      <c r="K51" t="s">
        <v>52</v>
      </c>
      <c r="L51" t="s">
        <v>127</v>
      </c>
      <c r="M51" t="s">
        <v>126</v>
      </c>
    </row>
    <row r="52" spans="1:13" x14ac:dyDescent="0.25">
      <c r="A52" t="s">
        <v>93</v>
      </c>
      <c r="B52" s="4">
        <v>9213293</v>
      </c>
      <c r="C52" s="6">
        <v>45658</v>
      </c>
      <c r="D52" t="s">
        <v>95</v>
      </c>
      <c r="E52" t="s">
        <v>97</v>
      </c>
      <c r="F52" t="str">
        <f>CONCATENATE(E52,2)</f>
        <v>Z0000417102</v>
      </c>
      <c r="G52" t="s">
        <v>98</v>
      </c>
      <c r="H52" t="s">
        <v>99</v>
      </c>
      <c r="I52" t="str">
        <f t="shared" si="0"/>
        <v>ANGEL TORRES</v>
      </c>
      <c r="J52" s="5">
        <v>78.239999999999995</v>
      </c>
      <c r="K52" t="s">
        <v>52</v>
      </c>
      <c r="L52" t="s">
        <v>127</v>
      </c>
      <c r="M52" t="s">
        <v>126</v>
      </c>
    </row>
    <row r="53" spans="1:13" x14ac:dyDescent="0.25">
      <c r="A53" t="s">
        <v>65</v>
      </c>
      <c r="B53" s="4">
        <v>17301495</v>
      </c>
      <c r="C53" s="6">
        <v>45717</v>
      </c>
      <c r="D53" t="s">
        <v>54</v>
      </c>
      <c r="E53" t="s">
        <v>84</v>
      </c>
      <c r="F53" t="str">
        <f>CONCATENATE(E53,2)</f>
        <v>Z0000698762</v>
      </c>
      <c r="G53" t="s">
        <v>85</v>
      </c>
      <c r="H53" t="s">
        <v>86</v>
      </c>
      <c r="I53" t="str">
        <f t="shared" si="0"/>
        <v>STANLEY WARMUZ</v>
      </c>
      <c r="J53" s="5">
        <v>260.83</v>
      </c>
      <c r="K53" t="s">
        <v>52</v>
      </c>
      <c r="L53" t="s">
        <v>127</v>
      </c>
      <c r="M53" t="s">
        <v>130</v>
      </c>
    </row>
  </sheetData>
  <sortState xmlns:xlrd2="http://schemas.microsoft.com/office/spreadsheetml/2017/richdata2" ref="A2:S53">
    <sortCondition ref="L2:L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2025-03-21T13:02:30Z</dcterms:created>
  <dcterms:modified xsi:type="dcterms:W3CDTF">2025-03-21T19:17:07Z</dcterms:modified>
</cp:coreProperties>
</file>