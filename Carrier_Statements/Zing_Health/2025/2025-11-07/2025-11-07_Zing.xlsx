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11-07-25\"/>
    </mc:Choice>
  </mc:AlternateContent>
  <xr:revisionPtr revIDLastSave="0" documentId="13_ncr:1_{BC2E26CC-67DB-435D-A5A5-39741D59507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E23" i="3" l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H14" i="3"/>
  <c r="H15" i="3"/>
  <c r="H16" i="3"/>
  <c r="H17" i="3"/>
  <c r="H22" i="3"/>
  <c r="H18" i="3"/>
  <c r="H19" i="3"/>
  <c r="H20" i="3"/>
  <c r="H2" i="3"/>
  <c r="H3" i="3"/>
  <c r="H4" i="3"/>
  <c r="H5" i="3"/>
  <c r="H6" i="3"/>
  <c r="H7" i="3"/>
  <c r="H8" i="3"/>
  <c r="H9" i="3"/>
  <c r="H10" i="3"/>
  <c r="H11" i="3"/>
  <c r="H12" i="3"/>
  <c r="H23" i="3"/>
  <c r="H21" i="3"/>
  <c r="H13" i="3"/>
</calcChain>
</file>

<file path=xl/sharedStrings.xml><?xml version="1.0" encoding="utf-8"?>
<sst xmlns="http://schemas.openxmlformats.org/spreadsheetml/2006/main" count="535" uniqueCount="115">
  <si>
    <t/>
  </si>
  <si>
    <t>Description</t>
  </si>
  <si>
    <t>Member Count</t>
  </si>
  <si>
    <t>Credits</t>
  </si>
  <si>
    <t>Debits</t>
  </si>
  <si>
    <t>Total</t>
  </si>
  <si>
    <t>Initial Enrollments</t>
  </si>
  <si>
    <t>$1,078.17</t>
  </si>
  <si>
    <t>$0.00</t>
  </si>
  <si>
    <t>Renewal Enrollments</t>
  </si>
  <si>
    <t>$275.20</t>
  </si>
  <si>
    <t>Rapid Disenrollments</t>
  </si>
  <si>
    <t>Disenrollments</t>
  </si>
  <si>
    <t>$34.40</t>
  </si>
  <si>
    <t>Bonus</t>
  </si>
  <si>
    <t>Activity</t>
  </si>
  <si>
    <t>Miscellaneous</t>
  </si>
  <si>
    <t>Balance</t>
  </si>
  <si>
    <t>TOTAL</t>
  </si>
  <si>
    <t>$1,387.77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</si>
  <si>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</si>
  <si>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</si>
  <si>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</si>
  <si>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</si>
  <si>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</si>
  <si>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</si>
  <si>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</si>
  <si>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</si>
  <si>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</si>
  <si>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</si>
  <si>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</si>
  <si>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</si>
  <si>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</si>
  <si>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</si>
  <si>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</si>
  <si>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</si>
  <si>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</si>
  <si>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</si>
  <si>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</si>
  <si>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</si>
  <si>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</si>
  <si>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</si>
  <si>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</si>
  <si>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</si>
  <si>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</si>
  <si>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</si>
  <si>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$26.08</t>
  </si>
  <si>
    <t>Agent</t>
  </si>
  <si>
    <t>Esther Herrera-Larsen</t>
  </si>
  <si>
    <t>17301495</t>
  </si>
  <si>
    <t>Zing Essential Wellness Diabetes and Heart IL (HMO C-SNP)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</si>
  <si>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</si>
  <si>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</si>
  <si>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</si>
  <si>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</si>
  <si>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</si>
  <si>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</si>
  <si>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</si>
  <si>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</si>
  <si>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</si>
  <si>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</si>
  <si>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</si>
  <si>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</si>
  <si>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</si>
  <si>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</si>
  <si>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</si>
  <si>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</si>
  <si>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3MC0AF7GD32</t>
  </si>
  <si>
    <t>Z000087276</t>
  </si>
  <si>
    <t>Victor</t>
  </si>
  <si>
    <t>Lopez</t>
  </si>
  <si>
    <t>$52.17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</si>
  <si>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</si>
  <si>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</si>
  <si>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</si>
  <si>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</si>
  <si>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</si>
  <si>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</si>
  <si>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</si>
  <si>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</si>
  <si>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</si>
  <si>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</si>
  <si>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</si>
  <si>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</si>
  <si>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</si>
  <si>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Gregory Teipel</t>
  </si>
  <si>
    <t>8307933</t>
  </si>
  <si>
    <t>8W82U48NP28</t>
  </si>
  <si>
    <t>Z000050459</t>
  </si>
  <si>
    <t>ERLENE</t>
  </si>
  <si>
    <t>CARTER</t>
  </si>
  <si>
    <t>$8.32</t>
  </si>
  <si>
    <t>Admin</t>
  </si>
  <si>
    <t>Saadia Abdul</t>
  </si>
  <si>
    <t>19396223</t>
  </si>
  <si>
    <t>3J34V65XN82</t>
  </si>
  <si>
    <t>Z000048148</t>
  </si>
  <si>
    <t>DAXABEN</t>
  </si>
  <si>
    <t>PATEL</t>
  </si>
  <si>
    <t>Patsamon Thanadabouth</t>
  </si>
  <si>
    <t>8405446</t>
  </si>
  <si>
    <t>8Y09T73GM47</t>
  </si>
  <si>
    <t>Z000086568</t>
  </si>
  <si>
    <t>Lay</t>
  </si>
  <si>
    <t>Prathoummachith</t>
  </si>
  <si>
    <t>No</t>
  </si>
  <si>
    <t>$200.00</t>
  </si>
  <si>
    <t>$626.00</t>
  </si>
  <si>
    <t>Zing 2025 OVR</t>
  </si>
  <si>
    <t>Zing MAPD 2025*</t>
  </si>
  <si>
    <t>Zing MAPD 2025</t>
  </si>
  <si>
    <t>[%/$=313][prorate=1/12]</t>
  </si>
  <si>
    <t>[%/$=313][prorate=2/12]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</si>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</sst>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D31" sqref="D31"/>
    </sheetView>
  </sheetViews>
  <sheetFormatPr defaultRowHeight="15" x14ac:dyDescent="0.25"/>
  <cols>
    <col min="1" max="1" width="20.28515625" bestFit="1" customWidth="1"/>
    <col min="2" max="2" width="14.42578125" bestFit="1" customWidth="1"/>
    <col min="3" max="3" width="9.140625" bestFit="1" customWidth="1"/>
    <col min="4" max="4" width="6.7109375" bestFit="1" customWidth="1"/>
    <col min="5" max="5" width="9.14062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2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8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12</v>
      </c>
      <c r="B5">
        <v>1</v>
      </c>
      <c r="C5" t="s">
        <v>13</v>
      </c>
      <c r="D5" t="s">
        <v>8</v>
      </c>
      <c r="E5" t="s">
        <v>13</v>
      </c>
    </row>
    <row r="6" spans="1:5" x14ac:dyDescent="0.25">
      <c r="A6" t="s">
        <v>14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15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16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17</v>
      </c>
      <c r="E9" t="s">
        <v>8</v>
      </c>
    </row>
    <row r="10" spans="1:5" x14ac:dyDescent="0.25">
      <c r="A10" t="s">
        <v>18</v>
      </c>
      <c r="B10">
        <v>11</v>
      </c>
      <c r="C10" t="s">
        <v>19</v>
      </c>
      <c r="D10" t="s">
        <v>8</v>
      </c>
      <c r="E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tabSelected="1" workbookViewId="0">
      <selection sqref="A1:XFD1048576"/>
    </sheetView>
  </sheetViews>
  <sheetFormatPr defaultRowHeight="15" x14ac:dyDescent="0.25"/>
  <cols>
    <col min="1" max="1" width="23.28515625" bestFit="1" customWidth="1"/>
    <col min="2" max="2" width="9" bestFit="1" customWidth="1"/>
    <col min="3" max="3" width="13.5703125" bestFit="1" customWidth="1"/>
    <col min="4" max="4" width="11.140625" bestFit="1" customWidth="1"/>
    <col min="5" max="5" width="10.7109375" bestFit="1" customWidth="1"/>
    <col min="6" max="6" width="16.5703125" bestFit="1" customWidth="1"/>
    <col min="7" max="7" width="54.28515625" bestFit="1" customWidth="1"/>
    <col min="8" max="8" width="14" bestFit="1" customWidth="1"/>
    <col min="9" max="9" width="11" bestFit="1" customWidth="1"/>
    <col min="10" max="10" width="18.85546875" bestFit="1" customWidth="1"/>
    <col min="11" max="11" width="19" bestFit="1" customWidth="1"/>
    <col min="12" max="12" width="12.85546875" bestFit="1" customWidth="1"/>
    <col min="13" max="13" width="9.5703125" bestFit="1" customWidth="1"/>
    <col min="14" max="14" width="10" bestFit="1" customWidth="1"/>
    <col min="15" max="15" width="8" bestFit="1" customWidth="1"/>
    <col min="16" max="16" width="8.85546875" bestFit="1" customWidth="1"/>
    <col min="17" max="17" width="6.85546875" bestFit="1" customWidth="1"/>
  </cols>
  <sheetData>
    <row r="1" spans="1:1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s="3" t="s">
        <v>33</v>
      </c>
      <c r="O1" t="s">
        <v>34</v>
      </c>
      <c r="P1" t="s">
        <v>35</v>
      </c>
      <c r="Q1" t="s">
        <v>36</v>
      </c>
    </row>
    <row r="2" spans="1:17" x14ac:dyDescent="0.25">
      <c r="A2" t="s">
        <v>37</v>
      </c>
      <c r="B2" t="s">
        <v>38</v>
      </c>
      <c r="C2" s="1">
        <v>45658</v>
      </c>
      <c r="D2" t="s">
        <v>0</v>
      </c>
      <c r="E2" t="s">
        <v>39</v>
      </c>
      <c r="F2" t="s">
        <v>0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2</v>
      </c>
      <c r="M2" t="s">
        <v>45</v>
      </c>
      <c r="N2" s="3" t="s">
        <v>0</v>
      </c>
      <c r="O2" t="s">
        <v>0</v>
      </c>
      <c r="P2" t="s">
        <v>46</v>
      </c>
      <c r="Q2" t="s">
        <v>47</v>
      </c>
    </row>
    <row r="3" spans="1:17" x14ac:dyDescent="0.25">
      <c r="A3" t="s">
        <v>48</v>
      </c>
      <c r="B3" t="s">
        <v>49</v>
      </c>
      <c r="C3" s="1">
        <v>45658</v>
      </c>
      <c r="D3" t="s">
        <v>0</v>
      </c>
      <c r="E3" t="s">
        <v>39</v>
      </c>
      <c r="F3" t="s">
        <v>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>
        <v>2</v>
      </c>
      <c r="M3" t="s">
        <v>45</v>
      </c>
      <c r="N3" s="3" t="s">
        <v>0</v>
      </c>
      <c r="O3" t="s">
        <v>0</v>
      </c>
      <c r="P3" t="s">
        <v>46</v>
      </c>
      <c r="Q3" t="s">
        <v>47</v>
      </c>
    </row>
    <row r="4" spans="1:17" x14ac:dyDescent="0.25">
      <c r="A4" t="s">
        <v>48</v>
      </c>
      <c r="B4" t="s">
        <v>49</v>
      </c>
      <c r="C4" s="1">
        <v>45658</v>
      </c>
      <c r="D4" t="s">
        <v>0</v>
      </c>
      <c r="E4" t="s">
        <v>39</v>
      </c>
      <c r="F4" t="s">
        <v>0</v>
      </c>
      <c r="G4" t="s">
        <v>50</v>
      </c>
      <c r="H4" t="s">
        <v>55</v>
      </c>
      <c r="I4" t="s">
        <v>56</v>
      </c>
      <c r="J4" t="s">
        <v>57</v>
      </c>
      <c r="K4" t="s">
        <v>58</v>
      </c>
      <c r="L4">
        <v>2</v>
      </c>
      <c r="M4" t="s">
        <v>45</v>
      </c>
      <c r="N4" s="3" t="s">
        <v>0</v>
      </c>
      <c r="O4" t="s">
        <v>0</v>
      </c>
      <c r="P4" t="s">
        <v>46</v>
      </c>
      <c r="Q4" t="s">
        <v>47</v>
      </c>
    </row>
    <row r="5" spans="1:17" x14ac:dyDescent="0.25">
      <c r="A5" t="s">
        <v>48</v>
      </c>
      <c r="B5" t="s">
        <v>49</v>
      </c>
      <c r="C5" s="1">
        <v>45658</v>
      </c>
      <c r="D5" t="s">
        <v>0</v>
      </c>
      <c r="E5" t="s">
        <v>39</v>
      </c>
      <c r="F5" t="s">
        <v>0</v>
      </c>
      <c r="G5" t="s">
        <v>40</v>
      </c>
      <c r="H5" t="s">
        <v>59</v>
      </c>
      <c r="I5" t="s">
        <v>60</v>
      </c>
      <c r="J5" t="s">
        <v>61</v>
      </c>
      <c r="K5" t="s">
        <v>62</v>
      </c>
      <c r="L5">
        <v>2</v>
      </c>
      <c r="M5" t="s">
        <v>45</v>
      </c>
      <c r="N5" s="3" t="s">
        <v>0</v>
      </c>
      <c r="O5" t="s">
        <v>0</v>
      </c>
      <c r="P5" t="s">
        <v>46</v>
      </c>
      <c r="Q5" t="s">
        <v>47</v>
      </c>
    </row>
    <row r="6" spans="1:17" x14ac:dyDescent="0.25">
      <c r="A6" t="s">
        <v>48</v>
      </c>
      <c r="B6" t="s">
        <v>49</v>
      </c>
      <c r="C6" s="1">
        <v>45658</v>
      </c>
      <c r="D6" t="s">
        <v>0</v>
      </c>
      <c r="E6" t="s">
        <v>39</v>
      </c>
      <c r="F6" t="s">
        <v>0</v>
      </c>
      <c r="G6" t="s">
        <v>50</v>
      </c>
      <c r="H6" t="s">
        <v>63</v>
      </c>
      <c r="I6" t="s">
        <v>64</v>
      </c>
      <c r="J6" t="s">
        <v>65</v>
      </c>
      <c r="K6" t="s">
        <v>66</v>
      </c>
      <c r="L6">
        <v>2</v>
      </c>
      <c r="M6" t="s">
        <v>45</v>
      </c>
      <c r="N6" s="3" t="s">
        <v>0</v>
      </c>
      <c r="O6" t="s">
        <v>0</v>
      </c>
      <c r="P6" t="s">
        <v>46</v>
      </c>
      <c r="Q6" t="s">
        <v>47</v>
      </c>
    </row>
    <row r="7" spans="1:17" x14ac:dyDescent="0.25">
      <c r="A7" t="s">
        <v>48</v>
      </c>
      <c r="B7" t="s">
        <v>49</v>
      </c>
      <c r="C7" s="2">
        <v>45962</v>
      </c>
      <c r="D7" t="s">
        <v>0</v>
      </c>
      <c r="E7" t="s">
        <v>39</v>
      </c>
      <c r="F7" t="s">
        <v>0</v>
      </c>
      <c r="G7" t="s">
        <v>40</v>
      </c>
      <c r="H7" t="s">
        <v>67</v>
      </c>
      <c r="I7" t="s">
        <v>68</v>
      </c>
      <c r="J7" t="s">
        <v>69</v>
      </c>
      <c r="K7" t="s">
        <v>70</v>
      </c>
      <c r="L7">
        <v>1</v>
      </c>
      <c r="M7" t="s">
        <v>45</v>
      </c>
      <c r="N7" s="3" t="s">
        <v>0</v>
      </c>
      <c r="O7" t="s">
        <v>0</v>
      </c>
      <c r="P7" t="s">
        <v>71</v>
      </c>
      <c r="Q7" t="s">
        <v>47</v>
      </c>
    </row>
    <row r="8" spans="1:17" x14ac:dyDescent="0.25">
      <c r="A8" t="s">
        <v>72</v>
      </c>
      <c r="B8" t="s">
        <v>73</v>
      </c>
      <c r="C8" s="1">
        <v>45658</v>
      </c>
      <c r="D8" t="s">
        <v>0</v>
      </c>
      <c r="E8" t="s">
        <v>39</v>
      </c>
      <c r="F8" t="s">
        <v>0</v>
      </c>
      <c r="G8" t="s">
        <v>40</v>
      </c>
      <c r="H8" t="s">
        <v>74</v>
      </c>
      <c r="I8" t="s">
        <v>75</v>
      </c>
      <c r="J8" t="s">
        <v>76</v>
      </c>
      <c r="K8" t="s">
        <v>77</v>
      </c>
      <c r="L8">
        <v>2</v>
      </c>
      <c r="M8" t="s">
        <v>45</v>
      </c>
      <c r="N8" s="3" t="s">
        <v>0</v>
      </c>
      <c r="O8" t="s">
        <v>0</v>
      </c>
      <c r="P8" t="s">
        <v>46</v>
      </c>
      <c r="Q8" t="s">
        <v>47</v>
      </c>
    </row>
    <row r="9" spans="1:17" x14ac:dyDescent="0.25">
      <c r="A9" t="s">
        <v>78</v>
      </c>
      <c r="B9" t="s">
        <v>79</v>
      </c>
      <c r="C9" s="1">
        <v>45658</v>
      </c>
      <c r="D9" t="s">
        <v>0</v>
      </c>
      <c r="E9" t="s">
        <v>39</v>
      </c>
      <c r="F9" t="s">
        <v>0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>
        <v>2</v>
      </c>
      <c r="M9" t="s">
        <v>45</v>
      </c>
      <c r="N9" s="3" t="s">
        <v>0</v>
      </c>
      <c r="O9" t="s">
        <v>0</v>
      </c>
      <c r="P9" t="s">
        <v>46</v>
      </c>
      <c r="Q9" t="s">
        <v>47</v>
      </c>
    </row>
    <row r="10" spans="1:17" x14ac:dyDescent="0.25">
      <c r="A10" t="s">
        <v>85</v>
      </c>
      <c r="B10" t="s">
        <v>86</v>
      </c>
      <c r="C10" s="1">
        <v>45658</v>
      </c>
      <c r="D10" t="s">
        <v>0</v>
      </c>
      <c r="E10" t="s">
        <v>39</v>
      </c>
      <c r="F10" t="s">
        <v>0</v>
      </c>
      <c r="G10" t="s">
        <v>40</v>
      </c>
      <c r="H10" t="s">
        <v>87</v>
      </c>
      <c r="I10" t="s">
        <v>88</v>
      </c>
      <c r="J10" t="s">
        <v>89</v>
      </c>
      <c r="K10" t="s">
        <v>90</v>
      </c>
      <c r="L10">
        <v>2</v>
      </c>
      <c r="M10" t="s">
        <v>45</v>
      </c>
      <c r="N10" s="3" t="s">
        <v>0</v>
      </c>
      <c r="O10" t="s">
        <v>0</v>
      </c>
      <c r="P10" t="s">
        <v>46</v>
      </c>
      <c r="Q10" t="s">
        <v>47</v>
      </c>
    </row>
    <row r="11" spans="1:17" x14ac:dyDescent="0.25">
      <c r="A11" t="s">
        <v>78</v>
      </c>
      <c r="B11" t="s">
        <v>79</v>
      </c>
      <c r="C11" s="1">
        <v>45658</v>
      </c>
      <c r="D11" t="s">
        <v>0</v>
      </c>
      <c r="E11" t="s">
        <v>39</v>
      </c>
      <c r="F11" t="s">
        <v>0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>
        <v>2</v>
      </c>
      <c r="M11" t="s">
        <v>45</v>
      </c>
      <c r="N11" s="3" t="s">
        <v>0</v>
      </c>
      <c r="O11" t="s">
        <v>0</v>
      </c>
      <c r="P11" t="s">
        <v>91</v>
      </c>
      <c r="Q11" t="s">
        <v>92</v>
      </c>
    </row>
    <row r="12" spans="1:17" x14ac:dyDescent="0.25">
      <c r="A12" t="s">
        <v>93</v>
      </c>
      <c r="B12" t="s">
        <v>94</v>
      </c>
      <c r="C12" s="1">
        <v>45658</v>
      </c>
      <c r="D12" s="2">
        <v>46022</v>
      </c>
      <c r="E12" t="s">
        <v>39</v>
      </c>
      <c r="F12" t="s">
        <v>0</v>
      </c>
      <c r="G12" t="s">
        <v>40</v>
      </c>
      <c r="H12" t="s">
        <v>95</v>
      </c>
      <c r="I12" t="s">
        <v>96</v>
      </c>
      <c r="J12" t="s">
        <v>97</v>
      </c>
      <c r="K12" t="s">
        <v>98</v>
      </c>
      <c r="L12">
        <v>2</v>
      </c>
      <c r="M12" t="s">
        <v>45</v>
      </c>
      <c r="N12" s="3" t="s">
        <v>0</v>
      </c>
      <c r="O12" t="s">
        <v>0</v>
      </c>
      <c r="P12" t="s">
        <v>91</v>
      </c>
      <c r="Q12" t="s">
        <v>92</v>
      </c>
    </row>
    <row r="13" spans="1:17" x14ac:dyDescent="0.25">
      <c r="A13" t="s">
        <v>37</v>
      </c>
      <c r="B13" t="s">
        <v>38</v>
      </c>
      <c r="C13" s="1">
        <v>45658</v>
      </c>
      <c r="D13" t="s">
        <v>0</v>
      </c>
      <c r="E13" t="s">
        <v>39</v>
      </c>
      <c r="F13" t="s">
        <v>0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>
        <v>2</v>
      </c>
      <c r="M13" t="s">
        <v>45</v>
      </c>
      <c r="N13" s="3" t="s">
        <v>0</v>
      </c>
      <c r="O13" t="s">
        <v>0</v>
      </c>
      <c r="P13" t="s">
        <v>91</v>
      </c>
      <c r="Q13" t="s">
        <v>92</v>
      </c>
    </row>
    <row r="14" spans="1:17" x14ac:dyDescent="0.25">
      <c r="A14" t="s">
        <v>85</v>
      </c>
      <c r="B14" t="s">
        <v>86</v>
      </c>
      <c r="C14" s="1">
        <v>45658</v>
      </c>
      <c r="D14" t="s">
        <v>0</v>
      </c>
      <c r="E14" t="s">
        <v>39</v>
      </c>
      <c r="F14" t="s">
        <v>0</v>
      </c>
      <c r="G14" t="s">
        <v>40</v>
      </c>
      <c r="H14" t="s">
        <v>87</v>
      </c>
      <c r="I14" t="s">
        <v>88</v>
      </c>
      <c r="J14" t="s">
        <v>89</v>
      </c>
      <c r="K14" t="s">
        <v>90</v>
      </c>
      <c r="L14">
        <v>2</v>
      </c>
      <c r="M14" t="s">
        <v>45</v>
      </c>
      <c r="N14" s="3" t="s">
        <v>0</v>
      </c>
      <c r="O14" t="s">
        <v>0</v>
      </c>
      <c r="P14" t="s">
        <v>91</v>
      </c>
      <c r="Q14" t="s">
        <v>92</v>
      </c>
    </row>
    <row r="15" spans="1:17" x14ac:dyDescent="0.25">
      <c r="A15" t="s">
        <v>48</v>
      </c>
      <c r="B15" t="s">
        <v>49</v>
      </c>
      <c r="C15" s="1">
        <v>45658</v>
      </c>
      <c r="D15" t="s">
        <v>0</v>
      </c>
      <c r="E15" t="s">
        <v>39</v>
      </c>
      <c r="F15" t="s">
        <v>0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>
        <v>2</v>
      </c>
      <c r="M15" t="s">
        <v>45</v>
      </c>
      <c r="N15" s="3" t="s">
        <v>0</v>
      </c>
      <c r="O15" t="s">
        <v>0</v>
      </c>
      <c r="P15" t="s">
        <v>91</v>
      </c>
      <c r="Q15" t="s">
        <v>92</v>
      </c>
    </row>
    <row r="16" spans="1:17" x14ac:dyDescent="0.25">
      <c r="A16" t="s">
        <v>99</v>
      </c>
      <c r="B16" t="s">
        <v>100</v>
      </c>
      <c r="C16" s="2">
        <v>45962</v>
      </c>
      <c r="D16" t="s">
        <v>0</v>
      </c>
      <c r="E16" t="s">
        <v>39</v>
      </c>
      <c r="F16" t="s">
        <v>0</v>
      </c>
      <c r="G16" t="s">
        <v>50</v>
      </c>
      <c r="H16" t="s">
        <v>101</v>
      </c>
      <c r="I16" t="s">
        <v>102</v>
      </c>
      <c r="J16" t="s">
        <v>103</v>
      </c>
      <c r="K16" t="s">
        <v>104</v>
      </c>
      <c r="L16">
        <v>1</v>
      </c>
      <c r="M16" t="s">
        <v>105</v>
      </c>
      <c r="N16" s="3" t="s">
        <v>0</v>
      </c>
      <c r="O16" t="s">
        <v>0</v>
      </c>
      <c r="P16" t="s">
        <v>106</v>
      </c>
      <c r="Q16" t="s">
        <v>92</v>
      </c>
    </row>
    <row r="17" spans="1:17" x14ac:dyDescent="0.25">
      <c r="A17" t="s">
        <v>48</v>
      </c>
      <c r="B17" t="s">
        <v>49</v>
      </c>
      <c r="C17" s="1">
        <v>45658</v>
      </c>
      <c r="D17" t="s">
        <v>0</v>
      </c>
      <c r="E17" t="s">
        <v>39</v>
      </c>
      <c r="F17" t="s">
        <v>0</v>
      </c>
      <c r="G17" t="s">
        <v>50</v>
      </c>
      <c r="H17" t="s">
        <v>55</v>
      </c>
      <c r="I17" t="s">
        <v>56</v>
      </c>
      <c r="J17" t="s">
        <v>57</v>
      </c>
      <c r="K17" t="s">
        <v>58</v>
      </c>
      <c r="L17">
        <v>2</v>
      </c>
      <c r="M17" t="s">
        <v>45</v>
      </c>
      <c r="N17" s="3" t="s">
        <v>0</v>
      </c>
      <c r="O17" t="s">
        <v>0</v>
      </c>
      <c r="P17" t="s">
        <v>91</v>
      </c>
      <c r="Q17" t="s">
        <v>92</v>
      </c>
    </row>
    <row r="18" spans="1:17" x14ac:dyDescent="0.25">
      <c r="A18" t="s">
        <v>48</v>
      </c>
      <c r="B18" t="s">
        <v>49</v>
      </c>
      <c r="C18" s="1">
        <v>45658</v>
      </c>
      <c r="D18" t="s">
        <v>0</v>
      </c>
      <c r="E18" t="s">
        <v>39</v>
      </c>
      <c r="F18" t="s">
        <v>0</v>
      </c>
      <c r="G18" t="s">
        <v>40</v>
      </c>
      <c r="H18" t="s">
        <v>59</v>
      </c>
      <c r="I18" t="s">
        <v>60</v>
      </c>
      <c r="J18" t="s">
        <v>61</v>
      </c>
      <c r="K18" t="s">
        <v>62</v>
      </c>
      <c r="L18">
        <v>2</v>
      </c>
      <c r="M18" t="s">
        <v>45</v>
      </c>
      <c r="N18" s="3" t="s">
        <v>0</v>
      </c>
      <c r="O18" t="s">
        <v>0</v>
      </c>
      <c r="P18" t="s">
        <v>91</v>
      </c>
      <c r="Q18" t="s">
        <v>92</v>
      </c>
    </row>
    <row r="19" spans="1:17" x14ac:dyDescent="0.25">
      <c r="A19" t="s">
        <v>48</v>
      </c>
      <c r="B19" t="s">
        <v>49</v>
      </c>
      <c r="C19" s="1">
        <v>45658</v>
      </c>
      <c r="D19" t="s">
        <v>0</v>
      </c>
      <c r="E19" t="s">
        <v>39</v>
      </c>
      <c r="F19" t="s">
        <v>0</v>
      </c>
      <c r="G19" t="s">
        <v>50</v>
      </c>
      <c r="H19" t="s">
        <v>63</v>
      </c>
      <c r="I19" t="s">
        <v>64</v>
      </c>
      <c r="J19" t="s">
        <v>65</v>
      </c>
      <c r="K19" t="s">
        <v>66</v>
      </c>
      <c r="L19">
        <v>2</v>
      </c>
      <c r="M19" t="s">
        <v>45</v>
      </c>
      <c r="N19" s="3" t="s">
        <v>0</v>
      </c>
      <c r="O19" t="s">
        <v>0</v>
      </c>
      <c r="P19" t="s">
        <v>91</v>
      </c>
      <c r="Q19" t="s">
        <v>92</v>
      </c>
    </row>
    <row r="20" spans="1:17" x14ac:dyDescent="0.25">
      <c r="A20" t="s">
        <v>48</v>
      </c>
      <c r="B20" t="s">
        <v>49</v>
      </c>
      <c r="C20" s="2">
        <v>45962</v>
      </c>
      <c r="D20" t="s">
        <v>0</v>
      </c>
      <c r="E20" t="s">
        <v>39</v>
      </c>
      <c r="F20" t="s">
        <v>0</v>
      </c>
      <c r="G20" t="s">
        <v>40</v>
      </c>
      <c r="H20" t="s">
        <v>67</v>
      </c>
      <c r="I20" t="s">
        <v>68</v>
      </c>
      <c r="J20" t="s">
        <v>69</v>
      </c>
      <c r="K20" t="s">
        <v>70</v>
      </c>
      <c r="L20">
        <v>1</v>
      </c>
      <c r="M20" t="s">
        <v>45</v>
      </c>
      <c r="N20" s="3" t="s">
        <v>0</v>
      </c>
      <c r="O20" t="s">
        <v>0</v>
      </c>
      <c r="P20" t="s">
        <v>106</v>
      </c>
      <c r="Q20" t="s">
        <v>92</v>
      </c>
    </row>
    <row r="21" spans="1:17" x14ac:dyDescent="0.25">
      <c r="A21" t="s">
        <v>72</v>
      </c>
      <c r="B21" t="s">
        <v>73</v>
      </c>
      <c r="C21" s="1">
        <v>45658</v>
      </c>
      <c r="D21" t="s">
        <v>0</v>
      </c>
      <c r="E21" t="s">
        <v>39</v>
      </c>
      <c r="F21" t="s">
        <v>0</v>
      </c>
      <c r="G21" t="s">
        <v>40</v>
      </c>
      <c r="H21" t="s">
        <v>74</v>
      </c>
      <c r="I21" t="s">
        <v>75</v>
      </c>
      <c r="J21" t="s">
        <v>76</v>
      </c>
      <c r="K21" t="s">
        <v>77</v>
      </c>
      <c r="L21">
        <v>2</v>
      </c>
      <c r="M21" t="s">
        <v>45</v>
      </c>
      <c r="N21" s="3" t="s">
        <v>0</v>
      </c>
      <c r="O21" t="s">
        <v>0</v>
      </c>
      <c r="P21" t="s">
        <v>91</v>
      </c>
      <c r="Q21" t="s">
        <v>92</v>
      </c>
    </row>
    <row r="22" spans="1:17" x14ac:dyDescent="0.25">
      <c r="A22" t="s">
        <v>99</v>
      </c>
      <c r="B22" t="s">
        <v>100</v>
      </c>
      <c r="C22" s="2">
        <v>45962</v>
      </c>
      <c r="D22" t="s">
        <v>0</v>
      </c>
      <c r="E22" t="s">
        <v>39</v>
      </c>
      <c r="F22" t="s">
        <v>0</v>
      </c>
      <c r="G22" t="s">
        <v>50</v>
      </c>
      <c r="H22" t="s">
        <v>101</v>
      </c>
      <c r="I22" t="s">
        <v>102</v>
      </c>
      <c r="J22" t="s">
        <v>103</v>
      </c>
      <c r="K22" t="s">
        <v>104</v>
      </c>
      <c r="L22">
        <v>1</v>
      </c>
      <c r="M22" t="s">
        <v>105</v>
      </c>
      <c r="N22" s="3" t="s">
        <v>0</v>
      </c>
      <c r="O22" t="s">
        <v>0</v>
      </c>
      <c r="P22" t="s">
        <v>107</v>
      </c>
      <c r="Q22" t="s">
        <v>47</v>
      </c>
    </row>
    <row r="23" spans="1:17" x14ac:dyDescent="0.25">
      <c r="A23" t="s">
        <v>93</v>
      </c>
      <c r="B23" t="s">
        <v>94</v>
      </c>
      <c r="C23" s="1">
        <v>45658</v>
      </c>
      <c r="D23" s="2">
        <v>46022</v>
      </c>
      <c r="E23" t="s">
        <v>39</v>
      </c>
      <c r="F23" t="s">
        <v>0</v>
      </c>
      <c r="G23" t="s">
        <v>40</v>
      </c>
      <c r="H23" t="s">
        <v>95</v>
      </c>
      <c r="I23" t="s">
        <v>96</v>
      </c>
      <c r="J23" t="s">
        <v>97</v>
      </c>
      <c r="K23" t="s">
        <v>98</v>
      </c>
      <c r="L23">
        <v>2</v>
      </c>
      <c r="M23" t="s">
        <v>45</v>
      </c>
      <c r="N23" s="3" t="s">
        <v>0</v>
      </c>
      <c r="O23" t="s">
        <v>0</v>
      </c>
      <c r="P23" t="s">
        <v>46</v>
      </c>
      <c r="Q2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B9FA-6567-42A1-921B-A9C9DD77FEC5}">
  <dimension ref="A1:L23"/>
  <sheetViews>
    <sheetView workbookViewId="0">
      <selection activeCell="L2" sqref="L2:L23"/>
    </sheetView>
  </sheetViews>
  <sheetFormatPr defaultRowHeight="15" x14ac:dyDescent="0.25"/>
  <cols>
    <col min="1" max="1" width="23.28515625" bestFit="1" customWidth="1"/>
    <col min="2" max="2" width="9" bestFit="1" customWidth="1"/>
    <col min="3" max="3" width="13.5703125" bestFit="1" customWidth="1"/>
    <col min="4" max="4" width="11" bestFit="1" customWidth="1"/>
    <col min="5" max="5" width="15.28515625" customWidth="1"/>
    <col min="6" max="6" width="18.85546875" bestFit="1" customWidth="1"/>
    <col min="7" max="7" width="19" bestFit="1" customWidth="1"/>
    <col min="8" max="8" width="24.85546875" bestFit="1" customWidth="1"/>
    <col min="9" max="9" width="8.85546875" bestFit="1" customWidth="1"/>
    <col min="10" max="10" width="6.85546875" bestFit="1" customWidth="1"/>
    <col min="11" max="11" width="16.140625" bestFit="1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28</v>
      </c>
      <c r="F1" t="s">
        <v>29</v>
      </c>
      <c r="G1" t="s">
        <v>30</v>
      </c>
      <c r="I1" t="s">
        <v>35</v>
      </c>
      <c r="J1" t="s">
        <v>36</v>
      </c>
    </row>
    <row r="2" spans="1:12" x14ac:dyDescent="0.25">
      <c r="A2" t="s">
        <v>114</v>
      </c>
      <c r="B2" s="4">
        <v>20411454</v>
      </c>
      <c r="C2" s="1">
        <v>45658</v>
      </c>
      <c r="D2" t="s">
        <v>82</v>
      </c>
      <c r="E2" t="str">
        <f>CONCATENATE(D2,"OVR")</f>
        <v>Z000041710OVR</v>
      </c>
      <c r="F2" t="s">
        <v>83</v>
      </c>
      <c r="G2" t="s">
        <v>84</v>
      </c>
      <c r="H2" t="str">
        <f>CONCATENATE(F2, " ",G2)</f>
        <v>ANGEL TORRES</v>
      </c>
      <c r="I2" s="5">
        <v>8.32</v>
      </c>
      <c r="J2" t="s">
        <v>92</v>
      </c>
      <c r="K2" t="s">
        <v>108</v>
      </c>
    </row>
    <row r="3" spans="1:12" x14ac:dyDescent="0.25">
      <c r="A3" t="s">
        <v>114</v>
      </c>
      <c r="B3" s="4">
        <v>20411454</v>
      </c>
      <c r="C3" s="1">
        <v>45658</v>
      </c>
      <c r="D3" t="s">
        <v>96</v>
      </c>
      <c r="E3" t="str">
        <f t="shared" ref="E3:E12" si="0">CONCATENATE(D3,"OVR")</f>
        <v>Z000048148OVR</v>
      </c>
      <c r="F3" t="s">
        <v>97</v>
      </c>
      <c r="G3" t="s">
        <v>98</v>
      </c>
      <c r="H3" t="str">
        <f>CONCATENATE(F3, " ",G3)</f>
        <v>DAXABEN PATEL</v>
      </c>
      <c r="I3" s="5">
        <v>8.32</v>
      </c>
      <c r="J3" t="s">
        <v>92</v>
      </c>
      <c r="K3" t="s">
        <v>108</v>
      </c>
    </row>
    <row r="4" spans="1:12" x14ac:dyDescent="0.25">
      <c r="A4" t="s">
        <v>114</v>
      </c>
      <c r="B4" s="4">
        <v>20411454</v>
      </c>
      <c r="C4" s="1">
        <v>45658</v>
      </c>
      <c r="D4" t="s">
        <v>42</v>
      </c>
      <c r="E4" t="str">
        <f t="shared" si="0"/>
        <v>Z000053543OVR</v>
      </c>
      <c r="F4" t="s">
        <v>43</v>
      </c>
      <c r="G4" t="s">
        <v>44</v>
      </c>
      <c r="H4" t="str">
        <f>CONCATENATE(F4, " ",G4)</f>
        <v>DOUGLAS SCHMIESKORS III</v>
      </c>
      <c r="I4" s="5">
        <v>8.32</v>
      </c>
      <c r="J4" t="s">
        <v>92</v>
      </c>
      <c r="K4" t="s">
        <v>108</v>
      </c>
    </row>
    <row r="5" spans="1:12" x14ac:dyDescent="0.25">
      <c r="A5" t="s">
        <v>114</v>
      </c>
      <c r="B5" s="4">
        <v>20411454</v>
      </c>
      <c r="C5" s="1">
        <v>45658</v>
      </c>
      <c r="D5" t="s">
        <v>88</v>
      </c>
      <c r="E5" t="str">
        <f t="shared" si="0"/>
        <v>Z000050459OVR</v>
      </c>
      <c r="F5" t="s">
        <v>89</v>
      </c>
      <c r="G5" t="s">
        <v>90</v>
      </c>
      <c r="H5" t="str">
        <f>CONCATENATE(F5, " ",G5)</f>
        <v>ERLENE CARTER</v>
      </c>
      <c r="I5" s="5">
        <v>8.32</v>
      </c>
      <c r="J5" t="s">
        <v>92</v>
      </c>
      <c r="K5" t="s">
        <v>108</v>
      </c>
    </row>
    <row r="6" spans="1:12" x14ac:dyDescent="0.25">
      <c r="A6" t="s">
        <v>114</v>
      </c>
      <c r="B6" s="4">
        <v>20411454</v>
      </c>
      <c r="C6" s="1">
        <v>45658</v>
      </c>
      <c r="D6" t="s">
        <v>52</v>
      </c>
      <c r="E6" t="str">
        <f t="shared" si="0"/>
        <v>Z000048014OVR</v>
      </c>
      <c r="F6" t="s">
        <v>53</v>
      </c>
      <c r="G6" t="s">
        <v>54</v>
      </c>
      <c r="H6" t="str">
        <f>CONCATENATE(F6, " ",G6)</f>
        <v>JOSE HERNANDEZ</v>
      </c>
      <c r="I6" s="5">
        <v>8.32</v>
      </c>
      <c r="J6" t="s">
        <v>92</v>
      </c>
      <c r="K6" t="s">
        <v>108</v>
      </c>
    </row>
    <row r="7" spans="1:12" x14ac:dyDescent="0.25">
      <c r="A7" t="s">
        <v>114</v>
      </c>
      <c r="B7" s="4">
        <v>20411454</v>
      </c>
      <c r="C7" s="2">
        <v>45962</v>
      </c>
      <c r="D7" t="s">
        <v>102</v>
      </c>
      <c r="E7" t="str">
        <f t="shared" si="0"/>
        <v>Z000086568OVR</v>
      </c>
      <c r="F7" t="s">
        <v>103</v>
      </c>
      <c r="G7" t="s">
        <v>104</v>
      </c>
      <c r="H7" t="str">
        <f>CONCATENATE(F7, " ",G7)</f>
        <v>Lay Prathoummachith</v>
      </c>
      <c r="I7" s="5">
        <v>200</v>
      </c>
      <c r="J7" t="s">
        <v>92</v>
      </c>
      <c r="K7" t="s">
        <v>108</v>
      </c>
    </row>
    <row r="8" spans="1:12" x14ac:dyDescent="0.25">
      <c r="A8" t="s">
        <v>114</v>
      </c>
      <c r="B8" s="4">
        <v>20411454</v>
      </c>
      <c r="C8" s="1">
        <v>45658</v>
      </c>
      <c r="D8" t="s">
        <v>56</v>
      </c>
      <c r="E8" t="str">
        <f t="shared" si="0"/>
        <v>Z000045633OVR</v>
      </c>
      <c r="F8" t="s">
        <v>57</v>
      </c>
      <c r="G8" t="s">
        <v>58</v>
      </c>
      <c r="H8" t="str">
        <f>CONCATENATE(F8, " ",G8)</f>
        <v>LINDA DANIEL</v>
      </c>
      <c r="I8" s="5">
        <v>8.32</v>
      </c>
      <c r="J8" t="s">
        <v>92</v>
      </c>
      <c r="K8" t="s">
        <v>108</v>
      </c>
    </row>
    <row r="9" spans="1:12" x14ac:dyDescent="0.25">
      <c r="A9" t="s">
        <v>114</v>
      </c>
      <c r="B9" s="4">
        <v>20411454</v>
      </c>
      <c r="C9" s="1">
        <v>45658</v>
      </c>
      <c r="D9" t="s">
        <v>60</v>
      </c>
      <c r="E9" t="str">
        <f t="shared" si="0"/>
        <v>Z000043644OVR</v>
      </c>
      <c r="F9" t="s">
        <v>61</v>
      </c>
      <c r="G9" t="s">
        <v>62</v>
      </c>
      <c r="H9" t="str">
        <f>CONCATENATE(F9, " ",G9)</f>
        <v>OLEGARIO HERNANDEZ FLORES</v>
      </c>
      <c r="I9" s="5">
        <v>8.32</v>
      </c>
      <c r="J9" t="s">
        <v>92</v>
      </c>
      <c r="K9" t="s">
        <v>108</v>
      </c>
    </row>
    <row r="10" spans="1:12" x14ac:dyDescent="0.25">
      <c r="A10" t="s">
        <v>114</v>
      </c>
      <c r="B10" s="4">
        <v>20411454</v>
      </c>
      <c r="C10" s="1">
        <v>45658</v>
      </c>
      <c r="D10" t="s">
        <v>64</v>
      </c>
      <c r="E10" t="str">
        <f t="shared" si="0"/>
        <v>Z000046119OVR</v>
      </c>
      <c r="F10" t="s">
        <v>65</v>
      </c>
      <c r="G10" t="s">
        <v>66</v>
      </c>
      <c r="H10" t="str">
        <f>CONCATENATE(F10, " ",G10)</f>
        <v>RENE DIAZ</v>
      </c>
      <c r="I10" s="5">
        <v>8.32</v>
      </c>
      <c r="J10" t="s">
        <v>92</v>
      </c>
      <c r="K10" t="s">
        <v>108</v>
      </c>
    </row>
    <row r="11" spans="1:12" x14ac:dyDescent="0.25">
      <c r="A11" t="s">
        <v>114</v>
      </c>
      <c r="B11" s="4">
        <v>20411454</v>
      </c>
      <c r="C11" s="2">
        <v>45962</v>
      </c>
      <c r="D11" t="s">
        <v>68</v>
      </c>
      <c r="E11" t="str">
        <f t="shared" si="0"/>
        <v>Z000087276OVR</v>
      </c>
      <c r="F11" t="s">
        <v>69</v>
      </c>
      <c r="G11" t="s">
        <v>70</v>
      </c>
      <c r="H11" t="str">
        <f>CONCATENATE(F11, " ",G11)</f>
        <v>Victor Lopez</v>
      </c>
      <c r="I11" s="5">
        <v>200</v>
      </c>
      <c r="J11" t="s">
        <v>92</v>
      </c>
      <c r="K11" t="s">
        <v>108</v>
      </c>
    </row>
    <row r="12" spans="1:12" x14ac:dyDescent="0.25">
      <c r="A12" t="s">
        <v>114</v>
      </c>
      <c r="B12" s="4">
        <v>20411454</v>
      </c>
      <c r="C12" s="1">
        <v>45658</v>
      </c>
      <c r="D12" t="s">
        <v>75</v>
      </c>
      <c r="E12" t="str">
        <f t="shared" si="0"/>
        <v>Z000043513OVR</v>
      </c>
      <c r="F12" t="s">
        <v>76</v>
      </c>
      <c r="G12" t="s">
        <v>77</v>
      </c>
      <c r="H12" t="str">
        <f>CONCATENATE(F12, " ",G12)</f>
        <v>WALTER ATTERBERRY</v>
      </c>
      <c r="I12" s="5">
        <v>8.32</v>
      </c>
      <c r="J12" t="s">
        <v>92</v>
      </c>
      <c r="K12" t="s">
        <v>108</v>
      </c>
    </row>
    <row r="13" spans="1:12" x14ac:dyDescent="0.25">
      <c r="A13" t="s">
        <v>37</v>
      </c>
      <c r="B13" s="4">
        <v>16912722</v>
      </c>
      <c r="C13" s="1">
        <v>45658</v>
      </c>
      <c r="D13" t="s">
        <v>42</v>
      </c>
      <c r="E13" t="str">
        <f>CONCATENATE(D13,2)</f>
        <v>Z0000535432</v>
      </c>
      <c r="F13" t="s">
        <v>43</v>
      </c>
      <c r="G13" t="s">
        <v>44</v>
      </c>
      <c r="H13" t="str">
        <f>CONCATENATE(F13, " ",G13)</f>
        <v>DOUGLAS SCHMIESKORS III</v>
      </c>
      <c r="I13" s="5">
        <v>26.08</v>
      </c>
      <c r="J13" t="s">
        <v>47</v>
      </c>
      <c r="K13" t="s">
        <v>109</v>
      </c>
      <c r="L13" t="s">
        <v>111</v>
      </c>
    </row>
    <row r="14" spans="1:12" x14ac:dyDescent="0.25">
      <c r="A14" t="s">
        <v>48</v>
      </c>
      <c r="B14" s="4">
        <v>17301495</v>
      </c>
      <c r="C14" s="1">
        <v>45658</v>
      </c>
      <c r="D14" t="s">
        <v>52</v>
      </c>
      <c r="E14" t="str">
        <f t="shared" ref="E14:E22" si="1">CONCATENATE(D14,2)</f>
        <v>Z0000480142</v>
      </c>
      <c r="F14" t="s">
        <v>53</v>
      </c>
      <c r="G14" t="s">
        <v>54</v>
      </c>
      <c r="H14" t="str">
        <f>CONCATENATE(F14, " ",G14)</f>
        <v>JOSE HERNANDEZ</v>
      </c>
      <c r="I14" s="5">
        <v>26.08</v>
      </c>
      <c r="J14" t="s">
        <v>47</v>
      </c>
      <c r="K14" t="s">
        <v>109</v>
      </c>
      <c r="L14" t="s">
        <v>111</v>
      </c>
    </row>
    <row r="15" spans="1:12" x14ac:dyDescent="0.25">
      <c r="A15" t="s">
        <v>48</v>
      </c>
      <c r="B15" s="4">
        <v>17301495</v>
      </c>
      <c r="C15" s="1">
        <v>45658</v>
      </c>
      <c r="D15" t="s">
        <v>56</v>
      </c>
      <c r="E15" t="str">
        <f t="shared" si="1"/>
        <v>Z0000456332</v>
      </c>
      <c r="F15" t="s">
        <v>57</v>
      </c>
      <c r="G15" t="s">
        <v>58</v>
      </c>
      <c r="H15" t="str">
        <f>CONCATENATE(F15, " ",G15)</f>
        <v>LINDA DANIEL</v>
      </c>
      <c r="I15" s="5">
        <v>26.08</v>
      </c>
      <c r="J15" t="s">
        <v>47</v>
      </c>
      <c r="K15" t="s">
        <v>109</v>
      </c>
      <c r="L15" t="s">
        <v>111</v>
      </c>
    </row>
    <row r="16" spans="1:12" x14ac:dyDescent="0.25">
      <c r="A16" t="s">
        <v>48</v>
      </c>
      <c r="B16" s="4">
        <v>17301495</v>
      </c>
      <c r="C16" s="1">
        <v>45658</v>
      </c>
      <c r="D16" t="s">
        <v>60</v>
      </c>
      <c r="E16" t="str">
        <f t="shared" si="1"/>
        <v>Z0000436442</v>
      </c>
      <c r="F16" t="s">
        <v>61</v>
      </c>
      <c r="G16" t="s">
        <v>62</v>
      </c>
      <c r="H16" t="str">
        <f>CONCATENATE(F16, " ",G16)</f>
        <v>OLEGARIO HERNANDEZ FLORES</v>
      </c>
      <c r="I16" s="5">
        <v>26.08</v>
      </c>
      <c r="J16" t="s">
        <v>47</v>
      </c>
      <c r="K16" t="s">
        <v>109</v>
      </c>
      <c r="L16" t="s">
        <v>111</v>
      </c>
    </row>
    <row r="17" spans="1:12" x14ac:dyDescent="0.25">
      <c r="A17" t="s">
        <v>48</v>
      </c>
      <c r="B17" s="4">
        <v>17301495</v>
      </c>
      <c r="C17" s="1">
        <v>45658</v>
      </c>
      <c r="D17" t="s">
        <v>64</v>
      </c>
      <c r="E17" t="str">
        <f t="shared" si="1"/>
        <v>Z0000461192</v>
      </c>
      <c r="F17" t="s">
        <v>65</v>
      </c>
      <c r="G17" t="s">
        <v>66</v>
      </c>
      <c r="H17" t="str">
        <f>CONCATENATE(F17, " ",G17)</f>
        <v>RENE DIAZ</v>
      </c>
      <c r="I17" s="5">
        <v>26.08</v>
      </c>
      <c r="J17" t="s">
        <v>47</v>
      </c>
      <c r="K17" t="s">
        <v>109</v>
      </c>
      <c r="L17" t="s">
        <v>111</v>
      </c>
    </row>
    <row r="18" spans="1:12" x14ac:dyDescent="0.25">
      <c r="A18" t="s">
        <v>72</v>
      </c>
      <c r="B18" s="4">
        <v>8814784</v>
      </c>
      <c r="C18" s="1">
        <v>45658</v>
      </c>
      <c r="D18" t="s">
        <v>75</v>
      </c>
      <c r="E18" t="str">
        <f t="shared" si="1"/>
        <v>Z0000435132</v>
      </c>
      <c r="F18" t="s">
        <v>76</v>
      </c>
      <c r="G18" t="s">
        <v>77</v>
      </c>
      <c r="H18" t="str">
        <f>CONCATENATE(F18, " ",G18)</f>
        <v>WALTER ATTERBERRY</v>
      </c>
      <c r="I18" s="5">
        <v>26.08</v>
      </c>
      <c r="J18" t="s">
        <v>47</v>
      </c>
      <c r="K18" t="s">
        <v>109</v>
      </c>
      <c r="L18" t="s">
        <v>111</v>
      </c>
    </row>
    <row r="19" spans="1:12" x14ac:dyDescent="0.25">
      <c r="A19" t="s">
        <v>78</v>
      </c>
      <c r="B19" s="4">
        <v>9213293</v>
      </c>
      <c r="C19" s="1">
        <v>45658</v>
      </c>
      <c r="D19" t="s">
        <v>82</v>
      </c>
      <c r="E19" t="str">
        <f t="shared" si="1"/>
        <v>Z0000417102</v>
      </c>
      <c r="F19" t="s">
        <v>83</v>
      </c>
      <c r="G19" t="s">
        <v>84</v>
      </c>
      <c r="H19" t="str">
        <f>CONCATENATE(F19, " ",G19)</f>
        <v>ANGEL TORRES</v>
      </c>
      <c r="I19" s="5">
        <v>26.08</v>
      </c>
      <c r="J19" t="s">
        <v>47</v>
      </c>
      <c r="K19" t="s">
        <v>109</v>
      </c>
      <c r="L19" t="s">
        <v>111</v>
      </c>
    </row>
    <row r="20" spans="1:12" x14ac:dyDescent="0.25">
      <c r="A20" t="s">
        <v>85</v>
      </c>
      <c r="B20" s="4">
        <v>8307933</v>
      </c>
      <c r="C20" s="1">
        <v>45658</v>
      </c>
      <c r="D20" t="s">
        <v>88</v>
      </c>
      <c r="E20" t="str">
        <f t="shared" si="1"/>
        <v>Z0000504592</v>
      </c>
      <c r="F20" t="s">
        <v>89</v>
      </c>
      <c r="G20" t="s">
        <v>90</v>
      </c>
      <c r="H20" t="str">
        <f>CONCATENATE(F20, " ",G20)</f>
        <v>ERLENE CARTER</v>
      </c>
      <c r="I20" s="5">
        <v>26.08</v>
      </c>
      <c r="J20" t="s">
        <v>47</v>
      </c>
      <c r="K20" t="s">
        <v>109</v>
      </c>
      <c r="L20" t="s">
        <v>111</v>
      </c>
    </row>
    <row r="21" spans="1:12" x14ac:dyDescent="0.25">
      <c r="A21" t="s">
        <v>93</v>
      </c>
      <c r="B21" s="4">
        <v>19396223</v>
      </c>
      <c r="C21" s="1">
        <v>45658</v>
      </c>
      <c r="D21" t="s">
        <v>96</v>
      </c>
      <c r="E21" t="str">
        <f t="shared" si="1"/>
        <v>Z0000481482</v>
      </c>
      <c r="F21" t="s">
        <v>97</v>
      </c>
      <c r="G21" t="s">
        <v>98</v>
      </c>
      <c r="H21" t="str">
        <f>CONCATENATE(F21, " ",G21)</f>
        <v>DAXABEN PATEL</v>
      </c>
      <c r="I21" s="5">
        <v>26.08</v>
      </c>
      <c r="J21" t="s">
        <v>47</v>
      </c>
      <c r="K21" t="s">
        <v>109</v>
      </c>
      <c r="L21" t="s">
        <v>111</v>
      </c>
    </row>
    <row r="22" spans="1:12" x14ac:dyDescent="0.25">
      <c r="A22" t="s">
        <v>48</v>
      </c>
      <c r="B22" s="4">
        <v>17301495</v>
      </c>
      <c r="C22" s="2">
        <v>45962</v>
      </c>
      <c r="D22" t="s">
        <v>68</v>
      </c>
      <c r="E22" t="str">
        <f t="shared" si="1"/>
        <v>Z0000872762</v>
      </c>
      <c r="F22" t="s">
        <v>69</v>
      </c>
      <c r="G22" t="s">
        <v>70</v>
      </c>
      <c r="H22" t="str">
        <f>CONCATENATE(F22, " ",G22)</f>
        <v>Victor Lopez</v>
      </c>
      <c r="I22" s="5">
        <v>52.17</v>
      </c>
      <c r="J22" t="s">
        <v>47</v>
      </c>
      <c r="K22" t="s">
        <v>109</v>
      </c>
      <c r="L22" t="s">
        <v>112</v>
      </c>
    </row>
    <row r="23" spans="1:12" x14ac:dyDescent="0.25">
      <c r="A23" t="s">
        <v>99</v>
      </c>
      <c r="B23" s="4">
        <v>8405446</v>
      </c>
      <c r="C23" s="2">
        <v>45962</v>
      </c>
      <c r="D23" t="s">
        <v>102</v>
      </c>
      <c r="E23" t="str">
        <f>CONCATENATE(D23,3)</f>
        <v>Z0000865683</v>
      </c>
      <c r="F23" t="s">
        <v>103</v>
      </c>
      <c r="G23" t="s">
        <v>104</v>
      </c>
      <c r="H23" t="str">
        <f>CONCATENATE(F23, " ",G23)</f>
        <v>Lay Prathoummachith</v>
      </c>
      <c r="I23" s="5">
        <v>626</v>
      </c>
      <c r="J23" t="s">
        <v>47</v>
      </c>
      <c r="K23" t="s">
        <v>110</v>
      </c>
      <c r="L23" t="s">
        <v>113</v>
      </c>
    </row>
  </sheetData>
  <sortState xmlns:xlrd2="http://schemas.microsoft.com/office/spreadsheetml/2017/richdata2" ref="A13:S23">
    <sortCondition ref="I13:I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2025-11-07T08:43:45Z</dcterms:created>
  <dcterms:modified xsi:type="dcterms:W3CDTF">2025-11-11T20:46:47Z</dcterms:modified>
</cp:coreProperties>
</file>