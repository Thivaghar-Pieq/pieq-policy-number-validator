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10-10-25\"/>
    </mc:Choice>
  </mc:AlternateContent>
  <xr:revisionPtr revIDLastSave="0" documentId="13_ncr:1_{E4820602-1E82-4B0C-9E4C-999A58AD589B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G22" i="3" l="1"/>
  <c r="G21" i="3"/>
  <c r="G20" i="3"/>
  <c r="G19" i="3"/>
  <c r="G18" i="3"/>
  <c r="G17" i="3"/>
  <c r="G16" i="3"/>
  <c r="G15" i="3"/>
  <c r="G14" i="3"/>
  <c r="G13" i="3"/>
  <c r="G12" i="3"/>
  <c r="F23" i="3"/>
  <c r="F11" i="3"/>
  <c r="F10" i="3"/>
  <c r="F9" i="3"/>
  <c r="F8" i="3"/>
  <c r="F7" i="3"/>
  <c r="F6" i="3"/>
  <c r="F5" i="3"/>
  <c r="F4" i="3"/>
  <c r="F3" i="3"/>
  <c r="F2" i="3"/>
  <c r="F22" i="3"/>
  <c r="F21" i="3"/>
  <c r="F20" i="3"/>
  <c r="F19" i="3"/>
  <c r="F18" i="3"/>
  <c r="F17" i="3"/>
  <c r="F16" i="3"/>
  <c r="F15" i="3"/>
  <c r="F14" i="3"/>
  <c r="F13" i="3"/>
  <c r="F1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" i="3"/>
</calcChain>
</file>

<file path=xl/sharedStrings.xml><?xml version="1.0" encoding="utf-8"?>
<sst xmlns="http://schemas.openxmlformats.org/spreadsheetml/2006/main" count="549" uniqueCount="115">
  <si>
    <t/>
  </si>
  <si>
    <t>Description</t>
  </si>
  <si>
    <t>Member Count</t>
  </si>
  <si>
    <t>Credits</t>
  </si>
  <si>
    <t>Debits</t>
  </si>
  <si>
    <t>Total</t>
  </si>
  <si>
    <t>Initial Enrollments</t>
  </si>
  <si>
    <t>$713.00</t>
  </si>
  <si>
    <t>$0.00</t>
  </si>
  <si>
    <t>Renewal Enrollments</t>
  </si>
  <si>
    <t>$309.60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</si>
  <si>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</si>
  <si>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</si>
  <si>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</si>
  <si>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</si>
  <si>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</si>
  <si>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</si>
  <si>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</si>
  <si>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$1,022.60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</si>
  <si>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</si>
  <si>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</si>
  <si>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</si>
  <si>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</si>
  <si>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</si>
  <si>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</si>
  <si>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</si>
  <si>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</si>
  <si>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</si>
  <si>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</si>
  <si>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</si>
  <si>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</si>
  <si>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</si>
  <si>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</si>
  <si>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</si>
  <si>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</si>
  <si>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</si>
  <si>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</si>
  <si>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</si>
  <si>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</si>
  <si>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</si>
  <si>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</si>
  <si>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</si>
  <si>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</si>
  <si>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</si>
  <si>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</si>
  <si>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Agent</t>
  </si>
  <si>
    <t>Esther Herrera-Larsen</t>
  </si>
  <si>
    <t>17301495</t>
  </si>
  <si>
    <t>Zing Essential Wellness Diabetes and Heart IL (HMO C-SNP)</t>
  </si>
  <si>
    <t>6VC8DQ6DY39</t>
  </si>
  <si>
    <t>Z000084916</t>
  </si>
  <si>
    <t>Ignacia</t>
  </si>
  <si>
    <t>Espindola Morales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</si>
  <si>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</si>
  <si>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</si>
  <si>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</si>
  <si>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</si>
  <si>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</si>
  <si>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</si>
  <si>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</si>
  <si>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</si>
  <si>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</si>
  <si>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</si>
  <si>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</si>
  <si>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</si>
  <si>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</si>
  <si>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</si>
  <si>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</si>
  <si>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</si>
  <si>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</si>
  <si>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</si>
  <si>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</si>
  <si>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</si>
  <si>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</si>
  <si>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</si>
  <si>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</si>
  <si>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</si>
  <si>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</si>
  <si>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</si>
  <si>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</si>
  <si>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</si>
  <si>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</si>
  <si>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9N70J37PE09</t>
  </si>
  <si>
    <t>Z000084701</t>
  </si>
  <si>
    <t>Susan</t>
  </si>
  <si>
    <t>Mitchell</t>
  </si>
  <si>
    <t>Gregory Teipel</t>
  </si>
  <si>
    <t>8307933</t>
  </si>
  <si>
    <t>8W82U48NP28</t>
  </si>
  <si>
    <t>Z000050459</t>
  </si>
  <si>
    <t>ERLENE</t>
  </si>
  <si>
    <t>CARTER</t>
  </si>
  <si>
    <t>Admin</t>
  </si>
  <si>
    <t>Saadia Abdul</t>
  </si>
  <si>
    <t>19396223</t>
  </si>
  <si>
    <t>3J34V65XN82</t>
  </si>
  <si>
    <t>Z000048148</t>
  </si>
  <si>
    <t>DAXABEN</t>
  </si>
  <si>
    <t>PATEL</t>
  </si>
  <si>
    <t>Main Line Benefits</t>
  </si>
  <si>
    <t>Z0000535432</t>
  </si>
  <si>
    <t>Z0000849162</t>
  </si>
  <si>
    <t>Z0000480142</t>
  </si>
  <si>
    <t>Z0000456332</t>
  </si>
  <si>
    <t>Z0000436442</t>
  </si>
  <si>
    <t>Z0000461192</t>
  </si>
  <si>
    <t>Z0000435132</t>
  </si>
  <si>
    <t>Z0000417102</t>
  </si>
  <si>
    <t>Z0000847012</t>
  </si>
  <si>
    <t>Z0000504592</t>
  </si>
  <si>
    <t>Z0000481482</t>
  </si>
  <si>
    <t>[%/$=313][prorate=1/12]</t>
  </si>
  <si>
    <t>[%/$=313][prorate=6/12]</t>
  </si>
  <si>
    <t>Zing 2025 OVR</t>
  </si>
  <si>
    <t>Zing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</si>
</sst>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8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8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2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9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12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13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14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15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16</v>
      </c>
      <c r="E9" t="s">
        <v>8</v>
      </c>
    </row>
    <row r="10" spans="1:5" x14ac:dyDescent="0.25">
      <c r="A10" t="s">
        <v>17</v>
      </c>
      <c r="B10">
        <v>11</v>
      </c>
      <c r="C10" t="s">
        <v>18</v>
      </c>
      <c r="D10" t="s">
        <v>8</v>
      </c>
      <c r="E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workbookViewId="0">
      <selection activeCell="A21" sqref="A21:XFD21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4.7109375" bestFit="1" customWidth="1"/>
    <col min="9" max="9" width="12.140625" bestFit="1" customWidth="1"/>
    <col min="10" max="10" width="19" bestFit="1" customWidth="1"/>
    <col min="11" max="11" width="19.4257812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s="3" t="s">
        <v>32</v>
      </c>
      <c r="O1" t="s">
        <v>33</v>
      </c>
      <c r="P1" t="s">
        <v>34</v>
      </c>
      <c r="Q1" t="s">
        <v>35</v>
      </c>
    </row>
    <row r="2" spans="1:17" x14ac:dyDescent="0.25">
      <c r="A2" t="s">
        <v>36</v>
      </c>
      <c r="B2" t="s">
        <v>37</v>
      </c>
      <c r="C2" s="1">
        <v>45658</v>
      </c>
      <c r="D2" t="s">
        <v>0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s="3" t="s">
        <v>0</v>
      </c>
      <c r="O2" t="s">
        <v>0</v>
      </c>
      <c r="P2" s="4">
        <v>26.08</v>
      </c>
      <c r="Q2" t="s">
        <v>45</v>
      </c>
    </row>
    <row r="3" spans="1:17" x14ac:dyDescent="0.25">
      <c r="A3" t="s">
        <v>46</v>
      </c>
      <c r="B3" t="s">
        <v>47</v>
      </c>
      <c r="C3" s="2">
        <v>45931</v>
      </c>
      <c r="D3" t="s">
        <v>0</v>
      </c>
      <c r="E3" t="s">
        <v>38</v>
      </c>
      <c r="F3" t="s">
        <v>0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>
        <v>1</v>
      </c>
      <c r="M3" t="s">
        <v>44</v>
      </c>
      <c r="N3" s="3" t="s">
        <v>0</v>
      </c>
      <c r="O3" t="s">
        <v>0</v>
      </c>
      <c r="P3" s="4">
        <v>156.5</v>
      </c>
      <c r="Q3" t="s">
        <v>45</v>
      </c>
    </row>
    <row r="4" spans="1:17" x14ac:dyDescent="0.25">
      <c r="A4" t="s">
        <v>46</v>
      </c>
      <c r="B4" t="s">
        <v>47</v>
      </c>
      <c r="C4" s="1">
        <v>45658</v>
      </c>
      <c r="D4" t="s">
        <v>0</v>
      </c>
      <c r="E4" t="s">
        <v>38</v>
      </c>
      <c r="F4" t="s">
        <v>0</v>
      </c>
      <c r="G4" t="s">
        <v>48</v>
      </c>
      <c r="H4" t="s">
        <v>53</v>
      </c>
      <c r="I4" t="s">
        <v>54</v>
      </c>
      <c r="J4" t="s">
        <v>55</v>
      </c>
      <c r="K4" t="s">
        <v>56</v>
      </c>
      <c r="L4">
        <v>2</v>
      </c>
      <c r="M4" t="s">
        <v>44</v>
      </c>
      <c r="N4" s="3" t="s">
        <v>0</v>
      </c>
      <c r="O4" t="s">
        <v>0</v>
      </c>
      <c r="P4" s="4">
        <v>26.08</v>
      </c>
      <c r="Q4" t="s">
        <v>45</v>
      </c>
    </row>
    <row r="5" spans="1:17" x14ac:dyDescent="0.25">
      <c r="A5" t="s">
        <v>46</v>
      </c>
      <c r="B5" t="s">
        <v>47</v>
      </c>
      <c r="C5" s="1">
        <v>45658</v>
      </c>
      <c r="D5" t="s">
        <v>0</v>
      </c>
      <c r="E5" t="s">
        <v>38</v>
      </c>
      <c r="F5" t="s">
        <v>0</v>
      </c>
      <c r="G5" t="s">
        <v>48</v>
      </c>
      <c r="H5" t="s">
        <v>57</v>
      </c>
      <c r="I5" t="s">
        <v>58</v>
      </c>
      <c r="J5" t="s">
        <v>59</v>
      </c>
      <c r="K5" t="s">
        <v>60</v>
      </c>
      <c r="L5">
        <v>2</v>
      </c>
      <c r="M5" t="s">
        <v>44</v>
      </c>
      <c r="N5" s="3" t="s">
        <v>0</v>
      </c>
      <c r="O5" t="s">
        <v>0</v>
      </c>
      <c r="P5" s="4">
        <v>26.08</v>
      </c>
      <c r="Q5" t="s">
        <v>45</v>
      </c>
    </row>
    <row r="6" spans="1:17" x14ac:dyDescent="0.25">
      <c r="A6" t="s">
        <v>46</v>
      </c>
      <c r="B6" t="s">
        <v>47</v>
      </c>
      <c r="C6" s="1">
        <v>45658</v>
      </c>
      <c r="D6" t="s">
        <v>0</v>
      </c>
      <c r="E6" t="s">
        <v>38</v>
      </c>
      <c r="F6" t="s">
        <v>0</v>
      </c>
      <c r="G6" t="s">
        <v>39</v>
      </c>
      <c r="H6" t="s">
        <v>61</v>
      </c>
      <c r="I6" t="s">
        <v>62</v>
      </c>
      <c r="J6" t="s">
        <v>63</v>
      </c>
      <c r="K6" t="s">
        <v>64</v>
      </c>
      <c r="L6">
        <v>2</v>
      </c>
      <c r="M6" t="s">
        <v>44</v>
      </c>
      <c r="N6" s="3" t="s">
        <v>0</v>
      </c>
      <c r="O6" t="s">
        <v>0</v>
      </c>
      <c r="P6" s="4">
        <v>26.08</v>
      </c>
      <c r="Q6" t="s">
        <v>45</v>
      </c>
    </row>
    <row r="7" spans="1:17" x14ac:dyDescent="0.25">
      <c r="A7" t="s">
        <v>46</v>
      </c>
      <c r="B7" t="s">
        <v>47</v>
      </c>
      <c r="C7" s="1">
        <v>45658</v>
      </c>
      <c r="D7" t="s">
        <v>0</v>
      </c>
      <c r="E7" t="s">
        <v>38</v>
      </c>
      <c r="F7" t="s">
        <v>0</v>
      </c>
      <c r="G7" t="s">
        <v>48</v>
      </c>
      <c r="H7" t="s">
        <v>65</v>
      </c>
      <c r="I7" t="s">
        <v>66</v>
      </c>
      <c r="J7" t="s">
        <v>67</v>
      </c>
      <c r="K7" t="s">
        <v>68</v>
      </c>
      <c r="L7">
        <v>2</v>
      </c>
      <c r="M7" t="s">
        <v>44</v>
      </c>
      <c r="N7" s="3" t="s">
        <v>0</v>
      </c>
      <c r="O7" t="s">
        <v>0</v>
      </c>
      <c r="P7" s="4">
        <v>26.08</v>
      </c>
      <c r="Q7" t="s">
        <v>45</v>
      </c>
    </row>
    <row r="8" spans="1:17" x14ac:dyDescent="0.25">
      <c r="A8" t="s">
        <v>69</v>
      </c>
      <c r="B8" t="s">
        <v>70</v>
      </c>
      <c r="C8" s="1">
        <v>45658</v>
      </c>
      <c r="D8" t="s">
        <v>0</v>
      </c>
      <c r="E8" t="s">
        <v>38</v>
      </c>
      <c r="F8" t="s">
        <v>0</v>
      </c>
      <c r="G8" t="s">
        <v>39</v>
      </c>
      <c r="H8" t="s">
        <v>71</v>
      </c>
      <c r="I8" t="s">
        <v>72</v>
      </c>
      <c r="J8" t="s">
        <v>73</v>
      </c>
      <c r="K8" t="s">
        <v>74</v>
      </c>
      <c r="L8">
        <v>2</v>
      </c>
      <c r="M8" t="s">
        <v>44</v>
      </c>
      <c r="N8" s="3" t="s">
        <v>0</v>
      </c>
      <c r="O8" t="s">
        <v>0</v>
      </c>
      <c r="P8" s="4">
        <v>26.08</v>
      </c>
      <c r="Q8" t="s">
        <v>45</v>
      </c>
    </row>
    <row r="9" spans="1:17" x14ac:dyDescent="0.25">
      <c r="A9" t="s">
        <v>75</v>
      </c>
      <c r="B9" t="s">
        <v>76</v>
      </c>
      <c r="C9" s="1">
        <v>45658</v>
      </c>
      <c r="D9" t="s">
        <v>0</v>
      </c>
      <c r="E9" t="s">
        <v>38</v>
      </c>
      <c r="F9" t="s">
        <v>0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>
        <v>2</v>
      </c>
      <c r="M9" t="s">
        <v>44</v>
      </c>
      <c r="N9" s="3" t="s">
        <v>0</v>
      </c>
      <c r="O9" t="s">
        <v>0</v>
      </c>
      <c r="P9" s="4">
        <v>26.08</v>
      </c>
      <c r="Q9" t="s">
        <v>45</v>
      </c>
    </row>
    <row r="10" spans="1:17" x14ac:dyDescent="0.25">
      <c r="A10" t="s">
        <v>75</v>
      </c>
      <c r="B10" t="s">
        <v>76</v>
      </c>
      <c r="C10" s="2">
        <v>45931</v>
      </c>
      <c r="D10" t="s">
        <v>0</v>
      </c>
      <c r="E10" t="s">
        <v>38</v>
      </c>
      <c r="F10" t="s">
        <v>0</v>
      </c>
      <c r="G10" t="s">
        <v>48</v>
      </c>
      <c r="H10" t="s">
        <v>82</v>
      </c>
      <c r="I10" t="s">
        <v>83</v>
      </c>
      <c r="J10" t="s">
        <v>84</v>
      </c>
      <c r="K10" t="s">
        <v>85</v>
      </c>
      <c r="L10">
        <v>1</v>
      </c>
      <c r="M10" t="s">
        <v>44</v>
      </c>
      <c r="N10" s="3" t="s">
        <v>0</v>
      </c>
      <c r="O10" t="s">
        <v>0</v>
      </c>
      <c r="P10" s="4">
        <v>156.5</v>
      </c>
      <c r="Q10" t="s">
        <v>45</v>
      </c>
    </row>
    <row r="11" spans="1:17" x14ac:dyDescent="0.25">
      <c r="A11" t="s">
        <v>86</v>
      </c>
      <c r="B11" t="s">
        <v>87</v>
      </c>
      <c r="C11" s="1">
        <v>45658</v>
      </c>
      <c r="D11" t="s">
        <v>0</v>
      </c>
      <c r="E11" t="s">
        <v>38</v>
      </c>
      <c r="F11" t="s">
        <v>0</v>
      </c>
      <c r="G11" t="s">
        <v>39</v>
      </c>
      <c r="H11" t="s">
        <v>88</v>
      </c>
      <c r="I11" t="s">
        <v>89</v>
      </c>
      <c r="J11" t="s">
        <v>90</v>
      </c>
      <c r="K11" t="s">
        <v>91</v>
      </c>
      <c r="L11">
        <v>2</v>
      </c>
      <c r="M11" t="s">
        <v>44</v>
      </c>
      <c r="N11" s="3" t="s">
        <v>0</v>
      </c>
      <c r="O11" t="s">
        <v>0</v>
      </c>
      <c r="P11" s="4">
        <v>26.08</v>
      </c>
      <c r="Q11" t="s">
        <v>45</v>
      </c>
    </row>
    <row r="12" spans="1:17" x14ac:dyDescent="0.25">
      <c r="A12" t="s">
        <v>75</v>
      </c>
      <c r="B12" t="s">
        <v>76</v>
      </c>
      <c r="C12" s="1">
        <v>45658</v>
      </c>
      <c r="D12" t="s">
        <v>0</v>
      </c>
      <c r="E12" t="s">
        <v>38</v>
      </c>
      <c r="F12" t="s">
        <v>0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  <c r="L12">
        <v>2</v>
      </c>
      <c r="M12" t="s">
        <v>44</v>
      </c>
      <c r="N12" s="3" t="s">
        <v>0</v>
      </c>
      <c r="O12" t="s">
        <v>0</v>
      </c>
      <c r="P12" s="4">
        <v>8.32</v>
      </c>
      <c r="Q12" t="s">
        <v>92</v>
      </c>
    </row>
    <row r="13" spans="1:17" x14ac:dyDescent="0.25">
      <c r="A13" t="s">
        <v>93</v>
      </c>
      <c r="B13" t="s">
        <v>94</v>
      </c>
      <c r="C13" s="1">
        <v>45658</v>
      </c>
      <c r="D13" t="s">
        <v>0</v>
      </c>
      <c r="E13" t="s">
        <v>38</v>
      </c>
      <c r="F13" t="s">
        <v>0</v>
      </c>
      <c r="G13" t="s">
        <v>39</v>
      </c>
      <c r="H13" t="s">
        <v>95</v>
      </c>
      <c r="I13" t="s">
        <v>96</v>
      </c>
      <c r="J13" t="s">
        <v>97</v>
      </c>
      <c r="K13" t="s">
        <v>98</v>
      </c>
      <c r="L13">
        <v>2</v>
      </c>
      <c r="M13" t="s">
        <v>44</v>
      </c>
      <c r="N13" s="3" t="s">
        <v>0</v>
      </c>
      <c r="O13" t="s">
        <v>0</v>
      </c>
      <c r="P13" s="4">
        <v>8.32</v>
      </c>
      <c r="Q13" t="s">
        <v>92</v>
      </c>
    </row>
    <row r="14" spans="1:17" x14ac:dyDescent="0.25">
      <c r="A14" t="s">
        <v>36</v>
      </c>
      <c r="B14" t="s">
        <v>37</v>
      </c>
      <c r="C14" s="1">
        <v>45658</v>
      </c>
      <c r="D14" t="s">
        <v>0</v>
      </c>
      <c r="E14" t="s">
        <v>38</v>
      </c>
      <c r="F14" t="s">
        <v>0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>
        <v>2</v>
      </c>
      <c r="M14" t="s">
        <v>44</v>
      </c>
      <c r="N14" s="3" t="s">
        <v>0</v>
      </c>
      <c r="O14" t="s">
        <v>0</v>
      </c>
      <c r="P14" s="4">
        <v>8.32</v>
      </c>
      <c r="Q14" t="s">
        <v>92</v>
      </c>
    </row>
    <row r="15" spans="1:17" x14ac:dyDescent="0.25">
      <c r="A15" t="s">
        <v>86</v>
      </c>
      <c r="B15" t="s">
        <v>87</v>
      </c>
      <c r="C15" s="1">
        <v>45658</v>
      </c>
      <c r="D15" t="s">
        <v>0</v>
      </c>
      <c r="E15" t="s">
        <v>38</v>
      </c>
      <c r="F15" t="s">
        <v>0</v>
      </c>
      <c r="G15" t="s">
        <v>39</v>
      </c>
      <c r="H15" t="s">
        <v>88</v>
      </c>
      <c r="I15" t="s">
        <v>89</v>
      </c>
      <c r="J15" t="s">
        <v>90</v>
      </c>
      <c r="K15" t="s">
        <v>91</v>
      </c>
      <c r="L15">
        <v>2</v>
      </c>
      <c r="M15" t="s">
        <v>44</v>
      </c>
      <c r="N15" s="3" t="s">
        <v>0</v>
      </c>
      <c r="O15" t="s">
        <v>0</v>
      </c>
      <c r="P15" s="4">
        <v>8.32</v>
      </c>
      <c r="Q15" t="s">
        <v>92</v>
      </c>
    </row>
    <row r="16" spans="1:17" x14ac:dyDescent="0.25">
      <c r="A16" t="s">
        <v>46</v>
      </c>
      <c r="B16" t="s">
        <v>47</v>
      </c>
      <c r="C16" s="2">
        <v>45931</v>
      </c>
      <c r="D16" t="s">
        <v>0</v>
      </c>
      <c r="E16" t="s">
        <v>38</v>
      </c>
      <c r="F16" t="s">
        <v>0</v>
      </c>
      <c r="G16" t="s">
        <v>48</v>
      </c>
      <c r="H16" t="s">
        <v>49</v>
      </c>
      <c r="I16" t="s">
        <v>50</v>
      </c>
      <c r="J16" t="s">
        <v>51</v>
      </c>
      <c r="K16" t="s">
        <v>52</v>
      </c>
      <c r="L16">
        <v>1</v>
      </c>
      <c r="M16" t="s">
        <v>44</v>
      </c>
      <c r="N16" s="3" t="s">
        <v>0</v>
      </c>
      <c r="O16" t="s">
        <v>0</v>
      </c>
      <c r="P16" s="4">
        <v>200</v>
      </c>
      <c r="Q16" t="s">
        <v>92</v>
      </c>
    </row>
    <row r="17" spans="1:17" x14ac:dyDescent="0.25">
      <c r="A17" t="s">
        <v>46</v>
      </c>
      <c r="B17" t="s">
        <v>47</v>
      </c>
      <c r="C17" s="1">
        <v>45658</v>
      </c>
      <c r="D17" t="s">
        <v>0</v>
      </c>
      <c r="E17" t="s">
        <v>38</v>
      </c>
      <c r="F17" t="s">
        <v>0</v>
      </c>
      <c r="G17" t="s">
        <v>48</v>
      </c>
      <c r="H17" t="s">
        <v>53</v>
      </c>
      <c r="I17" t="s">
        <v>54</v>
      </c>
      <c r="J17" t="s">
        <v>55</v>
      </c>
      <c r="K17" t="s">
        <v>56</v>
      </c>
      <c r="L17">
        <v>2</v>
      </c>
      <c r="M17" t="s">
        <v>44</v>
      </c>
      <c r="N17" s="3" t="s">
        <v>0</v>
      </c>
      <c r="O17" t="s">
        <v>0</v>
      </c>
      <c r="P17" s="4">
        <v>8.32</v>
      </c>
      <c r="Q17" t="s">
        <v>92</v>
      </c>
    </row>
    <row r="18" spans="1:17" x14ac:dyDescent="0.25">
      <c r="A18" t="s">
        <v>46</v>
      </c>
      <c r="B18" t="s">
        <v>47</v>
      </c>
      <c r="C18" s="1">
        <v>45658</v>
      </c>
      <c r="D18" t="s">
        <v>0</v>
      </c>
      <c r="E18" t="s">
        <v>38</v>
      </c>
      <c r="F18" t="s">
        <v>0</v>
      </c>
      <c r="G18" t="s">
        <v>48</v>
      </c>
      <c r="H18" t="s">
        <v>57</v>
      </c>
      <c r="I18" t="s">
        <v>58</v>
      </c>
      <c r="J18" t="s">
        <v>59</v>
      </c>
      <c r="K18" t="s">
        <v>60</v>
      </c>
      <c r="L18">
        <v>2</v>
      </c>
      <c r="M18" t="s">
        <v>44</v>
      </c>
      <c r="N18" s="3" t="s">
        <v>0</v>
      </c>
      <c r="O18" t="s">
        <v>0</v>
      </c>
      <c r="P18" s="4">
        <v>8.32</v>
      </c>
      <c r="Q18" t="s">
        <v>92</v>
      </c>
    </row>
    <row r="19" spans="1:17" x14ac:dyDescent="0.25">
      <c r="A19" t="s">
        <v>46</v>
      </c>
      <c r="B19" t="s">
        <v>47</v>
      </c>
      <c r="C19" s="1">
        <v>45658</v>
      </c>
      <c r="D19" t="s">
        <v>0</v>
      </c>
      <c r="E19" t="s">
        <v>38</v>
      </c>
      <c r="F19" t="s">
        <v>0</v>
      </c>
      <c r="G19" t="s">
        <v>39</v>
      </c>
      <c r="H19" t="s">
        <v>61</v>
      </c>
      <c r="I19" t="s">
        <v>62</v>
      </c>
      <c r="J19" t="s">
        <v>63</v>
      </c>
      <c r="K19" t="s">
        <v>64</v>
      </c>
      <c r="L19">
        <v>2</v>
      </c>
      <c r="M19" t="s">
        <v>44</v>
      </c>
      <c r="N19" s="3" t="s">
        <v>0</v>
      </c>
      <c r="O19" t="s">
        <v>0</v>
      </c>
      <c r="P19" s="4">
        <v>8.32</v>
      </c>
      <c r="Q19" t="s">
        <v>92</v>
      </c>
    </row>
    <row r="20" spans="1:17" x14ac:dyDescent="0.25">
      <c r="A20" t="s">
        <v>46</v>
      </c>
      <c r="B20" t="s">
        <v>47</v>
      </c>
      <c r="C20" s="1">
        <v>45658</v>
      </c>
      <c r="D20" t="s">
        <v>0</v>
      </c>
      <c r="E20" t="s">
        <v>38</v>
      </c>
      <c r="F20" t="s">
        <v>0</v>
      </c>
      <c r="G20" t="s">
        <v>48</v>
      </c>
      <c r="H20" t="s">
        <v>65</v>
      </c>
      <c r="I20" t="s">
        <v>66</v>
      </c>
      <c r="J20" t="s">
        <v>67</v>
      </c>
      <c r="K20" t="s">
        <v>68</v>
      </c>
      <c r="L20">
        <v>2</v>
      </c>
      <c r="M20" t="s">
        <v>44</v>
      </c>
      <c r="N20" s="3" t="s">
        <v>0</v>
      </c>
      <c r="O20" t="s">
        <v>0</v>
      </c>
      <c r="P20" s="4">
        <v>8.32</v>
      </c>
      <c r="Q20" t="s">
        <v>92</v>
      </c>
    </row>
    <row r="21" spans="1:17" x14ac:dyDescent="0.25">
      <c r="A21" t="s">
        <v>75</v>
      </c>
      <c r="B21" t="s">
        <v>76</v>
      </c>
      <c r="C21" s="2">
        <v>45931</v>
      </c>
      <c r="D21" t="s">
        <v>0</v>
      </c>
      <c r="E21" t="s">
        <v>38</v>
      </c>
      <c r="F21" t="s">
        <v>0</v>
      </c>
      <c r="G21" t="s">
        <v>48</v>
      </c>
      <c r="H21" t="s">
        <v>82</v>
      </c>
      <c r="I21" t="s">
        <v>83</v>
      </c>
      <c r="J21" t="s">
        <v>84</v>
      </c>
      <c r="K21" t="s">
        <v>85</v>
      </c>
      <c r="L21">
        <v>1</v>
      </c>
      <c r="M21" t="s">
        <v>44</v>
      </c>
      <c r="N21" s="3" t="s">
        <v>0</v>
      </c>
      <c r="O21" t="s">
        <v>0</v>
      </c>
      <c r="P21" s="4">
        <v>200</v>
      </c>
      <c r="Q21" t="s">
        <v>92</v>
      </c>
    </row>
    <row r="22" spans="1:17" x14ac:dyDescent="0.25">
      <c r="A22" t="s">
        <v>69</v>
      </c>
      <c r="B22" t="s">
        <v>70</v>
      </c>
      <c r="C22" s="1">
        <v>45658</v>
      </c>
      <c r="D22" t="s">
        <v>0</v>
      </c>
      <c r="E22" t="s">
        <v>38</v>
      </c>
      <c r="F22" t="s">
        <v>0</v>
      </c>
      <c r="G22" t="s">
        <v>39</v>
      </c>
      <c r="H22" t="s">
        <v>71</v>
      </c>
      <c r="I22" t="s">
        <v>72</v>
      </c>
      <c r="J22" t="s">
        <v>73</v>
      </c>
      <c r="K22" t="s">
        <v>74</v>
      </c>
      <c r="L22">
        <v>2</v>
      </c>
      <c r="M22" t="s">
        <v>44</v>
      </c>
      <c r="N22" s="3" t="s">
        <v>0</v>
      </c>
      <c r="O22" t="s">
        <v>0</v>
      </c>
      <c r="P22" s="4">
        <v>8.32</v>
      </c>
      <c r="Q22" t="s">
        <v>92</v>
      </c>
    </row>
    <row r="23" spans="1:17" x14ac:dyDescent="0.25">
      <c r="A23" t="s">
        <v>93</v>
      </c>
      <c r="B23" t="s">
        <v>94</v>
      </c>
      <c r="C23" s="1">
        <v>45658</v>
      </c>
      <c r="D23" t="s">
        <v>0</v>
      </c>
      <c r="E23" t="s">
        <v>38</v>
      </c>
      <c r="F23" t="s">
        <v>0</v>
      </c>
      <c r="G23" t="s">
        <v>39</v>
      </c>
      <c r="H23" t="s">
        <v>95</v>
      </c>
      <c r="I23" t="s">
        <v>96</v>
      </c>
      <c r="J23" t="s">
        <v>97</v>
      </c>
      <c r="K23" t="s">
        <v>98</v>
      </c>
      <c r="L23">
        <v>2</v>
      </c>
      <c r="M23" t="s">
        <v>44</v>
      </c>
      <c r="N23" s="3" t="s">
        <v>0</v>
      </c>
      <c r="O23" t="s">
        <v>0</v>
      </c>
      <c r="P23" s="4">
        <v>26.08</v>
      </c>
      <c r="Q2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106D-855A-4835-A1B2-17049AE01F1A}">
  <dimension ref="A1:N23"/>
  <sheetViews>
    <sheetView tabSelected="1" workbookViewId="0">
      <selection activeCell="G12" sqref="G12:G22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53.85546875" bestFit="1" customWidth="1"/>
    <col min="5" max="5" width="12.140625" bestFit="1" customWidth="1"/>
    <col min="6" max="7" width="15.28515625" customWidth="1"/>
    <col min="8" max="8" width="19" bestFit="1" customWidth="1"/>
    <col min="9" max="9" width="19.42578125" bestFit="1" customWidth="1"/>
    <col min="10" max="10" width="24.85546875" bestFit="1" customWidth="1"/>
    <col min="11" max="11" width="9" bestFit="1" customWidth="1"/>
    <col min="12" max="12" width="6.85546875" bestFit="1" customWidth="1"/>
    <col min="13" max="13" width="16.140625" bestFit="1" customWidth="1"/>
  </cols>
  <sheetData>
    <row r="1" spans="1:14" x14ac:dyDescent="0.25">
      <c r="A1" t="s">
        <v>19</v>
      </c>
      <c r="B1" t="s">
        <v>20</v>
      </c>
      <c r="C1" t="s">
        <v>21</v>
      </c>
      <c r="D1" t="s">
        <v>25</v>
      </c>
      <c r="E1" t="s">
        <v>27</v>
      </c>
      <c r="H1" t="s">
        <v>28</v>
      </c>
      <c r="I1" t="s">
        <v>29</v>
      </c>
      <c r="K1" t="s">
        <v>34</v>
      </c>
      <c r="L1" t="s">
        <v>35</v>
      </c>
    </row>
    <row r="2" spans="1:14" x14ac:dyDescent="0.25">
      <c r="A2" t="s">
        <v>36</v>
      </c>
      <c r="B2" s="5">
        <v>16912722</v>
      </c>
      <c r="C2" s="9">
        <v>45658</v>
      </c>
      <c r="D2" t="s">
        <v>39</v>
      </c>
      <c r="E2" t="s">
        <v>41</v>
      </c>
      <c r="F2" t="str">
        <f>CONCATENATE(E2,2)</f>
        <v>Z0000535432</v>
      </c>
      <c r="G2" t="s">
        <v>100</v>
      </c>
      <c r="H2" t="s">
        <v>42</v>
      </c>
      <c r="I2" t="s">
        <v>43</v>
      </c>
      <c r="J2" t="str">
        <f>CONCATENATE(H2, " ",I2)</f>
        <v>DOUGLAS SCHMIESKORS III</v>
      </c>
      <c r="K2" s="4">
        <v>26.08</v>
      </c>
      <c r="L2" t="s">
        <v>45</v>
      </c>
      <c r="M2" t="s">
        <v>114</v>
      </c>
      <c r="N2" t="s">
        <v>111</v>
      </c>
    </row>
    <row r="3" spans="1:14" x14ac:dyDescent="0.25">
      <c r="A3" t="s">
        <v>46</v>
      </c>
      <c r="B3" s="5">
        <v>17301495</v>
      </c>
      <c r="C3" s="9">
        <v>45931</v>
      </c>
      <c r="D3" t="s">
        <v>48</v>
      </c>
      <c r="E3" t="s">
        <v>50</v>
      </c>
      <c r="F3" t="str">
        <f t="shared" ref="F3:G11" si="0">CONCATENATE(E3,2)</f>
        <v>Z0000849162</v>
      </c>
      <c r="G3" t="s">
        <v>101</v>
      </c>
      <c r="H3" t="s">
        <v>51</v>
      </c>
      <c r="I3" t="s">
        <v>52</v>
      </c>
      <c r="J3" t="str">
        <f t="shared" ref="J3:J23" si="1">CONCATENATE(H3, " ",I3)</f>
        <v>Ignacia Espindola Morales</v>
      </c>
      <c r="K3" s="4">
        <v>156.5</v>
      </c>
      <c r="L3" t="s">
        <v>45</v>
      </c>
      <c r="M3" t="s">
        <v>114</v>
      </c>
      <c r="N3" t="s">
        <v>112</v>
      </c>
    </row>
    <row r="4" spans="1:14" x14ac:dyDescent="0.25">
      <c r="A4" t="s">
        <v>46</v>
      </c>
      <c r="B4" s="5">
        <v>17301495</v>
      </c>
      <c r="C4" s="9">
        <v>45658</v>
      </c>
      <c r="D4" t="s">
        <v>48</v>
      </c>
      <c r="E4" t="s">
        <v>54</v>
      </c>
      <c r="F4" t="str">
        <f t="shared" si="0"/>
        <v>Z0000480142</v>
      </c>
      <c r="G4" t="s">
        <v>102</v>
      </c>
      <c r="H4" t="s">
        <v>55</v>
      </c>
      <c r="I4" t="s">
        <v>56</v>
      </c>
      <c r="J4" t="str">
        <f t="shared" si="1"/>
        <v>JOSE HERNANDEZ</v>
      </c>
      <c r="K4" s="4">
        <v>26.08</v>
      </c>
      <c r="L4" t="s">
        <v>45</v>
      </c>
      <c r="M4" t="s">
        <v>114</v>
      </c>
      <c r="N4" t="s">
        <v>111</v>
      </c>
    </row>
    <row r="5" spans="1:14" x14ac:dyDescent="0.25">
      <c r="A5" t="s">
        <v>46</v>
      </c>
      <c r="B5" s="5">
        <v>17301495</v>
      </c>
      <c r="C5" s="9">
        <v>45658</v>
      </c>
      <c r="D5" t="s">
        <v>48</v>
      </c>
      <c r="E5" t="s">
        <v>58</v>
      </c>
      <c r="F5" t="str">
        <f t="shared" si="0"/>
        <v>Z0000456332</v>
      </c>
      <c r="G5" t="s">
        <v>103</v>
      </c>
      <c r="H5" t="s">
        <v>59</v>
      </c>
      <c r="I5" t="s">
        <v>60</v>
      </c>
      <c r="J5" t="str">
        <f t="shared" si="1"/>
        <v>LINDA DANIEL</v>
      </c>
      <c r="K5" s="4">
        <v>26.08</v>
      </c>
      <c r="L5" t="s">
        <v>45</v>
      </c>
      <c r="M5" t="s">
        <v>114</v>
      </c>
      <c r="N5" t="s">
        <v>111</v>
      </c>
    </row>
    <row r="6" spans="1:14" x14ac:dyDescent="0.25">
      <c r="A6" t="s">
        <v>46</v>
      </c>
      <c r="B6" s="5">
        <v>17301495</v>
      </c>
      <c r="C6" s="9">
        <v>45658</v>
      </c>
      <c r="D6" t="s">
        <v>39</v>
      </c>
      <c r="E6" t="s">
        <v>62</v>
      </c>
      <c r="F6" t="str">
        <f t="shared" si="0"/>
        <v>Z0000436442</v>
      </c>
      <c r="G6" t="s">
        <v>104</v>
      </c>
      <c r="H6" t="s">
        <v>63</v>
      </c>
      <c r="I6" t="s">
        <v>64</v>
      </c>
      <c r="J6" t="str">
        <f t="shared" si="1"/>
        <v>OLEGARIO HERNANDEZ FLORES</v>
      </c>
      <c r="K6" s="4">
        <v>26.08</v>
      </c>
      <c r="L6" t="s">
        <v>45</v>
      </c>
      <c r="M6" t="s">
        <v>114</v>
      </c>
      <c r="N6" t="s">
        <v>111</v>
      </c>
    </row>
    <row r="7" spans="1:14" x14ac:dyDescent="0.25">
      <c r="A7" t="s">
        <v>46</v>
      </c>
      <c r="B7" s="5">
        <v>17301495</v>
      </c>
      <c r="C7" s="9">
        <v>45658</v>
      </c>
      <c r="D7" t="s">
        <v>48</v>
      </c>
      <c r="E7" t="s">
        <v>66</v>
      </c>
      <c r="F7" t="str">
        <f t="shared" si="0"/>
        <v>Z0000461192</v>
      </c>
      <c r="G7" t="s">
        <v>105</v>
      </c>
      <c r="H7" t="s">
        <v>67</v>
      </c>
      <c r="I7" t="s">
        <v>68</v>
      </c>
      <c r="J7" t="str">
        <f t="shared" si="1"/>
        <v>RENE DIAZ</v>
      </c>
      <c r="K7" s="4">
        <v>26.08</v>
      </c>
      <c r="L7" t="s">
        <v>45</v>
      </c>
      <c r="M7" t="s">
        <v>114</v>
      </c>
      <c r="N7" t="s">
        <v>111</v>
      </c>
    </row>
    <row r="8" spans="1:14" x14ac:dyDescent="0.25">
      <c r="A8" t="s">
        <v>69</v>
      </c>
      <c r="B8" s="5">
        <v>8814784</v>
      </c>
      <c r="C8" s="9">
        <v>45658</v>
      </c>
      <c r="D8" t="s">
        <v>39</v>
      </c>
      <c r="E8" t="s">
        <v>72</v>
      </c>
      <c r="F8" t="str">
        <f t="shared" si="0"/>
        <v>Z0000435132</v>
      </c>
      <c r="G8" t="s">
        <v>106</v>
      </c>
      <c r="H8" t="s">
        <v>73</v>
      </c>
      <c r="I8" t="s">
        <v>74</v>
      </c>
      <c r="J8" t="str">
        <f t="shared" si="1"/>
        <v>WALTER ATTERBERRY</v>
      </c>
      <c r="K8" s="4">
        <v>26.08</v>
      </c>
      <c r="L8" t="s">
        <v>45</v>
      </c>
      <c r="M8" t="s">
        <v>114</v>
      </c>
      <c r="N8" t="s">
        <v>111</v>
      </c>
    </row>
    <row r="9" spans="1:14" x14ac:dyDescent="0.25">
      <c r="A9" t="s">
        <v>75</v>
      </c>
      <c r="B9" s="5">
        <v>9213293</v>
      </c>
      <c r="C9" s="9">
        <v>45658</v>
      </c>
      <c r="D9" t="s">
        <v>77</v>
      </c>
      <c r="E9" t="s">
        <v>79</v>
      </c>
      <c r="F9" t="str">
        <f t="shared" si="0"/>
        <v>Z0000417102</v>
      </c>
      <c r="G9" t="s">
        <v>107</v>
      </c>
      <c r="H9" t="s">
        <v>80</v>
      </c>
      <c r="I9" t="s">
        <v>81</v>
      </c>
      <c r="J9" t="str">
        <f t="shared" si="1"/>
        <v>ANGEL TORRES</v>
      </c>
      <c r="K9" s="4">
        <v>26.08</v>
      </c>
      <c r="L9" t="s">
        <v>45</v>
      </c>
      <c r="M9" t="s">
        <v>114</v>
      </c>
      <c r="N9" t="s">
        <v>111</v>
      </c>
    </row>
    <row r="10" spans="1:14" x14ac:dyDescent="0.25">
      <c r="A10" t="s">
        <v>75</v>
      </c>
      <c r="B10" s="5">
        <v>9213293</v>
      </c>
      <c r="C10" s="9">
        <v>45931</v>
      </c>
      <c r="D10" t="s">
        <v>48</v>
      </c>
      <c r="E10" t="s">
        <v>83</v>
      </c>
      <c r="F10" t="str">
        <f t="shared" si="0"/>
        <v>Z0000847012</v>
      </c>
      <c r="G10" t="s">
        <v>108</v>
      </c>
      <c r="H10" t="s">
        <v>84</v>
      </c>
      <c r="I10" t="s">
        <v>85</v>
      </c>
      <c r="J10" t="str">
        <f t="shared" si="1"/>
        <v>Susan Mitchell</v>
      </c>
      <c r="K10" s="4">
        <v>156.5</v>
      </c>
      <c r="L10" t="s">
        <v>45</v>
      </c>
      <c r="M10" t="s">
        <v>114</v>
      </c>
      <c r="N10" t="s">
        <v>112</v>
      </c>
    </row>
    <row r="11" spans="1:14" x14ac:dyDescent="0.25">
      <c r="A11" t="s">
        <v>86</v>
      </c>
      <c r="B11" s="5">
        <v>8307933</v>
      </c>
      <c r="C11" s="9">
        <v>45658</v>
      </c>
      <c r="D11" t="s">
        <v>39</v>
      </c>
      <c r="E11" t="s">
        <v>89</v>
      </c>
      <c r="F11" t="str">
        <f t="shared" si="0"/>
        <v>Z0000504592</v>
      </c>
      <c r="G11" t="s">
        <v>109</v>
      </c>
      <c r="H11" t="s">
        <v>90</v>
      </c>
      <c r="I11" t="s">
        <v>91</v>
      </c>
      <c r="J11" t="str">
        <f t="shared" si="1"/>
        <v>ERLENE CARTER</v>
      </c>
      <c r="K11" s="4">
        <v>26.08</v>
      </c>
      <c r="L11" t="s">
        <v>45</v>
      </c>
      <c r="M11" t="s">
        <v>114</v>
      </c>
      <c r="N11" t="s">
        <v>111</v>
      </c>
    </row>
    <row r="12" spans="1:14" s="6" customFormat="1" x14ac:dyDescent="0.25">
      <c r="A12" s="6" t="s">
        <v>99</v>
      </c>
      <c r="B12" s="7">
        <v>20411454</v>
      </c>
      <c r="C12" s="10">
        <v>45658</v>
      </c>
      <c r="D12" s="6" t="s">
        <v>77</v>
      </c>
      <c r="E12" s="6" t="s">
        <v>79</v>
      </c>
      <c r="F12" s="6" t="str">
        <f>CONCATENATE(E12,22)</f>
        <v>Z00004171022</v>
      </c>
      <c r="G12" s="6" t="str">
        <f>CONCATENATE(E12, "OVR")</f>
        <v>Z000041710OVR</v>
      </c>
      <c r="H12" s="6" t="s">
        <v>80</v>
      </c>
      <c r="I12" s="6" t="s">
        <v>81</v>
      </c>
      <c r="J12" s="6" t="str">
        <f t="shared" si="1"/>
        <v>ANGEL TORRES</v>
      </c>
      <c r="K12" s="8">
        <v>8.32</v>
      </c>
      <c r="L12" s="6" t="s">
        <v>92</v>
      </c>
      <c r="M12" s="6" t="s">
        <v>113</v>
      </c>
    </row>
    <row r="13" spans="1:14" s="6" customFormat="1" x14ac:dyDescent="0.25">
      <c r="A13" s="6" t="s">
        <v>99</v>
      </c>
      <c r="B13" s="7">
        <v>20411454</v>
      </c>
      <c r="C13" s="10">
        <v>45658</v>
      </c>
      <c r="D13" s="6" t="s">
        <v>39</v>
      </c>
      <c r="E13" s="6" t="s">
        <v>96</v>
      </c>
      <c r="F13" s="6" t="str">
        <f t="shared" ref="F13:F22" si="2">CONCATENATE(E13,22)</f>
        <v>Z00004814822</v>
      </c>
      <c r="G13" s="6" t="str">
        <f t="shared" ref="G13:G22" si="3">CONCATENATE(E13, "OVR")</f>
        <v>Z000048148OVR</v>
      </c>
      <c r="H13" s="6" t="s">
        <v>97</v>
      </c>
      <c r="I13" s="6" t="s">
        <v>98</v>
      </c>
      <c r="J13" s="6" t="str">
        <f t="shared" si="1"/>
        <v>DAXABEN PATEL</v>
      </c>
      <c r="K13" s="8">
        <v>8.32</v>
      </c>
      <c r="L13" s="6" t="s">
        <v>92</v>
      </c>
      <c r="M13" s="6" t="s">
        <v>113</v>
      </c>
    </row>
    <row r="14" spans="1:14" s="6" customFormat="1" x14ac:dyDescent="0.25">
      <c r="A14" s="6" t="s">
        <v>99</v>
      </c>
      <c r="B14" s="7">
        <v>20411454</v>
      </c>
      <c r="C14" s="10">
        <v>45658</v>
      </c>
      <c r="D14" s="6" t="s">
        <v>39</v>
      </c>
      <c r="E14" s="6" t="s">
        <v>41</v>
      </c>
      <c r="F14" s="6" t="str">
        <f t="shared" si="2"/>
        <v>Z00005354322</v>
      </c>
      <c r="G14" s="6" t="str">
        <f t="shared" si="3"/>
        <v>Z000053543OVR</v>
      </c>
      <c r="H14" s="6" t="s">
        <v>42</v>
      </c>
      <c r="I14" s="6" t="s">
        <v>43</v>
      </c>
      <c r="J14" s="6" t="str">
        <f t="shared" si="1"/>
        <v>DOUGLAS SCHMIESKORS III</v>
      </c>
      <c r="K14" s="8">
        <v>8.32</v>
      </c>
      <c r="L14" s="6" t="s">
        <v>92</v>
      </c>
      <c r="M14" s="6" t="s">
        <v>113</v>
      </c>
    </row>
    <row r="15" spans="1:14" s="6" customFormat="1" x14ac:dyDescent="0.25">
      <c r="A15" s="6" t="s">
        <v>99</v>
      </c>
      <c r="B15" s="7">
        <v>20411454</v>
      </c>
      <c r="C15" s="10">
        <v>45658</v>
      </c>
      <c r="D15" s="6" t="s">
        <v>39</v>
      </c>
      <c r="E15" s="6" t="s">
        <v>89</v>
      </c>
      <c r="F15" s="6" t="str">
        <f t="shared" si="2"/>
        <v>Z00005045922</v>
      </c>
      <c r="G15" s="6" t="str">
        <f t="shared" si="3"/>
        <v>Z000050459OVR</v>
      </c>
      <c r="H15" s="6" t="s">
        <v>90</v>
      </c>
      <c r="I15" s="6" t="s">
        <v>91</v>
      </c>
      <c r="J15" s="6" t="str">
        <f t="shared" si="1"/>
        <v>ERLENE CARTER</v>
      </c>
      <c r="K15" s="8">
        <v>8.32</v>
      </c>
      <c r="L15" s="6" t="s">
        <v>92</v>
      </c>
      <c r="M15" s="6" t="s">
        <v>113</v>
      </c>
    </row>
    <row r="16" spans="1:14" s="6" customFormat="1" x14ac:dyDescent="0.25">
      <c r="A16" s="6" t="s">
        <v>99</v>
      </c>
      <c r="B16" s="7">
        <v>20411454</v>
      </c>
      <c r="C16" s="10">
        <v>45931</v>
      </c>
      <c r="D16" s="6" t="s">
        <v>48</v>
      </c>
      <c r="E16" s="6" t="s">
        <v>50</v>
      </c>
      <c r="F16" s="6" t="str">
        <f t="shared" si="2"/>
        <v>Z00008491622</v>
      </c>
      <c r="G16" s="6" t="str">
        <f t="shared" si="3"/>
        <v>Z000084916OVR</v>
      </c>
      <c r="H16" s="6" t="s">
        <v>51</v>
      </c>
      <c r="I16" s="6" t="s">
        <v>52</v>
      </c>
      <c r="J16" s="6" t="str">
        <f t="shared" si="1"/>
        <v>Ignacia Espindola Morales</v>
      </c>
      <c r="K16" s="8">
        <v>200</v>
      </c>
      <c r="L16" s="6" t="s">
        <v>92</v>
      </c>
      <c r="M16" s="6" t="s">
        <v>113</v>
      </c>
    </row>
    <row r="17" spans="1:14" s="6" customFormat="1" x14ac:dyDescent="0.25">
      <c r="A17" s="6" t="s">
        <v>99</v>
      </c>
      <c r="B17" s="7">
        <v>20411454</v>
      </c>
      <c r="C17" s="10">
        <v>45658</v>
      </c>
      <c r="D17" s="6" t="s">
        <v>48</v>
      </c>
      <c r="E17" s="6" t="s">
        <v>54</v>
      </c>
      <c r="F17" s="6" t="str">
        <f t="shared" si="2"/>
        <v>Z00004801422</v>
      </c>
      <c r="G17" s="6" t="str">
        <f t="shared" si="3"/>
        <v>Z000048014OVR</v>
      </c>
      <c r="H17" s="6" t="s">
        <v>55</v>
      </c>
      <c r="I17" s="6" t="s">
        <v>56</v>
      </c>
      <c r="J17" s="6" t="str">
        <f t="shared" si="1"/>
        <v>JOSE HERNANDEZ</v>
      </c>
      <c r="K17" s="8">
        <v>8.32</v>
      </c>
      <c r="L17" s="6" t="s">
        <v>92</v>
      </c>
      <c r="M17" s="6" t="s">
        <v>113</v>
      </c>
    </row>
    <row r="18" spans="1:14" s="6" customFormat="1" x14ac:dyDescent="0.25">
      <c r="A18" s="6" t="s">
        <v>99</v>
      </c>
      <c r="B18" s="7">
        <v>20411454</v>
      </c>
      <c r="C18" s="10">
        <v>45658</v>
      </c>
      <c r="D18" s="6" t="s">
        <v>48</v>
      </c>
      <c r="E18" s="6" t="s">
        <v>58</v>
      </c>
      <c r="F18" s="6" t="str">
        <f t="shared" si="2"/>
        <v>Z00004563322</v>
      </c>
      <c r="G18" s="6" t="str">
        <f t="shared" si="3"/>
        <v>Z000045633OVR</v>
      </c>
      <c r="H18" s="6" t="s">
        <v>59</v>
      </c>
      <c r="I18" s="6" t="s">
        <v>60</v>
      </c>
      <c r="J18" s="6" t="str">
        <f t="shared" si="1"/>
        <v>LINDA DANIEL</v>
      </c>
      <c r="K18" s="8">
        <v>8.32</v>
      </c>
      <c r="L18" s="6" t="s">
        <v>92</v>
      </c>
      <c r="M18" s="6" t="s">
        <v>113</v>
      </c>
    </row>
    <row r="19" spans="1:14" s="6" customFormat="1" x14ac:dyDescent="0.25">
      <c r="A19" s="6" t="s">
        <v>99</v>
      </c>
      <c r="B19" s="7">
        <v>20411454</v>
      </c>
      <c r="C19" s="10">
        <v>45658</v>
      </c>
      <c r="D19" s="6" t="s">
        <v>39</v>
      </c>
      <c r="E19" s="6" t="s">
        <v>62</v>
      </c>
      <c r="F19" s="6" t="str">
        <f t="shared" si="2"/>
        <v>Z00004364422</v>
      </c>
      <c r="G19" s="6" t="str">
        <f t="shared" si="3"/>
        <v>Z000043644OVR</v>
      </c>
      <c r="H19" s="6" t="s">
        <v>63</v>
      </c>
      <c r="I19" s="6" t="s">
        <v>64</v>
      </c>
      <c r="J19" s="6" t="str">
        <f t="shared" si="1"/>
        <v>OLEGARIO HERNANDEZ FLORES</v>
      </c>
      <c r="K19" s="8">
        <v>8.32</v>
      </c>
      <c r="L19" s="6" t="s">
        <v>92</v>
      </c>
      <c r="M19" s="6" t="s">
        <v>113</v>
      </c>
    </row>
    <row r="20" spans="1:14" s="6" customFormat="1" x14ac:dyDescent="0.25">
      <c r="A20" s="6" t="s">
        <v>99</v>
      </c>
      <c r="B20" s="7">
        <v>20411454</v>
      </c>
      <c r="C20" s="10">
        <v>45658</v>
      </c>
      <c r="D20" s="6" t="s">
        <v>48</v>
      </c>
      <c r="E20" s="6" t="s">
        <v>66</v>
      </c>
      <c r="F20" s="6" t="str">
        <f t="shared" si="2"/>
        <v>Z00004611922</v>
      </c>
      <c r="G20" s="6" t="str">
        <f t="shared" si="3"/>
        <v>Z000046119OVR</v>
      </c>
      <c r="H20" s="6" t="s">
        <v>67</v>
      </c>
      <c r="I20" s="6" t="s">
        <v>68</v>
      </c>
      <c r="J20" s="6" t="str">
        <f t="shared" si="1"/>
        <v>RENE DIAZ</v>
      </c>
      <c r="K20" s="8">
        <v>8.32</v>
      </c>
      <c r="L20" s="6" t="s">
        <v>92</v>
      </c>
      <c r="M20" s="6" t="s">
        <v>113</v>
      </c>
    </row>
    <row r="21" spans="1:14" s="6" customFormat="1" x14ac:dyDescent="0.25">
      <c r="A21" s="6" t="s">
        <v>99</v>
      </c>
      <c r="B21" s="7">
        <v>20411454</v>
      </c>
      <c r="C21" s="10">
        <v>45931</v>
      </c>
      <c r="D21" s="6" t="s">
        <v>48</v>
      </c>
      <c r="E21" s="6" t="s">
        <v>83</v>
      </c>
      <c r="F21" s="6" t="str">
        <f t="shared" si="2"/>
        <v>Z00008470122</v>
      </c>
      <c r="G21" s="6" t="str">
        <f t="shared" si="3"/>
        <v>Z000084701OVR</v>
      </c>
      <c r="H21" s="6" t="s">
        <v>84</v>
      </c>
      <c r="I21" s="6" t="s">
        <v>85</v>
      </c>
      <c r="J21" s="6" t="str">
        <f t="shared" si="1"/>
        <v>Susan Mitchell</v>
      </c>
      <c r="K21" s="8">
        <v>200</v>
      </c>
      <c r="L21" s="6" t="s">
        <v>92</v>
      </c>
      <c r="M21" s="6" t="s">
        <v>113</v>
      </c>
    </row>
    <row r="22" spans="1:14" s="6" customFormat="1" x14ac:dyDescent="0.25">
      <c r="A22" s="6" t="s">
        <v>99</v>
      </c>
      <c r="B22" s="7">
        <v>20411454</v>
      </c>
      <c r="C22" s="10">
        <v>45658</v>
      </c>
      <c r="D22" s="6" t="s">
        <v>39</v>
      </c>
      <c r="E22" s="6" t="s">
        <v>72</v>
      </c>
      <c r="F22" s="6" t="str">
        <f t="shared" si="2"/>
        <v>Z00004351322</v>
      </c>
      <c r="G22" s="6" t="str">
        <f t="shared" si="3"/>
        <v>Z000043513OVR</v>
      </c>
      <c r="H22" s="6" t="s">
        <v>73</v>
      </c>
      <c r="I22" s="6" t="s">
        <v>74</v>
      </c>
      <c r="J22" s="6" t="str">
        <f t="shared" si="1"/>
        <v>WALTER ATTERBERRY</v>
      </c>
      <c r="K22" s="8">
        <v>8.32</v>
      </c>
      <c r="L22" s="6" t="s">
        <v>92</v>
      </c>
      <c r="M22" s="6" t="s">
        <v>113</v>
      </c>
    </row>
    <row r="23" spans="1:14" x14ac:dyDescent="0.25">
      <c r="A23" t="s">
        <v>93</v>
      </c>
      <c r="B23" s="5">
        <v>19396223</v>
      </c>
      <c r="C23" s="9">
        <v>45658</v>
      </c>
      <c r="D23" t="s">
        <v>39</v>
      </c>
      <c r="E23" t="s">
        <v>96</v>
      </c>
      <c r="F23" t="str">
        <f>CONCATENATE(E23,2)</f>
        <v>Z0000481482</v>
      </c>
      <c r="G23" t="s">
        <v>110</v>
      </c>
      <c r="H23" t="s">
        <v>97</v>
      </c>
      <c r="I23" t="s">
        <v>98</v>
      </c>
      <c r="J23" t="str">
        <f t="shared" si="1"/>
        <v>DAXABEN PATEL</v>
      </c>
      <c r="K23" s="4">
        <v>26.08</v>
      </c>
      <c r="L23" t="s">
        <v>45</v>
      </c>
      <c r="M23" t="s">
        <v>114</v>
      </c>
      <c r="N2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2025-10-10T11:43:52Z</dcterms:created>
  <dcterms:modified xsi:type="dcterms:W3CDTF">2025-10-14T18:37:13Z</dcterms:modified>
</cp:coreProperties>
</file>