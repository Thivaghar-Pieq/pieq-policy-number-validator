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6\3-6-26\"/>
    </mc:Choice>
  </mc:AlternateContent>
  <xr:revisionPtr revIDLastSave="0" documentId="13_ncr:1_{A5109B54-C9DB-432C-B820-FE6CB676B5A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2" i="3"/>
  <c r="E111" i="3"/>
  <c r="E137" i="3"/>
  <c r="E138" i="3"/>
  <c r="E80" i="3"/>
  <c r="E81" i="3"/>
  <c r="E82" i="3"/>
  <c r="E85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5" i="3"/>
  <c r="E136" i="3"/>
  <c r="E139" i="3"/>
  <c r="E140" i="3"/>
  <c r="E141" i="3"/>
  <c r="E142" i="3"/>
  <c r="E143" i="3"/>
  <c r="E144" i="3"/>
  <c r="E146" i="3"/>
  <c r="E147" i="3"/>
  <c r="E148" i="3"/>
  <c r="E149" i="3"/>
  <c r="E150" i="3"/>
  <c r="E151" i="3"/>
  <c r="E152" i="3"/>
  <c r="E153" i="3"/>
  <c r="E155" i="3"/>
  <c r="E83" i="3"/>
  <c r="E84" i="3"/>
  <c r="E154" i="3"/>
  <c r="E156" i="3"/>
  <c r="E86" i="3"/>
  <c r="E134" i="3"/>
  <c r="E145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<sst xmlns="http://schemas.openxmlformats.org/spreadsheetml/2006/main" count="3386" uniqueCount="406">
  <si>
    <t/>
  </si>
  <si>
    <t>Description</t>
  </si>
  <si>
    <t>Member Count</t>
  </si>
  <si>
    <t>Credits</t>
  </si>
  <si>
    <t>Debits</t>
  </si>
  <si>
    <t>Total</t>
  </si>
  <si>
    <t>Initial Enrollments</t>
  </si>
  <si>
    <t>$2,850.68</t>
  </si>
  <si>
    <t>$0.00</t>
  </si>
  <si>
    <t>Renewal Enrollments</t>
  </si>
  <si>
    <t>$2,503.40</t>
  </si>
  <si>
    <t>Rapid Disenrollments</t>
  </si>
  <si>
    <t>($3,082.00)</t>
  </si>
  <si>
    <t>Disenrollments</t>
  </si>
  <si>
    <t>Bonus</t>
  </si>
  <si>
    <t>Activity</t>
  </si>
  <si>
    <t>Miscellaneous</t>
  </si>
  <si>
    <t>Balance</t>
  </si>
  <si>
    <t>TOTAL</t>
  </si>
  <si>
    <t>$5,354.08</t>
  </si>
  <si>
    <t>$2,272.08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</si>
  <si>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</si>
  <si>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</si>
  <si>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</si>
  <si>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</si>
  <si>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</si>
  <si>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</si>
  <si>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</si>
  <si>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</si>
  <si>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</si>
  <si>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</si>
  <si>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</si>
  <si>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</si>
  <si>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</si>
  <si>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</si>
  <si>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</si>
  <si>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</si>
  <si>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</si>
  <si>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</si>
  <si>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</si>
  <si>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</si>
  <si>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</si>
  <si>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</si>
  <si>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</si>
  <si>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</si>
  <si>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</si>
  <si>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</si>
  <si>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$28.92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</si>
  <si>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</si>
  <si>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</si>
  <si>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</si>
  <si>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</si>
  <si>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</si>
  <si>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</si>
  <si>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</si>
  <si>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</si>
  <si>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</si>
  <si>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</si>
  <si>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</si>
  <si>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</si>
  <si>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</si>
  <si>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</si>
  <si>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</si>
  <si>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Chad Yale</t>
  </si>
  <si>
    <t>20003537</t>
  </si>
  <si>
    <t>Zing Elite Select MI  (HMO)</t>
  </si>
  <si>
    <t>5K16A91HC71</t>
  </si>
  <si>
    <t>Z000102485</t>
  </si>
  <si>
    <t>LINDA</t>
  </si>
  <si>
    <t>BOMMARITO</t>
  </si>
  <si>
    <t>$289.17</t>
  </si>
  <si>
    <t>7A77J75VE79</t>
  </si>
  <si>
    <t>Z000102332</t>
  </si>
  <si>
    <t>WILLIAM</t>
  </si>
  <si>
    <t>AUDIA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</si>
  <si>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</si>
  <si>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</si>
  <si>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</si>
  <si>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</si>
  <si>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</si>
  <si>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</si>
  <si>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</si>
  <si>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</si>
  <si>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</si>
  <si>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</si>
  <si>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</si>
  <si>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</si>
  <si>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</si>
  <si>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</si>
  <si>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</si>
  <si>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</si>
  <si>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</si>
  <si>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</si>
  <si>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</si>
  <si>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</si>
  <si>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</si>
  <si>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</si>
  <si>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</si>
  <si>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</si>
  <si>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</si>
  <si>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9RU9ER3CY43</t>
  </si>
  <si>
    <t>Z000057415</t>
  </si>
  <si>
    <t>PAUL</t>
  </si>
  <si>
    <t>CABAY</t>
  </si>
  <si>
    <t>7X42P52CU90</t>
  </si>
  <si>
    <t>Z000087579</t>
  </si>
  <si>
    <t>WILLIE</t>
  </si>
  <si>
    <t>HOLMES</t>
  </si>
  <si>
    <t>($347.00)</t>
  </si>
  <si>
    <t>Esther Herrera-Larsen</t>
  </si>
  <si>
    <t>17301495</t>
  </si>
  <si>
    <t>3YA4D39DG64</t>
  </si>
  <si>
    <t>Z000059609</t>
  </si>
  <si>
    <t>ANA</t>
  </si>
  <si>
    <t>MARTINEZ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</si>
  <si>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</si>
  <si>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</si>
  <si>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</si>
  <si>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</si>
  <si>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</si>
  <si>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</si>
  <si>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</si>
  <si>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</si>
  <si>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</si>
  <si>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</si>
  <si>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</si>
  <si>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</si>
  <si>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</si>
  <si>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</si>
  <si>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</si>
  <si>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</si>
  <si>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</si>
  <si>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</si>
  <si>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</si>
  <si>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</si>
  <si>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</si>
  <si>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</si>
  <si>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</si>
  <si>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</si>
  <si>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</si>
  <si>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</si>
  <si>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</si>
  <si>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8FM2YJ2UJ25</t>
  </si>
  <si>
    <t>Z000045633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</si>
  <si>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</si>
  <si>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</si>
  <si>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</si>
  <si>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</si>
  <si>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</si>
  <si>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</si>
  <si>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</si>
  <si>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</si>
  <si>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</si>
  <si>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</si>
  <si>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</si>
  <si>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</si>
  <si>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</si>
  <si>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</si>
  <si>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</si>
  <si>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</si>
  <si>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</si>
  <si>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</si>
  <si>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</si>
  <si>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</si>
  <si>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</si>
  <si>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</si>
  <si>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</si>
  <si>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</si>
  <si>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</si>
  <si>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</si>
  <si>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</si>
  <si>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</si>
  <si>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</si>
  <si>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</si>
  <si>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</si>
  <si>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</si>
  <si>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</si>
  <si>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</si>
  <si>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</si>
  <si>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</si>
  <si>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</si>
  <si>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</si>
  <si>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</si>
  <si>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</si>
  <si>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</si>
  <si>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</si>
  <si>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</si>
  <si>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</si>
  <si>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</si>
  <si>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</si>
  <si>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</si>
  <si>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</si>
  <si>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</si>
  <si>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</si>
  <si>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</si>
  <si>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</si>
  <si>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</si>
  <si>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</si>
  <si>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</si>
  <si>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</si>
  <si>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</si>
  <si>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</si>
  <si>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</si>
  <si>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</si>
  <si>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</si>
  <si>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</si>
  <si>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</si>
  <si>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</si>
  <si>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</si>
  <si>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</si>
  <si>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</si>
  <si>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</si>
  <si>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</si>
  <si>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</si>
  <si>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</si>
  <si>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</si>
  <si>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</si>
  <si>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</si>
  <si>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</si>
  <si>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</si>
  <si>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</si>
  <si>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</si>
  <si>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</si>
  <si>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</si>
  <si>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9YJ0YG5PE30</t>
  </si>
  <si>
    <t>Z000096712</t>
  </si>
  <si>
    <t>IRVIN</t>
  </si>
  <si>
    <t>BLACKBURN JR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</si>
  <si>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</si>
  <si>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</si>
  <si>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</si>
  <si>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</si>
  <si>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</si>
  <si>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</si>
  <si>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</si>
  <si>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</si>
  <si>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</si>
  <si>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</si>
  <si>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</si>
  <si>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</si>
  <si>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</si>
  <si>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</si>
  <si>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</si>
  <si>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</si>
  <si>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</si>
  <si>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</si>
  <si>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</si>
  <si>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</si>
  <si>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</si>
  <si>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</si>
  <si>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</si>
  <si>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</si>
  <si>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</si>
  <si>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</si>
  <si>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</si>
  <si>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Zing Choice IL (HMO)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</si>
  <si>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</si>
  <si>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</si>
  <si>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</si>
  <si>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</si>
  <si>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</si>
  <si>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</si>
  <si>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</si>
  <si>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</si>
  <si>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</si>
  <si>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</si>
  <si>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</si>
  <si>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</si>
  <si>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</si>
  <si>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</si>
  <si>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</si>
  <si>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</si>
  <si>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</si>
  <si>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</si>
  <si>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3YM4RQ0JC89</t>
  </si>
  <si>
    <t>Z000082208</t>
  </si>
  <si>
    <t>JESSE</t>
  </si>
  <si>
    <t>HAYDEN JR</t>
  </si>
  <si>
    <t>Jeffrey Horn</t>
  </si>
  <si>
    <t>2158366</t>
  </si>
  <si>
    <t>9XX3JT3XD79</t>
  </si>
  <si>
    <t>Z000049437</t>
  </si>
  <si>
    <t>RENEE</t>
  </si>
  <si>
    <t>LUMPKIN</t>
  </si>
  <si>
    <t>4VP0XE9WG25</t>
  </si>
  <si>
    <t>Z000095437</t>
  </si>
  <si>
    <t>PAYNE</t>
  </si>
  <si>
    <t>No</t>
  </si>
  <si>
    <t>$694.00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</si>
  <si>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</si>
  <si>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</si>
  <si>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</si>
  <si>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</si>
  <si>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</si>
  <si>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</si>
  <si>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</si>
  <si>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</si>
  <si>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Zing Elite Select IN  (HMO)</t>
  </si>
  <si>
    <t>2QN3HD7PT12</t>
  </si>
  <si>
    <t>Z000050027</t>
  </si>
  <si>
    <t>FORTUNATA</t>
  </si>
  <si>
    <t>CORONEL</t>
  </si>
  <si>
    <t>6E83XE8AN97</t>
  </si>
  <si>
    <t>Z000094118</t>
  </si>
  <si>
    <t>HERMILO</t>
  </si>
  <si>
    <t>SOTELO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</si>
  <si>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</si>
  <si>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</si>
  <si>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</si>
  <si>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</si>
  <si>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</si>
  <si>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</si>
  <si>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</si>
  <si>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</si>
  <si>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1TC6WY3XT83</t>
  </si>
  <si>
    <t>Z000091806</t>
  </si>
  <si>
    <t>MARIO</t>
  </si>
  <si>
    <t>DELGADO VILLAMIZAR</t>
  </si>
  <si>
    <t>4MW2R25QR19</t>
  </si>
  <si>
    <t>Z000073408</t>
  </si>
  <si>
    <t>SANTOYO</t>
  </si>
  <si>
    <t>8RE5MJ3AC73</t>
  </si>
  <si>
    <t>Z000051402</t>
  </si>
  <si>
    <t>SABINA</t>
  </si>
  <si>
    <t>HERNANDEZ</t>
  </si>
  <si>
    <t>Stephanie Drapac</t>
  </si>
  <si>
    <t>17126004</t>
  </si>
  <si>
    <t>4YF5DF2VG78</t>
  </si>
  <si>
    <t>Z000102175</t>
  </si>
  <si>
    <t>ALAN</t>
  </si>
  <si>
    <t>ESTEBAN</t>
  </si>
  <si>
    <t>$200.00</t>
  </si>
  <si>
    <t>Admin</t>
  </si>
  <si>
    <t>$8.32</t>
  </si>
  <si>
    <t>Patsamon Thanadabouth</t>
  </si>
  <si>
    <t>8405446</t>
  </si>
  <si>
    <t>5NG5AU5UN54</t>
  </si>
  <si>
    <t>Z000077462</t>
  </si>
  <si>
    <t>ANN</t>
  </si>
  <si>
    <t>CHANTHARASY</t>
  </si>
  <si>
    <t>6KD2KN3UP11</t>
  </si>
  <si>
    <t>Z000097666</t>
  </si>
  <si>
    <t>ANTHONY</t>
  </si>
  <si>
    <t>PHORASAVONG</t>
  </si>
  <si>
    <t>($200.00)</t>
  </si>
  <si>
    <t>Ricardo Santos</t>
  </si>
  <si>
    <t>19200754</t>
  </si>
  <si>
    <t>5A23XF9PE94</t>
  </si>
  <si>
    <t>Z000102886</t>
  </si>
  <si>
    <t>EDDIE</t>
  </si>
  <si>
    <t>COOPER</t>
  </si>
  <si>
    <t>Christine Holley-Davis</t>
  </si>
  <si>
    <t>19211215</t>
  </si>
  <si>
    <t>4V33QX2TA01</t>
  </si>
  <si>
    <t>Z000042188</t>
  </si>
  <si>
    <t>ELIZABETH</t>
  </si>
  <si>
    <t>WALTERS</t>
  </si>
  <si>
    <t>Saadia Abdul</t>
  </si>
  <si>
    <t>19396223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</si>
  <si>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</si>
  <si>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</si>
  <si>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</si>
  <si>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</si>
  <si>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</si>
  <si>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</si>
  <si>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</si>
  <si>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</si>
  <si>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</si>
  <si>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</si>
  <si>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</si>
  <si>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</si>
  <si>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</si>
  <si>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</si>
  <si>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</si>
  <si>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</si>
  <si>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</si>
  <si>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</si>
  <si>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</si>
  <si>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</si>
  <si>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</si>
  <si>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</si>
  <si>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</si>
  <si>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</si>
  <si>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</si>
  <si>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</si>
  <si>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</si>
  <si>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</si>
  <si>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</si>
  <si>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</si>
  <si>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</si>
  <si>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</si>
  <si>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Nasandelger Zana</t>
  </si>
  <si>
    <t>20220688</t>
  </si>
  <si>
    <t>3G29EK7NN51</t>
  </si>
  <si>
    <t>Z000070871</t>
  </si>
  <si>
    <t>TSEDEV</t>
  </si>
  <si>
    <t>TSEEPEL</t>
  </si>
  <si>
    <t>($694.00)</t>
  </si>
  <si>
    <t>Main Line Benefits</t>
  </si>
  <si>
    <t>Zing MAPD OVR</t>
  </si>
  <si>
    <t>Zing 2026</t>
  </si>
  <si>
    <t>Zing MAPD 2026*</t>
  </si>
  <si>
    <t>[%/$=347][prorate=12/12]</t>
  </si>
  <si>
    <t>[%/$=694]</t>
  </si>
  <si>
    <t>[%/$=347][prorate=1/12]</t>
  </si>
  <si>
    <t>[%/$=347][prorate=10/12]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</si>
</sst>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5" fontId="0" fillId="2" borderId="0" xfId="0" applyNumberFormat="1" applyFill="1"/>
    <xf numFmtId="8" fontId="0" fillId="2" borderId="0" xfId="0" applyNumberFormat="1" applyFill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8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D22" sqref="D22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5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68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5</v>
      </c>
      <c r="C4" t="s">
        <v>8</v>
      </c>
      <c r="D4" t="s">
        <v>12</v>
      </c>
      <c r="E4" t="s">
        <v>12</v>
      </c>
    </row>
    <row r="5" spans="1:5" x14ac:dyDescent="0.25">
      <c r="A5" t="s">
        <v>13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8</v>
      </c>
    </row>
    <row r="10" spans="1:5" x14ac:dyDescent="0.25">
      <c r="A10" t="s">
        <v>18</v>
      </c>
      <c r="B10">
        <v>78</v>
      </c>
      <c r="C10" t="s">
        <v>19</v>
      </c>
      <c r="D10" t="s">
        <v>12</v>
      </c>
      <c r="E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6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2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s="3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38</v>
      </c>
      <c r="B2" t="s">
        <v>39</v>
      </c>
      <c r="C2" s="1">
        <v>46023</v>
      </c>
      <c r="D2" t="s">
        <v>0</v>
      </c>
      <c r="E2" t="s">
        <v>40</v>
      </c>
      <c r="F2" t="s">
        <v>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3</v>
      </c>
      <c r="M2" t="s">
        <v>46</v>
      </c>
      <c r="N2" s="3" t="s">
        <v>0</v>
      </c>
      <c r="O2" t="s">
        <v>0</v>
      </c>
      <c r="P2" t="s">
        <v>47</v>
      </c>
      <c r="Q2" t="s">
        <v>48</v>
      </c>
    </row>
    <row r="3" spans="1:17" x14ac:dyDescent="0.25">
      <c r="A3" t="s">
        <v>49</v>
      </c>
      <c r="B3" t="s">
        <v>50</v>
      </c>
      <c r="C3" s="1">
        <v>46023</v>
      </c>
      <c r="D3" t="s">
        <v>0</v>
      </c>
      <c r="E3" t="s">
        <v>40</v>
      </c>
      <c r="F3" t="s">
        <v>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>
        <v>5</v>
      </c>
      <c r="M3" t="s">
        <v>46</v>
      </c>
      <c r="N3" s="3" t="s">
        <v>0</v>
      </c>
      <c r="O3" t="s">
        <v>0</v>
      </c>
      <c r="P3" t="s">
        <v>47</v>
      </c>
      <c r="Q3" t="s">
        <v>48</v>
      </c>
    </row>
    <row r="4" spans="1:17" x14ac:dyDescent="0.25">
      <c r="A4" t="s">
        <v>56</v>
      </c>
      <c r="B4" t="s">
        <v>57</v>
      </c>
      <c r="C4" s="1">
        <v>46023</v>
      </c>
      <c r="D4" t="s">
        <v>0</v>
      </c>
      <c r="E4" t="s">
        <v>40</v>
      </c>
      <c r="F4" t="s">
        <v>0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2</v>
      </c>
      <c r="M4" t="s">
        <v>46</v>
      </c>
      <c r="N4" s="3" t="s">
        <v>0</v>
      </c>
      <c r="O4" t="s">
        <v>0</v>
      </c>
      <c r="P4" t="s">
        <v>47</v>
      </c>
      <c r="Q4" t="s">
        <v>48</v>
      </c>
    </row>
    <row r="5" spans="1:17" x14ac:dyDescent="0.25">
      <c r="A5" t="s">
        <v>63</v>
      </c>
      <c r="B5" t="s">
        <v>64</v>
      </c>
      <c r="C5" s="2">
        <v>46082</v>
      </c>
      <c r="D5" t="s">
        <v>0</v>
      </c>
      <c r="E5" t="s">
        <v>40</v>
      </c>
      <c r="F5" t="s">
        <v>0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>
        <v>1</v>
      </c>
      <c r="M5" t="s">
        <v>46</v>
      </c>
      <c r="N5" s="3" t="s">
        <v>0</v>
      </c>
      <c r="O5" t="s">
        <v>0</v>
      </c>
      <c r="P5" t="s">
        <v>70</v>
      </c>
      <c r="Q5" t="s">
        <v>48</v>
      </c>
    </row>
    <row r="6" spans="1:17" x14ac:dyDescent="0.25">
      <c r="A6" t="s">
        <v>63</v>
      </c>
      <c r="B6" t="s">
        <v>64</v>
      </c>
      <c r="C6" s="2">
        <v>46082</v>
      </c>
      <c r="D6" t="s">
        <v>0</v>
      </c>
      <c r="E6" t="s">
        <v>40</v>
      </c>
      <c r="F6" t="s">
        <v>0</v>
      </c>
      <c r="G6" t="s">
        <v>65</v>
      </c>
      <c r="H6" t="s">
        <v>71</v>
      </c>
      <c r="I6" t="s">
        <v>72</v>
      </c>
      <c r="J6" t="s">
        <v>73</v>
      </c>
      <c r="K6" t="s">
        <v>74</v>
      </c>
      <c r="L6">
        <v>1</v>
      </c>
      <c r="M6" t="s">
        <v>46</v>
      </c>
      <c r="N6" s="3" t="s">
        <v>0</v>
      </c>
      <c r="O6" t="s">
        <v>0</v>
      </c>
      <c r="P6" t="s">
        <v>70</v>
      </c>
      <c r="Q6" t="s">
        <v>48</v>
      </c>
    </row>
    <row r="7" spans="1:17" x14ac:dyDescent="0.25">
      <c r="A7" t="s">
        <v>75</v>
      </c>
      <c r="B7" t="s">
        <v>76</v>
      </c>
      <c r="C7" s="1">
        <v>46023</v>
      </c>
      <c r="D7" t="s">
        <v>0</v>
      </c>
      <c r="E7" t="s">
        <v>40</v>
      </c>
      <c r="F7" t="s">
        <v>0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>
        <v>2</v>
      </c>
      <c r="M7" t="s">
        <v>46</v>
      </c>
      <c r="N7" s="3" t="s">
        <v>0</v>
      </c>
      <c r="O7" t="s">
        <v>0</v>
      </c>
      <c r="P7" t="s">
        <v>47</v>
      </c>
      <c r="Q7" t="s">
        <v>48</v>
      </c>
    </row>
    <row r="8" spans="1:17" x14ac:dyDescent="0.25">
      <c r="A8" t="s">
        <v>82</v>
      </c>
      <c r="B8" t="s">
        <v>83</v>
      </c>
      <c r="C8" s="1">
        <v>46023</v>
      </c>
      <c r="D8" t="s">
        <v>0</v>
      </c>
      <c r="E8" t="s">
        <v>40</v>
      </c>
      <c r="F8" t="s">
        <v>0</v>
      </c>
      <c r="G8" t="s">
        <v>58</v>
      </c>
      <c r="H8" t="s">
        <v>84</v>
      </c>
      <c r="I8" t="s">
        <v>85</v>
      </c>
      <c r="J8" t="s">
        <v>86</v>
      </c>
      <c r="K8" t="s">
        <v>87</v>
      </c>
      <c r="L8">
        <v>2</v>
      </c>
      <c r="M8" t="s">
        <v>46</v>
      </c>
      <c r="N8" s="3" t="s">
        <v>0</v>
      </c>
      <c r="O8" t="s">
        <v>0</v>
      </c>
      <c r="P8" t="s">
        <v>47</v>
      </c>
      <c r="Q8" t="s">
        <v>48</v>
      </c>
    </row>
    <row r="9" spans="1:17" x14ac:dyDescent="0.25">
      <c r="A9" t="s">
        <v>82</v>
      </c>
      <c r="B9" t="s">
        <v>83</v>
      </c>
      <c r="C9" s="1">
        <v>46023</v>
      </c>
      <c r="D9" t="s">
        <v>0</v>
      </c>
      <c r="E9" t="s">
        <v>40</v>
      </c>
      <c r="F9" t="s">
        <v>0</v>
      </c>
      <c r="G9" t="s">
        <v>58</v>
      </c>
      <c r="H9" t="s">
        <v>88</v>
      </c>
      <c r="I9" t="s">
        <v>89</v>
      </c>
      <c r="J9" t="s">
        <v>90</v>
      </c>
      <c r="K9" t="s">
        <v>91</v>
      </c>
      <c r="L9">
        <v>2</v>
      </c>
      <c r="M9" t="s">
        <v>46</v>
      </c>
      <c r="N9" s="3" t="s">
        <v>0</v>
      </c>
      <c r="O9" t="s">
        <v>0</v>
      </c>
      <c r="P9" t="s">
        <v>47</v>
      </c>
      <c r="Q9" t="s">
        <v>48</v>
      </c>
    </row>
    <row r="10" spans="1:17" x14ac:dyDescent="0.25">
      <c r="A10" t="s">
        <v>82</v>
      </c>
      <c r="B10" t="s">
        <v>83</v>
      </c>
      <c r="C10" s="1">
        <v>46023</v>
      </c>
      <c r="D10" t="s">
        <v>0</v>
      </c>
      <c r="E10" t="s">
        <v>40</v>
      </c>
      <c r="F10" t="s">
        <v>0</v>
      </c>
      <c r="G10" t="s">
        <v>58</v>
      </c>
      <c r="H10" t="s">
        <v>92</v>
      </c>
      <c r="I10" t="s">
        <v>93</v>
      </c>
      <c r="J10" t="s">
        <v>94</v>
      </c>
      <c r="K10" t="s">
        <v>95</v>
      </c>
      <c r="L10">
        <v>2</v>
      </c>
      <c r="M10" t="s">
        <v>46</v>
      </c>
      <c r="N10" s="3" t="s">
        <v>0</v>
      </c>
      <c r="O10" t="s">
        <v>0</v>
      </c>
      <c r="P10" t="s">
        <v>47</v>
      </c>
      <c r="Q10" t="s">
        <v>48</v>
      </c>
    </row>
    <row r="11" spans="1:17" x14ac:dyDescent="0.25">
      <c r="A11" t="s">
        <v>82</v>
      </c>
      <c r="B11" t="s">
        <v>83</v>
      </c>
      <c r="C11" s="1">
        <v>46023</v>
      </c>
      <c r="D11" t="s">
        <v>0</v>
      </c>
      <c r="E11" t="s">
        <v>40</v>
      </c>
      <c r="F11" t="s">
        <v>0</v>
      </c>
      <c r="G11" t="s">
        <v>96</v>
      </c>
      <c r="H11" t="s">
        <v>97</v>
      </c>
      <c r="I11" t="s">
        <v>98</v>
      </c>
      <c r="J11" t="s">
        <v>99</v>
      </c>
      <c r="K11" t="s">
        <v>95</v>
      </c>
      <c r="L11">
        <v>2</v>
      </c>
      <c r="M11" t="s">
        <v>46</v>
      </c>
      <c r="N11" s="3" t="s">
        <v>0</v>
      </c>
      <c r="O11" t="s">
        <v>0</v>
      </c>
      <c r="P11" t="s">
        <v>47</v>
      </c>
      <c r="Q11" t="s">
        <v>48</v>
      </c>
    </row>
    <row r="12" spans="1:17" x14ac:dyDescent="0.25">
      <c r="A12" t="s">
        <v>82</v>
      </c>
      <c r="B12" t="s">
        <v>83</v>
      </c>
      <c r="C12" s="1">
        <v>46023</v>
      </c>
      <c r="D12" t="s">
        <v>0</v>
      </c>
      <c r="E12" t="s">
        <v>40</v>
      </c>
      <c r="F12" t="s">
        <v>0</v>
      </c>
      <c r="G12" t="s">
        <v>58</v>
      </c>
      <c r="H12" t="s">
        <v>100</v>
      </c>
      <c r="I12" t="s">
        <v>101</v>
      </c>
      <c r="J12" t="s">
        <v>102</v>
      </c>
      <c r="K12" t="s">
        <v>103</v>
      </c>
      <c r="L12">
        <v>2</v>
      </c>
      <c r="M12" t="s">
        <v>46</v>
      </c>
      <c r="N12" s="3" t="s">
        <v>0</v>
      </c>
      <c r="O12" t="s">
        <v>0</v>
      </c>
      <c r="P12" t="s">
        <v>47</v>
      </c>
      <c r="Q12" t="s">
        <v>48</v>
      </c>
    </row>
    <row r="13" spans="1:17" x14ac:dyDescent="0.25">
      <c r="A13" t="s">
        <v>82</v>
      </c>
      <c r="B13" t="s">
        <v>83</v>
      </c>
      <c r="C13" s="1">
        <v>46023</v>
      </c>
      <c r="D13" s="2">
        <v>46081</v>
      </c>
      <c r="E13" t="s">
        <v>40</v>
      </c>
      <c r="F13" t="s">
        <v>0</v>
      </c>
      <c r="G13" t="s">
        <v>41</v>
      </c>
      <c r="H13" t="s">
        <v>104</v>
      </c>
      <c r="I13" t="s">
        <v>105</v>
      </c>
      <c r="J13" t="s">
        <v>106</v>
      </c>
      <c r="K13" t="s">
        <v>107</v>
      </c>
      <c r="L13">
        <v>1</v>
      </c>
      <c r="M13" t="s">
        <v>46</v>
      </c>
      <c r="N13" s="3" t="s">
        <v>0</v>
      </c>
      <c r="O13" t="s">
        <v>0</v>
      </c>
      <c r="P13" t="s">
        <v>108</v>
      </c>
      <c r="Q13" t="s">
        <v>48</v>
      </c>
    </row>
    <row r="14" spans="1:17" x14ac:dyDescent="0.25">
      <c r="A14" t="s">
        <v>109</v>
      </c>
      <c r="B14" t="s">
        <v>110</v>
      </c>
      <c r="C14" s="1">
        <v>46023</v>
      </c>
      <c r="D14" t="s">
        <v>0</v>
      </c>
      <c r="E14" t="s">
        <v>40</v>
      </c>
      <c r="F14" t="s">
        <v>0</v>
      </c>
      <c r="G14" t="s">
        <v>58</v>
      </c>
      <c r="H14" t="s">
        <v>111</v>
      </c>
      <c r="I14" t="s">
        <v>112</v>
      </c>
      <c r="J14" t="s">
        <v>113</v>
      </c>
      <c r="K14" t="s">
        <v>114</v>
      </c>
      <c r="L14">
        <v>2</v>
      </c>
      <c r="M14" t="s">
        <v>46</v>
      </c>
      <c r="N14" s="3" t="s">
        <v>0</v>
      </c>
      <c r="O14" t="s">
        <v>0</v>
      </c>
      <c r="P14" t="s">
        <v>47</v>
      </c>
      <c r="Q14" t="s">
        <v>48</v>
      </c>
    </row>
    <row r="15" spans="1:17" x14ac:dyDescent="0.25">
      <c r="A15" t="s">
        <v>109</v>
      </c>
      <c r="B15" t="s">
        <v>110</v>
      </c>
      <c r="C15" s="1">
        <v>46023</v>
      </c>
      <c r="D15" t="s">
        <v>0</v>
      </c>
      <c r="E15" t="s">
        <v>40</v>
      </c>
      <c r="F15" t="s">
        <v>0</v>
      </c>
      <c r="G15" t="s">
        <v>41</v>
      </c>
      <c r="H15" t="s">
        <v>115</v>
      </c>
      <c r="I15" t="s">
        <v>116</v>
      </c>
      <c r="J15" t="s">
        <v>117</v>
      </c>
      <c r="K15" t="s">
        <v>118</v>
      </c>
      <c r="L15">
        <v>2</v>
      </c>
      <c r="M15" t="s">
        <v>46</v>
      </c>
      <c r="N15" s="3" t="s">
        <v>0</v>
      </c>
      <c r="O15" t="s">
        <v>0</v>
      </c>
      <c r="P15" t="s">
        <v>47</v>
      </c>
      <c r="Q15" t="s">
        <v>48</v>
      </c>
    </row>
    <row r="16" spans="1:17" x14ac:dyDescent="0.25">
      <c r="A16" t="s">
        <v>109</v>
      </c>
      <c r="B16" t="s">
        <v>110</v>
      </c>
      <c r="C16" s="1">
        <v>46023</v>
      </c>
      <c r="D16" t="s">
        <v>0</v>
      </c>
      <c r="E16" t="s">
        <v>40</v>
      </c>
      <c r="F16" t="s">
        <v>0</v>
      </c>
      <c r="G16" t="s">
        <v>58</v>
      </c>
      <c r="H16" t="s">
        <v>119</v>
      </c>
      <c r="I16" t="s">
        <v>120</v>
      </c>
      <c r="J16" t="s">
        <v>121</v>
      </c>
      <c r="K16" t="s">
        <v>122</v>
      </c>
      <c r="L16">
        <v>2</v>
      </c>
      <c r="M16" t="s">
        <v>46</v>
      </c>
      <c r="N16" s="3" t="s">
        <v>0</v>
      </c>
      <c r="O16" t="s">
        <v>0</v>
      </c>
      <c r="P16" t="s">
        <v>47</v>
      </c>
      <c r="Q16" t="s">
        <v>48</v>
      </c>
    </row>
    <row r="17" spans="1:17" x14ac:dyDescent="0.25">
      <c r="A17" t="s">
        <v>109</v>
      </c>
      <c r="B17" t="s">
        <v>110</v>
      </c>
      <c r="C17" s="1">
        <v>46023</v>
      </c>
      <c r="D17" t="s">
        <v>0</v>
      </c>
      <c r="E17" t="s">
        <v>40</v>
      </c>
      <c r="F17" t="s">
        <v>0</v>
      </c>
      <c r="G17" t="s">
        <v>58</v>
      </c>
      <c r="H17" t="s">
        <v>123</v>
      </c>
      <c r="I17" t="s">
        <v>124</v>
      </c>
      <c r="J17" t="s">
        <v>125</v>
      </c>
      <c r="K17" t="s">
        <v>126</v>
      </c>
      <c r="L17">
        <v>2</v>
      </c>
      <c r="M17" t="s">
        <v>46</v>
      </c>
      <c r="N17" s="3" t="s">
        <v>0</v>
      </c>
      <c r="O17" t="s">
        <v>0</v>
      </c>
      <c r="P17" t="s">
        <v>47</v>
      </c>
      <c r="Q17" t="s">
        <v>48</v>
      </c>
    </row>
    <row r="18" spans="1:17" x14ac:dyDescent="0.25">
      <c r="A18" t="s">
        <v>109</v>
      </c>
      <c r="B18" t="s">
        <v>110</v>
      </c>
      <c r="C18" s="1">
        <v>46023</v>
      </c>
      <c r="D18" t="s">
        <v>0</v>
      </c>
      <c r="E18" t="s">
        <v>40</v>
      </c>
      <c r="F18" t="s">
        <v>0</v>
      </c>
      <c r="G18" t="s">
        <v>58</v>
      </c>
      <c r="H18" t="s">
        <v>127</v>
      </c>
      <c r="I18" t="s">
        <v>128</v>
      </c>
      <c r="J18" t="s">
        <v>129</v>
      </c>
      <c r="K18" t="s">
        <v>130</v>
      </c>
      <c r="L18">
        <v>2</v>
      </c>
      <c r="M18" t="s">
        <v>46</v>
      </c>
      <c r="N18" s="3" t="s">
        <v>0</v>
      </c>
      <c r="O18" t="s">
        <v>0</v>
      </c>
      <c r="P18" t="s">
        <v>47</v>
      </c>
      <c r="Q18" t="s">
        <v>48</v>
      </c>
    </row>
    <row r="19" spans="1:17" x14ac:dyDescent="0.25">
      <c r="A19" t="s">
        <v>109</v>
      </c>
      <c r="B19" t="s">
        <v>110</v>
      </c>
      <c r="C19" s="1">
        <v>46023</v>
      </c>
      <c r="D19" t="s">
        <v>0</v>
      </c>
      <c r="E19" t="s">
        <v>40</v>
      </c>
      <c r="F19" t="s">
        <v>0</v>
      </c>
      <c r="G19" t="s">
        <v>58</v>
      </c>
      <c r="H19" t="s">
        <v>131</v>
      </c>
      <c r="I19" t="s">
        <v>132</v>
      </c>
      <c r="J19" t="s">
        <v>133</v>
      </c>
      <c r="K19" t="s">
        <v>134</v>
      </c>
      <c r="L19">
        <v>2</v>
      </c>
      <c r="M19" t="s">
        <v>46</v>
      </c>
      <c r="N19" s="3" t="s">
        <v>0</v>
      </c>
      <c r="O19" t="s">
        <v>0</v>
      </c>
      <c r="P19" t="s">
        <v>47</v>
      </c>
      <c r="Q19" t="s">
        <v>48</v>
      </c>
    </row>
    <row r="20" spans="1:17" x14ac:dyDescent="0.25">
      <c r="A20" t="s">
        <v>109</v>
      </c>
      <c r="B20" t="s">
        <v>110</v>
      </c>
      <c r="C20" s="1">
        <v>46023</v>
      </c>
      <c r="D20" t="s">
        <v>0</v>
      </c>
      <c r="E20" t="s">
        <v>40</v>
      </c>
      <c r="F20" t="s">
        <v>0</v>
      </c>
      <c r="G20" t="s">
        <v>58</v>
      </c>
      <c r="H20" t="s">
        <v>135</v>
      </c>
      <c r="I20" t="s">
        <v>136</v>
      </c>
      <c r="J20" t="s">
        <v>137</v>
      </c>
      <c r="K20" t="s">
        <v>138</v>
      </c>
      <c r="L20">
        <v>2</v>
      </c>
      <c r="M20" t="s">
        <v>46</v>
      </c>
      <c r="N20" s="3" t="s">
        <v>0</v>
      </c>
      <c r="O20" t="s">
        <v>0</v>
      </c>
      <c r="P20" t="s">
        <v>47</v>
      </c>
      <c r="Q20" t="s">
        <v>48</v>
      </c>
    </row>
    <row r="21" spans="1:17" x14ac:dyDescent="0.25">
      <c r="A21" t="s">
        <v>109</v>
      </c>
      <c r="B21" t="s">
        <v>110</v>
      </c>
      <c r="C21" s="1">
        <v>46023</v>
      </c>
      <c r="D21" t="s">
        <v>0</v>
      </c>
      <c r="E21" t="s">
        <v>40</v>
      </c>
      <c r="F21" t="s">
        <v>0</v>
      </c>
      <c r="G21" t="s">
        <v>58</v>
      </c>
      <c r="H21" t="s">
        <v>139</v>
      </c>
      <c r="I21" t="s">
        <v>140</v>
      </c>
      <c r="J21" t="s">
        <v>137</v>
      </c>
      <c r="K21" t="s">
        <v>141</v>
      </c>
      <c r="L21">
        <v>2</v>
      </c>
      <c r="M21" t="s">
        <v>46</v>
      </c>
      <c r="N21" s="3" t="s">
        <v>0</v>
      </c>
      <c r="O21" t="s">
        <v>0</v>
      </c>
      <c r="P21" t="s">
        <v>47</v>
      </c>
      <c r="Q21" t="s">
        <v>48</v>
      </c>
    </row>
    <row r="22" spans="1:17" x14ac:dyDescent="0.25">
      <c r="A22" t="s">
        <v>109</v>
      </c>
      <c r="B22" t="s">
        <v>110</v>
      </c>
      <c r="C22" s="1">
        <v>46023</v>
      </c>
      <c r="D22" t="s">
        <v>0</v>
      </c>
      <c r="E22" t="s">
        <v>40</v>
      </c>
      <c r="F22" t="s">
        <v>0</v>
      </c>
      <c r="G22" t="s">
        <v>58</v>
      </c>
      <c r="H22" t="s">
        <v>142</v>
      </c>
      <c r="I22" t="s">
        <v>143</v>
      </c>
      <c r="J22" t="s">
        <v>68</v>
      </c>
      <c r="K22" t="s">
        <v>144</v>
      </c>
      <c r="L22">
        <v>3</v>
      </c>
      <c r="M22" t="s">
        <v>46</v>
      </c>
      <c r="N22" s="3" t="s">
        <v>0</v>
      </c>
      <c r="O22" t="s">
        <v>0</v>
      </c>
      <c r="P22" t="s">
        <v>47</v>
      </c>
      <c r="Q22" t="s">
        <v>48</v>
      </c>
    </row>
    <row r="23" spans="1:17" x14ac:dyDescent="0.25">
      <c r="A23" t="s">
        <v>109</v>
      </c>
      <c r="B23" t="s">
        <v>110</v>
      </c>
      <c r="C23" s="1">
        <v>46023</v>
      </c>
      <c r="D23" t="s">
        <v>0</v>
      </c>
      <c r="E23" t="s">
        <v>40</v>
      </c>
      <c r="F23" t="s">
        <v>0</v>
      </c>
      <c r="G23" t="s">
        <v>58</v>
      </c>
      <c r="H23" t="s">
        <v>145</v>
      </c>
      <c r="I23" t="s">
        <v>146</v>
      </c>
      <c r="J23" t="s">
        <v>147</v>
      </c>
      <c r="K23" t="s">
        <v>138</v>
      </c>
      <c r="L23">
        <v>2</v>
      </c>
      <c r="M23" t="s">
        <v>46</v>
      </c>
      <c r="N23" s="3" t="s">
        <v>0</v>
      </c>
      <c r="O23" t="s">
        <v>0</v>
      </c>
      <c r="P23" t="s">
        <v>47</v>
      </c>
      <c r="Q23" t="s">
        <v>48</v>
      </c>
    </row>
    <row r="24" spans="1:17" x14ac:dyDescent="0.25">
      <c r="A24" t="s">
        <v>109</v>
      </c>
      <c r="B24" t="s">
        <v>110</v>
      </c>
      <c r="C24" s="1">
        <v>46023</v>
      </c>
      <c r="D24" t="s">
        <v>0</v>
      </c>
      <c r="E24" t="s">
        <v>40</v>
      </c>
      <c r="F24" t="s">
        <v>0</v>
      </c>
      <c r="G24" t="s">
        <v>41</v>
      </c>
      <c r="H24" t="s">
        <v>148</v>
      </c>
      <c r="I24" t="s">
        <v>149</v>
      </c>
      <c r="J24" t="s">
        <v>150</v>
      </c>
      <c r="K24" t="s">
        <v>151</v>
      </c>
      <c r="L24">
        <v>3</v>
      </c>
      <c r="M24" t="s">
        <v>46</v>
      </c>
      <c r="N24" s="3" t="s">
        <v>0</v>
      </c>
      <c r="O24" t="s">
        <v>0</v>
      </c>
      <c r="P24" t="s">
        <v>47</v>
      </c>
      <c r="Q24" t="s">
        <v>48</v>
      </c>
    </row>
    <row r="25" spans="1:17" x14ac:dyDescent="0.25">
      <c r="A25" t="s">
        <v>109</v>
      </c>
      <c r="B25" t="s">
        <v>110</v>
      </c>
      <c r="C25" s="1">
        <v>46023</v>
      </c>
      <c r="D25" t="s">
        <v>0</v>
      </c>
      <c r="E25" t="s">
        <v>40</v>
      </c>
      <c r="F25" t="s">
        <v>0</v>
      </c>
      <c r="G25" t="s">
        <v>58</v>
      </c>
      <c r="H25" t="s">
        <v>152</v>
      </c>
      <c r="I25" t="s">
        <v>153</v>
      </c>
      <c r="J25" t="s">
        <v>154</v>
      </c>
      <c r="K25" t="s">
        <v>155</v>
      </c>
      <c r="L25">
        <v>2</v>
      </c>
      <c r="M25" t="s">
        <v>46</v>
      </c>
      <c r="N25" s="3" t="s">
        <v>0</v>
      </c>
      <c r="O25" t="s">
        <v>0</v>
      </c>
      <c r="P25" t="s">
        <v>47</v>
      </c>
      <c r="Q25" t="s">
        <v>48</v>
      </c>
    </row>
    <row r="26" spans="1:17" x14ac:dyDescent="0.25">
      <c r="A26" t="s">
        <v>109</v>
      </c>
      <c r="B26" t="s">
        <v>110</v>
      </c>
      <c r="C26" s="1">
        <v>46023</v>
      </c>
      <c r="D26" t="s">
        <v>0</v>
      </c>
      <c r="E26" t="s">
        <v>40</v>
      </c>
      <c r="F26" t="s">
        <v>0</v>
      </c>
      <c r="G26" t="s">
        <v>58</v>
      </c>
      <c r="H26" t="s">
        <v>156</v>
      </c>
      <c r="I26" t="s">
        <v>157</v>
      </c>
      <c r="J26" t="s">
        <v>158</v>
      </c>
      <c r="K26" t="s">
        <v>159</v>
      </c>
      <c r="L26">
        <v>2</v>
      </c>
      <c r="M26" t="s">
        <v>46</v>
      </c>
      <c r="N26" s="3" t="s">
        <v>0</v>
      </c>
      <c r="O26" t="s">
        <v>0</v>
      </c>
      <c r="P26" t="s">
        <v>47</v>
      </c>
      <c r="Q26" t="s">
        <v>48</v>
      </c>
    </row>
    <row r="27" spans="1:17" x14ac:dyDescent="0.25">
      <c r="A27" t="s">
        <v>109</v>
      </c>
      <c r="B27" t="s">
        <v>110</v>
      </c>
      <c r="C27" s="1">
        <v>46023</v>
      </c>
      <c r="D27" t="s">
        <v>0</v>
      </c>
      <c r="E27" t="s">
        <v>40</v>
      </c>
      <c r="F27" t="s">
        <v>0</v>
      </c>
      <c r="G27" t="s">
        <v>58</v>
      </c>
      <c r="H27" t="s">
        <v>160</v>
      </c>
      <c r="I27" t="s">
        <v>161</v>
      </c>
      <c r="J27" t="s">
        <v>162</v>
      </c>
      <c r="K27" t="s">
        <v>163</v>
      </c>
      <c r="L27">
        <v>2</v>
      </c>
      <c r="M27" t="s">
        <v>46</v>
      </c>
      <c r="N27" s="3" t="s">
        <v>0</v>
      </c>
      <c r="O27" t="s">
        <v>0</v>
      </c>
      <c r="P27" t="s">
        <v>47</v>
      </c>
      <c r="Q27" t="s">
        <v>48</v>
      </c>
    </row>
    <row r="28" spans="1:17" x14ac:dyDescent="0.25">
      <c r="A28" t="s">
        <v>109</v>
      </c>
      <c r="B28" t="s">
        <v>110</v>
      </c>
      <c r="C28" s="1">
        <v>46023</v>
      </c>
      <c r="D28" t="s">
        <v>0</v>
      </c>
      <c r="E28" t="s">
        <v>40</v>
      </c>
      <c r="F28" t="s">
        <v>0</v>
      </c>
      <c r="G28" t="s">
        <v>58</v>
      </c>
      <c r="H28" t="s">
        <v>164</v>
      </c>
      <c r="I28" t="s">
        <v>165</v>
      </c>
      <c r="J28" t="s">
        <v>166</v>
      </c>
      <c r="K28" t="s">
        <v>167</v>
      </c>
      <c r="L28">
        <v>3</v>
      </c>
      <c r="M28" t="s">
        <v>46</v>
      </c>
      <c r="N28" s="3" t="s">
        <v>0</v>
      </c>
      <c r="O28" t="s">
        <v>0</v>
      </c>
      <c r="P28" t="s">
        <v>47</v>
      </c>
      <c r="Q28" t="s">
        <v>48</v>
      </c>
    </row>
    <row r="29" spans="1:17" x14ac:dyDescent="0.25">
      <c r="A29" t="s">
        <v>109</v>
      </c>
      <c r="B29" t="s">
        <v>110</v>
      </c>
      <c r="C29" s="1">
        <v>46023</v>
      </c>
      <c r="D29" t="s">
        <v>0</v>
      </c>
      <c r="E29" t="s">
        <v>40</v>
      </c>
      <c r="F29" t="s">
        <v>0</v>
      </c>
      <c r="G29" t="s">
        <v>77</v>
      </c>
      <c r="H29" t="s">
        <v>168</v>
      </c>
      <c r="I29" t="s">
        <v>169</v>
      </c>
      <c r="J29" t="s">
        <v>170</v>
      </c>
      <c r="K29" t="s">
        <v>171</v>
      </c>
      <c r="L29">
        <v>2</v>
      </c>
      <c r="M29" t="s">
        <v>46</v>
      </c>
      <c r="N29" s="3" t="s">
        <v>0</v>
      </c>
      <c r="O29" t="s">
        <v>0</v>
      </c>
      <c r="P29" t="s">
        <v>47</v>
      </c>
      <c r="Q29" t="s">
        <v>48</v>
      </c>
    </row>
    <row r="30" spans="1:17" x14ac:dyDescent="0.25">
      <c r="A30" t="s">
        <v>109</v>
      </c>
      <c r="B30" t="s">
        <v>110</v>
      </c>
      <c r="C30" s="1">
        <v>46023</v>
      </c>
      <c r="D30" t="s">
        <v>0</v>
      </c>
      <c r="E30" t="s">
        <v>40</v>
      </c>
      <c r="F30" t="s">
        <v>0</v>
      </c>
      <c r="G30" t="s">
        <v>58</v>
      </c>
      <c r="H30" t="s">
        <v>172</v>
      </c>
      <c r="I30" t="s">
        <v>173</v>
      </c>
      <c r="J30" t="s">
        <v>174</v>
      </c>
      <c r="K30" t="s">
        <v>175</v>
      </c>
      <c r="L30">
        <v>2</v>
      </c>
      <c r="M30" t="s">
        <v>46</v>
      </c>
      <c r="N30" s="3" t="s">
        <v>0</v>
      </c>
      <c r="O30" t="s">
        <v>0</v>
      </c>
      <c r="P30" t="s">
        <v>47</v>
      </c>
      <c r="Q30" t="s">
        <v>48</v>
      </c>
    </row>
    <row r="31" spans="1:17" x14ac:dyDescent="0.25">
      <c r="A31" t="s">
        <v>109</v>
      </c>
      <c r="B31" t="s">
        <v>110</v>
      </c>
      <c r="C31" s="1">
        <v>46023</v>
      </c>
      <c r="D31" t="s">
        <v>0</v>
      </c>
      <c r="E31" t="s">
        <v>40</v>
      </c>
      <c r="F31" t="s">
        <v>0</v>
      </c>
      <c r="G31" t="s">
        <v>41</v>
      </c>
      <c r="H31" t="s">
        <v>176</v>
      </c>
      <c r="I31" t="s">
        <v>177</v>
      </c>
      <c r="J31" t="s">
        <v>178</v>
      </c>
      <c r="K31" t="s">
        <v>179</v>
      </c>
      <c r="L31">
        <v>2</v>
      </c>
      <c r="M31" t="s">
        <v>46</v>
      </c>
      <c r="N31" s="3" t="s">
        <v>0</v>
      </c>
      <c r="O31" t="s">
        <v>0</v>
      </c>
      <c r="P31" t="s">
        <v>47</v>
      </c>
      <c r="Q31" t="s">
        <v>48</v>
      </c>
    </row>
    <row r="32" spans="1:17" x14ac:dyDescent="0.25">
      <c r="A32" t="s">
        <v>180</v>
      </c>
      <c r="B32" t="s">
        <v>181</v>
      </c>
      <c r="C32" s="1">
        <v>46023</v>
      </c>
      <c r="D32" t="s">
        <v>0</v>
      </c>
      <c r="E32" t="s">
        <v>40</v>
      </c>
      <c r="F32" t="s">
        <v>0</v>
      </c>
      <c r="G32" t="s">
        <v>41</v>
      </c>
      <c r="H32" t="s">
        <v>182</v>
      </c>
      <c r="I32" t="s">
        <v>183</v>
      </c>
      <c r="J32" t="s">
        <v>184</v>
      </c>
      <c r="K32" t="s">
        <v>185</v>
      </c>
      <c r="L32">
        <v>3</v>
      </c>
      <c r="M32" t="s">
        <v>46</v>
      </c>
      <c r="N32" s="3" t="s">
        <v>0</v>
      </c>
      <c r="O32" t="s">
        <v>0</v>
      </c>
      <c r="P32" t="s">
        <v>47</v>
      </c>
      <c r="Q32" t="s">
        <v>48</v>
      </c>
    </row>
    <row r="33" spans="1:17" x14ac:dyDescent="0.25">
      <c r="A33" t="s">
        <v>186</v>
      </c>
      <c r="B33" t="s">
        <v>187</v>
      </c>
      <c r="C33" s="1">
        <v>46023</v>
      </c>
      <c r="D33" t="s">
        <v>0</v>
      </c>
      <c r="E33" t="s">
        <v>40</v>
      </c>
      <c r="F33" t="s">
        <v>0</v>
      </c>
      <c r="G33" t="s">
        <v>77</v>
      </c>
      <c r="H33" t="s">
        <v>188</v>
      </c>
      <c r="I33" t="s">
        <v>189</v>
      </c>
      <c r="J33" t="s">
        <v>190</v>
      </c>
      <c r="K33" t="s">
        <v>191</v>
      </c>
      <c r="L33">
        <v>3</v>
      </c>
      <c r="M33" t="s">
        <v>46</v>
      </c>
      <c r="N33" s="3" t="s">
        <v>0</v>
      </c>
      <c r="O33" t="s">
        <v>0</v>
      </c>
      <c r="P33" t="s">
        <v>47</v>
      </c>
      <c r="Q33" t="s">
        <v>48</v>
      </c>
    </row>
    <row r="34" spans="1:17" x14ac:dyDescent="0.25">
      <c r="A34" t="s">
        <v>186</v>
      </c>
      <c r="B34" t="s">
        <v>187</v>
      </c>
      <c r="C34" s="1">
        <v>46023</v>
      </c>
      <c r="D34" t="s">
        <v>0</v>
      </c>
      <c r="E34" t="s">
        <v>40</v>
      </c>
      <c r="F34" t="s">
        <v>0</v>
      </c>
      <c r="G34" t="s">
        <v>58</v>
      </c>
      <c r="H34" t="s">
        <v>192</v>
      </c>
      <c r="I34" t="s">
        <v>193</v>
      </c>
      <c r="J34" t="s">
        <v>194</v>
      </c>
      <c r="K34" t="s">
        <v>195</v>
      </c>
      <c r="L34">
        <v>2</v>
      </c>
      <c r="M34" t="s">
        <v>46</v>
      </c>
      <c r="N34" s="3" t="s">
        <v>0</v>
      </c>
      <c r="O34" t="s">
        <v>0</v>
      </c>
      <c r="P34" t="s">
        <v>47</v>
      </c>
      <c r="Q34" t="s">
        <v>48</v>
      </c>
    </row>
    <row r="35" spans="1:17" x14ac:dyDescent="0.25">
      <c r="A35" t="s">
        <v>186</v>
      </c>
      <c r="B35" t="s">
        <v>187</v>
      </c>
      <c r="C35" s="1">
        <v>46023</v>
      </c>
      <c r="D35" t="s">
        <v>0</v>
      </c>
      <c r="E35" t="s">
        <v>40</v>
      </c>
      <c r="F35" t="s">
        <v>0</v>
      </c>
      <c r="G35" t="s">
        <v>58</v>
      </c>
      <c r="H35" t="s">
        <v>196</v>
      </c>
      <c r="I35" t="s">
        <v>197</v>
      </c>
      <c r="J35" t="s">
        <v>198</v>
      </c>
      <c r="K35" t="s">
        <v>199</v>
      </c>
      <c r="L35">
        <v>2</v>
      </c>
      <c r="M35" t="s">
        <v>46</v>
      </c>
      <c r="N35" s="3" t="s">
        <v>0</v>
      </c>
      <c r="O35" t="s">
        <v>0</v>
      </c>
      <c r="P35" t="s">
        <v>47</v>
      </c>
      <c r="Q35" t="s">
        <v>48</v>
      </c>
    </row>
    <row r="36" spans="1:17" x14ac:dyDescent="0.25">
      <c r="A36" t="s">
        <v>186</v>
      </c>
      <c r="B36" t="s">
        <v>187</v>
      </c>
      <c r="C36" s="1">
        <v>46023</v>
      </c>
      <c r="D36" t="s">
        <v>0</v>
      </c>
      <c r="E36" t="s">
        <v>40</v>
      </c>
      <c r="F36" t="s">
        <v>0</v>
      </c>
      <c r="G36" t="s">
        <v>58</v>
      </c>
      <c r="H36" t="s">
        <v>200</v>
      </c>
      <c r="I36" t="s">
        <v>201</v>
      </c>
      <c r="J36" t="s">
        <v>202</v>
      </c>
      <c r="K36" t="s">
        <v>203</v>
      </c>
      <c r="L36">
        <v>2</v>
      </c>
      <c r="M36" t="s">
        <v>46</v>
      </c>
      <c r="N36" s="3" t="s">
        <v>0</v>
      </c>
      <c r="O36" t="s">
        <v>0</v>
      </c>
      <c r="P36" t="s">
        <v>47</v>
      </c>
      <c r="Q36" t="s">
        <v>48</v>
      </c>
    </row>
    <row r="37" spans="1:17" x14ac:dyDescent="0.25">
      <c r="A37" t="s">
        <v>186</v>
      </c>
      <c r="B37" t="s">
        <v>187</v>
      </c>
      <c r="C37" s="1">
        <v>46023</v>
      </c>
      <c r="D37" t="s">
        <v>0</v>
      </c>
      <c r="E37" t="s">
        <v>40</v>
      </c>
      <c r="F37" t="s">
        <v>0</v>
      </c>
      <c r="G37" t="s">
        <v>77</v>
      </c>
      <c r="H37" t="s">
        <v>204</v>
      </c>
      <c r="I37" t="s">
        <v>205</v>
      </c>
      <c r="J37" t="s">
        <v>206</v>
      </c>
      <c r="K37" t="s">
        <v>207</v>
      </c>
      <c r="L37">
        <v>2</v>
      </c>
      <c r="M37" t="s">
        <v>46</v>
      </c>
      <c r="N37" s="3" t="s">
        <v>0</v>
      </c>
      <c r="O37" t="s">
        <v>0</v>
      </c>
      <c r="P37" t="s">
        <v>47</v>
      </c>
      <c r="Q37" t="s">
        <v>48</v>
      </c>
    </row>
    <row r="38" spans="1:17" x14ac:dyDescent="0.25">
      <c r="A38" t="s">
        <v>186</v>
      </c>
      <c r="B38" t="s">
        <v>187</v>
      </c>
      <c r="C38" s="1">
        <v>46023</v>
      </c>
      <c r="D38" t="s">
        <v>0</v>
      </c>
      <c r="E38" t="s">
        <v>40</v>
      </c>
      <c r="F38" t="s">
        <v>0</v>
      </c>
      <c r="G38" t="s">
        <v>58</v>
      </c>
      <c r="H38" t="s">
        <v>208</v>
      </c>
      <c r="I38" t="s">
        <v>209</v>
      </c>
      <c r="J38" t="s">
        <v>210</v>
      </c>
      <c r="K38" t="s">
        <v>211</v>
      </c>
      <c r="L38">
        <v>2</v>
      </c>
      <c r="M38" t="s">
        <v>46</v>
      </c>
      <c r="N38" s="3" t="s">
        <v>0</v>
      </c>
      <c r="O38" t="s">
        <v>0</v>
      </c>
      <c r="P38" t="s">
        <v>47</v>
      </c>
      <c r="Q38" t="s">
        <v>48</v>
      </c>
    </row>
    <row r="39" spans="1:17" x14ac:dyDescent="0.25">
      <c r="A39" t="s">
        <v>186</v>
      </c>
      <c r="B39" t="s">
        <v>187</v>
      </c>
      <c r="C39" s="1">
        <v>46023</v>
      </c>
      <c r="D39" t="s">
        <v>0</v>
      </c>
      <c r="E39" t="s">
        <v>40</v>
      </c>
      <c r="F39" t="s">
        <v>0</v>
      </c>
      <c r="G39" t="s">
        <v>58</v>
      </c>
      <c r="H39" t="s">
        <v>212</v>
      </c>
      <c r="I39" t="s">
        <v>213</v>
      </c>
      <c r="J39" t="s">
        <v>214</v>
      </c>
      <c r="K39" t="s">
        <v>215</v>
      </c>
      <c r="L39">
        <v>2</v>
      </c>
      <c r="M39" t="s">
        <v>46</v>
      </c>
      <c r="N39" s="3" t="s">
        <v>0</v>
      </c>
      <c r="O39" t="s">
        <v>0</v>
      </c>
      <c r="P39" t="s">
        <v>47</v>
      </c>
      <c r="Q39" t="s">
        <v>48</v>
      </c>
    </row>
    <row r="40" spans="1:17" x14ac:dyDescent="0.25">
      <c r="A40" t="s">
        <v>186</v>
      </c>
      <c r="B40" t="s">
        <v>187</v>
      </c>
      <c r="C40" s="1">
        <v>46023</v>
      </c>
      <c r="D40" t="s">
        <v>0</v>
      </c>
      <c r="E40" t="s">
        <v>40</v>
      </c>
      <c r="F40" t="s">
        <v>0</v>
      </c>
      <c r="G40" t="s">
        <v>58</v>
      </c>
      <c r="H40" t="s">
        <v>216</v>
      </c>
      <c r="I40" t="s">
        <v>217</v>
      </c>
      <c r="J40" t="s">
        <v>218</v>
      </c>
      <c r="K40" t="s">
        <v>219</v>
      </c>
      <c r="L40">
        <v>2</v>
      </c>
      <c r="M40" t="s">
        <v>46</v>
      </c>
      <c r="N40" s="3" t="s">
        <v>0</v>
      </c>
      <c r="O40" t="s">
        <v>0</v>
      </c>
      <c r="P40" t="s">
        <v>47</v>
      </c>
      <c r="Q40" t="s">
        <v>48</v>
      </c>
    </row>
    <row r="41" spans="1:17" x14ac:dyDescent="0.25">
      <c r="A41" t="s">
        <v>186</v>
      </c>
      <c r="B41" t="s">
        <v>187</v>
      </c>
      <c r="C41" s="1">
        <v>46023</v>
      </c>
      <c r="D41" t="s">
        <v>0</v>
      </c>
      <c r="E41" t="s">
        <v>40</v>
      </c>
      <c r="F41" t="s">
        <v>0</v>
      </c>
      <c r="G41" t="s">
        <v>58</v>
      </c>
      <c r="H41" t="s">
        <v>220</v>
      </c>
      <c r="I41" t="s">
        <v>221</v>
      </c>
      <c r="J41" t="s">
        <v>222</v>
      </c>
      <c r="K41" t="s">
        <v>223</v>
      </c>
      <c r="L41">
        <v>2</v>
      </c>
      <c r="M41" t="s">
        <v>46</v>
      </c>
      <c r="N41" s="3" t="s">
        <v>0</v>
      </c>
      <c r="O41" t="s">
        <v>0</v>
      </c>
      <c r="P41" t="s">
        <v>47</v>
      </c>
      <c r="Q41" t="s">
        <v>48</v>
      </c>
    </row>
    <row r="42" spans="1:17" x14ac:dyDescent="0.25">
      <c r="A42" t="s">
        <v>186</v>
      </c>
      <c r="B42" t="s">
        <v>187</v>
      </c>
      <c r="C42" s="1">
        <v>46023</v>
      </c>
      <c r="D42" s="2">
        <v>46081</v>
      </c>
      <c r="E42" t="s">
        <v>40</v>
      </c>
      <c r="F42" t="s">
        <v>0</v>
      </c>
      <c r="G42" t="s">
        <v>58</v>
      </c>
      <c r="H42" t="s">
        <v>224</v>
      </c>
      <c r="I42" t="s">
        <v>225</v>
      </c>
      <c r="J42" t="s">
        <v>226</v>
      </c>
      <c r="K42" t="s">
        <v>227</v>
      </c>
      <c r="L42">
        <v>1</v>
      </c>
      <c r="M42" t="s">
        <v>46</v>
      </c>
      <c r="N42" s="3" t="s">
        <v>0</v>
      </c>
      <c r="O42" t="s">
        <v>0</v>
      </c>
      <c r="P42" t="s">
        <v>108</v>
      </c>
      <c r="Q42" t="s">
        <v>48</v>
      </c>
    </row>
    <row r="43" spans="1:17" x14ac:dyDescent="0.25">
      <c r="A43" t="s">
        <v>186</v>
      </c>
      <c r="B43" t="s">
        <v>187</v>
      </c>
      <c r="C43" s="1">
        <v>46023</v>
      </c>
      <c r="D43" t="s">
        <v>0</v>
      </c>
      <c r="E43" t="s">
        <v>40</v>
      </c>
      <c r="F43" t="s">
        <v>0</v>
      </c>
      <c r="G43" t="s">
        <v>77</v>
      </c>
      <c r="H43" t="s">
        <v>228</v>
      </c>
      <c r="I43" t="s">
        <v>229</v>
      </c>
      <c r="J43" t="s">
        <v>137</v>
      </c>
      <c r="K43" t="s">
        <v>230</v>
      </c>
      <c r="L43">
        <v>2</v>
      </c>
      <c r="M43" t="s">
        <v>46</v>
      </c>
      <c r="N43" s="3" t="s">
        <v>0</v>
      </c>
      <c r="O43" t="s">
        <v>0</v>
      </c>
      <c r="P43" t="s">
        <v>47</v>
      </c>
      <c r="Q43" t="s">
        <v>48</v>
      </c>
    </row>
    <row r="44" spans="1:17" x14ac:dyDescent="0.25">
      <c r="A44" t="s">
        <v>186</v>
      </c>
      <c r="B44" t="s">
        <v>187</v>
      </c>
      <c r="C44" s="1">
        <v>46023</v>
      </c>
      <c r="D44" t="s">
        <v>0</v>
      </c>
      <c r="E44" t="s">
        <v>40</v>
      </c>
      <c r="F44" t="s">
        <v>0</v>
      </c>
      <c r="G44" t="s">
        <v>58</v>
      </c>
      <c r="H44" t="s">
        <v>231</v>
      </c>
      <c r="I44" t="s">
        <v>232</v>
      </c>
      <c r="J44" t="s">
        <v>147</v>
      </c>
      <c r="K44" t="s">
        <v>233</v>
      </c>
      <c r="L44">
        <v>2</v>
      </c>
      <c r="M44" t="s">
        <v>46</v>
      </c>
      <c r="N44" s="3" t="s">
        <v>0</v>
      </c>
      <c r="O44" t="s">
        <v>0</v>
      </c>
      <c r="P44" t="s">
        <v>47</v>
      </c>
      <c r="Q44" t="s">
        <v>48</v>
      </c>
    </row>
    <row r="45" spans="1:17" x14ac:dyDescent="0.25">
      <c r="A45" t="s">
        <v>186</v>
      </c>
      <c r="B45" t="s">
        <v>187</v>
      </c>
      <c r="C45" s="1">
        <v>46023</v>
      </c>
      <c r="D45" t="s">
        <v>0</v>
      </c>
      <c r="E45" t="s">
        <v>40</v>
      </c>
      <c r="F45" t="s">
        <v>0</v>
      </c>
      <c r="G45" t="s">
        <v>58</v>
      </c>
      <c r="H45" t="s">
        <v>234</v>
      </c>
      <c r="I45" t="s">
        <v>235</v>
      </c>
      <c r="J45" t="s">
        <v>102</v>
      </c>
      <c r="K45" t="s">
        <v>236</v>
      </c>
      <c r="L45">
        <v>2</v>
      </c>
      <c r="M45" t="s">
        <v>46</v>
      </c>
      <c r="N45" s="3" t="s">
        <v>0</v>
      </c>
      <c r="O45" t="s">
        <v>0</v>
      </c>
      <c r="P45" t="s">
        <v>47</v>
      </c>
      <c r="Q45" t="s">
        <v>48</v>
      </c>
    </row>
    <row r="46" spans="1:17" x14ac:dyDescent="0.25">
      <c r="A46" t="s">
        <v>186</v>
      </c>
      <c r="B46" t="s">
        <v>187</v>
      </c>
      <c r="C46" s="1">
        <v>46023</v>
      </c>
      <c r="D46" t="s">
        <v>0</v>
      </c>
      <c r="E46" t="s">
        <v>40</v>
      </c>
      <c r="F46" t="s">
        <v>0</v>
      </c>
      <c r="G46" t="s">
        <v>58</v>
      </c>
      <c r="H46" t="s">
        <v>237</v>
      </c>
      <c r="I46" t="s">
        <v>238</v>
      </c>
      <c r="J46" t="s">
        <v>239</v>
      </c>
      <c r="K46" t="s">
        <v>195</v>
      </c>
      <c r="L46">
        <v>2</v>
      </c>
      <c r="M46" t="s">
        <v>46</v>
      </c>
      <c r="N46" s="3" t="s">
        <v>0</v>
      </c>
      <c r="O46" t="s">
        <v>0</v>
      </c>
      <c r="P46" t="s">
        <v>47</v>
      </c>
      <c r="Q46" t="s">
        <v>48</v>
      </c>
    </row>
    <row r="47" spans="1:17" x14ac:dyDescent="0.25">
      <c r="A47" t="s">
        <v>186</v>
      </c>
      <c r="B47" t="s">
        <v>187</v>
      </c>
      <c r="C47" s="1">
        <v>46023</v>
      </c>
      <c r="D47" t="s">
        <v>0</v>
      </c>
      <c r="E47" t="s">
        <v>40</v>
      </c>
      <c r="F47" t="s">
        <v>0</v>
      </c>
      <c r="G47" t="s">
        <v>58</v>
      </c>
      <c r="H47" t="s">
        <v>240</v>
      </c>
      <c r="I47" t="s">
        <v>241</v>
      </c>
      <c r="J47" t="s">
        <v>242</v>
      </c>
      <c r="K47" t="s">
        <v>243</v>
      </c>
      <c r="L47">
        <v>2</v>
      </c>
      <c r="M47" t="s">
        <v>46</v>
      </c>
      <c r="N47" s="3" t="s">
        <v>0</v>
      </c>
      <c r="O47" t="s">
        <v>0</v>
      </c>
      <c r="P47" t="s">
        <v>47</v>
      </c>
      <c r="Q47" t="s">
        <v>48</v>
      </c>
    </row>
    <row r="48" spans="1:17" x14ac:dyDescent="0.25">
      <c r="A48" t="s">
        <v>186</v>
      </c>
      <c r="B48" t="s">
        <v>187</v>
      </c>
      <c r="C48" s="1">
        <v>46023</v>
      </c>
      <c r="D48" t="s">
        <v>0</v>
      </c>
      <c r="E48" t="s">
        <v>40</v>
      </c>
      <c r="F48" t="s">
        <v>0</v>
      </c>
      <c r="G48" t="s">
        <v>96</v>
      </c>
      <c r="H48" t="s">
        <v>244</v>
      </c>
      <c r="I48" t="s">
        <v>245</v>
      </c>
      <c r="J48" t="s">
        <v>246</v>
      </c>
      <c r="K48" t="s">
        <v>114</v>
      </c>
      <c r="L48">
        <v>2</v>
      </c>
      <c r="M48" t="s">
        <v>46</v>
      </c>
      <c r="N48" s="3" t="s">
        <v>0</v>
      </c>
      <c r="O48" t="s">
        <v>0</v>
      </c>
      <c r="P48" t="s">
        <v>47</v>
      </c>
      <c r="Q48" t="s">
        <v>48</v>
      </c>
    </row>
    <row r="49" spans="1:17" x14ac:dyDescent="0.25">
      <c r="A49" t="s">
        <v>186</v>
      </c>
      <c r="B49" t="s">
        <v>187</v>
      </c>
      <c r="C49" s="1">
        <v>46023</v>
      </c>
      <c r="D49" t="s">
        <v>0</v>
      </c>
      <c r="E49" t="s">
        <v>40</v>
      </c>
      <c r="F49" t="s">
        <v>0</v>
      </c>
      <c r="G49" t="s">
        <v>58</v>
      </c>
      <c r="H49" t="s">
        <v>247</v>
      </c>
      <c r="I49" t="s">
        <v>248</v>
      </c>
      <c r="J49" t="s">
        <v>249</v>
      </c>
      <c r="K49" t="s">
        <v>250</v>
      </c>
      <c r="L49">
        <v>2</v>
      </c>
      <c r="M49" t="s">
        <v>46</v>
      </c>
      <c r="N49" s="3" t="s">
        <v>0</v>
      </c>
      <c r="O49" t="s">
        <v>0</v>
      </c>
      <c r="P49" t="s">
        <v>47</v>
      </c>
      <c r="Q49" t="s">
        <v>48</v>
      </c>
    </row>
    <row r="50" spans="1:17" x14ac:dyDescent="0.25">
      <c r="A50" t="s">
        <v>186</v>
      </c>
      <c r="B50" t="s">
        <v>187</v>
      </c>
      <c r="C50" s="1">
        <v>46023</v>
      </c>
      <c r="D50" t="s">
        <v>0</v>
      </c>
      <c r="E50" t="s">
        <v>40</v>
      </c>
      <c r="F50" t="s">
        <v>0</v>
      </c>
      <c r="G50" t="s">
        <v>58</v>
      </c>
      <c r="H50" t="s">
        <v>251</v>
      </c>
      <c r="I50" t="s">
        <v>252</v>
      </c>
      <c r="J50" t="s">
        <v>253</v>
      </c>
      <c r="K50" t="s">
        <v>254</v>
      </c>
      <c r="L50">
        <v>2</v>
      </c>
      <c r="M50" t="s">
        <v>46</v>
      </c>
      <c r="N50" s="3" t="s">
        <v>0</v>
      </c>
      <c r="O50" t="s">
        <v>0</v>
      </c>
      <c r="P50" t="s">
        <v>47</v>
      </c>
      <c r="Q50" t="s">
        <v>48</v>
      </c>
    </row>
    <row r="51" spans="1:17" x14ac:dyDescent="0.25">
      <c r="A51" t="s">
        <v>186</v>
      </c>
      <c r="B51" t="s">
        <v>187</v>
      </c>
      <c r="C51" s="1">
        <v>46023</v>
      </c>
      <c r="D51" t="s">
        <v>0</v>
      </c>
      <c r="E51" t="s">
        <v>40</v>
      </c>
      <c r="F51" t="s">
        <v>0</v>
      </c>
      <c r="G51" t="s">
        <v>255</v>
      </c>
      <c r="H51" t="s">
        <v>256</v>
      </c>
      <c r="I51" t="s">
        <v>257</v>
      </c>
      <c r="J51" t="s">
        <v>258</v>
      </c>
      <c r="K51" t="s">
        <v>259</v>
      </c>
      <c r="L51">
        <v>2</v>
      </c>
      <c r="M51" t="s">
        <v>46</v>
      </c>
      <c r="N51" s="3" t="s">
        <v>0</v>
      </c>
      <c r="O51" t="s">
        <v>0</v>
      </c>
      <c r="P51" t="s">
        <v>47</v>
      </c>
      <c r="Q51" t="s">
        <v>48</v>
      </c>
    </row>
    <row r="52" spans="1:17" x14ac:dyDescent="0.25">
      <c r="A52" t="s">
        <v>186</v>
      </c>
      <c r="B52" t="s">
        <v>187</v>
      </c>
      <c r="C52" s="1">
        <v>46023</v>
      </c>
      <c r="D52" t="s">
        <v>0</v>
      </c>
      <c r="E52" t="s">
        <v>40</v>
      </c>
      <c r="F52" t="s">
        <v>0</v>
      </c>
      <c r="G52" t="s">
        <v>58</v>
      </c>
      <c r="H52" t="s">
        <v>260</v>
      </c>
      <c r="I52" t="s">
        <v>261</v>
      </c>
      <c r="J52" t="s">
        <v>262</v>
      </c>
      <c r="K52" t="s">
        <v>263</v>
      </c>
      <c r="L52">
        <v>2</v>
      </c>
      <c r="M52" t="s">
        <v>46</v>
      </c>
      <c r="N52" s="3" t="s">
        <v>0</v>
      </c>
      <c r="O52" t="s">
        <v>0</v>
      </c>
      <c r="P52" t="s">
        <v>47</v>
      </c>
      <c r="Q52" t="s">
        <v>48</v>
      </c>
    </row>
    <row r="53" spans="1:17" x14ac:dyDescent="0.25">
      <c r="A53" t="s">
        <v>186</v>
      </c>
      <c r="B53" t="s">
        <v>187</v>
      </c>
      <c r="C53" s="1">
        <v>46023</v>
      </c>
      <c r="D53" t="s">
        <v>0</v>
      </c>
      <c r="E53" t="s">
        <v>40</v>
      </c>
      <c r="F53" t="s">
        <v>0</v>
      </c>
      <c r="G53" t="s">
        <v>58</v>
      </c>
      <c r="H53" t="s">
        <v>264</v>
      </c>
      <c r="I53" t="s">
        <v>265</v>
      </c>
      <c r="J53" t="s">
        <v>266</v>
      </c>
      <c r="K53" t="s">
        <v>267</v>
      </c>
      <c r="L53">
        <v>2</v>
      </c>
      <c r="M53" t="s">
        <v>46</v>
      </c>
      <c r="N53" s="3" t="s">
        <v>0</v>
      </c>
      <c r="O53" t="s">
        <v>0</v>
      </c>
      <c r="P53" t="s">
        <v>47</v>
      </c>
      <c r="Q53" t="s">
        <v>48</v>
      </c>
    </row>
    <row r="54" spans="1:17" x14ac:dyDescent="0.25">
      <c r="A54" t="s">
        <v>186</v>
      </c>
      <c r="B54" t="s">
        <v>187</v>
      </c>
      <c r="C54" s="1">
        <v>46023</v>
      </c>
      <c r="D54" t="s">
        <v>0</v>
      </c>
      <c r="E54" t="s">
        <v>40</v>
      </c>
      <c r="F54" t="s">
        <v>0</v>
      </c>
      <c r="G54" t="s">
        <v>58</v>
      </c>
      <c r="H54" t="s">
        <v>268</v>
      </c>
      <c r="I54" t="s">
        <v>269</v>
      </c>
      <c r="J54" t="s">
        <v>270</v>
      </c>
      <c r="K54" t="s">
        <v>271</v>
      </c>
      <c r="L54">
        <v>2</v>
      </c>
      <c r="M54" t="s">
        <v>46</v>
      </c>
      <c r="N54" s="3" t="s">
        <v>0</v>
      </c>
      <c r="O54" t="s">
        <v>0</v>
      </c>
      <c r="P54" t="s">
        <v>47</v>
      </c>
      <c r="Q54" t="s">
        <v>48</v>
      </c>
    </row>
    <row r="55" spans="1:17" x14ac:dyDescent="0.25">
      <c r="A55" t="s">
        <v>272</v>
      </c>
      <c r="B55" t="s">
        <v>273</v>
      </c>
      <c r="C55" s="1">
        <v>46023</v>
      </c>
      <c r="D55" t="s">
        <v>0</v>
      </c>
      <c r="E55" t="s">
        <v>40</v>
      </c>
      <c r="F55" t="s">
        <v>0</v>
      </c>
      <c r="G55" t="s">
        <v>255</v>
      </c>
      <c r="H55" t="s">
        <v>274</v>
      </c>
      <c r="I55" t="s">
        <v>275</v>
      </c>
      <c r="J55" t="s">
        <v>276</v>
      </c>
      <c r="K55" t="s">
        <v>277</v>
      </c>
      <c r="L55">
        <v>2</v>
      </c>
      <c r="M55" t="s">
        <v>46</v>
      </c>
      <c r="N55" s="3" t="s">
        <v>0</v>
      </c>
      <c r="O55" t="s">
        <v>0</v>
      </c>
      <c r="P55" t="s">
        <v>47</v>
      </c>
      <c r="Q55" t="s">
        <v>48</v>
      </c>
    </row>
    <row r="56" spans="1:17" x14ac:dyDescent="0.25">
      <c r="A56" t="s">
        <v>278</v>
      </c>
      <c r="B56" t="s">
        <v>279</v>
      </c>
      <c r="C56" s="1">
        <v>46023</v>
      </c>
      <c r="D56" t="s">
        <v>0</v>
      </c>
      <c r="E56" t="s">
        <v>40</v>
      </c>
      <c r="F56" t="s">
        <v>0</v>
      </c>
      <c r="G56" t="s">
        <v>58</v>
      </c>
      <c r="H56" t="s">
        <v>280</v>
      </c>
      <c r="I56" t="s">
        <v>281</v>
      </c>
      <c r="J56" t="s">
        <v>282</v>
      </c>
      <c r="K56" t="s">
        <v>283</v>
      </c>
      <c r="L56">
        <v>2</v>
      </c>
      <c r="M56" t="s">
        <v>46</v>
      </c>
      <c r="N56" s="3" t="s">
        <v>0</v>
      </c>
      <c r="O56" t="s">
        <v>0</v>
      </c>
      <c r="P56" t="s">
        <v>47</v>
      </c>
      <c r="Q56" t="s">
        <v>48</v>
      </c>
    </row>
    <row r="57" spans="1:17" x14ac:dyDescent="0.25">
      <c r="A57" t="s">
        <v>278</v>
      </c>
      <c r="B57" t="s">
        <v>279</v>
      </c>
      <c r="C57" s="2">
        <v>46082</v>
      </c>
      <c r="D57" t="s">
        <v>0</v>
      </c>
      <c r="E57" t="s">
        <v>40</v>
      </c>
      <c r="F57" t="s">
        <v>0</v>
      </c>
      <c r="G57" t="s">
        <v>58</v>
      </c>
      <c r="H57" t="s">
        <v>284</v>
      </c>
      <c r="I57" t="s">
        <v>285</v>
      </c>
      <c r="J57" t="s">
        <v>282</v>
      </c>
      <c r="K57" t="s">
        <v>286</v>
      </c>
      <c r="L57">
        <v>1</v>
      </c>
      <c r="M57" t="s">
        <v>287</v>
      </c>
      <c r="N57" s="3" t="s">
        <v>0</v>
      </c>
      <c r="O57" t="s">
        <v>0</v>
      </c>
      <c r="P57" t="s">
        <v>288</v>
      </c>
      <c r="Q57" t="s">
        <v>48</v>
      </c>
    </row>
    <row r="58" spans="1:17" x14ac:dyDescent="0.25">
      <c r="A58" t="s">
        <v>289</v>
      </c>
      <c r="B58" t="s">
        <v>290</v>
      </c>
      <c r="C58" s="1">
        <v>46023</v>
      </c>
      <c r="D58" t="s">
        <v>0</v>
      </c>
      <c r="E58" t="s">
        <v>40</v>
      </c>
      <c r="F58" t="s">
        <v>0</v>
      </c>
      <c r="G58" t="s">
        <v>96</v>
      </c>
      <c r="H58" t="s">
        <v>291</v>
      </c>
      <c r="I58" t="s">
        <v>292</v>
      </c>
      <c r="J58" t="s">
        <v>293</v>
      </c>
      <c r="K58" t="s">
        <v>294</v>
      </c>
      <c r="L58">
        <v>2</v>
      </c>
      <c r="M58" t="s">
        <v>46</v>
      </c>
      <c r="N58" s="3" t="s">
        <v>0</v>
      </c>
      <c r="O58" t="s">
        <v>0</v>
      </c>
      <c r="P58" t="s">
        <v>47</v>
      </c>
      <c r="Q58" t="s">
        <v>48</v>
      </c>
    </row>
    <row r="59" spans="1:17" x14ac:dyDescent="0.25">
      <c r="A59" t="s">
        <v>295</v>
      </c>
      <c r="B59" t="s">
        <v>296</v>
      </c>
      <c r="C59" s="1">
        <v>46023</v>
      </c>
      <c r="D59" t="s">
        <v>0</v>
      </c>
      <c r="E59" t="s">
        <v>40</v>
      </c>
      <c r="F59" t="s">
        <v>0</v>
      </c>
      <c r="G59" t="s">
        <v>297</v>
      </c>
      <c r="H59" t="s">
        <v>298</v>
      </c>
      <c r="I59" t="s">
        <v>299</v>
      </c>
      <c r="J59" t="s">
        <v>300</v>
      </c>
      <c r="K59" t="s">
        <v>301</v>
      </c>
      <c r="L59">
        <v>2</v>
      </c>
      <c r="M59" t="s">
        <v>46</v>
      </c>
      <c r="N59" s="3" t="s">
        <v>0</v>
      </c>
      <c r="O59" t="s">
        <v>0</v>
      </c>
      <c r="P59" t="s">
        <v>47</v>
      </c>
      <c r="Q59" t="s">
        <v>48</v>
      </c>
    </row>
    <row r="60" spans="1:17" x14ac:dyDescent="0.25">
      <c r="A60" t="s">
        <v>295</v>
      </c>
      <c r="B60" t="s">
        <v>296</v>
      </c>
      <c r="C60" s="1">
        <v>46023</v>
      </c>
      <c r="D60" s="2">
        <v>46053</v>
      </c>
      <c r="E60" t="s">
        <v>40</v>
      </c>
      <c r="F60" t="s">
        <v>0</v>
      </c>
      <c r="G60" t="s">
        <v>77</v>
      </c>
      <c r="H60" t="s">
        <v>302</v>
      </c>
      <c r="I60" t="s">
        <v>303</v>
      </c>
      <c r="J60" t="s">
        <v>304</v>
      </c>
      <c r="K60" t="s">
        <v>305</v>
      </c>
      <c r="L60">
        <v>1</v>
      </c>
      <c r="M60" t="s">
        <v>46</v>
      </c>
      <c r="N60" s="3" t="s">
        <v>0</v>
      </c>
      <c r="O60" t="s">
        <v>0</v>
      </c>
      <c r="P60" t="s">
        <v>108</v>
      </c>
      <c r="Q60" t="s">
        <v>48</v>
      </c>
    </row>
    <row r="61" spans="1:17" x14ac:dyDescent="0.25">
      <c r="A61" t="s">
        <v>295</v>
      </c>
      <c r="B61" t="s">
        <v>296</v>
      </c>
      <c r="C61" s="1">
        <v>46023</v>
      </c>
      <c r="D61" t="s">
        <v>0</v>
      </c>
      <c r="E61" t="s">
        <v>40</v>
      </c>
      <c r="F61" t="s">
        <v>0</v>
      </c>
      <c r="G61" t="s">
        <v>297</v>
      </c>
      <c r="H61" t="s">
        <v>306</v>
      </c>
      <c r="I61" t="s">
        <v>307</v>
      </c>
      <c r="J61" t="s">
        <v>308</v>
      </c>
      <c r="K61" t="s">
        <v>309</v>
      </c>
      <c r="L61">
        <v>2</v>
      </c>
      <c r="M61" t="s">
        <v>46</v>
      </c>
      <c r="N61" s="3" t="s">
        <v>0</v>
      </c>
      <c r="O61" t="s">
        <v>0</v>
      </c>
      <c r="P61" t="s">
        <v>47</v>
      </c>
      <c r="Q61" t="s">
        <v>48</v>
      </c>
    </row>
    <row r="62" spans="1:17" x14ac:dyDescent="0.25">
      <c r="A62" t="s">
        <v>295</v>
      </c>
      <c r="B62" t="s">
        <v>296</v>
      </c>
      <c r="C62" s="1">
        <v>46023</v>
      </c>
      <c r="D62" t="s">
        <v>0</v>
      </c>
      <c r="E62" t="s">
        <v>40</v>
      </c>
      <c r="F62" t="s">
        <v>0</v>
      </c>
      <c r="G62" t="s">
        <v>58</v>
      </c>
      <c r="H62" t="s">
        <v>310</v>
      </c>
      <c r="I62" t="s">
        <v>311</v>
      </c>
      <c r="J62" t="s">
        <v>312</v>
      </c>
      <c r="K62" t="s">
        <v>313</v>
      </c>
      <c r="L62">
        <v>2</v>
      </c>
      <c r="M62" t="s">
        <v>46</v>
      </c>
      <c r="N62" s="3" t="s">
        <v>0</v>
      </c>
      <c r="O62" t="s">
        <v>0</v>
      </c>
      <c r="P62" t="s">
        <v>47</v>
      </c>
      <c r="Q62" t="s">
        <v>48</v>
      </c>
    </row>
    <row r="63" spans="1:17" x14ac:dyDescent="0.25">
      <c r="A63" t="s">
        <v>295</v>
      </c>
      <c r="B63" t="s">
        <v>296</v>
      </c>
      <c r="C63" s="1">
        <v>46023</v>
      </c>
      <c r="D63" s="2">
        <v>46053</v>
      </c>
      <c r="E63" t="s">
        <v>40</v>
      </c>
      <c r="F63" t="s">
        <v>0</v>
      </c>
      <c r="G63" t="s">
        <v>58</v>
      </c>
      <c r="H63" t="s">
        <v>314</v>
      </c>
      <c r="I63" t="s">
        <v>315</v>
      </c>
      <c r="J63" t="s">
        <v>316</v>
      </c>
      <c r="K63" t="s">
        <v>317</v>
      </c>
      <c r="L63">
        <v>1</v>
      </c>
      <c r="M63" t="s">
        <v>46</v>
      </c>
      <c r="N63" s="3" t="s">
        <v>0</v>
      </c>
      <c r="O63" t="s">
        <v>0</v>
      </c>
      <c r="P63" t="s">
        <v>108</v>
      </c>
      <c r="Q63" t="s">
        <v>48</v>
      </c>
    </row>
    <row r="64" spans="1:17" x14ac:dyDescent="0.25">
      <c r="A64" t="s">
        <v>295</v>
      </c>
      <c r="B64" t="s">
        <v>296</v>
      </c>
      <c r="C64" s="1">
        <v>46023</v>
      </c>
      <c r="D64" t="s">
        <v>0</v>
      </c>
      <c r="E64" t="s">
        <v>40</v>
      </c>
      <c r="F64" t="s">
        <v>0</v>
      </c>
      <c r="G64" t="s">
        <v>58</v>
      </c>
      <c r="H64" t="s">
        <v>318</v>
      </c>
      <c r="I64" t="s">
        <v>319</v>
      </c>
      <c r="J64" t="s">
        <v>316</v>
      </c>
      <c r="K64" t="s">
        <v>320</v>
      </c>
      <c r="L64">
        <v>2</v>
      </c>
      <c r="M64" t="s">
        <v>46</v>
      </c>
      <c r="N64" s="3" t="s">
        <v>0</v>
      </c>
      <c r="O64" t="s">
        <v>0</v>
      </c>
      <c r="P64" t="s">
        <v>47</v>
      </c>
      <c r="Q64" t="s">
        <v>48</v>
      </c>
    </row>
    <row r="65" spans="1:17" x14ac:dyDescent="0.25">
      <c r="A65" t="s">
        <v>295</v>
      </c>
      <c r="B65" t="s">
        <v>296</v>
      </c>
      <c r="C65" s="1">
        <v>46023</v>
      </c>
      <c r="D65" t="s">
        <v>0</v>
      </c>
      <c r="E65" t="s">
        <v>40</v>
      </c>
      <c r="F65" t="s">
        <v>0</v>
      </c>
      <c r="G65" t="s">
        <v>58</v>
      </c>
      <c r="H65" t="s">
        <v>321</v>
      </c>
      <c r="I65" t="s">
        <v>322</v>
      </c>
      <c r="J65" t="s">
        <v>323</v>
      </c>
      <c r="K65" t="s">
        <v>324</v>
      </c>
      <c r="L65">
        <v>2</v>
      </c>
      <c r="M65" t="s">
        <v>46</v>
      </c>
      <c r="N65" s="3" t="s">
        <v>0</v>
      </c>
      <c r="O65" t="s">
        <v>0</v>
      </c>
      <c r="P65" t="s">
        <v>47</v>
      </c>
      <c r="Q65" t="s">
        <v>48</v>
      </c>
    </row>
    <row r="66" spans="1:17" x14ac:dyDescent="0.25">
      <c r="A66" t="s">
        <v>325</v>
      </c>
      <c r="B66" t="s">
        <v>326</v>
      </c>
      <c r="C66" s="2">
        <v>46082</v>
      </c>
      <c r="D66" t="s">
        <v>0</v>
      </c>
      <c r="E66" t="s">
        <v>40</v>
      </c>
      <c r="F66" t="s">
        <v>0</v>
      </c>
      <c r="G66" t="s">
        <v>96</v>
      </c>
      <c r="H66" t="s">
        <v>327</v>
      </c>
      <c r="I66" t="s">
        <v>328</v>
      </c>
      <c r="J66" t="s">
        <v>329</v>
      </c>
      <c r="K66" t="s">
        <v>330</v>
      </c>
      <c r="L66">
        <v>1</v>
      </c>
      <c r="M66" t="s">
        <v>46</v>
      </c>
      <c r="N66" s="3" t="s">
        <v>0</v>
      </c>
      <c r="O66" t="s">
        <v>0</v>
      </c>
      <c r="P66" t="s">
        <v>331</v>
      </c>
      <c r="Q66" t="s">
        <v>332</v>
      </c>
    </row>
    <row r="67" spans="1:17" x14ac:dyDescent="0.25">
      <c r="A67" t="s">
        <v>109</v>
      </c>
      <c r="B67" t="s">
        <v>110</v>
      </c>
      <c r="C67" s="1">
        <v>46023</v>
      </c>
      <c r="D67" t="s">
        <v>0</v>
      </c>
      <c r="E67" t="s">
        <v>40</v>
      </c>
      <c r="F67" t="s">
        <v>0</v>
      </c>
      <c r="G67" t="s">
        <v>58</v>
      </c>
      <c r="H67" t="s">
        <v>111</v>
      </c>
      <c r="I67" t="s">
        <v>112</v>
      </c>
      <c r="J67" t="s">
        <v>113</v>
      </c>
      <c r="K67" t="s">
        <v>114</v>
      </c>
      <c r="L67">
        <v>2</v>
      </c>
      <c r="M67" t="s">
        <v>46</v>
      </c>
      <c r="N67" s="3" t="s">
        <v>0</v>
      </c>
      <c r="O67" t="s">
        <v>0</v>
      </c>
      <c r="P67" t="s">
        <v>333</v>
      </c>
      <c r="Q67" t="s">
        <v>332</v>
      </c>
    </row>
    <row r="68" spans="1:17" x14ac:dyDescent="0.25">
      <c r="A68" t="s">
        <v>186</v>
      </c>
      <c r="B68" t="s">
        <v>187</v>
      </c>
      <c r="C68" s="1">
        <v>46023</v>
      </c>
      <c r="D68" t="s">
        <v>0</v>
      </c>
      <c r="E68" t="s">
        <v>40</v>
      </c>
      <c r="F68" t="s">
        <v>0</v>
      </c>
      <c r="G68" t="s">
        <v>77</v>
      </c>
      <c r="H68" t="s">
        <v>188</v>
      </c>
      <c r="I68" t="s">
        <v>189</v>
      </c>
      <c r="J68" t="s">
        <v>190</v>
      </c>
      <c r="K68" t="s">
        <v>191</v>
      </c>
      <c r="L68">
        <v>3</v>
      </c>
      <c r="M68" t="s">
        <v>46</v>
      </c>
      <c r="N68" s="3" t="s">
        <v>0</v>
      </c>
      <c r="O68" t="s">
        <v>0</v>
      </c>
      <c r="P68" t="s">
        <v>333</v>
      </c>
      <c r="Q68" t="s">
        <v>332</v>
      </c>
    </row>
    <row r="69" spans="1:17" x14ac:dyDescent="0.25">
      <c r="A69" t="s">
        <v>334</v>
      </c>
      <c r="B69" t="s">
        <v>335</v>
      </c>
      <c r="C69" s="1">
        <v>46023</v>
      </c>
      <c r="D69" t="s">
        <v>0</v>
      </c>
      <c r="E69" t="s">
        <v>40</v>
      </c>
      <c r="F69" t="s">
        <v>0</v>
      </c>
      <c r="G69" t="s">
        <v>58</v>
      </c>
      <c r="H69" t="s">
        <v>336</v>
      </c>
      <c r="I69" t="s">
        <v>337</v>
      </c>
      <c r="J69" t="s">
        <v>338</v>
      </c>
      <c r="K69" t="s">
        <v>339</v>
      </c>
      <c r="L69">
        <v>2</v>
      </c>
      <c r="M69" t="s">
        <v>46</v>
      </c>
      <c r="N69" s="3" t="s">
        <v>0</v>
      </c>
      <c r="O69" t="s">
        <v>0</v>
      </c>
      <c r="P69" t="s">
        <v>333</v>
      </c>
      <c r="Q69" t="s">
        <v>332</v>
      </c>
    </row>
    <row r="70" spans="1:17" x14ac:dyDescent="0.25">
      <c r="A70" t="s">
        <v>334</v>
      </c>
      <c r="B70" t="s">
        <v>335</v>
      </c>
      <c r="C70" s="1">
        <v>46023</v>
      </c>
      <c r="D70" s="2">
        <v>46081</v>
      </c>
      <c r="E70" t="s">
        <v>40</v>
      </c>
      <c r="F70" t="s">
        <v>0</v>
      </c>
      <c r="G70" t="s">
        <v>77</v>
      </c>
      <c r="H70" t="s">
        <v>340</v>
      </c>
      <c r="I70" t="s">
        <v>341</v>
      </c>
      <c r="J70" t="s">
        <v>342</v>
      </c>
      <c r="K70" t="s">
        <v>343</v>
      </c>
      <c r="L70">
        <v>1</v>
      </c>
      <c r="M70" t="s">
        <v>287</v>
      </c>
      <c r="N70" s="3" t="s">
        <v>0</v>
      </c>
      <c r="O70" t="s">
        <v>0</v>
      </c>
      <c r="P70" t="s">
        <v>344</v>
      </c>
      <c r="Q70" t="s">
        <v>332</v>
      </c>
    </row>
    <row r="71" spans="1:17" x14ac:dyDescent="0.25">
      <c r="A71" t="s">
        <v>82</v>
      </c>
      <c r="B71" t="s">
        <v>83</v>
      </c>
      <c r="C71" s="1">
        <v>46023</v>
      </c>
      <c r="D71" t="s">
        <v>0</v>
      </c>
      <c r="E71" t="s">
        <v>40</v>
      </c>
      <c r="F71" t="s">
        <v>0</v>
      </c>
      <c r="G71" t="s">
        <v>58</v>
      </c>
      <c r="H71" t="s">
        <v>84</v>
      </c>
      <c r="I71" t="s">
        <v>85</v>
      </c>
      <c r="J71" t="s">
        <v>86</v>
      </c>
      <c r="K71" t="s">
        <v>87</v>
      </c>
      <c r="L71">
        <v>2</v>
      </c>
      <c r="M71" t="s">
        <v>46</v>
      </c>
      <c r="N71" s="3" t="s">
        <v>0</v>
      </c>
      <c r="O71" t="s">
        <v>0</v>
      </c>
      <c r="P71" t="s">
        <v>333</v>
      </c>
      <c r="Q71" t="s">
        <v>332</v>
      </c>
    </row>
    <row r="72" spans="1:17" x14ac:dyDescent="0.25">
      <c r="A72" t="s">
        <v>186</v>
      </c>
      <c r="B72" t="s">
        <v>187</v>
      </c>
      <c r="C72" s="1">
        <v>46023</v>
      </c>
      <c r="D72" t="s">
        <v>0</v>
      </c>
      <c r="E72" t="s">
        <v>40</v>
      </c>
      <c r="F72" t="s">
        <v>0</v>
      </c>
      <c r="G72" t="s">
        <v>58</v>
      </c>
      <c r="H72" t="s">
        <v>192</v>
      </c>
      <c r="I72" t="s">
        <v>193</v>
      </c>
      <c r="J72" t="s">
        <v>194</v>
      </c>
      <c r="K72" t="s">
        <v>195</v>
      </c>
      <c r="L72">
        <v>2</v>
      </c>
      <c r="M72" t="s">
        <v>46</v>
      </c>
      <c r="N72" s="3" t="s">
        <v>0</v>
      </c>
      <c r="O72" t="s">
        <v>0</v>
      </c>
      <c r="P72" t="s">
        <v>333</v>
      </c>
      <c r="Q72" t="s">
        <v>332</v>
      </c>
    </row>
    <row r="73" spans="1:17" x14ac:dyDescent="0.25">
      <c r="A73" t="s">
        <v>82</v>
      </c>
      <c r="B73" t="s">
        <v>83</v>
      </c>
      <c r="C73" s="1">
        <v>46023</v>
      </c>
      <c r="D73" t="s">
        <v>0</v>
      </c>
      <c r="E73" t="s">
        <v>40</v>
      </c>
      <c r="F73" t="s">
        <v>0</v>
      </c>
      <c r="G73" t="s">
        <v>58</v>
      </c>
      <c r="H73" t="s">
        <v>88</v>
      </c>
      <c r="I73" t="s">
        <v>89</v>
      </c>
      <c r="J73" t="s">
        <v>90</v>
      </c>
      <c r="K73" t="s">
        <v>91</v>
      </c>
      <c r="L73">
        <v>2</v>
      </c>
      <c r="M73" t="s">
        <v>46</v>
      </c>
      <c r="N73" s="3" t="s">
        <v>0</v>
      </c>
      <c r="O73" t="s">
        <v>0</v>
      </c>
      <c r="P73" t="s">
        <v>333</v>
      </c>
      <c r="Q73" t="s">
        <v>332</v>
      </c>
    </row>
    <row r="74" spans="1:17" x14ac:dyDescent="0.25">
      <c r="A74" t="s">
        <v>56</v>
      </c>
      <c r="B74" t="s">
        <v>57</v>
      </c>
      <c r="C74" s="1">
        <v>46023</v>
      </c>
      <c r="D74" t="s">
        <v>0</v>
      </c>
      <c r="E74" t="s">
        <v>40</v>
      </c>
      <c r="F74" t="s">
        <v>0</v>
      </c>
      <c r="G74" t="s">
        <v>58</v>
      </c>
      <c r="H74" t="s">
        <v>59</v>
      </c>
      <c r="I74" t="s">
        <v>60</v>
      </c>
      <c r="J74" t="s">
        <v>61</v>
      </c>
      <c r="K74" t="s">
        <v>62</v>
      </c>
      <c r="L74">
        <v>2</v>
      </c>
      <c r="M74" t="s">
        <v>46</v>
      </c>
      <c r="N74" s="3" t="s">
        <v>0</v>
      </c>
      <c r="O74" t="s">
        <v>0</v>
      </c>
      <c r="P74" t="s">
        <v>333</v>
      </c>
      <c r="Q74" t="s">
        <v>332</v>
      </c>
    </row>
    <row r="75" spans="1:17" x14ac:dyDescent="0.25">
      <c r="A75" t="s">
        <v>289</v>
      </c>
      <c r="B75" t="s">
        <v>290</v>
      </c>
      <c r="C75" s="1">
        <v>46023</v>
      </c>
      <c r="D75" t="s">
        <v>0</v>
      </c>
      <c r="E75" t="s">
        <v>40</v>
      </c>
      <c r="F75" t="s">
        <v>0</v>
      </c>
      <c r="G75" t="s">
        <v>96</v>
      </c>
      <c r="H75" t="s">
        <v>291</v>
      </c>
      <c r="I75" t="s">
        <v>292</v>
      </c>
      <c r="J75" t="s">
        <v>293</v>
      </c>
      <c r="K75" t="s">
        <v>294</v>
      </c>
      <c r="L75">
        <v>2</v>
      </c>
      <c r="M75" t="s">
        <v>46</v>
      </c>
      <c r="N75" s="3" t="s">
        <v>0</v>
      </c>
      <c r="O75" t="s">
        <v>0</v>
      </c>
      <c r="P75" t="s">
        <v>333</v>
      </c>
      <c r="Q75" t="s">
        <v>332</v>
      </c>
    </row>
    <row r="76" spans="1:17" x14ac:dyDescent="0.25">
      <c r="A76" t="s">
        <v>75</v>
      </c>
      <c r="B76" t="s">
        <v>76</v>
      </c>
      <c r="C76" s="1">
        <v>46023</v>
      </c>
      <c r="D76" t="s">
        <v>0</v>
      </c>
      <c r="E76" t="s">
        <v>40</v>
      </c>
      <c r="F76" t="s">
        <v>0</v>
      </c>
      <c r="G76" t="s">
        <v>77</v>
      </c>
      <c r="H76" t="s">
        <v>78</v>
      </c>
      <c r="I76" t="s">
        <v>79</v>
      </c>
      <c r="J76" t="s">
        <v>80</v>
      </c>
      <c r="K76" t="s">
        <v>81</v>
      </c>
      <c r="L76">
        <v>2</v>
      </c>
      <c r="M76" t="s">
        <v>46</v>
      </c>
      <c r="N76" s="3" t="s">
        <v>0</v>
      </c>
      <c r="O76" t="s">
        <v>0</v>
      </c>
      <c r="P76" t="s">
        <v>333</v>
      </c>
      <c r="Q76" t="s">
        <v>332</v>
      </c>
    </row>
    <row r="77" spans="1:17" x14ac:dyDescent="0.25">
      <c r="A77" t="s">
        <v>109</v>
      </c>
      <c r="B77" t="s">
        <v>110</v>
      </c>
      <c r="C77" s="1">
        <v>46023</v>
      </c>
      <c r="D77" t="s">
        <v>0</v>
      </c>
      <c r="E77" t="s">
        <v>40</v>
      </c>
      <c r="F77" t="s">
        <v>0</v>
      </c>
      <c r="G77" t="s">
        <v>41</v>
      </c>
      <c r="H77" t="s">
        <v>115</v>
      </c>
      <c r="I77" t="s">
        <v>116</v>
      </c>
      <c r="J77" t="s">
        <v>117</v>
      </c>
      <c r="K77" t="s">
        <v>118</v>
      </c>
      <c r="L77">
        <v>2</v>
      </c>
      <c r="M77" t="s">
        <v>46</v>
      </c>
      <c r="N77" s="3" t="s">
        <v>0</v>
      </c>
      <c r="O77" t="s">
        <v>0</v>
      </c>
      <c r="P77" t="s">
        <v>333</v>
      </c>
      <c r="Q77" t="s">
        <v>332</v>
      </c>
    </row>
    <row r="78" spans="1:17" x14ac:dyDescent="0.25">
      <c r="A78" t="s">
        <v>109</v>
      </c>
      <c r="B78" t="s">
        <v>110</v>
      </c>
      <c r="C78" s="1">
        <v>46023</v>
      </c>
      <c r="D78" t="s">
        <v>0</v>
      </c>
      <c r="E78" t="s">
        <v>40</v>
      </c>
      <c r="F78" t="s">
        <v>0</v>
      </c>
      <c r="G78" t="s">
        <v>58</v>
      </c>
      <c r="H78" t="s">
        <v>119</v>
      </c>
      <c r="I78" t="s">
        <v>120</v>
      </c>
      <c r="J78" t="s">
        <v>121</v>
      </c>
      <c r="K78" t="s">
        <v>122</v>
      </c>
      <c r="L78">
        <v>2</v>
      </c>
      <c r="M78" t="s">
        <v>46</v>
      </c>
      <c r="N78" s="3" t="s">
        <v>0</v>
      </c>
      <c r="O78" t="s">
        <v>0</v>
      </c>
      <c r="P78" t="s">
        <v>333</v>
      </c>
      <c r="Q78" t="s">
        <v>332</v>
      </c>
    </row>
    <row r="79" spans="1:17" x14ac:dyDescent="0.25">
      <c r="A79" t="s">
        <v>82</v>
      </c>
      <c r="B79" t="s">
        <v>83</v>
      </c>
      <c r="C79" s="1">
        <v>46023</v>
      </c>
      <c r="D79" t="s">
        <v>0</v>
      </c>
      <c r="E79" t="s">
        <v>40</v>
      </c>
      <c r="F79" t="s">
        <v>0</v>
      </c>
      <c r="G79" t="s">
        <v>58</v>
      </c>
      <c r="H79" t="s">
        <v>92</v>
      </c>
      <c r="I79" t="s">
        <v>93</v>
      </c>
      <c r="J79" t="s">
        <v>94</v>
      </c>
      <c r="K79" t="s">
        <v>95</v>
      </c>
      <c r="L79">
        <v>2</v>
      </c>
      <c r="M79" t="s">
        <v>46</v>
      </c>
      <c r="N79" s="3" t="s">
        <v>0</v>
      </c>
      <c r="O79" t="s">
        <v>0</v>
      </c>
      <c r="P79" t="s">
        <v>333</v>
      </c>
      <c r="Q79" t="s">
        <v>332</v>
      </c>
    </row>
    <row r="80" spans="1:17" x14ac:dyDescent="0.25">
      <c r="A80" t="s">
        <v>38</v>
      </c>
      <c r="B80" t="s">
        <v>39</v>
      </c>
      <c r="C80" s="1">
        <v>46023</v>
      </c>
      <c r="D80" t="s">
        <v>0</v>
      </c>
      <c r="E80" t="s">
        <v>40</v>
      </c>
      <c r="F80" t="s">
        <v>0</v>
      </c>
      <c r="G80" t="s">
        <v>41</v>
      </c>
      <c r="H80" t="s">
        <v>42</v>
      </c>
      <c r="I80" t="s">
        <v>43</v>
      </c>
      <c r="J80" t="s">
        <v>44</v>
      </c>
      <c r="K80" t="s">
        <v>45</v>
      </c>
      <c r="L80">
        <v>3</v>
      </c>
      <c r="M80" t="s">
        <v>46</v>
      </c>
      <c r="N80" s="3" t="s">
        <v>0</v>
      </c>
      <c r="O80" t="s">
        <v>0</v>
      </c>
      <c r="P80" t="s">
        <v>333</v>
      </c>
      <c r="Q80" t="s">
        <v>332</v>
      </c>
    </row>
    <row r="81" spans="1:17" x14ac:dyDescent="0.25">
      <c r="A81" t="s">
        <v>345</v>
      </c>
      <c r="B81" t="s">
        <v>346</v>
      </c>
      <c r="C81" s="2">
        <v>46082</v>
      </c>
      <c r="D81" t="s">
        <v>0</v>
      </c>
      <c r="E81" t="s">
        <v>40</v>
      </c>
      <c r="F81" t="s">
        <v>0</v>
      </c>
      <c r="G81" t="s">
        <v>297</v>
      </c>
      <c r="H81" t="s">
        <v>347</v>
      </c>
      <c r="I81" t="s">
        <v>348</v>
      </c>
      <c r="J81" t="s">
        <v>349</v>
      </c>
      <c r="K81" t="s">
        <v>350</v>
      </c>
      <c r="L81">
        <v>1</v>
      </c>
      <c r="M81" t="s">
        <v>46</v>
      </c>
      <c r="N81" s="3" t="s">
        <v>0</v>
      </c>
      <c r="O81" t="s">
        <v>0</v>
      </c>
      <c r="P81" t="s">
        <v>331</v>
      </c>
      <c r="Q81" t="s">
        <v>332</v>
      </c>
    </row>
    <row r="82" spans="1:17" x14ac:dyDescent="0.25">
      <c r="A82" t="s">
        <v>186</v>
      </c>
      <c r="B82" t="s">
        <v>187</v>
      </c>
      <c r="C82" s="1">
        <v>46023</v>
      </c>
      <c r="D82" t="s">
        <v>0</v>
      </c>
      <c r="E82" t="s">
        <v>40</v>
      </c>
      <c r="F82" t="s">
        <v>0</v>
      </c>
      <c r="G82" t="s">
        <v>58</v>
      </c>
      <c r="H82" t="s">
        <v>196</v>
      </c>
      <c r="I82" t="s">
        <v>197</v>
      </c>
      <c r="J82" t="s">
        <v>198</v>
      </c>
      <c r="K82" t="s">
        <v>199</v>
      </c>
      <c r="L82">
        <v>2</v>
      </c>
      <c r="M82" t="s">
        <v>46</v>
      </c>
      <c r="N82" s="3" t="s">
        <v>0</v>
      </c>
      <c r="O82" t="s">
        <v>0</v>
      </c>
      <c r="P82" t="s">
        <v>333</v>
      </c>
      <c r="Q82" t="s">
        <v>332</v>
      </c>
    </row>
    <row r="83" spans="1:17" x14ac:dyDescent="0.25">
      <c r="A83" t="s">
        <v>351</v>
      </c>
      <c r="B83" t="s">
        <v>352</v>
      </c>
      <c r="C83" s="1">
        <v>46023</v>
      </c>
      <c r="D83" t="s">
        <v>0</v>
      </c>
      <c r="E83" t="s">
        <v>40</v>
      </c>
      <c r="F83" t="s">
        <v>0</v>
      </c>
      <c r="G83" t="s">
        <v>41</v>
      </c>
      <c r="H83" t="s">
        <v>353</v>
      </c>
      <c r="I83" t="s">
        <v>354</v>
      </c>
      <c r="J83" t="s">
        <v>355</v>
      </c>
      <c r="K83" t="s">
        <v>356</v>
      </c>
      <c r="L83">
        <v>3</v>
      </c>
      <c r="M83" t="s">
        <v>46</v>
      </c>
      <c r="N83" s="3" t="s">
        <v>0</v>
      </c>
      <c r="O83" t="s">
        <v>0</v>
      </c>
      <c r="P83" t="s">
        <v>333</v>
      </c>
      <c r="Q83" t="s">
        <v>332</v>
      </c>
    </row>
    <row r="84" spans="1:17" x14ac:dyDescent="0.25">
      <c r="A84" t="s">
        <v>109</v>
      </c>
      <c r="B84" t="s">
        <v>110</v>
      </c>
      <c r="C84" s="1">
        <v>46023</v>
      </c>
      <c r="D84" t="s">
        <v>0</v>
      </c>
      <c r="E84" t="s">
        <v>40</v>
      </c>
      <c r="F84" t="s">
        <v>0</v>
      </c>
      <c r="G84" t="s">
        <v>58</v>
      </c>
      <c r="H84" t="s">
        <v>123</v>
      </c>
      <c r="I84" t="s">
        <v>124</v>
      </c>
      <c r="J84" t="s">
        <v>125</v>
      </c>
      <c r="K84" t="s">
        <v>126</v>
      </c>
      <c r="L84">
        <v>2</v>
      </c>
      <c r="M84" t="s">
        <v>46</v>
      </c>
      <c r="N84" s="3" t="s">
        <v>0</v>
      </c>
      <c r="O84" t="s">
        <v>0</v>
      </c>
      <c r="P84" t="s">
        <v>333</v>
      </c>
      <c r="Q84" t="s">
        <v>332</v>
      </c>
    </row>
    <row r="85" spans="1:17" x14ac:dyDescent="0.25">
      <c r="A85" t="s">
        <v>295</v>
      </c>
      <c r="B85" t="s">
        <v>296</v>
      </c>
      <c r="C85" s="1">
        <v>46023</v>
      </c>
      <c r="D85" t="s">
        <v>0</v>
      </c>
      <c r="E85" t="s">
        <v>40</v>
      </c>
      <c r="F85" t="s">
        <v>0</v>
      </c>
      <c r="G85" t="s">
        <v>297</v>
      </c>
      <c r="H85" t="s">
        <v>298</v>
      </c>
      <c r="I85" t="s">
        <v>299</v>
      </c>
      <c r="J85" t="s">
        <v>300</v>
      </c>
      <c r="K85" t="s">
        <v>301</v>
      </c>
      <c r="L85">
        <v>2</v>
      </c>
      <c r="M85" t="s">
        <v>46</v>
      </c>
      <c r="N85" s="3" t="s">
        <v>0</v>
      </c>
      <c r="O85" t="s">
        <v>0</v>
      </c>
      <c r="P85" t="s">
        <v>333</v>
      </c>
      <c r="Q85" t="s">
        <v>332</v>
      </c>
    </row>
    <row r="86" spans="1:17" x14ac:dyDescent="0.25">
      <c r="A86" t="s">
        <v>109</v>
      </c>
      <c r="B86" t="s">
        <v>110</v>
      </c>
      <c r="C86" s="1">
        <v>46023</v>
      </c>
      <c r="D86" t="s">
        <v>0</v>
      </c>
      <c r="E86" t="s">
        <v>40</v>
      </c>
      <c r="F86" t="s">
        <v>0</v>
      </c>
      <c r="G86" t="s">
        <v>58</v>
      </c>
      <c r="H86" t="s">
        <v>127</v>
      </c>
      <c r="I86" t="s">
        <v>128</v>
      </c>
      <c r="J86" t="s">
        <v>129</v>
      </c>
      <c r="K86" t="s">
        <v>130</v>
      </c>
      <c r="L86">
        <v>2</v>
      </c>
      <c r="M86" t="s">
        <v>46</v>
      </c>
      <c r="N86" s="3" t="s">
        <v>0</v>
      </c>
      <c r="O86" t="s">
        <v>0</v>
      </c>
      <c r="P86" t="s">
        <v>333</v>
      </c>
      <c r="Q86" t="s">
        <v>332</v>
      </c>
    </row>
    <row r="87" spans="1:17" x14ac:dyDescent="0.25">
      <c r="A87" t="s">
        <v>186</v>
      </c>
      <c r="B87" t="s">
        <v>187</v>
      </c>
      <c r="C87" s="1">
        <v>46023</v>
      </c>
      <c r="D87" t="s">
        <v>0</v>
      </c>
      <c r="E87" t="s">
        <v>40</v>
      </c>
      <c r="F87" t="s">
        <v>0</v>
      </c>
      <c r="G87" t="s">
        <v>58</v>
      </c>
      <c r="H87" t="s">
        <v>200</v>
      </c>
      <c r="I87" t="s">
        <v>201</v>
      </c>
      <c r="J87" t="s">
        <v>202</v>
      </c>
      <c r="K87" t="s">
        <v>203</v>
      </c>
      <c r="L87">
        <v>2</v>
      </c>
      <c r="M87" t="s">
        <v>46</v>
      </c>
      <c r="N87" s="3" t="s">
        <v>0</v>
      </c>
      <c r="O87" t="s">
        <v>0</v>
      </c>
      <c r="P87" t="s">
        <v>333</v>
      </c>
      <c r="Q87" t="s">
        <v>332</v>
      </c>
    </row>
    <row r="88" spans="1:17" x14ac:dyDescent="0.25">
      <c r="A88" t="s">
        <v>186</v>
      </c>
      <c r="B88" t="s">
        <v>187</v>
      </c>
      <c r="C88" s="1">
        <v>46023</v>
      </c>
      <c r="D88" t="s">
        <v>0</v>
      </c>
      <c r="E88" t="s">
        <v>40</v>
      </c>
      <c r="F88" t="s">
        <v>0</v>
      </c>
      <c r="G88" t="s">
        <v>77</v>
      </c>
      <c r="H88" t="s">
        <v>204</v>
      </c>
      <c r="I88" t="s">
        <v>205</v>
      </c>
      <c r="J88" t="s">
        <v>206</v>
      </c>
      <c r="K88" t="s">
        <v>207</v>
      </c>
      <c r="L88">
        <v>2</v>
      </c>
      <c r="M88" t="s">
        <v>46</v>
      </c>
      <c r="N88" s="3" t="s">
        <v>0</v>
      </c>
      <c r="O88" t="s">
        <v>0</v>
      </c>
      <c r="P88" t="s">
        <v>333</v>
      </c>
      <c r="Q88" t="s">
        <v>332</v>
      </c>
    </row>
    <row r="89" spans="1:17" x14ac:dyDescent="0.25">
      <c r="A89" t="s">
        <v>186</v>
      </c>
      <c r="B89" t="s">
        <v>187</v>
      </c>
      <c r="C89" s="1">
        <v>46023</v>
      </c>
      <c r="D89" t="s">
        <v>0</v>
      </c>
      <c r="E89" t="s">
        <v>40</v>
      </c>
      <c r="F89" t="s">
        <v>0</v>
      </c>
      <c r="G89" t="s">
        <v>58</v>
      </c>
      <c r="H89" t="s">
        <v>208</v>
      </c>
      <c r="I89" t="s">
        <v>209</v>
      </c>
      <c r="J89" t="s">
        <v>210</v>
      </c>
      <c r="K89" t="s">
        <v>211</v>
      </c>
      <c r="L89">
        <v>2</v>
      </c>
      <c r="M89" t="s">
        <v>46</v>
      </c>
      <c r="N89" s="3" t="s">
        <v>0</v>
      </c>
      <c r="O89" t="s">
        <v>0</v>
      </c>
      <c r="P89" t="s">
        <v>333</v>
      </c>
      <c r="Q89" t="s">
        <v>332</v>
      </c>
    </row>
    <row r="90" spans="1:17" x14ac:dyDescent="0.25">
      <c r="A90" t="s">
        <v>186</v>
      </c>
      <c r="B90" t="s">
        <v>187</v>
      </c>
      <c r="C90" s="1">
        <v>46023</v>
      </c>
      <c r="D90" t="s">
        <v>0</v>
      </c>
      <c r="E90" t="s">
        <v>40</v>
      </c>
      <c r="F90" t="s">
        <v>0</v>
      </c>
      <c r="G90" t="s">
        <v>58</v>
      </c>
      <c r="H90" t="s">
        <v>212</v>
      </c>
      <c r="I90" t="s">
        <v>213</v>
      </c>
      <c r="J90" t="s">
        <v>214</v>
      </c>
      <c r="K90" t="s">
        <v>215</v>
      </c>
      <c r="L90">
        <v>2</v>
      </c>
      <c r="M90" t="s">
        <v>46</v>
      </c>
      <c r="N90" s="3" t="s">
        <v>0</v>
      </c>
      <c r="O90" t="s">
        <v>0</v>
      </c>
      <c r="P90" t="s">
        <v>333</v>
      </c>
      <c r="Q90" t="s">
        <v>332</v>
      </c>
    </row>
    <row r="91" spans="1:17" x14ac:dyDescent="0.25">
      <c r="A91" t="s">
        <v>186</v>
      </c>
      <c r="B91" t="s">
        <v>187</v>
      </c>
      <c r="C91" s="1">
        <v>46023</v>
      </c>
      <c r="D91" t="s">
        <v>0</v>
      </c>
      <c r="E91" t="s">
        <v>40</v>
      </c>
      <c r="F91" t="s">
        <v>0</v>
      </c>
      <c r="G91" t="s">
        <v>58</v>
      </c>
      <c r="H91" t="s">
        <v>216</v>
      </c>
      <c r="I91" t="s">
        <v>217</v>
      </c>
      <c r="J91" t="s">
        <v>218</v>
      </c>
      <c r="K91" t="s">
        <v>219</v>
      </c>
      <c r="L91">
        <v>2</v>
      </c>
      <c r="M91" t="s">
        <v>46</v>
      </c>
      <c r="N91" s="3" t="s">
        <v>0</v>
      </c>
      <c r="O91" t="s">
        <v>0</v>
      </c>
      <c r="P91" t="s">
        <v>333</v>
      </c>
      <c r="Q91" t="s">
        <v>332</v>
      </c>
    </row>
    <row r="92" spans="1:17" x14ac:dyDescent="0.25">
      <c r="A92" t="s">
        <v>186</v>
      </c>
      <c r="B92" t="s">
        <v>187</v>
      </c>
      <c r="C92" s="1">
        <v>46023</v>
      </c>
      <c r="D92" t="s">
        <v>0</v>
      </c>
      <c r="E92" t="s">
        <v>40</v>
      </c>
      <c r="F92" t="s">
        <v>0</v>
      </c>
      <c r="G92" t="s">
        <v>58</v>
      </c>
      <c r="H92" t="s">
        <v>220</v>
      </c>
      <c r="I92" t="s">
        <v>221</v>
      </c>
      <c r="J92" t="s">
        <v>222</v>
      </c>
      <c r="K92" t="s">
        <v>223</v>
      </c>
      <c r="L92">
        <v>2</v>
      </c>
      <c r="M92" t="s">
        <v>46</v>
      </c>
      <c r="N92" s="3" t="s">
        <v>0</v>
      </c>
      <c r="O92" t="s">
        <v>0</v>
      </c>
      <c r="P92" t="s">
        <v>333</v>
      </c>
      <c r="Q92" t="s">
        <v>332</v>
      </c>
    </row>
    <row r="93" spans="1:17" x14ac:dyDescent="0.25">
      <c r="A93" t="s">
        <v>295</v>
      </c>
      <c r="B93" t="s">
        <v>296</v>
      </c>
      <c r="C93" s="1">
        <v>46023</v>
      </c>
      <c r="D93" s="2">
        <v>46053</v>
      </c>
      <c r="E93" t="s">
        <v>40</v>
      </c>
      <c r="F93" t="s">
        <v>0</v>
      </c>
      <c r="G93" t="s">
        <v>77</v>
      </c>
      <c r="H93" t="s">
        <v>302</v>
      </c>
      <c r="I93" t="s">
        <v>303</v>
      </c>
      <c r="J93" t="s">
        <v>304</v>
      </c>
      <c r="K93" t="s">
        <v>305</v>
      </c>
      <c r="L93">
        <v>1</v>
      </c>
      <c r="M93" t="s">
        <v>46</v>
      </c>
      <c r="N93" s="3" t="s">
        <v>0</v>
      </c>
      <c r="O93" t="s">
        <v>0</v>
      </c>
      <c r="P93" t="s">
        <v>344</v>
      </c>
      <c r="Q93" t="s">
        <v>332</v>
      </c>
    </row>
    <row r="94" spans="1:17" x14ac:dyDescent="0.25">
      <c r="A94" t="s">
        <v>109</v>
      </c>
      <c r="B94" t="s">
        <v>110</v>
      </c>
      <c r="C94" s="1">
        <v>46023</v>
      </c>
      <c r="D94" t="s">
        <v>0</v>
      </c>
      <c r="E94" t="s">
        <v>40</v>
      </c>
      <c r="F94" t="s">
        <v>0</v>
      </c>
      <c r="G94" t="s">
        <v>58</v>
      </c>
      <c r="H94" t="s">
        <v>131</v>
      </c>
      <c r="I94" t="s">
        <v>132</v>
      </c>
      <c r="J94" t="s">
        <v>133</v>
      </c>
      <c r="K94" t="s">
        <v>134</v>
      </c>
      <c r="L94">
        <v>2</v>
      </c>
      <c r="M94" t="s">
        <v>46</v>
      </c>
      <c r="N94" s="3" t="s">
        <v>0</v>
      </c>
      <c r="O94" t="s">
        <v>0</v>
      </c>
      <c r="P94" t="s">
        <v>333</v>
      </c>
      <c r="Q94" t="s">
        <v>332</v>
      </c>
    </row>
    <row r="95" spans="1:17" x14ac:dyDescent="0.25">
      <c r="A95" t="s">
        <v>186</v>
      </c>
      <c r="B95" t="s">
        <v>187</v>
      </c>
      <c r="C95" s="1">
        <v>46023</v>
      </c>
      <c r="D95" s="2">
        <v>46081</v>
      </c>
      <c r="E95" t="s">
        <v>40</v>
      </c>
      <c r="F95" t="s">
        <v>0</v>
      </c>
      <c r="G95" t="s">
        <v>58</v>
      </c>
      <c r="H95" t="s">
        <v>224</v>
      </c>
      <c r="I95" t="s">
        <v>225</v>
      </c>
      <c r="J95" t="s">
        <v>226</v>
      </c>
      <c r="K95" t="s">
        <v>227</v>
      </c>
      <c r="L95">
        <v>1</v>
      </c>
      <c r="M95" t="s">
        <v>46</v>
      </c>
      <c r="N95" s="3" t="s">
        <v>0</v>
      </c>
      <c r="O95" t="s">
        <v>0</v>
      </c>
      <c r="P95" t="s">
        <v>344</v>
      </c>
      <c r="Q95" t="s">
        <v>332</v>
      </c>
    </row>
    <row r="96" spans="1:17" x14ac:dyDescent="0.25">
      <c r="A96" t="s">
        <v>295</v>
      </c>
      <c r="B96" t="s">
        <v>296</v>
      </c>
      <c r="C96" s="1">
        <v>46023</v>
      </c>
      <c r="D96" t="s">
        <v>0</v>
      </c>
      <c r="E96" t="s">
        <v>40</v>
      </c>
      <c r="F96" t="s">
        <v>0</v>
      </c>
      <c r="G96" t="s">
        <v>297</v>
      </c>
      <c r="H96" t="s">
        <v>306</v>
      </c>
      <c r="I96" t="s">
        <v>307</v>
      </c>
      <c r="J96" t="s">
        <v>308</v>
      </c>
      <c r="K96" t="s">
        <v>309</v>
      </c>
      <c r="L96">
        <v>2</v>
      </c>
      <c r="M96" t="s">
        <v>46</v>
      </c>
      <c r="N96" s="3" t="s">
        <v>0</v>
      </c>
      <c r="O96" t="s">
        <v>0</v>
      </c>
      <c r="P96" t="s">
        <v>333</v>
      </c>
      <c r="Q96" t="s">
        <v>332</v>
      </c>
    </row>
    <row r="97" spans="1:17" x14ac:dyDescent="0.25">
      <c r="A97" t="s">
        <v>272</v>
      </c>
      <c r="B97" t="s">
        <v>273</v>
      </c>
      <c r="C97" s="1">
        <v>46023</v>
      </c>
      <c r="D97" t="s">
        <v>0</v>
      </c>
      <c r="E97" t="s">
        <v>40</v>
      </c>
      <c r="F97" t="s">
        <v>0</v>
      </c>
      <c r="G97" t="s">
        <v>255</v>
      </c>
      <c r="H97" t="s">
        <v>274</v>
      </c>
      <c r="I97" t="s">
        <v>275</v>
      </c>
      <c r="J97" t="s">
        <v>276</v>
      </c>
      <c r="K97" t="s">
        <v>277</v>
      </c>
      <c r="L97">
        <v>2</v>
      </c>
      <c r="M97" t="s">
        <v>46</v>
      </c>
      <c r="N97" s="3" t="s">
        <v>0</v>
      </c>
      <c r="O97" t="s">
        <v>0</v>
      </c>
      <c r="P97" t="s">
        <v>333</v>
      </c>
      <c r="Q97" t="s">
        <v>332</v>
      </c>
    </row>
    <row r="98" spans="1:17" x14ac:dyDescent="0.25">
      <c r="A98" t="s">
        <v>109</v>
      </c>
      <c r="B98" t="s">
        <v>110</v>
      </c>
      <c r="C98" s="1">
        <v>46023</v>
      </c>
      <c r="D98" t="s">
        <v>0</v>
      </c>
      <c r="E98" t="s">
        <v>40</v>
      </c>
      <c r="F98" t="s">
        <v>0</v>
      </c>
      <c r="G98" t="s">
        <v>58</v>
      </c>
      <c r="H98" t="s">
        <v>135</v>
      </c>
      <c r="I98" t="s">
        <v>136</v>
      </c>
      <c r="J98" t="s">
        <v>137</v>
      </c>
      <c r="K98" t="s">
        <v>138</v>
      </c>
      <c r="L98">
        <v>2</v>
      </c>
      <c r="M98" t="s">
        <v>46</v>
      </c>
      <c r="N98" s="3" t="s">
        <v>0</v>
      </c>
      <c r="O98" t="s">
        <v>0</v>
      </c>
      <c r="P98" t="s">
        <v>333</v>
      </c>
      <c r="Q98" t="s">
        <v>332</v>
      </c>
    </row>
    <row r="99" spans="1:17" x14ac:dyDescent="0.25">
      <c r="A99" t="s">
        <v>109</v>
      </c>
      <c r="B99" t="s">
        <v>110</v>
      </c>
      <c r="C99" s="1">
        <v>46023</v>
      </c>
      <c r="D99" t="s">
        <v>0</v>
      </c>
      <c r="E99" t="s">
        <v>40</v>
      </c>
      <c r="F99" t="s">
        <v>0</v>
      </c>
      <c r="G99" t="s">
        <v>58</v>
      </c>
      <c r="H99" t="s">
        <v>139</v>
      </c>
      <c r="I99" t="s">
        <v>140</v>
      </c>
      <c r="J99" t="s">
        <v>137</v>
      </c>
      <c r="K99" t="s">
        <v>141</v>
      </c>
      <c r="L99">
        <v>2</v>
      </c>
      <c r="M99" t="s">
        <v>46</v>
      </c>
      <c r="N99" s="3" t="s">
        <v>0</v>
      </c>
      <c r="O99" t="s">
        <v>0</v>
      </c>
      <c r="P99" t="s">
        <v>333</v>
      </c>
      <c r="Q99" t="s">
        <v>332</v>
      </c>
    </row>
    <row r="100" spans="1:17" x14ac:dyDescent="0.25">
      <c r="A100" t="s">
        <v>186</v>
      </c>
      <c r="B100" t="s">
        <v>187</v>
      </c>
      <c r="C100" s="1">
        <v>46023</v>
      </c>
      <c r="D100" t="s">
        <v>0</v>
      </c>
      <c r="E100" t="s">
        <v>40</v>
      </c>
      <c r="F100" t="s">
        <v>0</v>
      </c>
      <c r="G100" t="s">
        <v>77</v>
      </c>
      <c r="H100" t="s">
        <v>228</v>
      </c>
      <c r="I100" t="s">
        <v>229</v>
      </c>
      <c r="J100" t="s">
        <v>137</v>
      </c>
      <c r="K100" t="s">
        <v>230</v>
      </c>
      <c r="L100">
        <v>2</v>
      </c>
      <c r="M100" t="s">
        <v>46</v>
      </c>
      <c r="N100" s="3" t="s">
        <v>0</v>
      </c>
      <c r="O100" t="s">
        <v>0</v>
      </c>
      <c r="P100" t="s">
        <v>333</v>
      </c>
      <c r="Q100" t="s">
        <v>332</v>
      </c>
    </row>
    <row r="101" spans="1:17" x14ac:dyDescent="0.25">
      <c r="A101" t="s">
        <v>357</v>
      </c>
      <c r="B101" t="s">
        <v>358</v>
      </c>
      <c r="C101" s="1">
        <v>46023</v>
      </c>
      <c r="D101" t="s">
        <v>0</v>
      </c>
      <c r="E101" t="s">
        <v>40</v>
      </c>
      <c r="F101" t="s">
        <v>0</v>
      </c>
      <c r="G101" t="s">
        <v>58</v>
      </c>
      <c r="H101" t="s">
        <v>359</v>
      </c>
      <c r="I101" t="s">
        <v>360</v>
      </c>
      <c r="J101" t="s">
        <v>361</v>
      </c>
      <c r="K101" t="s">
        <v>362</v>
      </c>
      <c r="L101">
        <v>2</v>
      </c>
      <c r="M101" t="s">
        <v>46</v>
      </c>
      <c r="N101" s="3" t="s">
        <v>0</v>
      </c>
      <c r="O101" t="s">
        <v>0</v>
      </c>
      <c r="P101" t="s">
        <v>333</v>
      </c>
      <c r="Q101" t="s">
        <v>332</v>
      </c>
    </row>
    <row r="102" spans="1:17" x14ac:dyDescent="0.25">
      <c r="A102" t="s">
        <v>334</v>
      </c>
      <c r="B102" t="s">
        <v>335</v>
      </c>
      <c r="C102" s="1">
        <v>46023</v>
      </c>
      <c r="D102" t="s">
        <v>0</v>
      </c>
      <c r="E102" t="s">
        <v>40</v>
      </c>
      <c r="F102" t="s">
        <v>0</v>
      </c>
      <c r="G102" t="s">
        <v>58</v>
      </c>
      <c r="H102" t="s">
        <v>363</v>
      </c>
      <c r="I102" t="s">
        <v>364</v>
      </c>
      <c r="J102" t="s">
        <v>365</v>
      </c>
      <c r="K102" t="s">
        <v>366</v>
      </c>
      <c r="L102">
        <v>2</v>
      </c>
      <c r="M102" t="s">
        <v>46</v>
      </c>
      <c r="N102" s="3" t="s">
        <v>0</v>
      </c>
      <c r="O102" t="s">
        <v>0</v>
      </c>
      <c r="P102" t="s">
        <v>333</v>
      </c>
      <c r="Q102" t="s">
        <v>332</v>
      </c>
    </row>
    <row r="103" spans="1:17" x14ac:dyDescent="0.25">
      <c r="A103" t="s">
        <v>334</v>
      </c>
      <c r="B103" t="s">
        <v>335</v>
      </c>
      <c r="C103" s="1">
        <v>46023</v>
      </c>
      <c r="D103" t="s">
        <v>0</v>
      </c>
      <c r="E103" t="s">
        <v>40</v>
      </c>
      <c r="F103" t="s">
        <v>0</v>
      </c>
      <c r="G103" t="s">
        <v>58</v>
      </c>
      <c r="H103" t="s">
        <v>367</v>
      </c>
      <c r="I103" t="s">
        <v>368</v>
      </c>
      <c r="J103" t="s">
        <v>369</v>
      </c>
      <c r="K103" t="s">
        <v>370</v>
      </c>
      <c r="L103">
        <v>2</v>
      </c>
      <c r="M103" t="s">
        <v>46</v>
      </c>
      <c r="N103" s="3" t="s">
        <v>0</v>
      </c>
      <c r="O103" t="s">
        <v>0</v>
      </c>
      <c r="P103" t="s">
        <v>333</v>
      </c>
      <c r="Q103" t="s">
        <v>332</v>
      </c>
    </row>
    <row r="104" spans="1:17" x14ac:dyDescent="0.25">
      <c r="A104" t="s">
        <v>82</v>
      </c>
      <c r="B104" t="s">
        <v>83</v>
      </c>
      <c r="C104" s="1">
        <v>46023</v>
      </c>
      <c r="D104" t="s">
        <v>0</v>
      </c>
      <c r="E104" t="s">
        <v>40</v>
      </c>
      <c r="F104" t="s">
        <v>0</v>
      </c>
      <c r="G104" t="s">
        <v>96</v>
      </c>
      <c r="H104" t="s">
        <v>97</v>
      </c>
      <c r="I104" t="s">
        <v>98</v>
      </c>
      <c r="J104" t="s">
        <v>99</v>
      </c>
      <c r="K104" t="s">
        <v>95</v>
      </c>
      <c r="L104">
        <v>2</v>
      </c>
      <c r="M104" t="s">
        <v>46</v>
      </c>
      <c r="N104" s="3" t="s">
        <v>0</v>
      </c>
      <c r="O104" t="s">
        <v>0</v>
      </c>
      <c r="P104" t="s">
        <v>333</v>
      </c>
      <c r="Q104" t="s">
        <v>332</v>
      </c>
    </row>
    <row r="105" spans="1:17" x14ac:dyDescent="0.25">
      <c r="A105" t="s">
        <v>295</v>
      </c>
      <c r="B105" t="s">
        <v>296</v>
      </c>
      <c r="C105" s="1">
        <v>46023</v>
      </c>
      <c r="D105" t="s">
        <v>0</v>
      </c>
      <c r="E105" t="s">
        <v>40</v>
      </c>
      <c r="F105" t="s">
        <v>0</v>
      </c>
      <c r="G105" t="s">
        <v>58</v>
      </c>
      <c r="H105" t="s">
        <v>310</v>
      </c>
      <c r="I105" t="s">
        <v>311</v>
      </c>
      <c r="J105" t="s">
        <v>312</v>
      </c>
      <c r="K105" t="s">
        <v>313</v>
      </c>
      <c r="L105">
        <v>2</v>
      </c>
      <c r="M105" t="s">
        <v>46</v>
      </c>
      <c r="N105" s="3" t="s">
        <v>0</v>
      </c>
      <c r="O105" t="s">
        <v>0</v>
      </c>
      <c r="P105" t="s">
        <v>333</v>
      </c>
      <c r="Q105" t="s">
        <v>332</v>
      </c>
    </row>
    <row r="106" spans="1:17" x14ac:dyDescent="0.25">
      <c r="A106" t="s">
        <v>63</v>
      </c>
      <c r="B106" t="s">
        <v>64</v>
      </c>
      <c r="C106" s="2">
        <v>46082</v>
      </c>
      <c r="D106" t="s">
        <v>0</v>
      </c>
      <c r="E106" t="s">
        <v>40</v>
      </c>
      <c r="F106" t="s">
        <v>0</v>
      </c>
      <c r="G106" t="s">
        <v>65</v>
      </c>
      <c r="H106" t="s">
        <v>66</v>
      </c>
      <c r="I106" t="s">
        <v>67</v>
      </c>
      <c r="J106" t="s">
        <v>68</v>
      </c>
      <c r="K106" t="s">
        <v>69</v>
      </c>
      <c r="L106">
        <v>1</v>
      </c>
      <c r="M106" t="s">
        <v>46</v>
      </c>
      <c r="N106" s="3" t="s">
        <v>0</v>
      </c>
      <c r="O106" t="s">
        <v>0</v>
      </c>
      <c r="P106" t="s">
        <v>331</v>
      </c>
      <c r="Q106" t="s">
        <v>332</v>
      </c>
    </row>
    <row r="107" spans="1:17" x14ac:dyDescent="0.25">
      <c r="A107" t="s">
        <v>109</v>
      </c>
      <c r="B107" t="s">
        <v>110</v>
      </c>
      <c r="C107" s="1">
        <v>46023</v>
      </c>
      <c r="D107" t="s">
        <v>0</v>
      </c>
      <c r="E107" t="s">
        <v>40</v>
      </c>
      <c r="F107" t="s">
        <v>0</v>
      </c>
      <c r="G107" t="s">
        <v>58</v>
      </c>
      <c r="H107" t="s">
        <v>142</v>
      </c>
      <c r="I107" t="s">
        <v>143</v>
      </c>
      <c r="J107" t="s">
        <v>68</v>
      </c>
      <c r="K107" t="s">
        <v>144</v>
      </c>
      <c r="L107">
        <v>3</v>
      </c>
      <c r="M107" t="s">
        <v>46</v>
      </c>
      <c r="N107" s="3" t="s">
        <v>0</v>
      </c>
      <c r="O107" t="s">
        <v>0</v>
      </c>
      <c r="P107" t="s">
        <v>333</v>
      </c>
      <c r="Q107" t="s">
        <v>332</v>
      </c>
    </row>
    <row r="108" spans="1:17" x14ac:dyDescent="0.25">
      <c r="A108" t="s">
        <v>334</v>
      </c>
      <c r="B108" t="s">
        <v>335</v>
      </c>
      <c r="C108" s="1">
        <v>46023</v>
      </c>
      <c r="D108" t="s">
        <v>0</v>
      </c>
      <c r="E108" t="s">
        <v>40</v>
      </c>
      <c r="F108" t="s">
        <v>0</v>
      </c>
      <c r="G108" t="s">
        <v>58</v>
      </c>
      <c r="H108" t="s">
        <v>371</v>
      </c>
      <c r="I108" t="s">
        <v>372</v>
      </c>
      <c r="J108" t="s">
        <v>373</v>
      </c>
      <c r="K108" t="s">
        <v>374</v>
      </c>
      <c r="L108">
        <v>2</v>
      </c>
      <c r="M108" t="s">
        <v>46</v>
      </c>
      <c r="N108" s="3" t="s">
        <v>0</v>
      </c>
      <c r="O108" t="s">
        <v>0</v>
      </c>
      <c r="P108" t="s">
        <v>333</v>
      </c>
      <c r="Q108" t="s">
        <v>332</v>
      </c>
    </row>
    <row r="109" spans="1:17" x14ac:dyDescent="0.25">
      <c r="A109" t="s">
        <v>109</v>
      </c>
      <c r="B109" t="s">
        <v>110</v>
      </c>
      <c r="C109" s="1">
        <v>46023</v>
      </c>
      <c r="D109" t="s">
        <v>0</v>
      </c>
      <c r="E109" t="s">
        <v>40</v>
      </c>
      <c r="F109" t="s">
        <v>0</v>
      </c>
      <c r="G109" t="s">
        <v>58</v>
      </c>
      <c r="H109" t="s">
        <v>145</v>
      </c>
      <c r="I109" t="s">
        <v>146</v>
      </c>
      <c r="J109" t="s">
        <v>147</v>
      </c>
      <c r="K109" t="s">
        <v>138</v>
      </c>
      <c r="L109">
        <v>2</v>
      </c>
      <c r="M109" t="s">
        <v>46</v>
      </c>
      <c r="N109" s="3" t="s">
        <v>0</v>
      </c>
      <c r="O109" t="s">
        <v>0</v>
      </c>
      <c r="P109" t="s">
        <v>333</v>
      </c>
      <c r="Q109" t="s">
        <v>332</v>
      </c>
    </row>
    <row r="110" spans="1:17" x14ac:dyDescent="0.25">
      <c r="A110" t="s">
        <v>186</v>
      </c>
      <c r="B110" t="s">
        <v>187</v>
      </c>
      <c r="C110" s="1">
        <v>46023</v>
      </c>
      <c r="D110" t="s">
        <v>0</v>
      </c>
      <c r="E110" t="s">
        <v>40</v>
      </c>
      <c r="F110" t="s">
        <v>0</v>
      </c>
      <c r="G110" t="s">
        <v>58</v>
      </c>
      <c r="H110" t="s">
        <v>231</v>
      </c>
      <c r="I110" t="s">
        <v>232</v>
      </c>
      <c r="J110" t="s">
        <v>147</v>
      </c>
      <c r="K110" t="s">
        <v>233</v>
      </c>
      <c r="L110">
        <v>2</v>
      </c>
      <c r="M110" t="s">
        <v>46</v>
      </c>
      <c r="N110" s="3" t="s">
        <v>0</v>
      </c>
      <c r="O110" t="s">
        <v>0</v>
      </c>
      <c r="P110" t="s">
        <v>333</v>
      </c>
      <c r="Q110" t="s">
        <v>332</v>
      </c>
    </row>
    <row r="111" spans="1:17" x14ac:dyDescent="0.25">
      <c r="A111" t="s">
        <v>295</v>
      </c>
      <c r="B111" t="s">
        <v>296</v>
      </c>
      <c r="C111" s="1">
        <v>46023</v>
      </c>
      <c r="D111" s="2">
        <v>46053</v>
      </c>
      <c r="E111" t="s">
        <v>40</v>
      </c>
      <c r="F111" t="s">
        <v>0</v>
      </c>
      <c r="G111" t="s">
        <v>58</v>
      </c>
      <c r="H111" t="s">
        <v>314</v>
      </c>
      <c r="I111" t="s">
        <v>315</v>
      </c>
      <c r="J111" t="s">
        <v>316</v>
      </c>
      <c r="K111" t="s">
        <v>317</v>
      </c>
      <c r="L111">
        <v>1</v>
      </c>
      <c r="M111" t="s">
        <v>46</v>
      </c>
      <c r="N111" s="3" t="s">
        <v>0</v>
      </c>
      <c r="O111" t="s">
        <v>0</v>
      </c>
      <c r="P111" t="s">
        <v>344</v>
      </c>
      <c r="Q111" t="s">
        <v>332</v>
      </c>
    </row>
    <row r="112" spans="1:17" x14ac:dyDescent="0.25">
      <c r="A112" t="s">
        <v>295</v>
      </c>
      <c r="B112" t="s">
        <v>296</v>
      </c>
      <c r="C112" s="1">
        <v>46023</v>
      </c>
      <c r="D112" t="s">
        <v>0</v>
      </c>
      <c r="E112" t="s">
        <v>40</v>
      </c>
      <c r="F112" t="s">
        <v>0</v>
      </c>
      <c r="G112" t="s">
        <v>58</v>
      </c>
      <c r="H112" t="s">
        <v>318</v>
      </c>
      <c r="I112" t="s">
        <v>319</v>
      </c>
      <c r="J112" t="s">
        <v>316</v>
      </c>
      <c r="K112" t="s">
        <v>320</v>
      </c>
      <c r="L112">
        <v>2</v>
      </c>
      <c r="M112" t="s">
        <v>46</v>
      </c>
      <c r="N112" s="3" t="s">
        <v>0</v>
      </c>
      <c r="O112" t="s">
        <v>0</v>
      </c>
      <c r="P112" t="s">
        <v>333</v>
      </c>
      <c r="Q112" t="s">
        <v>332</v>
      </c>
    </row>
    <row r="113" spans="1:17" x14ac:dyDescent="0.25">
      <c r="A113" t="s">
        <v>109</v>
      </c>
      <c r="B113" t="s">
        <v>110</v>
      </c>
      <c r="C113" s="1">
        <v>46023</v>
      </c>
      <c r="D113" t="s">
        <v>0</v>
      </c>
      <c r="E113" t="s">
        <v>40</v>
      </c>
      <c r="F113" t="s">
        <v>0</v>
      </c>
      <c r="G113" t="s">
        <v>41</v>
      </c>
      <c r="H113" t="s">
        <v>148</v>
      </c>
      <c r="I113" t="s">
        <v>149</v>
      </c>
      <c r="J113" t="s">
        <v>150</v>
      </c>
      <c r="K113" t="s">
        <v>151</v>
      </c>
      <c r="L113">
        <v>3</v>
      </c>
      <c r="M113" t="s">
        <v>46</v>
      </c>
      <c r="N113" s="3" t="s">
        <v>0</v>
      </c>
      <c r="O113" t="s">
        <v>0</v>
      </c>
      <c r="P113" t="s">
        <v>333</v>
      </c>
      <c r="Q113" t="s">
        <v>332</v>
      </c>
    </row>
    <row r="114" spans="1:17" x14ac:dyDescent="0.25">
      <c r="A114" t="s">
        <v>109</v>
      </c>
      <c r="B114" t="s">
        <v>110</v>
      </c>
      <c r="C114" s="1">
        <v>46023</v>
      </c>
      <c r="D114" t="s">
        <v>0</v>
      </c>
      <c r="E114" t="s">
        <v>40</v>
      </c>
      <c r="F114" t="s">
        <v>0</v>
      </c>
      <c r="G114" t="s">
        <v>58</v>
      </c>
      <c r="H114" t="s">
        <v>152</v>
      </c>
      <c r="I114" t="s">
        <v>153</v>
      </c>
      <c r="J114" t="s">
        <v>154</v>
      </c>
      <c r="K114" t="s">
        <v>155</v>
      </c>
      <c r="L114">
        <v>2</v>
      </c>
      <c r="M114" t="s">
        <v>46</v>
      </c>
      <c r="N114" s="3" t="s">
        <v>0</v>
      </c>
      <c r="O114" t="s">
        <v>0</v>
      </c>
      <c r="P114" t="s">
        <v>333</v>
      </c>
      <c r="Q114" t="s">
        <v>332</v>
      </c>
    </row>
    <row r="115" spans="1:17" x14ac:dyDescent="0.25">
      <c r="A115" t="s">
        <v>82</v>
      </c>
      <c r="B115" t="s">
        <v>83</v>
      </c>
      <c r="C115" s="1">
        <v>46023</v>
      </c>
      <c r="D115" t="s">
        <v>0</v>
      </c>
      <c r="E115" t="s">
        <v>40</v>
      </c>
      <c r="F115" t="s">
        <v>0</v>
      </c>
      <c r="G115" t="s">
        <v>58</v>
      </c>
      <c r="H115" t="s">
        <v>100</v>
      </c>
      <c r="I115" t="s">
        <v>101</v>
      </c>
      <c r="J115" t="s">
        <v>102</v>
      </c>
      <c r="K115" t="s">
        <v>103</v>
      </c>
      <c r="L115">
        <v>2</v>
      </c>
      <c r="M115" t="s">
        <v>46</v>
      </c>
      <c r="N115" s="3" t="s">
        <v>0</v>
      </c>
      <c r="O115" t="s">
        <v>0</v>
      </c>
      <c r="P115" t="s">
        <v>333</v>
      </c>
      <c r="Q115" t="s">
        <v>332</v>
      </c>
    </row>
    <row r="116" spans="1:17" x14ac:dyDescent="0.25">
      <c r="A116" t="s">
        <v>186</v>
      </c>
      <c r="B116" t="s">
        <v>187</v>
      </c>
      <c r="C116" s="1">
        <v>46023</v>
      </c>
      <c r="D116" t="s">
        <v>0</v>
      </c>
      <c r="E116" t="s">
        <v>40</v>
      </c>
      <c r="F116" t="s">
        <v>0</v>
      </c>
      <c r="G116" t="s">
        <v>58</v>
      </c>
      <c r="H116" t="s">
        <v>234</v>
      </c>
      <c r="I116" t="s">
        <v>235</v>
      </c>
      <c r="J116" t="s">
        <v>102</v>
      </c>
      <c r="K116" t="s">
        <v>236</v>
      </c>
      <c r="L116">
        <v>2</v>
      </c>
      <c r="M116" t="s">
        <v>46</v>
      </c>
      <c r="N116" s="3" t="s">
        <v>0</v>
      </c>
      <c r="O116" t="s">
        <v>0</v>
      </c>
      <c r="P116" t="s">
        <v>333</v>
      </c>
      <c r="Q116" t="s">
        <v>332</v>
      </c>
    </row>
    <row r="117" spans="1:17" x14ac:dyDescent="0.25">
      <c r="A117" t="s">
        <v>334</v>
      </c>
      <c r="B117" t="s">
        <v>335</v>
      </c>
      <c r="C117" s="1">
        <v>46023</v>
      </c>
      <c r="D117" t="s">
        <v>0</v>
      </c>
      <c r="E117" t="s">
        <v>40</v>
      </c>
      <c r="F117" t="s">
        <v>0</v>
      </c>
      <c r="G117" t="s">
        <v>58</v>
      </c>
      <c r="H117" t="s">
        <v>375</v>
      </c>
      <c r="I117" t="s">
        <v>376</v>
      </c>
      <c r="J117" t="s">
        <v>377</v>
      </c>
      <c r="K117" t="s">
        <v>378</v>
      </c>
      <c r="L117">
        <v>2</v>
      </c>
      <c r="M117" t="s">
        <v>46</v>
      </c>
      <c r="N117" s="3" t="s">
        <v>0</v>
      </c>
      <c r="O117" t="s">
        <v>0</v>
      </c>
      <c r="P117" t="s">
        <v>333</v>
      </c>
      <c r="Q117" t="s">
        <v>332</v>
      </c>
    </row>
    <row r="118" spans="1:17" x14ac:dyDescent="0.25">
      <c r="A118" t="s">
        <v>334</v>
      </c>
      <c r="B118" t="s">
        <v>335</v>
      </c>
      <c r="C118" s="1">
        <v>46023</v>
      </c>
      <c r="D118" t="s">
        <v>0</v>
      </c>
      <c r="E118" t="s">
        <v>40</v>
      </c>
      <c r="F118" t="s">
        <v>0</v>
      </c>
      <c r="G118" t="s">
        <v>58</v>
      </c>
      <c r="H118" t="s">
        <v>379</v>
      </c>
      <c r="I118" t="s">
        <v>380</v>
      </c>
      <c r="J118" t="s">
        <v>381</v>
      </c>
      <c r="K118" t="s">
        <v>382</v>
      </c>
      <c r="L118">
        <v>2</v>
      </c>
      <c r="M118" t="s">
        <v>46</v>
      </c>
      <c r="N118" s="3" t="s">
        <v>0</v>
      </c>
      <c r="O118" t="s">
        <v>0</v>
      </c>
      <c r="P118" t="s">
        <v>333</v>
      </c>
      <c r="Q118" t="s">
        <v>332</v>
      </c>
    </row>
    <row r="119" spans="1:17" x14ac:dyDescent="0.25">
      <c r="A119" t="s">
        <v>109</v>
      </c>
      <c r="B119" t="s">
        <v>110</v>
      </c>
      <c r="C119" s="1">
        <v>46023</v>
      </c>
      <c r="D119" t="s">
        <v>0</v>
      </c>
      <c r="E119" t="s">
        <v>40</v>
      </c>
      <c r="F119" t="s">
        <v>0</v>
      </c>
      <c r="G119" t="s">
        <v>58</v>
      </c>
      <c r="H119" t="s">
        <v>156</v>
      </c>
      <c r="I119" t="s">
        <v>157</v>
      </c>
      <c r="J119" t="s">
        <v>158</v>
      </c>
      <c r="K119" t="s">
        <v>159</v>
      </c>
      <c r="L119">
        <v>2</v>
      </c>
      <c r="M119" t="s">
        <v>46</v>
      </c>
      <c r="N119" s="3" t="s">
        <v>0</v>
      </c>
      <c r="O119" t="s">
        <v>0</v>
      </c>
      <c r="P119" t="s">
        <v>333</v>
      </c>
      <c r="Q119" t="s">
        <v>332</v>
      </c>
    </row>
    <row r="120" spans="1:17" x14ac:dyDescent="0.25">
      <c r="A120" t="s">
        <v>186</v>
      </c>
      <c r="B120" t="s">
        <v>187</v>
      </c>
      <c r="C120" s="1">
        <v>46023</v>
      </c>
      <c r="D120" t="s">
        <v>0</v>
      </c>
      <c r="E120" t="s">
        <v>40</v>
      </c>
      <c r="F120" t="s">
        <v>0</v>
      </c>
      <c r="G120" t="s">
        <v>58</v>
      </c>
      <c r="H120" t="s">
        <v>237</v>
      </c>
      <c r="I120" t="s">
        <v>238</v>
      </c>
      <c r="J120" t="s">
        <v>239</v>
      </c>
      <c r="K120" t="s">
        <v>195</v>
      </c>
      <c r="L120">
        <v>2</v>
      </c>
      <c r="M120" t="s">
        <v>46</v>
      </c>
      <c r="N120" s="3" t="s">
        <v>0</v>
      </c>
      <c r="O120" t="s">
        <v>0</v>
      </c>
      <c r="P120" t="s">
        <v>333</v>
      </c>
      <c r="Q120" t="s">
        <v>332</v>
      </c>
    </row>
    <row r="121" spans="1:17" x14ac:dyDescent="0.25">
      <c r="A121" t="s">
        <v>186</v>
      </c>
      <c r="B121" t="s">
        <v>187</v>
      </c>
      <c r="C121" s="1">
        <v>46023</v>
      </c>
      <c r="D121" t="s">
        <v>0</v>
      </c>
      <c r="E121" t="s">
        <v>40</v>
      </c>
      <c r="F121" t="s">
        <v>0</v>
      </c>
      <c r="G121" t="s">
        <v>58</v>
      </c>
      <c r="H121" t="s">
        <v>240</v>
      </c>
      <c r="I121" t="s">
        <v>241</v>
      </c>
      <c r="J121" t="s">
        <v>242</v>
      </c>
      <c r="K121" t="s">
        <v>243</v>
      </c>
      <c r="L121">
        <v>2</v>
      </c>
      <c r="M121" t="s">
        <v>46</v>
      </c>
      <c r="N121" s="3" t="s">
        <v>0</v>
      </c>
      <c r="O121" t="s">
        <v>0</v>
      </c>
      <c r="P121" t="s">
        <v>333</v>
      </c>
      <c r="Q121" t="s">
        <v>332</v>
      </c>
    </row>
    <row r="122" spans="1:17" x14ac:dyDescent="0.25">
      <c r="A122" t="s">
        <v>109</v>
      </c>
      <c r="B122" t="s">
        <v>110</v>
      </c>
      <c r="C122" s="1">
        <v>46023</v>
      </c>
      <c r="D122" t="s">
        <v>0</v>
      </c>
      <c r="E122" t="s">
        <v>40</v>
      </c>
      <c r="F122" t="s">
        <v>0</v>
      </c>
      <c r="G122" t="s">
        <v>58</v>
      </c>
      <c r="H122" t="s">
        <v>160</v>
      </c>
      <c r="I122" t="s">
        <v>161</v>
      </c>
      <c r="J122" t="s">
        <v>162</v>
      </c>
      <c r="K122" t="s">
        <v>163</v>
      </c>
      <c r="L122">
        <v>2</v>
      </c>
      <c r="M122" t="s">
        <v>46</v>
      </c>
      <c r="N122" s="3" t="s">
        <v>0</v>
      </c>
      <c r="O122" t="s">
        <v>0</v>
      </c>
      <c r="P122" t="s">
        <v>333</v>
      </c>
      <c r="Q122" t="s">
        <v>332</v>
      </c>
    </row>
    <row r="123" spans="1:17" x14ac:dyDescent="0.25">
      <c r="A123" t="s">
        <v>345</v>
      </c>
      <c r="B123" t="s">
        <v>346</v>
      </c>
      <c r="C123" s="1">
        <v>46023</v>
      </c>
      <c r="D123" t="s">
        <v>0</v>
      </c>
      <c r="E123" t="s">
        <v>40</v>
      </c>
      <c r="F123" t="s">
        <v>0</v>
      </c>
      <c r="G123" t="s">
        <v>58</v>
      </c>
      <c r="H123" t="s">
        <v>383</v>
      </c>
      <c r="I123" t="s">
        <v>384</v>
      </c>
      <c r="J123" t="s">
        <v>385</v>
      </c>
      <c r="K123" t="s">
        <v>386</v>
      </c>
      <c r="L123">
        <v>2</v>
      </c>
      <c r="M123" t="s">
        <v>46</v>
      </c>
      <c r="N123" s="3" t="s">
        <v>0</v>
      </c>
      <c r="O123" t="s">
        <v>0</v>
      </c>
      <c r="P123" t="s">
        <v>333</v>
      </c>
      <c r="Q123" t="s">
        <v>332</v>
      </c>
    </row>
    <row r="124" spans="1:17" x14ac:dyDescent="0.25">
      <c r="A124" t="s">
        <v>109</v>
      </c>
      <c r="B124" t="s">
        <v>110</v>
      </c>
      <c r="C124" s="1">
        <v>46023</v>
      </c>
      <c r="D124" t="s">
        <v>0</v>
      </c>
      <c r="E124" t="s">
        <v>40</v>
      </c>
      <c r="F124" t="s">
        <v>0</v>
      </c>
      <c r="G124" t="s">
        <v>58</v>
      </c>
      <c r="H124" t="s">
        <v>164</v>
      </c>
      <c r="I124" t="s">
        <v>165</v>
      </c>
      <c r="J124" t="s">
        <v>166</v>
      </c>
      <c r="K124" t="s">
        <v>167</v>
      </c>
      <c r="L124">
        <v>3</v>
      </c>
      <c r="M124" t="s">
        <v>46</v>
      </c>
      <c r="N124" s="3" t="s">
        <v>0</v>
      </c>
      <c r="O124" t="s">
        <v>0</v>
      </c>
      <c r="P124" t="s">
        <v>333</v>
      </c>
      <c r="Q124" t="s">
        <v>332</v>
      </c>
    </row>
    <row r="125" spans="1:17" x14ac:dyDescent="0.25">
      <c r="A125" t="s">
        <v>278</v>
      </c>
      <c r="B125" t="s">
        <v>279</v>
      </c>
      <c r="C125" s="1">
        <v>46023</v>
      </c>
      <c r="D125" t="s">
        <v>0</v>
      </c>
      <c r="E125" t="s">
        <v>40</v>
      </c>
      <c r="F125" t="s">
        <v>0</v>
      </c>
      <c r="G125" t="s">
        <v>58</v>
      </c>
      <c r="H125" t="s">
        <v>280</v>
      </c>
      <c r="I125" t="s">
        <v>281</v>
      </c>
      <c r="J125" t="s">
        <v>282</v>
      </c>
      <c r="K125" t="s">
        <v>283</v>
      </c>
      <c r="L125">
        <v>2</v>
      </c>
      <c r="M125" t="s">
        <v>46</v>
      </c>
      <c r="N125" s="3" t="s">
        <v>0</v>
      </c>
      <c r="O125" t="s">
        <v>0</v>
      </c>
      <c r="P125" t="s">
        <v>333</v>
      </c>
      <c r="Q125" t="s">
        <v>332</v>
      </c>
    </row>
    <row r="126" spans="1:17" x14ac:dyDescent="0.25">
      <c r="A126" t="s">
        <v>278</v>
      </c>
      <c r="B126" t="s">
        <v>279</v>
      </c>
      <c r="C126" s="2">
        <v>46082</v>
      </c>
      <c r="D126" t="s">
        <v>0</v>
      </c>
      <c r="E126" t="s">
        <v>40</v>
      </c>
      <c r="F126" t="s">
        <v>0</v>
      </c>
      <c r="G126" t="s">
        <v>58</v>
      </c>
      <c r="H126" t="s">
        <v>284</v>
      </c>
      <c r="I126" t="s">
        <v>285</v>
      </c>
      <c r="J126" t="s">
        <v>282</v>
      </c>
      <c r="K126" t="s">
        <v>286</v>
      </c>
      <c r="L126">
        <v>1</v>
      </c>
      <c r="M126" t="s">
        <v>287</v>
      </c>
      <c r="N126" s="3" t="s">
        <v>0</v>
      </c>
      <c r="O126" t="s">
        <v>0</v>
      </c>
      <c r="P126" t="s">
        <v>331</v>
      </c>
      <c r="Q126" t="s">
        <v>332</v>
      </c>
    </row>
    <row r="127" spans="1:17" x14ac:dyDescent="0.25">
      <c r="A127" t="s">
        <v>186</v>
      </c>
      <c r="B127" t="s">
        <v>187</v>
      </c>
      <c r="C127" s="1">
        <v>46023</v>
      </c>
      <c r="D127" t="s">
        <v>0</v>
      </c>
      <c r="E127" t="s">
        <v>40</v>
      </c>
      <c r="F127" t="s">
        <v>0</v>
      </c>
      <c r="G127" t="s">
        <v>96</v>
      </c>
      <c r="H127" t="s">
        <v>244</v>
      </c>
      <c r="I127" t="s">
        <v>245</v>
      </c>
      <c r="J127" t="s">
        <v>246</v>
      </c>
      <c r="K127" t="s">
        <v>114</v>
      </c>
      <c r="L127">
        <v>2</v>
      </c>
      <c r="M127" t="s">
        <v>46</v>
      </c>
      <c r="N127" s="3" t="s">
        <v>0</v>
      </c>
      <c r="O127" t="s">
        <v>0</v>
      </c>
      <c r="P127" t="s">
        <v>333</v>
      </c>
      <c r="Q127" t="s">
        <v>332</v>
      </c>
    </row>
    <row r="128" spans="1:17" x14ac:dyDescent="0.25">
      <c r="A128" t="s">
        <v>345</v>
      </c>
      <c r="B128" t="s">
        <v>346</v>
      </c>
      <c r="C128" s="1">
        <v>46023</v>
      </c>
      <c r="D128" t="s">
        <v>0</v>
      </c>
      <c r="E128" t="s">
        <v>40</v>
      </c>
      <c r="F128" t="s">
        <v>0</v>
      </c>
      <c r="G128" t="s">
        <v>297</v>
      </c>
      <c r="H128" t="s">
        <v>387</v>
      </c>
      <c r="I128" t="s">
        <v>388</v>
      </c>
      <c r="J128" t="s">
        <v>389</v>
      </c>
      <c r="K128" t="s">
        <v>390</v>
      </c>
      <c r="L128">
        <v>2</v>
      </c>
      <c r="M128" t="s">
        <v>46</v>
      </c>
      <c r="N128" s="3" t="s">
        <v>0</v>
      </c>
      <c r="O128" t="s">
        <v>0</v>
      </c>
      <c r="P128" t="s">
        <v>333</v>
      </c>
      <c r="Q128" t="s">
        <v>332</v>
      </c>
    </row>
    <row r="129" spans="1:17" x14ac:dyDescent="0.25">
      <c r="A129" t="s">
        <v>186</v>
      </c>
      <c r="B129" t="s">
        <v>187</v>
      </c>
      <c r="C129" s="1">
        <v>46023</v>
      </c>
      <c r="D129" t="s">
        <v>0</v>
      </c>
      <c r="E129" t="s">
        <v>40</v>
      </c>
      <c r="F129" t="s">
        <v>0</v>
      </c>
      <c r="G129" t="s">
        <v>58</v>
      </c>
      <c r="H129" t="s">
        <v>247</v>
      </c>
      <c r="I129" t="s">
        <v>248</v>
      </c>
      <c r="J129" t="s">
        <v>249</v>
      </c>
      <c r="K129" t="s">
        <v>250</v>
      </c>
      <c r="L129">
        <v>2</v>
      </c>
      <c r="M129" t="s">
        <v>46</v>
      </c>
      <c r="N129" s="3" t="s">
        <v>0</v>
      </c>
      <c r="O129" t="s">
        <v>0</v>
      </c>
      <c r="P129" t="s">
        <v>333</v>
      </c>
      <c r="Q129" t="s">
        <v>332</v>
      </c>
    </row>
    <row r="130" spans="1:17" x14ac:dyDescent="0.25">
      <c r="A130" t="s">
        <v>295</v>
      </c>
      <c r="B130" t="s">
        <v>296</v>
      </c>
      <c r="C130" s="1">
        <v>46023</v>
      </c>
      <c r="D130" t="s">
        <v>0</v>
      </c>
      <c r="E130" t="s">
        <v>40</v>
      </c>
      <c r="F130" t="s">
        <v>0</v>
      </c>
      <c r="G130" t="s">
        <v>58</v>
      </c>
      <c r="H130" t="s">
        <v>321</v>
      </c>
      <c r="I130" t="s">
        <v>322</v>
      </c>
      <c r="J130" t="s">
        <v>323</v>
      </c>
      <c r="K130" t="s">
        <v>324</v>
      </c>
      <c r="L130">
        <v>2</v>
      </c>
      <c r="M130" t="s">
        <v>46</v>
      </c>
      <c r="N130" s="3" t="s">
        <v>0</v>
      </c>
      <c r="O130" t="s">
        <v>0</v>
      </c>
      <c r="P130" t="s">
        <v>333</v>
      </c>
      <c r="Q130" t="s">
        <v>332</v>
      </c>
    </row>
    <row r="131" spans="1:17" x14ac:dyDescent="0.25">
      <c r="A131" t="s">
        <v>186</v>
      </c>
      <c r="B131" t="s">
        <v>187</v>
      </c>
      <c r="C131" s="1">
        <v>46023</v>
      </c>
      <c r="D131" t="s">
        <v>0</v>
      </c>
      <c r="E131" t="s">
        <v>40</v>
      </c>
      <c r="F131" t="s">
        <v>0</v>
      </c>
      <c r="G131" t="s">
        <v>58</v>
      </c>
      <c r="H131" t="s">
        <v>251</v>
      </c>
      <c r="I131" t="s">
        <v>252</v>
      </c>
      <c r="J131" t="s">
        <v>253</v>
      </c>
      <c r="K131" t="s">
        <v>254</v>
      </c>
      <c r="L131">
        <v>2</v>
      </c>
      <c r="M131" t="s">
        <v>46</v>
      </c>
      <c r="N131" s="3" t="s">
        <v>0</v>
      </c>
      <c r="O131" t="s">
        <v>0</v>
      </c>
      <c r="P131" t="s">
        <v>333</v>
      </c>
      <c r="Q131" t="s">
        <v>332</v>
      </c>
    </row>
    <row r="132" spans="1:17" x14ac:dyDescent="0.25">
      <c r="A132" t="s">
        <v>109</v>
      </c>
      <c r="B132" t="s">
        <v>110</v>
      </c>
      <c r="C132" s="1">
        <v>46023</v>
      </c>
      <c r="D132" t="s">
        <v>0</v>
      </c>
      <c r="E132" t="s">
        <v>40</v>
      </c>
      <c r="F132" t="s">
        <v>0</v>
      </c>
      <c r="G132" t="s">
        <v>77</v>
      </c>
      <c r="H132" t="s">
        <v>168</v>
      </c>
      <c r="I132" t="s">
        <v>169</v>
      </c>
      <c r="J132" t="s">
        <v>170</v>
      </c>
      <c r="K132" t="s">
        <v>171</v>
      </c>
      <c r="L132">
        <v>2</v>
      </c>
      <c r="M132" t="s">
        <v>46</v>
      </c>
      <c r="N132" s="3" t="s">
        <v>0</v>
      </c>
      <c r="O132" t="s">
        <v>0</v>
      </c>
      <c r="P132" t="s">
        <v>333</v>
      </c>
      <c r="Q132" t="s">
        <v>332</v>
      </c>
    </row>
    <row r="133" spans="1:17" x14ac:dyDescent="0.25">
      <c r="A133" t="s">
        <v>186</v>
      </c>
      <c r="B133" t="s">
        <v>187</v>
      </c>
      <c r="C133" s="1">
        <v>46023</v>
      </c>
      <c r="D133" t="s">
        <v>0</v>
      </c>
      <c r="E133" t="s">
        <v>40</v>
      </c>
      <c r="F133" t="s">
        <v>0</v>
      </c>
      <c r="G133" t="s">
        <v>255</v>
      </c>
      <c r="H133" t="s">
        <v>256</v>
      </c>
      <c r="I133" t="s">
        <v>257</v>
      </c>
      <c r="J133" t="s">
        <v>258</v>
      </c>
      <c r="K133" t="s">
        <v>259</v>
      </c>
      <c r="L133">
        <v>2</v>
      </c>
      <c r="M133" t="s">
        <v>46</v>
      </c>
      <c r="N133" s="3" t="s">
        <v>0</v>
      </c>
      <c r="O133" t="s">
        <v>0</v>
      </c>
      <c r="P133" t="s">
        <v>333</v>
      </c>
      <c r="Q133" t="s">
        <v>332</v>
      </c>
    </row>
    <row r="134" spans="1:17" x14ac:dyDescent="0.25">
      <c r="A134" t="s">
        <v>186</v>
      </c>
      <c r="B134" t="s">
        <v>187</v>
      </c>
      <c r="C134" s="1">
        <v>46023</v>
      </c>
      <c r="D134" t="s">
        <v>0</v>
      </c>
      <c r="E134" t="s">
        <v>40</v>
      </c>
      <c r="F134" t="s">
        <v>0</v>
      </c>
      <c r="G134" t="s">
        <v>58</v>
      </c>
      <c r="H134" t="s">
        <v>260</v>
      </c>
      <c r="I134" t="s">
        <v>261</v>
      </c>
      <c r="J134" t="s">
        <v>262</v>
      </c>
      <c r="K134" t="s">
        <v>263</v>
      </c>
      <c r="L134">
        <v>2</v>
      </c>
      <c r="M134" t="s">
        <v>46</v>
      </c>
      <c r="N134" s="3" t="s">
        <v>0</v>
      </c>
      <c r="O134" t="s">
        <v>0</v>
      </c>
      <c r="P134" t="s">
        <v>333</v>
      </c>
      <c r="Q134" t="s">
        <v>332</v>
      </c>
    </row>
    <row r="135" spans="1:17" x14ac:dyDescent="0.25">
      <c r="A135" t="s">
        <v>109</v>
      </c>
      <c r="B135" t="s">
        <v>110</v>
      </c>
      <c r="C135" s="1">
        <v>46023</v>
      </c>
      <c r="D135" t="s">
        <v>0</v>
      </c>
      <c r="E135" t="s">
        <v>40</v>
      </c>
      <c r="F135" t="s">
        <v>0</v>
      </c>
      <c r="G135" t="s">
        <v>58</v>
      </c>
      <c r="H135" t="s">
        <v>172</v>
      </c>
      <c r="I135" t="s">
        <v>173</v>
      </c>
      <c r="J135" t="s">
        <v>174</v>
      </c>
      <c r="K135" t="s">
        <v>175</v>
      </c>
      <c r="L135">
        <v>2</v>
      </c>
      <c r="M135" t="s">
        <v>46</v>
      </c>
      <c r="N135" s="3" t="s">
        <v>0</v>
      </c>
      <c r="O135" t="s">
        <v>0</v>
      </c>
      <c r="P135" t="s">
        <v>333</v>
      </c>
      <c r="Q135" t="s">
        <v>332</v>
      </c>
    </row>
    <row r="136" spans="1:17" x14ac:dyDescent="0.25">
      <c r="A136" t="s">
        <v>186</v>
      </c>
      <c r="B136" t="s">
        <v>187</v>
      </c>
      <c r="C136" s="1">
        <v>46023</v>
      </c>
      <c r="D136" t="s">
        <v>0</v>
      </c>
      <c r="E136" t="s">
        <v>40</v>
      </c>
      <c r="F136" t="s">
        <v>0</v>
      </c>
      <c r="G136" t="s">
        <v>58</v>
      </c>
      <c r="H136" t="s">
        <v>264</v>
      </c>
      <c r="I136" t="s">
        <v>265</v>
      </c>
      <c r="J136" t="s">
        <v>266</v>
      </c>
      <c r="K136" t="s">
        <v>267</v>
      </c>
      <c r="L136">
        <v>2</v>
      </c>
      <c r="M136" t="s">
        <v>46</v>
      </c>
      <c r="N136" s="3" t="s">
        <v>0</v>
      </c>
      <c r="O136" t="s">
        <v>0</v>
      </c>
      <c r="P136" t="s">
        <v>333</v>
      </c>
      <c r="Q136" t="s">
        <v>332</v>
      </c>
    </row>
    <row r="137" spans="1:17" x14ac:dyDescent="0.25">
      <c r="A137" t="s">
        <v>186</v>
      </c>
      <c r="B137" t="s">
        <v>187</v>
      </c>
      <c r="C137" s="1">
        <v>46023</v>
      </c>
      <c r="D137" t="s">
        <v>0</v>
      </c>
      <c r="E137" t="s">
        <v>40</v>
      </c>
      <c r="F137" t="s">
        <v>0</v>
      </c>
      <c r="G137" t="s">
        <v>58</v>
      </c>
      <c r="H137" t="s">
        <v>268</v>
      </c>
      <c r="I137" t="s">
        <v>269</v>
      </c>
      <c r="J137" t="s">
        <v>270</v>
      </c>
      <c r="K137" t="s">
        <v>271</v>
      </c>
      <c r="L137">
        <v>2</v>
      </c>
      <c r="M137" t="s">
        <v>46</v>
      </c>
      <c r="N137" s="3" t="s">
        <v>0</v>
      </c>
      <c r="O137" t="s">
        <v>0</v>
      </c>
      <c r="P137" t="s">
        <v>333</v>
      </c>
      <c r="Q137" t="s">
        <v>332</v>
      </c>
    </row>
    <row r="138" spans="1:17" x14ac:dyDescent="0.25">
      <c r="A138" t="s">
        <v>391</v>
      </c>
      <c r="B138" t="s">
        <v>392</v>
      </c>
      <c r="C138" s="1">
        <v>46023</v>
      </c>
      <c r="D138" t="s">
        <v>0</v>
      </c>
      <c r="E138" t="s">
        <v>40</v>
      </c>
      <c r="F138" t="s">
        <v>0</v>
      </c>
      <c r="G138" t="s">
        <v>297</v>
      </c>
      <c r="H138" t="s">
        <v>393</v>
      </c>
      <c r="I138" t="s">
        <v>394</v>
      </c>
      <c r="J138" t="s">
        <v>395</v>
      </c>
      <c r="K138" t="s">
        <v>396</v>
      </c>
      <c r="L138">
        <v>2</v>
      </c>
      <c r="M138" t="s">
        <v>46</v>
      </c>
      <c r="N138" s="3" t="s">
        <v>0</v>
      </c>
      <c r="O138" t="s">
        <v>0</v>
      </c>
      <c r="P138" t="s">
        <v>333</v>
      </c>
      <c r="Q138" t="s">
        <v>332</v>
      </c>
    </row>
    <row r="139" spans="1:17" x14ac:dyDescent="0.25">
      <c r="A139" t="s">
        <v>109</v>
      </c>
      <c r="B139" t="s">
        <v>110</v>
      </c>
      <c r="C139" s="1">
        <v>46023</v>
      </c>
      <c r="D139" t="s">
        <v>0</v>
      </c>
      <c r="E139" t="s">
        <v>40</v>
      </c>
      <c r="F139" t="s">
        <v>0</v>
      </c>
      <c r="G139" t="s">
        <v>41</v>
      </c>
      <c r="H139" t="s">
        <v>176</v>
      </c>
      <c r="I139" t="s">
        <v>177</v>
      </c>
      <c r="J139" t="s">
        <v>178</v>
      </c>
      <c r="K139" t="s">
        <v>179</v>
      </c>
      <c r="L139">
        <v>2</v>
      </c>
      <c r="M139" t="s">
        <v>46</v>
      </c>
      <c r="N139" s="3" t="s">
        <v>0</v>
      </c>
      <c r="O139" t="s">
        <v>0</v>
      </c>
      <c r="P139" t="s">
        <v>333</v>
      </c>
      <c r="Q139" t="s">
        <v>332</v>
      </c>
    </row>
    <row r="140" spans="1:17" x14ac:dyDescent="0.25">
      <c r="A140" t="s">
        <v>180</v>
      </c>
      <c r="B140" t="s">
        <v>181</v>
      </c>
      <c r="C140" s="1">
        <v>46023</v>
      </c>
      <c r="D140" t="s">
        <v>0</v>
      </c>
      <c r="E140" t="s">
        <v>40</v>
      </c>
      <c r="F140" t="s">
        <v>0</v>
      </c>
      <c r="G140" t="s">
        <v>41</v>
      </c>
      <c r="H140" t="s">
        <v>182</v>
      </c>
      <c r="I140" t="s">
        <v>183</v>
      </c>
      <c r="J140" t="s">
        <v>184</v>
      </c>
      <c r="K140" t="s">
        <v>185</v>
      </c>
      <c r="L140">
        <v>3</v>
      </c>
      <c r="M140" t="s">
        <v>46</v>
      </c>
      <c r="N140" s="3" t="s">
        <v>0</v>
      </c>
      <c r="O140" t="s">
        <v>0</v>
      </c>
      <c r="P140" t="s">
        <v>333</v>
      </c>
      <c r="Q140" t="s">
        <v>332</v>
      </c>
    </row>
    <row r="141" spans="1:17" x14ac:dyDescent="0.25">
      <c r="A141" t="s">
        <v>63</v>
      </c>
      <c r="B141" t="s">
        <v>64</v>
      </c>
      <c r="C141" s="2">
        <v>46082</v>
      </c>
      <c r="D141" t="s">
        <v>0</v>
      </c>
      <c r="E141" t="s">
        <v>40</v>
      </c>
      <c r="F141" t="s">
        <v>0</v>
      </c>
      <c r="G141" t="s">
        <v>65</v>
      </c>
      <c r="H141" t="s">
        <v>71</v>
      </c>
      <c r="I141" t="s">
        <v>72</v>
      </c>
      <c r="J141" t="s">
        <v>73</v>
      </c>
      <c r="K141" t="s">
        <v>74</v>
      </c>
      <c r="L141">
        <v>1</v>
      </c>
      <c r="M141" t="s">
        <v>46</v>
      </c>
      <c r="N141" s="3" t="s">
        <v>0</v>
      </c>
      <c r="O141" t="s">
        <v>0</v>
      </c>
      <c r="P141" t="s">
        <v>331</v>
      </c>
      <c r="Q141" t="s">
        <v>332</v>
      </c>
    </row>
    <row r="142" spans="1:17" x14ac:dyDescent="0.25">
      <c r="A142" t="s">
        <v>82</v>
      </c>
      <c r="B142" t="s">
        <v>83</v>
      </c>
      <c r="C142" s="1">
        <v>46023</v>
      </c>
      <c r="D142" s="2">
        <v>46081</v>
      </c>
      <c r="E142" t="s">
        <v>40</v>
      </c>
      <c r="F142" t="s">
        <v>0</v>
      </c>
      <c r="G142" t="s">
        <v>41</v>
      </c>
      <c r="H142" t="s">
        <v>104</v>
      </c>
      <c r="I142" t="s">
        <v>105</v>
      </c>
      <c r="J142" t="s">
        <v>106</v>
      </c>
      <c r="K142" t="s">
        <v>107</v>
      </c>
      <c r="L142">
        <v>1</v>
      </c>
      <c r="M142" t="s">
        <v>46</v>
      </c>
      <c r="N142" s="3" t="s">
        <v>0</v>
      </c>
      <c r="O142" t="s">
        <v>0</v>
      </c>
      <c r="P142" t="s">
        <v>344</v>
      </c>
      <c r="Q142" t="s">
        <v>332</v>
      </c>
    </row>
    <row r="143" spans="1:17" x14ac:dyDescent="0.25">
      <c r="A143" t="s">
        <v>49</v>
      </c>
      <c r="B143" t="s">
        <v>50</v>
      </c>
      <c r="C143" s="1">
        <v>46023</v>
      </c>
      <c r="D143" t="s">
        <v>0</v>
      </c>
      <c r="E143" t="s">
        <v>40</v>
      </c>
      <c r="F143" t="s">
        <v>0</v>
      </c>
      <c r="G143" t="s">
        <v>51</v>
      </c>
      <c r="H143" t="s">
        <v>52</v>
      </c>
      <c r="I143" t="s">
        <v>53</v>
      </c>
      <c r="J143" t="s">
        <v>54</v>
      </c>
      <c r="K143" t="s">
        <v>55</v>
      </c>
      <c r="L143">
        <v>5</v>
      </c>
      <c r="M143" t="s">
        <v>46</v>
      </c>
      <c r="N143" s="3" t="s">
        <v>0</v>
      </c>
      <c r="O143" t="s">
        <v>0</v>
      </c>
      <c r="P143" t="s">
        <v>333</v>
      </c>
      <c r="Q143" t="s">
        <v>332</v>
      </c>
    </row>
    <row r="144" spans="1:17" x14ac:dyDescent="0.25">
      <c r="A144" t="s">
        <v>391</v>
      </c>
      <c r="B144" t="s">
        <v>392</v>
      </c>
      <c r="C144" s="1">
        <v>46023</v>
      </c>
      <c r="D144" t="s">
        <v>0</v>
      </c>
      <c r="E144" t="s">
        <v>40</v>
      </c>
      <c r="F144" t="s">
        <v>0</v>
      </c>
      <c r="G144" t="s">
        <v>297</v>
      </c>
      <c r="H144" t="s">
        <v>393</v>
      </c>
      <c r="I144" t="s">
        <v>394</v>
      </c>
      <c r="J144" t="s">
        <v>395</v>
      </c>
      <c r="K144" t="s">
        <v>396</v>
      </c>
      <c r="L144">
        <v>2</v>
      </c>
      <c r="M144" t="s">
        <v>46</v>
      </c>
      <c r="N144" s="3" t="s">
        <v>0</v>
      </c>
      <c r="O144" t="s">
        <v>0</v>
      </c>
      <c r="P144" t="s">
        <v>47</v>
      </c>
      <c r="Q144" t="s">
        <v>48</v>
      </c>
    </row>
    <row r="145" spans="1:17" x14ac:dyDescent="0.25">
      <c r="A145" t="s">
        <v>334</v>
      </c>
      <c r="B145" t="s">
        <v>335</v>
      </c>
      <c r="C145" s="1">
        <v>46023</v>
      </c>
      <c r="D145" t="s">
        <v>0</v>
      </c>
      <c r="E145" t="s">
        <v>40</v>
      </c>
      <c r="F145" t="s">
        <v>0</v>
      </c>
      <c r="G145" t="s">
        <v>58</v>
      </c>
      <c r="H145" t="s">
        <v>336</v>
      </c>
      <c r="I145" t="s">
        <v>337</v>
      </c>
      <c r="J145" t="s">
        <v>338</v>
      </c>
      <c r="K145" t="s">
        <v>339</v>
      </c>
      <c r="L145">
        <v>2</v>
      </c>
      <c r="M145" t="s">
        <v>46</v>
      </c>
      <c r="N145" s="3" t="s">
        <v>0</v>
      </c>
      <c r="O145" t="s">
        <v>0</v>
      </c>
      <c r="P145" t="s">
        <v>47</v>
      </c>
      <c r="Q145" t="s">
        <v>48</v>
      </c>
    </row>
    <row r="146" spans="1:17" x14ac:dyDescent="0.25">
      <c r="A146" t="s">
        <v>334</v>
      </c>
      <c r="B146" t="s">
        <v>335</v>
      </c>
      <c r="C146" s="1">
        <v>46023</v>
      </c>
      <c r="D146" s="2">
        <v>46081</v>
      </c>
      <c r="E146" t="s">
        <v>40</v>
      </c>
      <c r="F146" t="s">
        <v>0</v>
      </c>
      <c r="G146" t="s">
        <v>77</v>
      </c>
      <c r="H146" t="s">
        <v>340</v>
      </c>
      <c r="I146" t="s">
        <v>341</v>
      </c>
      <c r="J146" t="s">
        <v>342</v>
      </c>
      <c r="K146" t="s">
        <v>343</v>
      </c>
      <c r="L146">
        <v>1</v>
      </c>
      <c r="M146" t="s">
        <v>287</v>
      </c>
      <c r="N146" s="3" t="s">
        <v>0</v>
      </c>
      <c r="O146" t="s">
        <v>0</v>
      </c>
      <c r="P146" t="s">
        <v>397</v>
      </c>
      <c r="Q146" t="s">
        <v>48</v>
      </c>
    </row>
    <row r="147" spans="1:17" x14ac:dyDescent="0.25">
      <c r="A147" t="s">
        <v>334</v>
      </c>
      <c r="B147" t="s">
        <v>335</v>
      </c>
      <c r="C147" s="1">
        <v>46023</v>
      </c>
      <c r="D147" t="s">
        <v>0</v>
      </c>
      <c r="E147" t="s">
        <v>40</v>
      </c>
      <c r="F147" t="s">
        <v>0</v>
      </c>
      <c r="G147" t="s">
        <v>58</v>
      </c>
      <c r="H147" t="s">
        <v>363</v>
      </c>
      <c r="I147" t="s">
        <v>364</v>
      </c>
      <c r="J147" t="s">
        <v>365</v>
      </c>
      <c r="K147" t="s">
        <v>366</v>
      </c>
      <c r="L147">
        <v>2</v>
      </c>
      <c r="M147" t="s">
        <v>46</v>
      </c>
      <c r="N147" s="3" t="s">
        <v>0</v>
      </c>
      <c r="O147" t="s">
        <v>0</v>
      </c>
      <c r="P147" t="s">
        <v>47</v>
      </c>
      <c r="Q147" t="s">
        <v>48</v>
      </c>
    </row>
    <row r="148" spans="1:17" x14ac:dyDescent="0.25">
      <c r="A148" t="s">
        <v>334</v>
      </c>
      <c r="B148" t="s">
        <v>335</v>
      </c>
      <c r="C148" s="1">
        <v>46023</v>
      </c>
      <c r="D148" t="s">
        <v>0</v>
      </c>
      <c r="E148" t="s">
        <v>40</v>
      </c>
      <c r="F148" t="s">
        <v>0</v>
      </c>
      <c r="G148" t="s">
        <v>58</v>
      </c>
      <c r="H148" t="s">
        <v>367</v>
      </c>
      <c r="I148" t="s">
        <v>368</v>
      </c>
      <c r="J148" t="s">
        <v>369</v>
      </c>
      <c r="K148" t="s">
        <v>370</v>
      </c>
      <c r="L148">
        <v>2</v>
      </c>
      <c r="M148" t="s">
        <v>46</v>
      </c>
      <c r="N148" s="3" t="s">
        <v>0</v>
      </c>
      <c r="O148" t="s">
        <v>0</v>
      </c>
      <c r="P148" t="s">
        <v>47</v>
      </c>
      <c r="Q148" t="s">
        <v>48</v>
      </c>
    </row>
    <row r="149" spans="1:17" x14ac:dyDescent="0.25">
      <c r="A149" t="s">
        <v>334</v>
      </c>
      <c r="B149" t="s">
        <v>335</v>
      </c>
      <c r="C149" s="1">
        <v>46023</v>
      </c>
      <c r="D149" t="s">
        <v>0</v>
      </c>
      <c r="E149" t="s">
        <v>40</v>
      </c>
      <c r="F149" t="s">
        <v>0</v>
      </c>
      <c r="G149" t="s">
        <v>58</v>
      </c>
      <c r="H149" t="s">
        <v>371</v>
      </c>
      <c r="I149" t="s">
        <v>372</v>
      </c>
      <c r="J149" t="s">
        <v>373</v>
      </c>
      <c r="K149" t="s">
        <v>374</v>
      </c>
      <c r="L149">
        <v>2</v>
      </c>
      <c r="M149" t="s">
        <v>46</v>
      </c>
      <c r="N149" s="3" t="s">
        <v>0</v>
      </c>
      <c r="O149" t="s">
        <v>0</v>
      </c>
      <c r="P149" t="s">
        <v>47</v>
      </c>
      <c r="Q149" t="s">
        <v>48</v>
      </c>
    </row>
    <row r="150" spans="1:17" x14ac:dyDescent="0.25">
      <c r="A150" t="s">
        <v>334</v>
      </c>
      <c r="B150" t="s">
        <v>335</v>
      </c>
      <c r="C150" s="1">
        <v>46023</v>
      </c>
      <c r="D150" t="s">
        <v>0</v>
      </c>
      <c r="E150" t="s">
        <v>40</v>
      </c>
      <c r="F150" t="s">
        <v>0</v>
      </c>
      <c r="G150" t="s">
        <v>58</v>
      </c>
      <c r="H150" t="s">
        <v>375</v>
      </c>
      <c r="I150" t="s">
        <v>376</v>
      </c>
      <c r="J150" t="s">
        <v>377</v>
      </c>
      <c r="K150" t="s">
        <v>378</v>
      </c>
      <c r="L150">
        <v>2</v>
      </c>
      <c r="M150" t="s">
        <v>46</v>
      </c>
      <c r="N150" s="3" t="s">
        <v>0</v>
      </c>
      <c r="O150" t="s">
        <v>0</v>
      </c>
      <c r="P150" t="s">
        <v>47</v>
      </c>
      <c r="Q150" t="s">
        <v>48</v>
      </c>
    </row>
    <row r="151" spans="1:17" x14ac:dyDescent="0.25">
      <c r="A151" t="s">
        <v>334</v>
      </c>
      <c r="B151" t="s">
        <v>335</v>
      </c>
      <c r="C151" s="1">
        <v>46023</v>
      </c>
      <c r="D151" t="s">
        <v>0</v>
      </c>
      <c r="E151" t="s">
        <v>40</v>
      </c>
      <c r="F151" t="s">
        <v>0</v>
      </c>
      <c r="G151" t="s">
        <v>58</v>
      </c>
      <c r="H151" t="s">
        <v>379</v>
      </c>
      <c r="I151" t="s">
        <v>380</v>
      </c>
      <c r="J151" t="s">
        <v>381</v>
      </c>
      <c r="K151" t="s">
        <v>382</v>
      </c>
      <c r="L151">
        <v>2</v>
      </c>
      <c r="M151" t="s">
        <v>46</v>
      </c>
      <c r="N151" s="3" t="s">
        <v>0</v>
      </c>
      <c r="O151" t="s">
        <v>0</v>
      </c>
      <c r="P151" t="s">
        <v>47</v>
      </c>
      <c r="Q151" t="s">
        <v>48</v>
      </c>
    </row>
    <row r="152" spans="1:17" x14ac:dyDescent="0.25">
      <c r="A152" t="s">
        <v>345</v>
      </c>
      <c r="B152" t="s">
        <v>346</v>
      </c>
      <c r="C152" s="2">
        <v>46082</v>
      </c>
      <c r="D152" t="s">
        <v>0</v>
      </c>
      <c r="E152" t="s">
        <v>40</v>
      </c>
      <c r="F152" t="s">
        <v>0</v>
      </c>
      <c r="G152" t="s">
        <v>297</v>
      </c>
      <c r="H152" t="s">
        <v>347</v>
      </c>
      <c r="I152" t="s">
        <v>348</v>
      </c>
      <c r="J152" t="s">
        <v>349</v>
      </c>
      <c r="K152" t="s">
        <v>350</v>
      </c>
      <c r="L152">
        <v>1</v>
      </c>
      <c r="M152" t="s">
        <v>46</v>
      </c>
      <c r="N152" s="3" t="s">
        <v>0</v>
      </c>
      <c r="O152" t="s">
        <v>0</v>
      </c>
      <c r="P152" t="s">
        <v>70</v>
      </c>
      <c r="Q152" t="s">
        <v>48</v>
      </c>
    </row>
    <row r="153" spans="1:17" x14ac:dyDescent="0.25">
      <c r="A153" t="s">
        <v>345</v>
      </c>
      <c r="B153" t="s">
        <v>346</v>
      </c>
      <c r="C153" s="1">
        <v>46023</v>
      </c>
      <c r="D153" t="s">
        <v>0</v>
      </c>
      <c r="E153" t="s">
        <v>40</v>
      </c>
      <c r="F153" t="s">
        <v>0</v>
      </c>
      <c r="G153" t="s">
        <v>58</v>
      </c>
      <c r="H153" t="s">
        <v>383</v>
      </c>
      <c r="I153" t="s">
        <v>384</v>
      </c>
      <c r="J153" t="s">
        <v>385</v>
      </c>
      <c r="K153" t="s">
        <v>386</v>
      </c>
      <c r="L153">
        <v>2</v>
      </c>
      <c r="M153" t="s">
        <v>46</v>
      </c>
      <c r="N153" s="3" t="s">
        <v>0</v>
      </c>
      <c r="O153" t="s">
        <v>0</v>
      </c>
      <c r="P153" t="s">
        <v>47</v>
      </c>
      <c r="Q153" t="s">
        <v>48</v>
      </c>
    </row>
    <row r="154" spans="1:17" x14ac:dyDescent="0.25">
      <c r="A154" t="s">
        <v>345</v>
      </c>
      <c r="B154" t="s">
        <v>346</v>
      </c>
      <c r="C154" s="1">
        <v>46023</v>
      </c>
      <c r="D154" t="s">
        <v>0</v>
      </c>
      <c r="E154" t="s">
        <v>40</v>
      </c>
      <c r="F154" t="s">
        <v>0</v>
      </c>
      <c r="G154" t="s">
        <v>297</v>
      </c>
      <c r="H154" t="s">
        <v>387</v>
      </c>
      <c r="I154" t="s">
        <v>388</v>
      </c>
      <c r="J154" t="s">
        <v>389</v>
      </c>
      <c r="K154" t="s">
        <v>390</v>
      </c>
      <c r="L154">
        <v>2</v>
      </c>
      <c r="M154" t="s">
        <v>46</v>
      </c>
      <c r="N154" s="3" t="s">
        <v>0</v>
      </c>
      <c r="O154" t="s">
        <v>0</v>
      </c>
      <c r="P154" t="s">
        <v>47</v>
      </c>
      <c r="Q154" t="s">
        <v>48</v>
      </c>
    </row>
    <row r="155" spans="1:17" x14ac:dyDescent="0.25">
      <c r="A155" t="s">
        <v>357</v>
      </c>
      <c r="B155" t="s">
        <v>358</v>
      </c>
      <c r="C155" s="1">
        <v>46023</v>
      </c>
      <c r="D155" t="s">
        <v>0</v>
      </c>
      <c r="E155" t="s">
        <v>40</v>
      </c>
      <c r="F155" t="s">
        <v>0</v>
      </c>
      <c r="G155" t="s">
        <v>58</v>
      </c>
      <c r="H155" t="s">
        <v>359</v>
      </c>
      <c r="I155" t="s">
        <v>360</v>
      </c>
      <c r="J155" t="s">
        <v>361</v>
      </c>
      <c r="K155" t="s">
        <v>362</v>
      </c>
      <c r="L155">
        <v>2</v>
      </c>
      <c r="M155" t="s">
        <v>46</v>
      </c>
      <c r="N155" s="3" t="s">
        <v>0</v>
      </c>
      <c r="O155" t="s">
        <v>0</v>
      </c>
      <c r="P155" t="s">
        <v>47</v>
      </c>
      <c r="Q155" t="s">
        <v>48</v>
      </c>
    </row>
    <row r="156" spans="1:17" x14ac:dyDescent="0.25">
      <c r="A156" t="s">
        <v>325</v>
      </c>
      <c r="B156" t="s">
        <v>326</v>
      </c>
      <c r="C156" s="2">
        <v>46082</v>
      </c>
      <c r="D156" t="s">
        <v>0</v>
      </c>
      <c r="E156" t="s">
        <v>40</v>
      </c>
      <c r="F156" t="s">
        <v>0</v>
      </c>
      <c r="G156" t="s">
        <v>96</v>
      </c>
      <c r="H156" t="s">
        <v>327</v>
      </c>
      <c r="I156" t="s">
        <v>328</v>
      </c>
      <c r="J156" t="s">
        <v>329</v>
      </c>
      <c r="K156" t="s">
        <v>330</v>
      </c>
      <c r="L156">
        <v>1</v>
      </c>
      <c r="M156" t="s">
        <v>46</v>
      </c>
      <c r="N156" s="3" t="s">
        <v>0</v>
      </c>
      <c r="O156" t="s">
        <v>0</v>
      </c>
      <c r="P156" t="s">
        <v>70</v>
      </c>
      <c r="Q15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B163-830B-4F4A-80B3-DAF54ACC7FF2}">
  <dimension ref="A1:L156"/>
  <sheetViews>
    <sheetView tabSelected="1" workbookViewId="0">
      <selection activeCell="K13" sqref="K1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12.140625" bestFit="1" customWidth="1"/>
    <col min="5" max="5" width="15" bestFit="1" customWidth="1"/>
    <col min="6" max="6" width="19" bestFit="1" customWidth="1"/>
    <col min="7" max="7" width="22" bestFit="1" customWidth="1"/>
    <col min="8" max="8" width="22" customWidth="1"/>
    <col min="9" max="9" width="9.5703125" bestFit="1" customWidth="1"/>
    <col min="10" max="10" width="6.85546875" bestFit="1" customWidth="1"/>
    <col min="11" max="11" width="16.140625" bestFit="1" customWidth="1"/>
  </cols>
  <sheetData>
    <row r="1" spans="1:11" x14ac:dyDescent="0.25">
      <c r="A1" t="s">
        <v>21</v>
      </c>
      <c r="B1" t="s">
        <v>22</v>
      </c>
      <c r="C1" t="s">
        <v>23</v>
      </c>
      <c r="D1" t="s">
        <v>29</v>
      </c>
      <c r="F1" t="s">
        <v>30</v>
      </c>
      <c r="G1" t="s">
        <v>31</v>
      </c>
      <c r="I1" t="s">
        <v>36</v>
      </c>
      <c r="J1" t="s">
        <v>37</v>
      </c>
    </row>
    <row r="2" spans="1:11" s="4" customFormat="1" x14ac:dyDescent="0.25">
      <c r="A2" s="4" t="s">
        <v>398</v>
      </c>
      <c r="B2" s="4">
        <v>20411454</v>
      </c>
      <c r="C2" s="5">
        <v>46082</v>
      </c>
      <c r="D2" s="4" t="s">
        <v>328</v>
      </c>
      <c r="E2" s="4" t="str">
        <f>CONCATENATE(D2,"OVR")</f>
        <v>Z000102175OVR</v>
      </c>
      <c r="F2" s="4" t="s">
        <v>329</v>
      </c>
      <c r="G2" s="4" t="s">
        <v>330</v>
      </c>
      <c r="H2" s="4" t="str">
        <f>CONCATENATE(F2," ",G2)</f>
        <v>ALAN ESTEBAN</v>
      </c>
      <c r="I2" s="6">
        <v>200</v>
      </c>
      <c r="J2" s="4" t="s">
        <v>332</v>
      </c>
      <c r="K2" s="4" t="s">
        <v>399</v>
      </c>
    </row>
    <row r="3" spans="1:11" s="4" customFormat="1" x14ac:dyDescent="0.25">
      <c r="A3" s="4" t="s">
        <v>398</v>
      </c>
      <c r="B3" s="4">
        <v>20411454</v>
      </c>
      <c r="C3" s="7">
        <v>46023</v>
      </c>
      <c r="D3" s="4" t="s">
        <v>112</v>
      </c>
      <c r="E3" s="4" t="str">
        <f t="shared" ref="E3:E66" si="0">CONCATENATE(D3,"OVR")</f>
        <v>Z000059609OVR</v>
      </c>
      <c r="F3" s="4" t="s">
        <v>113</v>
      </c>
      <c r="G3" s="4" t="s">
        <v>114</v>
      </c>
      <c r="H3" s="4" t="str">
        <f t="shared" ref="H3:H66" si="1">CONCATENATE(F3," ",G3)</f>
        <v>ANA MARTINEZ</v>
      </c>
      <c r="I3" s="6">
        <v>8.32</v>
      </c>
      <c r="J3" s="4" t="s">
        <v>332</v>
      </c>
      <c r="K3" s="4" t="s">
        <v>399</v>
      </c>
    </row>
    <row r="4" spans="1:11" s="4" customFormat="1" x14ac:dyDescent="0.25">
      <c r="A4" s="4" t="s">
        <v>398</v>
      </c>
      <c r="B4" s="4">
        <v>20411454</v>
      </c>
      <c r="C4" s="7">
        <v>46023</v>
      </c>
      <c r="D4" s="4" t="s">
        <v>189</v>
      </c>
      <c r="E4" s="4" t="str">
        <f t="shared" si="0"/>
        <v>Z000041710OVR</v>
      </c>
      <c r="F4" s="4" t="s">
        <v>190</v>
      </c>
      <c r="G4" s="4" t="s">
        <v>191</v>
      </c>
      <c r="H4" s="4" t="str">
        <f t="shared" si="1"/>
        <v>ANGEL TORRES</v>
      </c>
      <c r="I4" s="6">
        <v>8.32</v>
      </c>
      <c r="J4" s="4" t="s">
        <v>332</v>
      </c>
      <c r="K4" s="4" t="s">
        <v>399</v>
      </c>
    </row>
    <row r="5" spans="1:11" s="4" customFormat="1" x14ac:dyDescent="0.25">
      <c r="A5" s="4" t="s">
        <v>398</v>
      </c>
      <c r="B5" s="4">
        <v>20411454</v>
      </c>
      <c r="C5" s="7">
        <v>46023</v>
      </c>
      <c r="D5" s="4" t="s">
        <v>337</v>
      </c>
      <c r="E5" s="4" t="str">
        <f t="shared" si="0"/>
        <v>Z000077462OVR</v>
      </c>
      <c r="F5" s="4" t="s">
        <v>338</v>
      </c>
      <c r="G5" s="4" t="s">
        <v>339</v>
      </c>
      <c r="H5" s="4" t="str">
        <f t="shared" si="1"/>
        <v>ANN CHANTHARASY</v>
      </c>
      <c r="I5" s="6">
        <v>8.32</v>
      </c>
      <c r="J5" s="4" t="s">
        <v>332</v>
      </c>
      <c r="K5" s="4" t="s">
        <v>399</v>
      </c>
    </row>
    <row r="6" spans="1:11" s="4" customFormat="1" x14ac:dyDescent="0.25">
      <c r="A6" s="4" t="s">
        <v>398</v>
      </c>
      <c r="B6" s="4">
        <v>20411454</v>
      </c>
      <c r="C6" s="7">
        <v>46023</v>
      </c>
      <c r="D6" s="4" t="s">
        <v>341</v>
      </c>
      <c r="E6" s="4" t="str">
        <f t="shared" si="0"/>
        <v>Z000097666OVR</v>
      </c>
      <c r="F6" s="4" t="s">
        <v>342</v>
      </c>
      <c r="G6" s="4" t="s">
        <v>343</v>
      </c>
      <c r="H6" s="4" t="str">
        <f t="shared" si="1"/>
        <v>ANTHONY PHORASAVONG</v>
      </c>
      <c r="I6" s="6">
        <v>-200</v>
      </c>
      <c r="J6" s="4" t="s">
        <v>332</v>
      </c>
      <c r="K6" s="4" t="s">
        <v>399</v>
      </c>
    </row>
    <row r="7" spans="1:11" s="4" customFormat="1" x14ac:dyDescent="0.25">
      <c r="A7" s="4" t="s">
        <v>398</v>
      </c>
      <c r="B7" s="4">
        <v>20411454</v>
      </c>
      <c r="C7" s="7">
        <v>46023</v>
      </c>
      <c r="D7" s="4" t="s">
        <v>85</v>
      </c>
      <c r="E7" s="4" t="str">
        <f t="shared" si="0"/>
        <v>Z000060751OVR</v>
      </c>
      <c r="F7" s="4" t="s">
        <v>86</v>
      </c>
      <c r="G7" s="4" t="s">
        <v>87</v>
      </c>
      <c r="H7" s="4" t="str">
        <f t="shared" si="1"/>
        <v>ANTON MCDANIEL</v>
      </c>
      <c r="I7" s="6">
        <v>8.32</v>
      </c>
      <c r="J7" s="4" t="s">
        <v>332</v>
      </c>
      <c r="K7" s="4" t="s">
        <v>399</v>
      </c>
    </row>
    <row r="8" spans="1:11" s="4" customFormat="1" x14ac:dyDescent="0.25">
      <c r="A8" s="4" t="s">
        <v>398</v>
      </c>
      <c r="B8" s="4">
        <v>20411454</v>
      </c>
      <c r="C8" s="7">
        <v>46023</v>
      </c>
      <c r="D8" s="4" t="s">
        <v>193</v>
      </c>
      <c r="E8" s="4" t="str">
        <f t="shared" si="0"/>
        <v>Z000069161OVR</v>
      </c>
      <c r="F8" s="4" t="s">
        <v>194</v>
      </c>
      <c r="G8" s="4" t="s">
        <v>195</v>
      </c>
      <c r="H8" s="4" t="str">
        <f t="shared" si="1"/>
        <v>AUDREY MINX</v>
      </c>
      <c r="I8" s="6">
        <v>8.32</v>
      </c>
      <c r="J8" s="4" t="s">
        <v>332</v>
      </c>
      <c r="K8" s="4" t="s">
        <v>399</v>
      </c>
    </row>
    <row r="9" spans="1:11" s="4" customFormat="1" x14ac:dyDescent="0.25">
      <c r="A9" s="4" t="s">
        <v>398</v>
      </c>
      <c r="B9" s="4">
        <v>20411454</v>
      </c>
      <c r="C9" s="7">
        <v>46023</v>
      </c>
      <c r="D9" s="4" t="s">
        <v>89</v>
      </c>
      <c r="E9" s="4" t="str">
        <f t="shared" si="0"/>
        <v>Z000056910OVR</v>
      </c>
      <c r="F9" s="4" t="s">
        <v>90</v>
      </c>
      <c r="G9" s="4" t="s">
        <v>91</v>
      </c>
      <c r="H9" s="4" t="str">
        <f t="shared" si="1"/>
        <v>CHANDRAKAN PHULGAONKAR</v>
      </c>
      <c r="I9" s="6">
        <v>8.32</v>
      </c>
      <c r="J9" s="4" t="s">
        <v>332</v>
      </c>
      <c r="K9" s="4" t="s">
        <v>399</v>
      </c>
    </row>
    <row r="10" spans="1:11" s="4" customFormat="1" x14ac:dyDescent="0.25">
      <c r="A10" s="4" t="s">
        <v>398</v>
      </c>
      <c r="B10" s="4">
        <v>20411454</v>
      </c>
      <c r="C10" s="7">
        <v>46023</v>
      </c>
      <c r="D10" s="4" t="s">
        <v>60</v>
      </c>
      <c r="E10" s="4" t="str">
        <f t="shared" si="0"/>
        <v>Z000069904OVR</v>
      </c>
      <c r="F10" s="4" t="s">
        <v>61</v>
      </c>
      <c r="G10" s="4" t="s">
        <v>62</v>
      </c>
      <c r="H10" s="4" t="str">
        <f t="shared" si="1"/>
        <v>CLIFTON MCKENNIE</v>
      </c>
      <c r="I10" s="6">
        <v>8.32</v>
      </c>
      <c r="J10" s="4" t="s">
        <v>332</v>
      </c>
      <c r="K10" s="4" t="s">
        <v>399</v>
      </c>
    </row>
    <row r="11" spans="1:11" s="4" customFormat="1" x14ac:dyDescent="0.25">
      <c r="A11" s="4" t="s">
        <v>398</v>
      </c>
      <c r="B11" s="4">
        <v>20411454</v>
      </c>
      <c r="C11" s="7">
        <v>46023</v>
      </c>
      <c r="D11" s="4" t="s">
        <v>292</v>
      </c>
      <c r="E11" s="4" t="str">
        <f t="shared" si="0"/>
        <v>Z000062457OVR</v>
      </c>
      <c r="F11" s="4" t="s">
        <v>293</v>
      </c>
      <c r="G11" s="4" t="s">
        <v>294</v>
      </c>
      <c r="H11" s="4" t="str">
        <f t="shared" si="1"/>
        <v>CRAIG THULIN</v>
      </c>
      <c r="I11" s="6">
        <v>8.32</v>
      </c>
      <c r="J11" s="4" t="s">
        <v>332</v>
      </c>
      <c r="K11" s="4" t="s">
        <v>399</v>
      </c>
    </row>
    <row r="12" spans="1:11" s="4" customFormat="1" x14ac:dyDescent="0.25">
      <c r="A12" s="4" t="s">
        <v>398</v>
      </c>
      <c r="B12" s="4">
        <v>20411454</v>
      </c>
      <c r="C12" s="7">
        <v>46023</v>
      </c>
      <c r="D12" s="4" t="s">
        <v>79</v>
      </c>
      <c r="E12" s="4" t="str">
        <f t="shared" si="0"/>
        <v>Z000057474OVR</v>
      </c>
      <c r="F12" s="4" t="s">
        <v>80</v>
      </c>
      <c r="G12" s="4" t="s">
        <v>81</v>
      </c>
      <c r="H12" s="4" t="str">
        <f t="shared" si="1"/>
        <v>DAN FLOOD</v>
      </c>
      <c r="I12" s="6">
        <v>8.32</v>
      </c>
      <c r="J12" s="4" t="s">
        <v>332</v>
      </c>
      <c r="K12" s="4" t="s">
        <v>399</v>
      </c>
    </row>
    <row r="13" spans="1:11" s="4" customFormat="1" x14ac:dyDescent="0.25">
      <c r="A13" s="4" t="s">
        <v>398</v>
      </c>
      <c r="B13" s="4">
        <v>20411454</v>
      </c>
      <c r="C13" s="7">
        <v>46023</v>
      </c>
      <c r="D13" s="4" t="s">
        <v>116</v>
      </c>
      <c r="E13" s="4" t="str">
        <f t="shared" si="0"/>
        <v>Z000062301OVR</v>
      </c>
      <c r="F13" s="4" t="s">
        <v>117</v>
      </c>
      <c r="G13" s="4" t="s">
        <v>118</v>
      </c>
      <c r="H13" s="4" t="str">
        <f t="shared" si="1"/>
        <v>DAVID ORTIZ SR</v>
      </c>
      <c r="I13" s="6">
        <v>8.32</v>
      </c>
      <c r="J13" s="4" t="s">
        <v>332</v>
      </c>
      <c r="K13" s="4" t="s">
        <v>399</v>
      </c>
    </row>
    <row r="14" spans="1:11" s="4" customFormat="1" x14ac:dyDescent="0.25">
      <c r="A14" s="4" t="s">
        <v>398</v>
      </c>
      <c r="B14" s="4">
        <v>20411454</v>
      </c>
      <c r="C14" s="7">
        <v>46023</v>
      </c>
      <c r="D14" s="4" t="s">
        <v>120</v>
      </c>
      <c r="E14" s="4" t="str">
        <f t="shared" si="0"/>
        <v>Z000060159OVR</v>
      </c>
      <c r="F14" s="4" t="s">
        <v>121</v>
      </c>
      <c r="G14" s="4" t="s">
        <v>122</v>
      </c>
      <c r="H14" s="4" t="str">
        <f t="shared" si="1"/>
        <v>DELORIS GILL</v>
      </c>
      <c r="I14" s="6">
        <v>8.32</v>
      </c>
      <c r="J14" s="4" t="s">
        <v>332</v>
      </c>
      <c r="K14" s="4" t="s">
        <v>399</v>
      </c>
    </row>
    <row r="15" spans="1:11" s="4" customFormat="1" x14ac:dyDescent="0.25">
      <c r="A15" s="4" t="s">
        <v>398</v>
      </c>
      <c r="B15" s="4">
        <v>20411454</v>
      </c>
      <c r="C15" s="7">
        <v>46023</v>
      </c>
      <c r="D15" s="4" t="s">
        <v>93</v>
      </c>
      <c r="E15" s="4" t="str">
        <f t="shared" si="0"/>
        <v>Z000052747OVR</v>
      </c>
      <c r="F15" s="4" t="s">
        <v>94</v>
      </c>
      <c r="G15" s="4" t="s">
        <v>95</v>
      </c>
      <c r="H15" s="4" t="str">
        <f t="shared" si="1"/>
        <v>DIANE THOMAS</v>
      </c>
      <c r="I15" s="6">
        <v>8.32</v>
      </c>
      <c r="J15" s="4" t="s">
        <v>332</v>
      </c>
      <c r="K15" s="4" t="s">
        <v>399</v>
      </c>
    </row>
    <row r="16" spans="1:11" s="4" customFormat="1" x14ac:dyDescent="0.25">
      <c r="A16" s="4" t="s">
        <v>398</v>
      </c>
      <c r="B16" s="4">
        <v>20411454</v>
      </c>
      <c r="C16" s="7">
        <v>46023</v>
      </c>
      <c r="D16" s="4" t="s">
        <v>43</v>
      </c>
      <c r="E16" s="4" t="str">
        <f t="shared" si="0"/>
        <v>Z000053543OVR</v>
      </c>
      <c r="F16" s="4" t="s">
        <v>44</v>
      </c>
      <c r="G16" s="4" t="s">
        <v>45</v>
      </c>
      <c r="H16" s="4" t="str">
        <f t="shared" si="1"/>
        <v>DOUGLAS SCHMIESKORS III</v>
      </c>
      <c r="I16" s="6">
        <v>8.32</v>
      </c>
      <c r="J16" s="4" t="s">
        <v>332</v>
      </c>
      <c r="K16" s="4" t="s">
        <v>399</v>
      </c>
    </row>
    <row r="17" spans="1:11" s="4" customFormat="1" x14ac:dyDescent="0.25">
      <c r="A17" s="4" t="s">
        <v>398</v>
      </c>
      <c r="B17" s="4">
        <v>20411454</v>
      </c>
      <c r="C17" s="5">
        <v>46082</v>
      </c>
      <c r="D17" s="4" t="s">
        <v>348</v>
      </c>
      <c r="E17" s="4" t="str">
        <f t="shared" si="0"/>
        <v>Z000102886OVR</v>
      </c>
      <c r="F17" s="4" t="s">
        <v>349</v>
      </c>
      <c r="G17" s="4" t="s">
        <v>350</v>
      </c>
      <c r="H17" s="4" t="str">
        <f t="shared" si="1"/>
        <v>EDDIE COOPER</v>
      </c>
      <c r="I17" s="6">
        <v>200</v>
      </c>
      <c r="J17" s="4" t="s">
        <v>332</v>
      </c>
      <c r="K17" s="4" t="s">
        <v>399</v>
      </c>
    </row>
    <row r="18" spans="1:11" s="4" customFormat="1" x14ac:dyDescent="0.25">
      <c r="A18" s="4" t="s">
        <v>398</v>
      </c>
      <c r="B18" s="4">
        <v>20411454</v>
      </c>
      <c r="C18" s="7">
        <v>46023</v>
      </c>
      <c r="D18" s="4" t="s">
        <v>197</v>
      </c>
      <c r="E18" s="4" t="str">
        <f t="shared" si="0"/>
        <v>Z000069821OVR</v>
      </c>
      <c r="F18" s="4" t="s">
        <v>198</v>
      </c>
      <c r="G18" s="4" t="s">
        <v>199</v>
      </c>
      <c r="H18" s="4" t="str">
        <f t="shared" si="1"/>
        <v>EDWARD WHITE</v>
      </c>
      <c r="I18" s="6">
        <v>8.32</v>
      </c>
      <c r="J18" s="4" t="s">
        <v>332</v>
      </c>
      <c r="K18" s="4" t="s">
        <v>399</v>
      </c>
    </row>
    <row r="19" spans="1:11" s="4" customFormat="1" x14ac:dyDescent="0.25">
      <c r="A19" s="4" t="s">
        <v>398</v>
      </c>
      <c r="B19" s="4">
        <v>20411454</v>
      </c>
      <c r="C19" s="7">
        <v>46023</v>
      </c>
      <c r="D19" s="4" t="s">
        <v>354</v>
      </c>
      <c r="E19" s="4" t="str">
        <f t="shared" si="0"/>
        <v>Z000042188OVR</v>
      </c>
      <c r="F19" s="4" t="s">
        <v>355</v>
      </c>
      <c r="G19" s="4" t="s">
        <v>356</v>
      </c>
      <c r="H19" s="4" t="str">
        <f t="shared" si="1"/>
        <v>ELIZABETH WALTERS</v>
      </c>
      <c r="I19" s="6">
        <v>8.32</v>
      </c>
      <c r="J19" s="4" t="s">
        <v>332</v>
      </c>
      <c r="K19" s="4" t="s">
        <v>399</v>
      </c>
    </row>
    <row r="20" spans="1:11" s="4" customFormat="1" x14ac:dyDescent="0.25">
      <c r="A20" s="4" t="s">
        <v>398</v>
      </c>
      <c r="B20" s="4">
        <v>20411454</v>
      </c>
      <c r="C20" s="7">
        <v>46023</v>
      </c>
      <c r="D20" s="4" t="s">
        <v>124</v>
      </c>
      <c r="E20" s="4" t="str">
        <f t="shared" si="0"/>
        <v>Z000083075OVR</v>
      </c>
      <c r="F20" s="4" t="s">
        <v>125</v>
      </c>
      <c r="G20" s="4" t="s">
        <v>126</v>
      </c>
      <c r="H20" s="4" t="str">
        <f t="shared" si="1"/>
        <v>FELIX MEDRANO</v>
      </c>
      <c r="I20" s="6">
        <v>8.32</v>
      </c>
      <c r="J20" s="4" t="s">
        <v>332</v>
      </c>
      <c r="K20" s="4" t="s">
        <v>399</v>
      </c>
    </row>
    <row r="21" spans="1:11" s="4" customFormat="1" x14ac:dyDescent="0.25">
      <c r="A21" s="4" t="s">
        <v>398</v>
      </c>
      <c r="B21" s="4">
        <v>20411454</v>
      </c>
      <c r="C21" s="7">
        <v>46023</v>
      </c>
      <c r="D21" s="4" t="s">
        <v>299</v>
      </c>
      <c r="E21" s="4" t="str">
        <f t="shared" si="0"/>
        <v>Z000050027OVR</v>
      </c>
      <c r="F21" s="4" t="s">
        <v>300</v>
      </c>
      <c r="G21" s="4" t="s">
        <v>301</v>
      </c>
      <c r="H21" s="4" t="str">
        <f t="shared" si="1"/>
        <v>FORTUNATA CORONEL</v>
      </c>
      <c r="I21" s="6">
        <v>8.32</v>
      </c>
      <c r="J21" s="4" t="s">
        <v>332</v>
      </c>
      <c r="K21" s="4" t="s">
        <v>399</v>
      </c>
    </row>
    <row r="22" spans="1:11" s="4" customFormat="1" x14ac:dyDescent="0.25">
      <c r="A22" s="4" t="s">
        <v>398</v>
      </c>
      <c r="B22" s="4">
        <v>20411454</v>
      </c>
      <c r="C22" s="7">
        <v>46023</v>
      </c>
      <c r="D22" s="4" t="s">
        <v>128</v>
      </c>
      <c r="E22" s="4" t="str">
        <f t="shared" si="0"/>
        <v>Z000074843OVR</v>
      </c>
      <c r="F22" s="4" t="s">
        <v>129</v>
      </c>
      <c r="G22" s="4" t="s">
        <v>130</v>
      </c>
      <c r="H22" s="4" t="str">
        <f t="shared" si="1"/>
        <v>FRANCISCA ARTEAGA</v>
      </c>
      <c r="I22" s="6">
        <v>8.32</v>
      </c>
      <c r="J22" s="4" t="s">
        <v>332</v>
      </c>
      <c r="K22" s="4" t="s">
        <v>399</v>
      </c>
    </row>
    <row r="23" spans="1:11" s="4" customFormat="1" x14ac:dyDescent="0.25">
      <c r="A23" s="4" t="s">
        <v>398</v>
      </c>
      <c r="B23" s="4">
        <v>20411454</v>
      </c>
      <c r="C23" s="7">
        <v>46023</v>
      </c>
      <c r="D23" s="4" t="s">
        <v>201</v>
      </c>
      <c r="E23" s="4" t="str">
        <f t="shared" si="0"/>
        <v>Z000057169OVR</v>
      </c>
      <c r="F23" s="4" t="s">
        <v>202</v>
      </c>
      <c r="G23" s="4" t="s">
        <v>203</v>
      </c>
      <c r="H23" s="4" t="str">
        <f t="shared" si="1"/>
        <v>FRANCISCO GONZALEZ JR</v>
      </c>
      <c r="I23" s="6">
        <v>8.32</v>
      </c>
      <c r="J23" s="4" t="s">
        <v>332</v>
      </c>
      <c r="K23" s="4" t="s">
        <v>399</v>
      </c>
    </row>
    <row r="24" spans="1:11" s="4" customFormat="1" x14ac:dyDescent="0.25">
      <c r="A24" s="4" t="s">
        <v>398</v>
      </c>
      <c r="B24" s="4">
        <v>20411454</v>
      </c>
      <c r="C24" s="7">
        <v>46023</v>
      </c>
      <c r="D24" s="4" t="s">
        <v>205</v>
      </c>
      <c r="E24" s="4" t="str">
        <f t="shared" si="0"/>
        <v>Z000065478OVR</v>
      </c>
      <c r="F24" s="4" t="s">
        <v>206</v>
      </c>
      <c r="G24" s="4" t="s">
        <v>207</v>
      </c>
      <c r="H24" s="4" t="str">
        <f t="shared" si="1"/>
        <v>GAIL COLMAN</v>
      </c>
      <c r="I24" s="6">
        <v>8.32</v>
      </c>
      <c r="J24" s="4" t="s">
        <v>332</v>
      </c>
      <c r="K24" s="4" t="s">
        <v>399</v>
      </c>
    </row>
    <row r="25" spans="1:11" s="4" customFormat="1" x14ac:dyDescent="0.25">
      <c r="A25" s="4" t="s">
        <v>398</v>
      </c>
      <c r="B25" s="4">
        <v>20411454</v>
      </c>
      <c r="C25" s="7">
        <v>46023</v>
      </c>
      <c r="D25" s="4" t="s">
        <v>209</v>
      </c>
      <c r="E25" s="4" t="str">
        <f t="shared" si="0"/>
        <v>Z000065132OVR</v>
      </c>
      <c r="F25" s="4" t="s">
        <v>210</v>
      </c>
      <c r="G25" s="4" t="s">
        <v>211</v>
      </c>
      <c r="H25" s="4" t="str">
        <f t="shared" si="1"/>
        <v>GARRY FETT</v>
      </c>
      <c r="I25" s="6">
        <v>8.32</v>
      </c>
      <c r="J25" s="4" t="s">
        <v>332</v>
      </c>
      <c r="K25" s="4" t="s">
        <v>399</v>
      </c>
    </row>
    <row r="26" spans="1:11" s="4" customFormat="1" x14ac:dyDescent="0.25">
      <c r="A26" s="4" t="s">
        <v>398</v>
      </c>
      <c r="B26" s="4">
        <v>20411454</v>
      </c>
      <c r="C26" s="7">
        <v>46023</v>
      </c>
      <c r="D26" s="4" t="s">
        <v>213</v>
      </c>
      <c r="E26" s="4" t="str">
        <f t="shared" si="0"/>
        <v>Z000056670OVR</v>
      </c>
      <c r="F26" s="4" t="s">
        <v>214</v>
      </c>
      <c r="G26" s="4" t="s">
        <v>215</v>
      </c>
      <c r="H26" s="4" t="str">
        <f t="shared" si="1"/>
        <v>GEORGIA HARRIS</v>
      </c>
      <c r="I26" s="6">
        <v>8.32</v>
      </c>
      <c r="J26" s="4" t="s">
        <v>332</v>
      </c>
      <c r="K26" s="4" t="s">
        <v>399</v>
      </c>
    </row>
    <row r="27" spans="1:11" s="4" customFormat="1" x14ac:dyDescent="0.25">
      <c r="A27" s="4" t="s">
        <v>398</v>
      </c>
      <c r="B27" s="4">
        <v>20411454</v>
      </c>
      <c r="C27" s="7">
        <v>46023</v>
      </c>
      <c r="D27" s="4" t="s">
        <v>217</v>
      </c>
      <c r="E27" s="4" t="str">
        <f t="shared" si="0"/>
        <v>Z000025712OVR</v>
      </c>
      <c r="F27" s="4" t="s">
        <v>218</v>
      </c>
      <c r="G27" s="4" t="s">
        <v>219</v>
      </c>
      <c r="H27" s="4" t="str">
        <f t="shared" si="1"/>
        <v>Harold McMath</v>
      </c>
      <c r="I27" s="6">
        <v>8.32</v>
      </c>
      <c r="J27" s="4" t="s">
        <v>332</v>
      </c>
      <c r="K27" s="4" t="s">
        <v>399</v>
      </c>
    </row>
    <row r="28" spans="1:11" s="4" customFormat="1" x14ac:dyDescent="0.25">
      <c r="A28" s="4" t="s">
        <v>398</v>
      </c>
      <c r="B28" s="4">
        <v>20411454</v>
      </c>
      <c r="C28" s="7">
        <v>46023</v>
      </c>
      <c r="D28" s="4" t="s">
        <v>221</v>
      </c>
      <c r="E28" s="4" t="str">
        <f t="shared" si="0"/>
        <v>Z000084108OVR</v>
      </c>
      <c r="F28" s="4" t="s">
        <v>222</v>
      </c>
      <c r="G28" s="4" t="s">
        <v>223</v>
      </c>
      <c r="H28" s="4" t="str">
        <f t="shared" si="1"/>
        <v>HENRY BAKER</v>
      </c>
      <c r="I28" s="6">
        <v>8.32</v>
      </c>
      <c r="J28" s="4" t="s">
        <v>332</v>
      </c>
      <c r="K28" s="4" t="s">
        <v>399</v>
      </c>
    </row>
    <row r="29" spans="1:11" s="4" customFormat="1" x14ac:dyDescent="0.25">
      <c r="A29" s="4" t="s">
        <v>398</v>
      </c>
      <c r="B29" s="4">
        <v>20411454</v>
      </c>
      <c r="C29" s="7">
        <v>46023</v>
      </c>
      <c r="D29" s="4" t="s">
        <v>303</v>
      </c>
      <c r="E29" s="4" t="str">
        <f t="shared" si="0"/>
        <v>Z000094118OVR</v>
      </c>
      <c r="F29" s="4" t="s">
        <v>304</v>
      </c>
      <c r="G29" s="4" t="s">
        <v>305</v>
      </c>
      <c r="H29" s="4" t="str">
        <f t="shared" si="1"/>
        <v>HERMILO SOTELO</v>
      </c>
      <c r="I29" s="6">
        <v>-200</v>
      </c>
      <c r="J29" s="4" t="s">
        <v>332</v>
      </c>
      <c r="K29" s="4" t="s">
        <v>399</v>
      </c>
    </row>
    <row r="30" spans="1:11" s="4" customFormat="1" x14ac:dyDescent="0.25">
      <c r="A30" s="4" t="s">
        <v>398</v>
      </c>
      <c r="B30" s="4">
        <v>20411454</v>
      </c>
      <c r="C30" s="7">
        <v>46023</v>
      </c>
      <c r="D30" s="4" t="s">
        <v>132</v>
      </c>
      <c r="E30" s="4" t="str">
        <f t="shared" si="0"/>
        <v>Z000069549OVR</v>
      </c>
      <c r="F30" s="4" t="s">
        <v>133</v>
      </c>
      <c r="G30" s="4" t="s">
        <v>134</v>
      </c>
      <c r="H30" s="4" t="str">
        <f t="shared" si="1"/>
        <v>IDALIA RIVERA</v>
      </c>
      <c r="I30" s="6">
        <v>8.32</v>
      </c>
      <c r="J30" s="4" t="s">
        <v>332</v>
      </c>
      <c r="K30" s="4" t="s">
        <v>399</v>
      </c>
    </row>
    <row r="31" spans="1:11" s="4" customFormat="1" x14ac:dyDescent="0.25">
      <c r="A31" s="4" t="s">
        <v>398</v>
      </c>
      <c r="B31" s="4">
        <v>20411454</v>
      </c>
      <c r="C31" s="7">
        <v>46023</v>
      </c>
      <c r="D31" s="4" t="s">
        <v>225</v>
      </c>
      <c r="E31" s="4" t="str">
        <f t="shared" si="0"/>
        <v>Z000096712OVR</v>
      </c>
      <c r="F31" s="4" t="s">
        <v>226</v>
      </c>
      <c r="G31" s="4" t="s">
        <v>227</v>
      </c>
      <c r="H31" s="4" t="str">
        <f t="shared" si="1"/>
        <v>IRVIN BLACKBURN JR</v>
      </c>
      <c r="I31" s="6">
        <v>-200</v>
      </c>
      <c r="J31" s="4" t="s">
        <v>332</v>
      </c>
      <c r="K31" s="4" t="s">
        <v>399</v>
      </c>
    </row>
    <row r="32" spans="1:11" s="4" customFormat="1" x14ac:dyDescent="0.25">
      <c r="A32" s="4" t="s">
        <v>398</v>
      </c>
      <c r="B32" s="4">
        <v>20411454</v>
      </c>
      <c r="C32" s="7">
        <v>46023</v>
      </c>
      <c r="D32" s="4" t="s">
        <v>307</v>
      </c>
      <c r="E32" s="4" t="str">
        <f t="shared" si="0"/>
        <v>Z000048999OVR</v>
      </c>
      <c r="F32" s="4" t="s">
        <v>308</v>
      </c>
      <c r="G32" s="4" t="s">
        <v>309</v>
      </c>
      <c r="H32" s="4" t="str">
        <f t="shared" si="1"/>
        <v>ISIDORO ORTIZ</v>
      </c>
      <c r="I32" s="6">
        <v>8.32</v>
      </c>
      <c r="J32" s="4" t="s">
        <v>332</v>
      </c>
      <c r="K32" s="4" t="s">
        <v>399</v>
      </c>
    </row>
    <row r="33" spans="1:11" s="4" customFormat="1" x14ac:dyDescent="0.25">
      <c r="A33" s="4" t="s">
        <v>398</v>
      </c>
      <c r="B33" s="4">
        <v>20411454</v>
      </c>
      <c r="C33" s="7">
        <v>46023</v>
      </c>
      <c r="D33" s="4" t="s">
        <v>275</v>
      </c>
      <c r="E33" s="4" t="str">
        <f t="shared" si="0"/>
        <v>Z000082208OVR</v>
      </c>
      <c r="F33" s="4" t="s">
        <v>276</v>
      </c>
      <c r="G33" s="4" t="s">
        <v>277</v>
      </c>
      <c r="H33" s="4" t="str">
        <f t="shared" si="1"/>
        <v>JESSE HAYDEN JR</v>
      </c>
      <c r="I33" s="6">
        <v>8.32</v>
      </c>
      <c r="J33" s="4" t="s">
        <v>332</v>
      </c>
      <c r="K33" s="4" t="s">
        <v>399</v>
      </c>
    </row>
    <row r="34" spans="1:11" s="4" customFormat="1" x14ac:dyDescent="0.25">
      <c r="A34" s="4" t="s">
        <v>398</v>
      </c>
      <c r="B34" s="4">
        <v>20411454</v>
      </c>
      <c r="C34" s="7">
        <v>46023</v>
      </c>
      <c r="D34" s="4" t="s">
        <v>136</v>
      </c>
      <c r="E34" s="4" t="str">
        <f t="shared" si="0"/>
        <v>Z000071618OVR</v>
      </c>
      <c r="F34" s="4" t="s">
        <v>137</v>
      </c>
      <c r="G34" s="4" t="s">
        <v>138</v>
      </c>
      <c r="H34" s="4" t="str">
        <f t="shared" si="1"/>
        <v>JOSE AVILA</v>
      </c>
      <c r="I34" s="6">
        <v>8.32</v>
      </c>
      <c r="J34" s="4" t="s">
        <v>332</v>
      </c>
      <c r="K34" s="4" t="s">
        <v>399</v>
      </c>
    </row>
    <row r="35" spans="1:11" s="4" customFormat="1" x14ac:dyDescent="0.25">
      <c r="A35" s="4" t="s">
        <v>398</v>
      </c>
      <c r="B35" s="4">
        <v>20411454</v>
      </c>
      <c r="C35" s="7">
        <v>46023</v>
      </c>
      <c r="D35" s="4" t="s">
        <v>140</v>
      </c>
      <c r="E35" s="4" t="str">
        <f t="shared" si="0"/>
        <v>Z000073076OVR</v>
      </c>
      <c r="F35" s="4" t="s">
        <v>137</v>
      </c>
      <c r="G35" s="4" t="s">
        <v>141</v>
      </c>
      <c r="H35" s="4" t="str">
        <f t="shared" si="1"/>
        <v>JOSE CADENA HERNANDEZ</v>
      </c>
      <c r="I35" s="6">
        <v>8.32</v>
      </c>
      <c r="J35" s="4" t="s">
        <v>332</v>
      </c>
      <c r="K35" s="4" t="s">
        <v>399</v>
      </c>
    </row>
    <row r="36" spans="1:11" s="4" customFormat="1" x14ac:dyDescent="0.25">
      <c r="A36" s="4" t="s">
        <v>398</v>
      </c>
      <c r="B36" s="4">
        <v>20411454</v>
      </c>
      <c r="C36" s="7">
        <v>46023</v>
      </c>
      <c r="D36" s="4" t="s">
        <v>229</v>
      </c>
      <c r="E36" s="4" t="str">
        <f t="shared" si="0"/>
        <v>Z000058674OVR</v>
      </c>
      <c r="F36" s="4" t="s">
        <v>137</v>
      </c>
      <c r="G36" s="4" t="s">
        <v>230</v>
      </c>
      <c r="H36" s="4" t="str">
        <f t="shared" si="1"/>
        <v>JOSE RAMIREZ</v>
      </c>
      <c r="I36" s="6">
        <v>8.32</v>
      </c>
      <c r="J36" s="4" t="s">
        <v>332</v>
      </c>
      <c r="K36" s="4" t="s">
        <v>399</v>
      </c>
    </row>
    <row r="37" spans="1:11" s="4" customFormat="1" x14ac:dyDescent="0.25">
      <c r="A37" s="4" t="s">
        <v>398</v>
      </c>
      <c r="B37" s="4">
        <v>20411454</v>
      </c>
      <c r="C37" s="7">
        <v>46023</v>
      </c>
      <c r="D37" s="4" t="s">
        <v>360</v>
      </c>
      <c r="E37" s="4" t="str">
        <f t="shared" si="0"/>
        <v>Z000076526OVR</v>
      </c>
      <c r="F37" s="4" t="s">
        <v>361</v>
      </c>
      <c r="G37" s="4" t="s">
        <v>362</v>
      </c>
      <c r="H37" s="4" t="str">
        <f t="shared" si="1"/>
        <v>JUNAID AHMED</v>
      </c>
      <c r="I37" s="6">
        <v>8.32</v>
      </c>
      <c r="J37" s="4" t="s">
        <v>332</v>
      </c>
      <c r="K37" s="4" t="s">
        <v>399</v>
      </c>
    </row>
    <row r="38" spans="1:11" s="4" customFormat="1" x14ac:dyDescent="0.25">
      <c r="A38" s="4" t="s">
        <v>398</v>
      </c>
      <c r="B38" s="4">
        <v>20411454</v>
      </c>
      <c r="C38" s="7">
        <v>46023</v>
      </c>
      <c r="D38" s="4" t="s">
        <v>364</v>
      </c>
      <c r="E38" s="4" t="str">
        <f t="shared" si="0"/>
        <v>Z000075323OVR</v>
      </c>
      <c r="F38" s="4" t="s">
        <v>365</v>
      </c>
      <c r="G38" s="4" t="s">
        <v>366</v>
      </c>
      <c r="H38" s="4" t="str">
        <f t="shared" si="1"/>
        <v>KHEM VONGKHOUNETHEP</v>
      </c>
      <c r="I38" s="6">
        <v>8.32</v>
      </c>
      <c r="J38" s="4" t="s">
        <v>332</v>
      </c>
      <c r="K38" s="4" t="s">
        <v>399</v>
      </c>
    </row>
    <row r="39" spans="1:11" s="4" customFormat="1" x14ac:dyDescent="0.25">
      <c r="A39" s="4" t="s">
        <v>398</v>
      </c>
      <c r="B39" s="4">
        <v>20411454</v>
      </c>
      <c r="C39" s="7">
        <v>46023</v>
      </c>
      <c r="D39" s="4" t="s">
        <v>368</v>
      </c>
      <c r="E39" s="4" t="str">
        <f t="shared" si="0"/>
        <v>Z000086568OVR</v>
      </c>
      <c r="F39" s="4" t="s">
        <v>369</v>
      </c>
      <c r="G39" s="4" t="s">
        <v>370</v>
      </c>
      <c r="H39" s="4" t="str">
        <f t="shared" si="1"/>
        <v>LAY PRATHOUMMACHITH</v>
      </c>
      <c r="I39" s="6">
        <v>8.32</v>
      </c>
      <c r="J39" s="4" t="s">
        <v>332</v>
      </c>
      <c r="K39" s="4" t="s">
        <v>399</v>
      </c>
    </row>
    <row r="40" spans="1:11" s="4" customFormat="1" x14ac:dyDescent="0.25">
      <c r="A40" s="4" t="s">
        <v>398</v>
      </c>
      <c r="B40" s="4">
        <v>20411454</v>
      </c>
      <c r="C40" s="7">
        <v>46023</v>
      </c>
      <c r="D40" s="4" t="s">
        <v>98</v>
      </c>
      <c r="E40" s="4" t="str">
        <f t="shared" si="0"/>
        <v>Z000052732OVR</v>
      </c>
      <c r="F40" s="4" t="s">
        <v>99</v>
      </c>
      <c r="G40" s="4" t="s">
        <v>95</v>
      </c>
      <c r="H40" s="4" t="str">
        <f t="shared" si="1"/>
        <v>LEROY THOMAS</v>
      </c>
      <c r="I40" s="6">
        <v>8.32</v>
      </c>
      <c r="J40" s="4" t="s">
        <v>332</v>
      </c>
      <c r="K40" s="4" t="s">
        <v>399</v>
      </c>
    </row>
    <row r="41" spans="1:11" s="4" customFormat="1" x14ac:dyDescent="0.25">
      <c r="A41" s="4" t="s">
        <v>398</v>
      </c>
      <c r="B41" s="4">
        <v>20411454</v>
      </c>
      <c r="C41" s="7">
        <v>46023</v>
      </c>
      <c r="D41" s="4" t="s">
        <v>311</v>
      </c>
      <c r="E41" s="4" t="str">
        <f t="shared" si="0"/>
        <v>Z000071514OVR</v>
      </c>
      <c r="F41" s="4" t="s">
        <v>312</v>
      </c>
      <c r="G41" s="4" t="s">
        <v>313</v>
      </c>
      <c r="H41" s="4" t="str">
        <f t="shared" si="1"/>
        <v>LILIA MORALES</v>
      </c>
      <c r="I41" s="6">
        <v>8.32</v>
      </c>
      <c r="J41" s="4" t="s">
        <v>332</v>
      </c>
      <c r="K41" s="4" t="s">
        <v>399</v>
      </c>
    </row>
    <row r="42" spans="1:11" s="4" customFormat="1" x14ac:dyDescent="0.25">
      <c r="A42" s="4" t="s">
        <v>398</v>
      </c>
      <c r="B42" s="4">
        <v>20411454</v>
      </c>
      <c r="C42" s="5">
        <v>46082</v>
      </c>
      <c r="D42" s="4" t="s">
        <v>67</v>
      </c>
      <c r="E42" s="4" t="str">
        <f t="shared" si="0"/>
        <v>Z000102485OVR</v>
      </c>
      <c r="F42" s="4" t="s">
        <v>68</v>
      </c>
      <c r="G42" s="4" t="s">
        <v>69</v>
      </c>
      <c r="H42" s="4" t="str">
        <f t="shared" si="1"/>
        <v>LINDA BOMMARITO</v>
      </c>
      <c r="I42" s="6">
        <v>200</v>
      </c>
      <c r="J42" s="4" t="s">
        <v>332</v>
      </c>
      <c r="K42" s="4" t="s">
        <v>399</v>
      </c>
    </row>
    <row r="43" spans="1:11" s="4" customFormat="1" x14ac:dyDescent="0.25">
      <c r="A43" s="4" t="s">
        <v>398</v>
      </c>
      <c r="B43" s="4">
        <v>20411454</v>
      </c>
      <c r="C43" s="7">
        <v>46023</v>
      </c>
      <c r="D43" s="4" t="s">
        <v>143</v>
      </c>
      <c r="E43" s="4" t="str">
        <f t="shared" si="0"/>
        <v>Z000045633OVR</v>
      </c>
      <c r="F43" s="4" t="s">
        <v>68</v>
      </c>
      <c r="G43" s="4" t="s">
        <v>144</v>
      </c>
      <c r="H43" s="4" t="str">
        <f t="shared" si="1"/>
        <v>LINDA DANIEL</v>
      </c>
      <c r="I43" s="6">
        <v>8.32</v>
      </c>
      <c r="J43" s="4" t="s">
        <v>332</v>
      </c>
      <c r="K43" s="4" t="s">
        <v>399</v>
      </c>
    </row>
    <row r="44" spans="1:11" s="4" customFormat="1" x14ac:dyDescent="0.25">
      <c r="A44" s="4" t="s">
        <v>398</v>
      </c>
      <c r="B44" s="4">
        <v>20411454</v>
      </c>
      <c r="C44" s="7">
        <v>46023</v>
      </c>
      <c r="D44" s="4" t="s">
        <v>372</v>
      </c>
      <c r="E44" s="4" t="str">
        <f t="shared" si="0"/>
        <v>Z000075923OVR</v>
      </c>
      <c r="F44" s="4" t="s">
        <v>373</v>
      </c>
      <c r="G44" s="4" t="s">
        <v>374</v>
      </c>
      <c r="H44" s="4" t="str">
        <f t="shared" si="1"/>
        <v>MALY VONGTHIP</v>
      </c>
      <c r="I44" s="6">
        <v>8.32</v>
      </c>
      <c r="J44" s="4" t="s">
        <v>332</v>
      </c>
      <c r="K44" s="4" t="s">
        <v>399</v>
      </c>
    </row>
    <row r="45" spans="1:11" s="4" customFormat="1" x14ac:dyDescent="0.25">
      <c r="A45" s="4" t="s">
        <v>398</v>
      </c>
      <c r="B45" s="4">
        <v>20411454</v>
      </c>
      <c r="C45" s="7">
        <v>46023</v>
      </c>
      <c r="D45" s="4" t="s">
        <v>146</v>
      </c>
      <c r="E45" s="4" t="str">
        <f t="shared" si="0"/>
        <v>Z000071727OVR</v>
      </c>
      <c r="F45" s="4" t="s">
        <v>147</v>
      </c>
      <c r="G45" s="4" t="s">
        <v>138</v>
      </c>
      <c r="H45" s="4" t="str">
        <f t="shared" si="1"/>
        <v>MARIA AVILA</v>
      </c>
      <c r="I45" s="6">
        <v>8.32</v>
      </c>
      <c r="J45" s="4" t="s">
        <v>332</v>
      </c>
      <c r="K45" s="4" t="s">
        <v>399</v>
      </c>
    </row>
    <row r="46" spans="1:11" s="4" customFormat="1" x14ac:dyDescent="0.25">
      <c r="A46" s="4" t="s">
        <v>398</v>
      </c>
      <c r="B46" s="4">
        <v>20411454</v>
      </c>
      <c r="C46" s="7">
        <v>46023</v>
      </c>
      <c r="D46" s="4" t="s">
        <v>232</v>
      </c>
      <c r="E46" s="4" t="str">
        <f t="shared" si="0"/>
        <v>Z000082204OVR</v>
      </c>
      <c r="F46" s="4" t="s">
        <v>147</v>
      </c>
      <c r="G46" s="4" t="s">
        <v>233</v>
      </c>
      <c r="H46" s="4" t="str">
        <f t="shared" si="1"/>
        <v>MARIA ROJAS DE ALONSO</v>
      </c>
      <c r="I46" s="6">
        <v>8.32</v>
      </c>
      <c r="J46" s="4" t="s">
        <v>332</v>
      </c>
      <c r="K46" s="4" t="s">
        <v>399</v>
      </c>
    </row>
    <row r="47" spans="1:11" s="4" customFormat="1" x14ac:dyDescent="0.25">
      <c r="A47" s="4" t="s">
        <v>398</v>
      </c>
      <c r="B47" s="4">
        <v>20411454</v>
      </c>
      <c r="C47" s="7">
        <v>46023</v>
      </c>
      <c r="D47" s="4" t="s">
        <v>315</v>
      </c>
      <c r="E47" s="4" t="str">
        <f t="shared" si="0"/>
        <v>Z000091806OVR</v>
      </c>
      <c r="F47" s="4" t="s">
        <v>316</v>
      </c>
      <c r="G47" s="4" t="s">
        <v>317</v>
      </c>
      <c r="H47" s="4" t="str">
        <f t="shared" si="1"/>
        <v>MARIO DELGADO VILLAMIZAR</v>
      </c>
      <c r="I47" s="6">
        <v>-200</v>
      </c>
      <c r="J47" s="4" t="s">
        <v>332</v>
      </c>
      <c r="K47" s="4" t="s">
        <v>399</v>
      </c>
    </row>
    <row r="48" spans="1:11" s="4" customFormat="1" x14ac:dyDescent="0.25">
      <c r="A48" s="4" t="s">
        <v>398</v>
      </c>
      <c r="B48" s="4">
        <v>20411454</v>
      </c>
      <c r="C48" s="7">
        <v>46023</v>
      </c>
      <c r="D48" s="4" t="s">
        <v>319</v>
      </c>
      <c r="E48" s="4" t="str">
        <f t="shared" si="0"/>
        <v>Z000073408OVR</v>
      </c>
      <c r="F48" s="4" t="s">
        <v>316</v>
      </c>
      <c r="G48" s="4" t="s">
        <v>320</v>
      </c>
      <c r="H48" s="4" t="str">
        <f t="shared" si="1"/>
        <v>MARIO SANTOYO</v>
      </c>
      <c r="I48" s="6">
        <v>8.32</v>
      </c>
      <c r="J48" s="4" t="s">
        <v>332</v>
      </c>
      <c r="K48" s="4" t="s">
        <v>399</v>
      </c>
    </row>
    <row r="49" spans="1:11" s="4" customFormat="1" x14ac:dyDescent="0.25">
      <c r="A49" s="4" t="s">
        <v>398</v>
      </c>
      <c r="B49" s="4">
        <v>20411454</v>
      </c>
      <c r="C49" s="7">
        <v>46023</v>
      </c>
      <c r="D49" s="4" t="s">
        <v>149</v>
      </c>
      <c r="E49" s="4" t="str">
        <f t="shared" si="0"/>
        <v>Z000043644OVR</v>
      </c>
      <c r="F49" s="4" t="s">
        <v>150</v>
      </c>
      <c r="G49" s="4" t="s">
        <v>151</v>
      </c>
      <c r="H49" s="4" t="str">
        <f t="shared" si="1"/>
        <v>OLEGARIO HERNANDEZ FLORES</v>
      </c>
      <c r="I49" s="6">
        <v>8.32</v>
      </c>
      <c r="J49" s="4" t="s">
        <v>332</v>
      </c>
      <c r="K49" s="4" t="s">
        <v>399</v>
      </c>
    </row>
    <row r="50" spans="1:11" s="4" customFormat="1" x14ac:dyDescent="0.25">
      <c r="A50" s="4" t="s">
        <v>398</v>
      </c>
      <c r="B50" s="4">
        <v>20411454</v>
      </c>
      <c r="C50" s="7">
        <v>46023</v>
      </c>
      <c r="D50" s="4" t="s">
        <v>153</v>
      </c>
      <c r="E50" s="4" t="str">
        <f t="shared" si="0"/>
        <v>Z000053611OVR</v>
      </c>
      <c r="F50" s="4" t="s">
        <v>154</v>
      </c>
      <c r="G50" s="4" t="s">
        <v>155</v>
      </c>
      <c r="H50" s="4" t="str">
        <f t="shared" si="1"/>
        <v>PATRICIA REYES</v>
      </c>
      <c r="I50" s="6">
        <v>8.32</v>
      </c>
      <c r="J50" s="4" t="s">
        <v>332</v>
      </c>
      <c r="K50" s="4" t="s">
        <v>399</v>
      </c>
    </row>
    <row r="51" spans="1:11" s="4" customFormat="1" x14ac:dyDescent="0.25">
      <c r="A51" s="4" t="s">
        <v>398</v>
      </c>
      <c r="B51" s="4">
        <v>20411454</v>
      </c>
      <c r="C51" s="7">
        <v>46023</v>
      </c>
      <c r="D51" s="4" t="s">
        <v>101</v>
      </c>
      <c r="E51" s="4" t="str">
        <f t="shared" si="0"/>
        <v>Z000057415OVR</v>
      </c>
      <c r="F51" s="4" t="s">
        <v>102</v>
      </c>
      <c r="G51" s="4" t="s">
        <v>103</v>
      </c>
      <c r="H51" s="4" t="str">
        <f t="shared" si="1"/>
        <v>PAUL CABAY</v>
      </c>
      <c r="I51" s="6">
        <v>8.32</v>
      </c>
      <c r="J51" s="4" t="s">
        <v>332</v>
      </c>
      <c r="K51" s="4" t="s">
        <v>399</v>
      </c>
    </row>
    <row r="52" spans="1:11" s="4" customFormat="1" x14ac:dyDescent="0.25">
      <c r="A52" s="4" t="s">
        <v>398</v>
      </c>
      <c r="B52" s="4">
        <v>20411454</v>
      </c>
      <c r="C52" s="7">
        <v>46023</v>
      </c>
      <c r="D52" s="4" t="s">
        <v>235</v>
      </c>
      <c r="E52" s="4" t="str">
        <f t="shared" si="0"/>
        <v>Z000053140OVR</v>
      </c>
      <c r="F52" s="4" t="s">
        <v>102</v>
      </c>
      <c r="G52" s="4" t="s">
        <v>236</v>
      </c>
      <c r="H52" s="4" t="str">
        <f t="shared" si="1"/>
        <v>PAUL CRAWFORD</v>
      </c>
      <c r="I52" s="6">
        <v>8.32</v>
      </c>
      <c r="J52" s="4" t="s">
        <v>332</v>
      </c>
      <c r="K52" s="4" t="s">
        <v>399</v>
      </c>
    </row>
    <row r="53" spans="1:11" s="4" customFormat="1" x14ac:dyDescent="0.25">
      <c r="A53" s="4" t="s">
        <v>398</v>
      </c>
      <c r="B53" s="4">
        <v>20411454</v>
      </c>
      <c r="C53" s="7">
        <v>46023</v>
      </c>
      <c r="D53" s="4" t="s">
        <v>376</v>
      </c>
      <c r="E53" s="4" t="str">
        <f t="shared" si="0"/>
        <v>Z000070201OVR</v>
      </c>
      <c r="F53" s="4" t="s">
        <v>377</v>
      </c>
      <c r="G53" s="4" t="s">
        <v>378</v>
      </c>
      <c r="H53" s="4" t="str">
        <f t="shared" si="1"/>
        <v>PHAENGSY PHETTHONGSY</v>
      </c>
      <c r="I53" s="6">
        <v>8.32</v>
      </c>
      <c r="J53" s="4" t="s">
        <v>332</v>
      </c>
      <c r="K53" s="4" t="s">
        <v>399</v>
      </c>
    </row>
    <row r="54" spans="1:11" s="4" customFormat="1" x14ac:dyDescent="0.25">
      <c r="A54" s="4" t="s">
        <v>398</v>
      </c>
      <c r="B54" s="4">
        <v>20411454</v>
      </c>
      <c r="C54" s="7">
        <v>46023</v>
      </c>
      <c r="D54" s="4" t="s">
        <v>380</v>
      </c>
      <c r="E54" s="4" t="str">
        <f t="shared" si="0"/>
        <v>Z000076864OVR</v>
      </c>
      <c r="F54" s="4" t="s">
        <v>381</v>
      </c>
      <c r="G54" s="4" t="s">
        <v>382</v>
      </c>
      <c r="H54" s="4" t="str">
        <f t="shared" si="1"/>
        <v>PHANNALY LUANGSISONGKHAM</v>
      </c>
      <c r="I54" s="6">
        <v>8.32</v>
      </c>
      <c r="J54" s="4" t="s">
        <v>332</v>
      </c>
      <c r="K54" s="4" t="s">
        <v>399</v>
      </c>
    </row>
    <row r="55" spans="1:11" s="4" customFormat="1" x14ac:dyDescent="0.25">
      <c r="A55" s="4" t="s">
        <v>398</v>
      </c>
      <c r="B55" s="4">
        <v>20411454</v>
      </c>
      <c r="C55" s="7">
        <v>46023</v>
      </c>
      <c r="D55" s="4" t="s">
        <v>157</v>
      </c>
      <c r="E55" s="4" t="str">
        <f t="shared" si="0"/>
        <v>Z000072091OVR</v>
      </c>
      <c r="F55" s="4" t="s">
        <v>158</v>
      </c>
      <c r="G55" s="4" t="s">
        <v>159</v>
      </c>
      <c r="H55" s="4" t="str">
        <f t="shared" si="1"/>
        <v>RACHEL BREVE</v>
      </c>
      <c r="I55" s="6">
        <v>8.32</v>
      </c>
      <c r="J55" s="4" t="s">
        <v>332</v>
      </c>
      <c r="K55" s="4" t="s">
        <v>399</v>
      </c>
    </row>
    <row r="56" spans="1:11" s="4" customFormat="1" x14ac:dyDescent="0.25">
      <c r="A56" s="4" t="s">
        <v>398</v>
      </c>
      <c r="B56" s="4">
        <v>20411454</v>
      </c>
      <c r="C56" s="7">
        <v>46023</v>
      </c>
      <c r="D56" s="4" t="s">
        <v>238</v>
      </c>
      <c r="E56" s="4" t="str">
        <f t="shared" si="0"/>
        <v>Z000066808OVR</v>
      </c>
      <c r="F56" s="4" t="s">
        <v>239</v>
      </c>
      <c r="G56" s="4" t="s">
        <v>195</v>
      </c>
      <c r="H56" s="4" t="str">
        <f t="shared" si="1"/>
        <v>RALPH MINX</v>
      </c>
      <c r="I56" s="6">
        <v>8.32</v>
      </c>
      <c r="J56" s="4" t="s">
        <v>332</v>
      </c>
      <c r="K56" s="4" t="s">
        <v>399</v>
      </c>
    </row>
    <row r="57" spans="1:11" s="4" customFormat="1" x14ac:dyDescent="0.25">
      <c r="A57" s="4" t="s">
        <v>398</v>
      </c>
      <c r="B57" s="4">
        <v>20411454</v>
      </c>
      <c r="C57" s="7">
        <v>46023</v>
      </c>
      <c r="D57" s="4" t="s">
        <v>241</v>
      </c>
      <c r="E57" s="4" t="str">
        <f t="shared" si="0"/>
        <v>Z000058153OVR</v>
      </c>
      <c r="F57" s="4" t="s">
        <v>242</v>
      </c>
      <c r="G57" s="4" t="s">
        <v>243</v>
      </c>
      <c r="H57" s="4" t="str">
        <f t="shared" si="1"/>
        <v>RANDAL KAMOWSKI</v>
      </c>
      <c r="I57" s="6">
        <v>8.32</v>
      </c>
      <c r="J57" s="4" t="s">
        <v>332</v>
      </c>
      <c r="K57" s="4" t="s">
        <v>399</v>
      </c>
    </row>
    <row r="58" spans="1:11" s="4" customFormat="1" x14ac:dyDescent="0.25">
      <c r="A58" s="4" t="s">
        <v>398</v>
      </c>
      <c r="B58" s="4">
        <v>20411454</v>
      </c>
      <c r="C58" s="7">
        <v>46023</v>
      </c>
      <c r="D58" s="4" t="s">
        <v>161</v>
      </c>
      <c r="E58" s="4" t="str">
        <f t="shared" si="0"/>
        <v>Z000062778OVR</v>
      </c>
      <c r="F58" s="4" t="s">
        <v>162</v>
      </c>
      <c r="G58" s="4" t="s">
        <v>163</v>
      </c>
      <c r="H58" s="4" t="str">
        <f t="shared" si="1"/>
        <v>RAZIA KHOKHAR</v>
      </c>
      <c r="I58" s="6">
        <v>8.32</v>
      </c>
      <c r="J58" s="4" t="s">
        <v>332</v>
      </c>
      <c r="K58" s="4" t="s">
        <v>399</v>
      </c>
    </row>
    <row r="59" spans="1:11" s="4" customFormat="1" x14ac:dyDescent="0.25">
      <c r="A59" s="4" t="s">
        <v>398</v>
      </c>
      <c r="B59" s="4">
        <v>20411454</v>
      </c>
      <c r="C59" s="7">
        <v>46023</v>
      </c>
      <c r="D59" s="4" t="s">
        <v>384</v>
      </c>
      <c r="E59" s="4" t="str">
        <f t="shared" si="0"/>
        <v>Z000074467OVR</v>
      </c>
      <c r="F59" s="4" t="s">
        <v>385</v>
      </c>
      <c r="G59" s="4" t="s">
        <v>386</v>
      </c>
      <c r="H59" s="4" t="str">
        <f t="shared" si="1"/>
        <v>REMEGIO DULAY</v>
      </c>
      <c r="I59" s="6">
        <v>8.32</v>
      </c>
      <c r="J59" s="4" t="s">
        <v>332</v>
      </c>
      <c r="K59" s="4" t="s">
        <v>399</v>
      </c>
    </row>
    <row r="60" spans="1:11" s="4" customFormat="1" x14ac:dyDescent="0.25">
      <c r="A60" s="4" t="s">
        <v>398</v>
      </c>
      <c r="B60" s="4">
        <v>20411454</v>
      </c>
      <c r="C60" s="7">
        <v>46023</v>
      </c>
      <c r="D60" s="4" t="s">
        <v>165</v>
      </c>
      <c r="E60" s="4" t="str">
        <f t="shared" si="0"/>
        <v>Z000046119OVR</v>
      </c>
      <c r="F60" s="4" t="s">
        <v>166</v>
      </c>
      <c r="G60" s="4" t="s">
        <v>167</v>
      </c>
      <c r="H60" s="4" t="str">
        <f t="shared" si="1"/>
        <v>RENE DIAZ</v>
      </c>
      <c r="I60" s="6">
        <v>8.32</v>
      </c>
      <c r="J60" s="4" t="s">
        <v>332</v>
      </c>
      <c r="K60" s="4" t="s">
        <v>399</v>
      </c>
    </row>
    <row r="61" spans="1:11" s="4" customFormat="1" x14ac:dyDescent="0.25">
      <c r="A61" s="4" t="s">
        <v>398</v>
      </c>
      <c r="B61" s="4">
        <v>20411454</v>
      </c>
      <c r="C61" s="7">
        <v>46023</v>
      </c>
      <c r="D61" s="4" t="s">
        <v>281</v>
      </c>
      <c r="E61" s="4" t="str">
        <f t="shared" si="0"/>
        <v>Z000049437OVR</v>
      </c>
      <c r="F61" s="4" t="s">
        <v>282</v>
      </c>
      <c r="G61" s="4" t="s">
        <v>283</v>
      </c>
      <c r="H61" s="4" t="str">
        <f t="shared" si="1"/>
        <v>RENEE LUMPKIN</v>
      </c>
      <c r="I61" s="6">
        <v>8.32</v>
      </c>
      <c r="J61" s="4" t="s">
        <v>332</v>
      </c>
      <c r="K61" s="4" t="s">
        <v>399</v>
      </c>
    </row>
    <row r="62" spans="1:11" s="4" customFormat="1" x14ac:dyDescent="0.25">
      <c r="A62" s="4" t="s">
        <v>398</v>
      </c>
      <c r="B62" s="4">
        <v>20411454</v>
      </c>
      <c r="C62" s="5">
        <v>46082</v>
      </c>
      <c r="D62" s="4" t="s">
        <v>285</v>
      </c>
      <c r="E62" s="4" t="str">
        <f t="shared" si="0"/>
        <v>Z000095437OVR</v>
      </c>
      <c r="F62" s="4" t="s">
        <v>282</v>
      </c>
      <c r="G62" s="4" t="s">
        <v>286</v>
      </c>
      <c r="H62" s="4" t="str">
        <f t="shared" si="1"/>
        <v>RENEE PAYNE</v>
      </c>
      <c r="I62" s="6">
        <v>200</v>
      </c>
      <c r="J62" s="4" t="s">
        <v>332</v>
      </c>
      <c r="K62" s="4" t="s">
        <v>399</v>
      </c>
    </row>
    <row r="63" spans="1:11" s="4" customFormat="1" x14ac:dyDescent="0.25">
      <c r="A63" s="4" t="s">
        <v>398</v>
      </c>
      <c r="B63" s="4">
        <v>20411454</v>
      </c>
      <c r="C63" s="7">
        <v>46023</v>
      </c>
      <c r="D63" s="4" t="s">
        <v>245</v>
      </c>
      <c r="E63" s="4" t="str">
        <f t="shared" si="0"/>
        <v>Z000054870OVR</v>
      </c>
      <c r="F63" s="4" t="s">
        <v>246</v>
      </c>
      <c r="G63" s="4" t="s">
        <v>114</v>
      </c>
      <c r="H63" s="4" t="str">
        <f t="shared" si="1"/>
        <v>REYNALDO MARTINEZ</v>
      </c>
      <c r="I63" s="6">
        <v>8.32</v>
      </c>
      <c r="J63" s="4" t="s">
        <v>332</v>
      </c>
      <c r="K63" s="4" t="s">
        <v>399</v>
      </c>
    </row>
    <row r="64" spans="1:11" s="4" customFormat="1" x14ac:dyDescent="0.25">
      <c r="A64" s="4" t="s">
        <v>398</v>
      </c>
      <c r="B64" s="4">
        <v>20411454</v>
      </c>
      <c r="C64" s="7">
        <v>46023</v>
      </c>
      <c r="D64" s="4" t="s">
        <v>388</v>
      </c>
      <c r="E64" s="4" t="str">
        <f t="shared" si="0"/>
        <v>Z000054904OVR</v>
      </c>
      <c r="F64" s="4" t="s">
        <v>389</v>
      </c>
      <c r="G64" s="4" t="s">
        <v>390</v>
      </c>
      <c r="H64" s="4" t="str">
        <f t="shared" si="1"/>
        <v>ROBERT SCHMIDT</v>
      </c>
      <c r="I64" s="6">
        <v>8.32</v>
      </c>
      <c r="J64" s="4" t="s">
        <v>332</v>
      </c>
      <c r="K64" s="4" t="s">
        <v>399</v>
      </c>
    </row>
    <row r="65" spans="1:12" s="4" customFormat="1" x14ac:dyDescent="0.25">
      <c r="A65" s="4" t="s">
        <v>398</v>
      </c>
      <c r="B65" s="4">
        <v>20411454</v>
      </c>
      <c r="C65" s="7">
        <v>46023</v>
      </c>
      <c r="D65" s="4" t="s">
        <v>248</v>
      </c>
      <c r="E65" s="4" t="str">
        <f t="shared" si="0"/>
        <v>Z000071494OVR</v>
      </c>
      <c r="F65" s="4" t="s">
        <v>249</v>
      </c>
      <c r="G65" s="4" t="s">
        <v>250</v>
      </c>
      <c r="H65" s="4" t="str">
        <f t="shared" si="1"/>
        <v>ROSA ESCOBEDO</v>
      </c>
      <c r="I65" s="6">
        <v>8.32</v>
      </c>
      <c r="J65" s="4" t="s">
        <v>332</v>
      </c>
      <c r="K65" s="4" t="s">
        <v>399</v>
      </c>
    </row>
    <row r="66" spans="1:12" s="4" customFormat="1" x14ac:dyDescent="0.25">
      <c r="A66" s="4" t="s">
        <v>398</v>
      </c>
      <c r="B66" s="4">
        <v>20411454</v>
      </c>
      <c r="C66" s="7">
        <v>46023</v>
      </c>
      <c r="D66" s="4" t="s">
        <v>322</v>
      </c>
      <c r="E66" s="4" t="str">
        <f t="shared" si="0"/>
        <v>Z000051402OVR</v>
      </c>
      <c r="F66" s="4" t="s">
        <v>323</v>
      </c>
      <c r="G66" s="4" t="s">
        <v>324</v>
      </c>
      <c r="H66" s="4" t="str">
        <f t="shared" si="1"/>
        <v>SABINA HERNANDEZ</v>
      </c>
      <c r="I66" s="6">
        <v>8.32</v>
      </c>
      <c r="J66" s="4" t="s">
        <v>332</v>
      </c>
      <c r="K66" s="4" t="s">
        <v>399</v>
      </c>
    </row>
    <row r="67" spans="1:12" s="4" customFormat="1" x14ac:dyDescent="0.25">
      <c r="A67" s="4" t="s">
        <v>398</v>
      </c>
      <c r="B67" s="4">
        <v>20411454</v>
      </c>
      <c r="C67" s="7">
        <v>46023</v>
      </c>
      <c r="D67" s="4" t="s">
        <v>252</v>
      </c>
      <c r="E67" s="4" t="str">
        <f t="shared" ref="E67:E79" si="2">CONCATENATE(D67,"OVR")</f>
        <v>Z000065209OVR</v>
      </c>
      <c r="F67" s="4" t="s">
        <v>253</v>
      </c>
      <c r="G67" s="4" t="s">
        <v>254</v>
      </c>
      <c r="H67" s="4" t="str">
        <f t="shared" ref="H67:H130" si="3">CONCATENATE(F67," ",G67)</f>
        <v>SCOT STOLTZ</v>
      </c>
      <c r="I67" s="6">
        <v>8.32</v>
      </c>
      <c r="J67" s="4" t="s">
        <v>332</v>
      </c>
      <c r="K67" s="4" t="s">
        <v>399</v>
      </c>
    </row>
    <row r="68" spans="1:12" s="4" customFormat="1" x14ac:dyDescent="0.25">
      <c r="A68" s="4" t="s">
        <v>398</v>
      </c>
      <c r="B68" s="4">
        <v>20411454</v>
      </c>
      <c r="C68" s="7">
        <v>46023</v>
      </c>
      <c r="D68" s="4" t="s">
        <v>169</v>
      </c>
      <c r="E68" s="4" t="str">
        <f t="shared" si="2"/>
        <v>Z000075132OVR</v>
      </c>
      <c r="F68" s="4" t="s">
        <v>170</v>
      </c>
      <c r="G68" s="4" t="s">
        <v>171</v>
      </c>
      <c r="H68" s="4" t="str">
        <f t="shared" si="3"/>
        <v>SERAFINA TAPIA</v>
      </c>
      <c r="I68" s="6">
        <v>8.32</v>
      </c>
      <c r="J68" s="4" t="s">
        <v>332</v>
      </c>
      <c r="K68" s="4" t="s">
        <v>399</v>
      </c>
    </row>
    <row r="69" spans="1:12" s="4" customFormat="1" x14ac:dyDescent="0.25">
      <c r="A69" s="4" t="s">
        <v>398</v>
      </c>
      <c r="B69" s="4">
        <v>20411454</v>
      </c>
      <c r="C69" s="7">
        <v>46023</v>
      </c>
      <c r="D69" s="4" t="s">
        <v>257</v>
      </c>
      <c r="E69" s="4" t="str">
        <f t="shared" si="2"/>
        <v>Z000072164OVR</v>
      </c>
      <c r="F69" s="4" t="s">
        <v>258</v>
      </c>
      <c r="G69" s="4" t="s">
        <v>259</v>
      </c>
      <c r="H69" s="4" t="str">
        <f t="shared" si="3"/>
        <v>SHARON OSBORNE JONES</v>
      </c>
      <c r="I69" s="6">
        <v>8.32</v>
      </c>
      <c r="J69" s="4" t="s">
        <v>332</v>
      </c>
      <c r="K69" s="4" t="s">
        <v>399</v>
      </c>
    </row>
    <row r="70" spans="1:12" s="4" customFormat="1" x14ac:dyDescent="0.25">
      <c r="A70" s="4" t="s">
        <v>398</v>
      </c>
      <c r="B70" s="4">
        <v>20411454</v>
      </c>
      <c r="C70" s="7">
        <v>46023</v>
      </c>
      <c r="D70" s="4" t="s">
        <v>261</v>
      </c>
      <c r="E70" s="4" t="str">
        <f t="shared" si="2"/>
        <v>Z000066601OVR</v>
      </c>
      <c r="F70" s="4" t="s">
        <v>262</v>
      </c>
      <c r="G70" s="4" t="s">
        <v>263</v>
      </c>
      <c r="H70" s="4" t="str">
        <f t="shared" si="3"/>
        <v>SIXTO BRAVO HUESCA</v>
      </c>
      <c r="I70" s="6">
        <v>8.32</v>
      </c>
      <c r="J70" s="4" t="s">
        <v>332</v>
      </c>
      <c r="K70" s="4" t="s">
        <v>399</v>
      </c>
    </row>
    <row r="71" spans="1:12" s="4" customFormat="1" x14ac:dyDescent="0.25">
      <c r="A71" s="4" t="s">
        <v>398</v>
      </c>
      <c r="B71" s="4">
        <v>20411454</v>
      </c>
      <c r="C71" s="7">
        <v>46023</v>
      </c>
      <c r="D71" s="4" t="s">
        <v>173</v>
      </c>
      <c r="E71" s="4" t="str">
        <f t="shared" si="2"/>
        <v>Z000069876OVR</v>
      </c>
      <c r="F71" s="4" t="s">
        <v>174</v>
      </c>
      <c r="G71" s="4" t="s">
        <v>175</v>
      </c>
      <c r="H71" s="4" t="str">
        <f t="shared" si="3"/>
        <v>STANLEY WARMUZ</v>
      </c>
      <c r="I71" s="6">
        <v>8.32</v>
      </c>
      <c r="J71" s="4" t="s">
        <v>332</v>
      </c>
      <c r="K71" s="4" t="s">
        <v>399</v>
      </c>
    </row>
    <row r="72" spans="1:12" s="4" customFormat="1" x14ac:dyDescent="0.25">
      <c r="A72" s="4" t="s">
        <v>398</v>
      </c>
      <c r="B72" s="4">
        <v>20411454</v>
      </c>
      <c r="C72" s="7">
        <v>46023</v>
      </c>
      <c r="D72" s="4" t="s">
        <v>265</v>
      </c>
      <c r="E72" s="4" t="str">
        <f t="shared" si="2"/>
        <v>Z000066610OVR</v>
      </c>
      <c r="F72" s="4" t="s">
        <v>266</v>
      </c>
      <c r="G72" s="4" t="s">
        <v>267</v>
      </c>
      <c r="H72" s="4" t="str">
        <f t="shared" si="3"/>
        <v>STEVEN BRODY</v>
      </c>
      <c r="I72" s="6">
        <v>8.32</v>
      </c>
      <c r="J72" s="4" t="s">
        <v>332</v>
      </c>
      <c r="K72" s="4" t="s">
        <v>399</v>
      </c>
    </row>
    <row r="73" spans="1:12" s="4" customFormat="1" x14ac:dyDescent="0.25">
      <c r="A73" s="4" t="s">
        <v>398</v>
      </c>
      <c r="B73" s="4">
        <v>20411454</v>
      </c>
      <c r="C73" s="7">
        <v>46023</v>
      </c>
      <c r="D73" s="4" t="s">
        <v>269</v>
      </c>
      <c r="E73" s="4" t="str">
        <f t="shared" si="2"/>
        <v>Z000084701OVR</v>
      </c>
      <c r="F73" s="4" t="s">
        <v>270</v>
      </c>
      <c r="G73" s="4" t="s">
        <v>271</v>
      </c>
      <c r="H73" s="4" t="str">
        <f t="shared" si="3"/>
        <v>SUSAN MITCHELL</v>
      </c>
      <c r="I73" s="6">
        <v>8.32</v>
      </c>
      <c r="J73" s="4" t="s">
        <v>332</v>
      </c>
      <c r="K73" s="4" t="s">
        <v>399</v>
      </c>
    </row>
    <row r="74" spans="1:12" s="4" customFormat="1" x14ac:dyDescent="0.25">
      <c r="A74" s="4" t="s">
        <v>398</v>
      </c>
      <c r="B74" s="4">
        <v>20411454</v>
      </c>
      <c r="C74" s="7">
        <v>46023</v>
      </c>
      <c r="D74" s="4" t="s">
        <v>394</v>
      </c>
      <c r="E74" s="4" t="str">
        <f t="shared" si="2"/>
        <v>Z000070871OVR</v>
      </c>
      <c r="F74" s="4" t="s">
        <v>395</v>
      </c>
      <c r="G74" s="4" t="s">
        <v>396</v>
      </c>
      <c r="H74" s="4" t="str">
        <f t="shared" si="3"/>
        <v>TSEDEV TSEEPEL</v>
      </c>
      <c r="I74" s="6">
        <v>8.32</v>
      </c>
      <c r="J74" s="4" t="s">
        <v>332</v>
      </c>
      <c r="K74" s="4" t="s">
        <v>399</v>
      </c>
    </row>
    <row r="75" spans="1:12" s="4" customFormat="1" x14ac:dyDescent="0.25">
      <c r="A75" s="4" t="s">
        <v>398</v>
      </c>
      <c r="B75" s="4">
        <v>20411454</v>
      </c>
      <c r="C75" s="7">
        <v>46023</v>
      </c>
      <c r="D75" s="4" t="s">
        <v>177</v>
      </c>
      <c r="E75" s="4" t="str">
        <f t="shared" si="2"/>
        <v>Z000087276OVR</v>
      </c>
      <c r="F75" s="4" t="s">
        <v>178</v>
      </c>
      <c r="G75" s="4" t="s">
        <v>179</v>
      </c>
      <c r="H75" s="4" t="str">
        <f t="shared" si="3"/>
        <v>VICTOR LOPEZ</v>
      </c>
      <c r="I75" s="6">
        <v>8.32</v>
      </c>
      <c r="J75" s="4" t="s">
        <v>332</v>
      </c>
      <c r="K75" s="4" t="s">
        <v>399</v>
      </c>
    </row>
    <row r="76" spans="1:12" s="4" customFormat="1" x14ac:dyDescent="0.25">
      <c r="A76" s="4" t="s">
        <v>398</v>
      </c>
      <c r="B76" s="4">
        <v>20411454</v>
      </c>
      <c r="C76" s="7">
        <v>46023</v>
      </c>
      <c r="D76" s="4" t="s">
        <v>183</v>
      </c>
      <c r="E76" s="4" t="str">
        <f t="shared" si="2"/>
        <v>Z000043513OVR</v>
      </c>
      <c r="F76" s="4" t="s">
        <v>184</v>
      </c>
      <c r="G76" s="4" t="s">
        <v>185</v>
      </c>
      <c r="H76" s="4" t="str">
        <f t="shared" si="3"/>
        <v>WALTER ATTERBERRY</v>
      </c>
      <c r="I76" s="6">
        <v>8.32</v>
      </c>
      <c r="J76" s="4" t="s">
        <v>332</v>
      </c>
      <c r="K76" s="4" t="s">
        <v>399</v>
      </c>
    </row>
    <row r="77" spans="1:12" s="4" customFormat="1" x14ac:dyDescent="0.25">
      <c r="A77" s="4" t="s">
        <v>398</v>
      </c>
      <c r="B77" s="4">
        <v>20411454</v>
      </c>
      <c r="C77" s="5">
        <v>46082</v>
      </c>
      <c r="D77" s="4" t="s">
        <v>72</v>
      </c>
      <c r="E77" s="4" t="str">
        <f t="shared" si="2"/>
        <v>Z000102332OVR</v>
      </c>
      <c r="F77" s="4" t="s">
        <v>73</v>
      </c>
      <c r="G77" s="4" t="s">
        <v>74</v>
      </c>
      <c r="H77" s="4" t="str">
        <f t="shared" si="3"/>
        <v>WILLIAM AUDIA</v>
      </c>
      <c r="I77" s="6">
        <v>200</v>
      </c>
      <c r="J77" s="4" t="s">
        <v>332</v>
      </c>
      <c r="K77" s="4" t="s">
        <v>399</v>
      </c>
    </row>
    <row r="78" spans="1:12" s="4" customFormat="1" x14ac:dyDescent="0.25">
      <c r="A78" s="4" t="s">
        <v>398</v>
      </c>
      <c r="B78" s="4">
        <v>20411454</v>
      </c>
      <c r="C78" s="7">
        <v>46023</v>
      </c>
      <c r="D78" s="4" t="s">
        <v>105</v>
      </c>
      <c r="E78" s="4" t="str">
        <f t="shared" si="2"/>
        <v>Z000087579OVR</v>
      </c>
      <c r="F78" s="4" t="s">
        <v>106</v>
      </c>
      <c r="G78" s="4" t="s">
        <v>107</v>
      </c>
      <c r="H78" s="4" t="str">
        <f t="shared" si="3"/>
        <v>WILLIE HOLMES</v>
      </c>
      <c r="I78" s="6">
        <v>-200</v>
      </c>
      <c r="J78" s="4" t="s">
        <v>332</v>
      </c>
      <c r="K78" s="4" t="s">
        <v>399</v>
      </c>
    </row>
    <row r="79" spans="1:12" s="4" customFormat="1" x14ac:dyDescent="0.25">
      <c r="A79" s="4" t="s">
        <v>398</v>
      </c>
      <c r="B79" s="4">
        <v>20411454</v>
      </c>
      <c r="C79" s="7">
        <v>46023</v>
      </c>
      <c r="D79" s="4" t="s">
        <v>53</v>
      </c>
      <c r="E79" s="4" t="str">
        <f t="shared" si="2"/>
        <v>Z000003168OVR</v>
      </c>
      <c r="F79" s="4" t="s">
        <v>54</v>
      </c>
      <c r="G79" s="4" t="s">
        <v>55</v>
      </c>
      <c r="H79" s="4" t="str">
        <f t="shared" si="3"/>
        <v>Z CAMACHO DE CACERES</v>
      </c>
      <c r="I79" s="6">
        <v>8.32</v>
      </c>
      <c r="J79" s="4" t="s">
        <v>332</v>
      </c>
      <c r="K79" s="4" t="s">
        <v>399</v>
      </c>
    </row>
    <row r="80" spans="1:12" s="8" customFormat="1" x14ac:dyDescent="0.25">
      <c r="A80" s="8" t="s">
        <v>38</v>
      </c>
      <c r="B80" s="8">
        <v>16912722</v>
      </c>
      <c r="C80" s="9">
        <v>46023</v>
      </c>
      <c r="D80" s="8" t="s">
        <v>43</v>
      </c>
      <c r="E80" s="8" t="str">
        <f>CONCATENATE(D80,23)</f>
        <v>Z00005354323</v>
      </c>
      <c r="F80" s="8" t="s">
        <v>44</v>
      </c>
      <c r="G80" s="8" t="s">
        <v>45</v>
      </c>
      <c r="H80" s="8" t="str">
        <f t="shared" si="3"/>
        <v>DOUGLAS SCHMIESKORS III</v>
      </c>
      <c r="I80" s="10">
        <v>28.92</v>
      </c>
      <c r="J80" s="8" t="s">
        <v>48</v>
      </c>
      <c r="K80" s="8" t="s">
        <v>401</v>
      </c>
      <c r="L80" s="8" t="s">
        <v>404</v>
      </c>
    </row>
    <row r="81" spans="1:12" s="8" customFormat="1" x14ac:dyDescent="0.25">
      <c r="A81" s="8" t="s">
        <v>49</v>
      </c>
      <c r="B81" s="8">
        <v>21646325</v>
      </c>
      <c r="C81" s="9">
        <v>46023</v>
      </c>
      <c r="D81" s="8" t="s">
        <v>53</v>
      </c>
      <c r="E81" s="8" t="str">
        <f>CONCATENATE(D81,23)</f>
        <v>Z00000316823</v>
      </c>
      <c r="F81" s="8" t="s">
        <v>54</v>
      </c>
      <c r="G81" s="8" t="s">
        <v>55</v>
      </c>
      <c r="H81" s="8" t="str">
        <f t="shared" si="3"/>
        <v>Z CAMACHO DE CACERES</v>
      </c>
      <c r="I81" s="10">
        <v>28.92</v>
      </c>
      <c r="J81" s="8" t="s">
        <v>48</v>
      </c>
      <c r="K81" s="8" t="s">
        <v>401</v>
      </c>
      <c r="L81" s="8" t="s">
        <v>404</v>
      </c>
    </row>
    <row r="82" spans="1:12" s="8" customFormat="1" x14ac:dyDescent="0.25">
      <c r="A82" s="8" t="s">
        <v>56</v>
      </c>
      <c r="B82" s="8">
        <v>19586992</v>
      </c>
      <c r="C82" s="9">
        <v>46023</v>
      </c>
      <c r="D82" s="8" t="s">
        <v>60</v>
      </c>
      <c r="E82" s="8" t="str">
        <f>CONCATENATE(D82,23)</f>
        <v>Z00006990423</v>
      </c>
      <c r="F82" s="8" t="s">
        <v>61</v>
      </c>
      <c r="G82" s="8" t="s">
        <v>62</v>
      </c>
      <c r="H82" s="8" t="str">
        <f t="shared" si="3"/>
        <v>CLIFTON MCKENNIE</v>
      </c>
      <c r="I82" s="10">
        <v>28.92</v>
      </c>
      <c r="J82" s="8" t="s">
        <v>48</v>
      </c>
      <c r="K82" s="8" t="s">
        <v>401</v>
      </c>
      <c r="L82" s="8" t="s">
        <v>404</v>
      </c>
    </row>
    <row r="83" spans="1:12" s="8" customFormat="1" x14ac:dyDescent="0.25">
      <c r="A83" s="8" t="s">
        <v>63</v>
      </c>
      <c r="B83" s="8">
        <v>20003537</v>
      </c>
      <c r="C83" s="11">
        <v>46082</v>
      </c>
      <c r="D83" s="8" t="s">
        <v>67</v>
      </c>
      <c r="E83" s="8" t="str">
        <f>CONCATENATE(D83,23)</f>
        <v>Z00010248523</v>
      </c>
      <c r="F83" s="8" t="s">
        <v>68</v>
      </c>
      <c r="G83" s="8" t="s">
        <v>69</v>
      </c>
      <c r="H83" s="8" t="str">
        <f t="shared" si="3"/>
        <v>LINDA BOMMARITO</v>
      </c>
      <c r="I83" s="10">
        <v>289.17</v>
      </c>
      <c r="J83" s="8" t="s">
        <v>48</v>
      </c>
      <c r="K83" s="8" t="s">
        <v>401</v>
      </c>
      <c r="L83" s="8" t="s">
        <v>405</v>
      </c>
    </row>
    <row r="84" spans="1:12" s="8" customFormat="1" x14ac:dyDescent="0.25">
      <c r="A84" s="8" t="s">
        <v>63</v>
      </c>
      <c r="B84" s="8">
        <v>20003537</v>
      </c>
      <c r="C84" s="11">
        <v>46082</v>
      </c>
      <c r="D84" s="8" t="s">
        <v>72</v>
      </c>
      <c r="E84" s="8" t="str">
        <f>CONCATENATE(D84,23)</f>
        <v>Z00010233223</v>
      </c>
      <c r="F84" s="8" t="s">
        <v>73</v>
      </c>
      <c r="G84" s="8" t="s">
        <v>74</v>
      </c>
      <c r="H84" s="8" t="str">
        <f t="shared" si="3"/>
        <v>WILLIAM AUDIA</v>
      </c>
      <c r="I84" s="10">
        <v>289.17</v>
      </c>
      <c r="J84" s="8" t="s">
        <v>48</v>
      </c>
      <c r="K84" s="8" t="s">
        <v>401</v>
      </c>
      <c r="L84" s="8" t="s">
        <v>405</v>
      </c>
    </row>
    <row r="85" spans="1:12" s="8" customFormat="1" x14ac:dyDescent="0.25">
      <c r="A85" s="8" t="s">
        <v>75</v>
      </c>
      <c r="B85" s="8">
        <v>8325282</v>
      </c>
      <c r="C85" s="9">
        <v>46023</v>
      </c>
      <c r="D85" s="8" t="s">
        <v>79</v>
      </c>
      <c r="E85" s="8" t="str">
        <f>CONCATENATE(D85,23)</f>
        <v>Z00005747423</v>
      </c>
      <c r="F85" s="8" t="s">
        <v>80</v>
      </c>
      <c r="G85" s="8" t="s">
        <v>81</v>
      </c>
      <c r="H85" s="8" t="str">
        <f t="shared" si="3"/>
        <v>DAN FLOOD</v>
      </c>
      <c r="I85" s="10">
        <v>28.92</v>
      </c>
      <c r="J85" s="8" t="s">
        <v>48</v>
      </c>
      <c r="K85" s="8" t="s">
        <v>401</v>
      </c>
      <c r="L85" s="8" t="s">
        <v>404</v>
      </c>
    </row>
    <row r="86" spans="1:12" s="8" customFormat="1" x14ac:dyDescent="0.25">
      <c r="A86" s="8" t="s">
        <v>82</v>
      </c>
      <c r="B86" s="8">
        <v>7152559</v>
      </c>
      <c r="C86" s="9">
        <v>46023</v>
      </c>
      <c r="D86" s="8" t="s">
        <v>105</v>
      </c>
      <c r="E86" s="8" t="str">
        <f>CONCATENATE(D86,23)</f>
        <v>Z00008757923</v>
      </c>
      <c r="F86" s="8" t="s">
        <v>106</v>
      </c>
      <c r="G86" s="8" t="s">
        <v>107</v>
      </c>
      <c r="H86" s="8" t="str">
        <f t="shared" si="3"/>
        <v>WILLIE HOLMES</v>
      </c>
      <c r="I86" s="10">
        <v>-347</v>
      </c>
      <c r="J86" s="8" t="s">
        <v>48</v>
      </c>
      <c r="K86" s="8" t="s">
        <v>401</v>
      </c>
      <c r="L86" s="8" t="s">
        <v>402</v>
      </c>
    </row>
    <row r="87" spans="1:12" s="8" customFormat="1" x14ac:dyDescent="0.25">
      <c r="A87" s="8" t="s">
        <v>82</v>
      </c>
      <c r="B87" s="8">
        <v>7152559</v>
      </c>
      <c r="C87" s="9">
        <v>46023</v>
      </c>
      <c r="D87" s="8" t="s">
        <v>85</v>
      </c>
      <c r="E87" s="8" t="str">
        <f>CONCATENATE(D87,23)</f>
        <v>Z00006075123</v>
      </c>
      <c r="F87" s="8" t="s">
        <v>86</v>
      </c>
      <c r="G87" s="8" t="s">
        <v>87</v>
      </c>
      <c r="H87" s="8" t="str">
        <f t="shared" si="3"/>
        <v>ANTON MCDANIEL</v>
      </c>
      <c r="I87" s="10">
        <v>28.92</v>
      </c>
      <c r="J87" s="8" t="s">
        <v>48</v>
      </c>
      <c r="K87" s="8" t="s">
        <v>401</v>
      </c>
      <c r="L87" s="8" t="s">
        <v>404</v>
      </c>
    </row>
    <row r="88" spans="1:12" s="8" customFormat="1" x14ac:dyDescent="0.25">
      <c r="A88" s="8" t="s">
        <v>82</v>
      </c>
      <c r="B88" s="8">
        <v>7152559</v>
      </c>
      <c r="C88" s="9">
        <v>46023</v>
      </c>
      <c r="D88" s="8" t="s">
        <v>89</v>
      </c>
      <c r="E88" s="8" t="str">
        <f>CONCATENATE(D88,23)</f>
        <v>Z00005691023</v>
      </c>
      <c r="F88" s="8" t="s">
        <v>90</v>
      </c>
      <c r="G88" s="8" t="s">
        <v>91</v>
      </c>
      <c r="H88" s="8" t="str">
        <f t="shared" si="3"/>
        <v>CHANDRAKAN PHULGAONKAR</v>
      </c>
      <c r="I88" s="10">
        <v>28.92</v>
      </c>
      <c r="J88" s="8" t="s">
        <v>48</v>
      </c>
      <c r="K88" s="8" t="s">
        <v>401</v>
      </c>
      <c r="L88" s="8" t="s">
        <v>404</v>
      </c>
    </row>
    <row r="89" spans="1:12" s="8" customFormat="1" x14ac:dyDescent="0.25">
      <c r="A89" s="8" t="s">
        <v>82</v>
      </c>
      <c r="B89" s="8">
        <v>7152559</v>
      </c>
      <c r="C89" s="9">
        <v>46023</v>
      </c>
      <c r="D89" s="8" t="s">
        <v>93</v>
      </c>
      <c r="E89" s="8" t="str">
        <f>CONCATENATE(D89,23)</f>
        <v>Z00005274723</v>
      </c>
      <c r="F89" s="8" t="s">
        <v>94</v>
      </c>
      <c r="G89" s="8" t="s">
        <v>95</v>
      </c>
      <c r="H89" s="8" t="str">
        <f t="shared" si="3"/>
        <v>DIANE THOMAS</v>
      </c>
      <c r="I89" s="10">
        <v>28.92</v>
      </c>
      <c r="J89" s="8" t="s">
        <v>48</v>
      </c>
      <c r="K89" s="8" t="s">
        <v>401</v>
      </c>
      <c r="L89" s="8" t="s">
        <v>404</v>
      </c>
    </row>
    <row r="90" spans="1:12" s="8" customFormat="1" x14ac:dyDescent="0.25">
      <c r="A90" s="8" t="s">
        <v>82</v>
      </c>
      <c r="B90" s="8">
        <v>7152559</v>
      </c>
      <c r="C90" s="9">
        <v>46023</v>
      </c>
      <c r="D90" s="8" t="s">
        <v>98</v>
      </c>
      <c r="E90" s="8" t="str">
        <f>CONCATENATE(D90,23)</f>
        <v>Z00005273223</v>
      </c>
      <c r="F90" s="8" t="s">
        <v>99</v>
      </c>
      <c r="G90" s="8" t="s">
        <v>95</v>
      </c>
      <c r="H90" s="8" t="str">
        <f t="shared" si="3"/>
        <v>LEROY THOMAS</v>
      </c>
      <c r="I90" s="10">
        <v>28.92</v>
      </c>
      <c r="J90" s="8" t="s">
        <v>48</v>
      </c>
      <c r="K90" s="8" t="s">
        <v>401</v>
      </c>
      <c r="L90" s="8" t="s">
        <v>404</v>
      </c>
    </row>
    <row r="91" spans="1:12" s="8" customFormat="1" x14ac:dyDescent="0.25">
      <c r="A91" s="8" t="s">
        <v>82</v>
      </c>
      <c r="B91" s="8">
        <v>7152559</v>
      </c>
      <c r="C91" s="9">
        <v>46023</v>
      </c>
      <c r="D91" s="8" t="s">
        <v>101</v>
      </c>
      <c r="E91" s="8" t="str">
        <f>CONCATENATE(D91,23)</f>
        <v>Z00005741523</v>
      </c>
      <c r="F91" s="8" t="s">
        <v>102</v>
      </c>
      <c r="G91" s="8" t="s">
        <v>103</v>
      </c>
      <c r="H91" s="8" t="str">
        <f t="shared" si="3"/>
        <v>PAUL CABAY</v>
      </c>
      <c r="I91" s="10">
        <v>28.92</v>
      </c>
      <c r="J91" s="8" t="s">
        <v>48</v>
      </c>
      <c r="K91" s="8" t="s">
        <v>401</v>
      </c>
      <c r="L91" s="8" t="s">
        <v>404</v>
      </c>
    </row>
    <row r="92" spans="1:12" s="8" customFormat="1" x14ac:dyDescent="0.25">
      <c r="A92" s="8" t="s">
        <v>109</v>
      </c>
      <c r="B92" s="8">
        <v>17301495</v>
      </c>
      <c r="C92" s="9">
        <v>46023</v>
      </c>
      <c r="D92" s="8" t="s">
        <v>112</v>
      </c>
      <c r="E92" s="8" t="str">
        <f>CONCATENATE(D92,23)</f>
        <v>Z00005960923</v>
      </c>
      <c r="F92" s="8" t="s">
        <v>113</v>
      </c>
      <c r="G92" s="8" t="s">
        <v>114</v>
      </c>
      <c r="H92" s="8" t="str">
        <f t="shared" si="3"/>
        <v>ANA MARTINEZ</v>
      </c>
      <c r="I92" s="10">
        <v>28.92</v>
      </c>
      <c r="J92" s="8" t="s">
        <v>48</v>
      </c>
      <c r="K92" s="8" t="s">
        <v>401</v>
      </c>
      <c r="L92" s="8" t="s">
        <v>404</v>
      </c>
    </row>
    <row r="93" spans="1:12" s="8" customFormat="1" x14ac:dyDescent="0.25">
      <c r="A93" s="8" t="s">
        <v>109</v>
      </c>
      <c r="B93" s="8">
        <v>17301495</v>
      </c>
      <c r="C93" s="9">
        <v>46023</v>
      </c>
      <c r="D93" s="8" t="s">
        <v>116</v>
      </c>
      <c r="E93" s="8" t="str">
        <f>CONCATENATE(D93,23)</f>
        <v>Z00006230123</v>
      </c>
      <c r="F93" s="8" t="s">
        <v>117</v>
      </c>
      <c r="G93" s="8" t="s">
        <v>118</v>
      </c>
      <c r="H93" s="8" t="str">
        <f t="shared" si="3"/>
        <v>DAVID ORTIZ SR</v>
      </c>
      <c r="I93" s="10">
        <v>28.92</v>
      </c>
      <c r="J93" s="8" t="s">
        <v>48</v>
      </c>
      <c r="K93" s="8" t="s">
        <v>401</v>
      </c>
      <c r="L93" s="8" t="s">
        <v>404</v>
      </c>
    </row>
    <row r="94" spans="1:12" s="8" customFormat="1" x14ac:dyDescent="0.25">
      <c r="A94" s="8" t="s">
        <v>109</v>
      </c>
      <c r="B94" s="8">
        <v>17301495</v>
      </c>
      <c r="C94" s="9">
        <v>46023</v>
      </c>
      <c r="D94" s="8" t="s">
        <v>120</v>
      </c>
      <c r="E94" s="8" t="str">
        <f>CONCATENATE(D94,23)</f>
        <v>Z00006015923</v>
      </c>
      <c r="F94" s="8" t="s">
        <v>121</v>
      </c>
      <c r="G94" s="8" t="s">
        <v>122</v>
      </c>
      <c r="H94" s="8" t="str">
        <f t="shared" si="3"/>
        <v>DELORIS GILL</v>
      </c>
      <c r="I94" s="10">
        <v>28.92</v>
      </c>
      <c r="J94" s="8" t="s">
        <v>48</v>
      </c>
      <c r="K94" s="8" t="s">
        <v>401</v>
      </c>
      <c r="L94" s="8" t="s">
        <v>404</v>
      </c>
    </row>
    <row r="95" spans="1:12" s="8" customFormat="1" x14ac:dyDescent="0.25">
      <c r="A95" s="8" t="s">
        <v>109</v>
      </c>
      <c r="B95" s="8">
        <v>17301495</v>
      </c>
      <c r="C95" s="9">
        <v>46023</v>
      </c>
      <c r="D95" s="8" t="s">
        <v>124</v>
      </c>
      <c r="E95" s="8" t="str">
        <f>CONCATENATE(D95,23)</f>
        <v>Z00008307523</v>
      </c>
      <c r="F95" s="8" t="s">
        <v>125</v>
      </c>
      <c r="G95" s="8" t="s">
        <v>126</v>
      </c>
      <c r="H95" s="8" t="str">
        <f t="shared" si="3"/>
        <v>FELIX MEDRANO</v>
      </c>
      <c r="I95" s="10">
        <v>28.92</v>
      </c>
      <c r="J95" s="8" t="s">
        <v>48</v>
      </c>
      <c r="K95" s="8" t="s">
        <v>401</v>
      </c>
      <c r="L95" s="8" t="s">
        <v>404</v>
      </c>
    </row>
    <row r="96" spans="1:12" s="8" customFormat="1" x14ac:dyDescent="0.25">
      <c r="A96" s="8" t="s">
        <v>109</v>
      </c>
      <c r="B96" s="8">
        <v>17301495</v>
      </c>
      <c r="C96" s="9">
        <v>46023</v>
      </c>
      <c r="D96" s="8" t="s">
        <v>128</v>
      </c>
      <c r="E96" s="8" t="str">
        <f>CONCATENATE(D96,23)</f>
        <v>Z00007484323</v>
      </c>
      <c r="F96" s="8" t="s">
        <v>129</v>
      </c>
      <c r="G96" s="8" t="s">
        <v>130</v>
      </c>
      <c r="H96" s="8" t="str">
        <f t="shared" si="3"/>
        <v>FRANCISCA ARTEAGA</v>
      </c>
      <c r="I96" s="10">
        <v>28.92</v>
      </c>
      <c r="J96" s="8" t="s">
        <v>48</v>
      </c>
      <c r="K96" s="8" t="s">
        <v>401</v>
      </c>
      <c r="L96" s="8" t="s">
        <v>404</v>
      </c>
    </row>
    <row r="97" spans="1:12" s="8" customFormat="1" x14ac:dyDescent="0.25">
      <c r="A97" s="8" t="s">
        <v>109</v>
      </c>
      <c r="B97" s="8">
        <v>17301495</v>
      </c>
      <c r="C97" s="9">
        <v>46023</v>
      </c>
      <c r="D97" s="8" t="s">
        <v>132</v>
      </c>
      <c r="E97" s="8" t="str">
        <f>CONCATENATE(D97,23)</f>
        <v>Z00006954923</v>
      </c>
      <c r="F97" s="8" t="s">
        <v>133</v>
      </c>
      <c r="G97" s="8" t="s">
        <v>134</v>
      </c>
      <c r="H97" s="8" t="str">
        <f t="shared" si="3"/>
        <v>IDALIA RIVERA</v>
      </c>
      <c r="I97" s="10">
        <v>28.92</v>
      </c>
      <c r="J97" s="8" t="s">
        <v>48</v>
      </c>
      <c r="K97" s="8" t="s">
        <v>401</v>
      </c>
      <c r="L97" s="8" t="s">
        <v>404</v>
      </c>
    </row>
    <row r="98" spans="1:12" s="8" customFormat="1" x14ac:dyDescent="0.25">
      <c r="A98" s="8" t="s">
        <v>109</v>
      </c>
      <c r="B98" s="8">
        <v>17301495</v>
      </c>
      <c r="C98" s="9">
        <v>46023</v>
      </c>
      <c r="D98" s="8" t="s">
        <v>136</v>
      </c>
      <c r="E98" s="8" t="str">
        <f>CONCATENATE(D98,23)</f>
        <v>Z00007161823</v>
      </c>
      <c r="F98" s="8" t="s">
        <v>137</v>
      </c>
      <c r="G98" s="8" t="s">
        <v>138</v>
      </c>
      <c r="H98" s="8" t="str">
        <f t="shared" si="3"/>
        <v>JOSE AVILA</v>
      </c>
      <c r="I98" s="10">
        <v>28.92</v>
      </c>
      <c r="J98" s="8" t="s">
        <v>48</v>
      </c>
      <c r="K98" s="8" t="s">
        <v>401</v>
      </c>
      <c r="L98" s="8" t="s">
        <v>404</v>
      </c>
    </row>
    <row r="99" spans="1:12" s="8" customFormat="1" x14ac:dyDescent="0.25">
      <c r="A99" s="8" t="s">
        <v>109</v>
      </c>
      <c r="B99" s="8">
        <v>17301495</v>
      </c>
      <c r="C99" s="9">
        <v>46023</v>
      </c>
      <c r="D99" s="8" t="s">
        <v>140</v>
      </c>
      <c r="E99" s="8" t="str">
        <f>CONCATENATE(D99,23)</f>
        <v>Z00007307623</v>
      </c>
      <c r="F99" s="8" t="s">
        <v>137</v>
      </c>
      <c r="G99" s="8" t="s">
        <v>141</v>
      </c>
      <c r="H99" s="8" t="str">
        <f t="shared" si="3"/>
        <v>JOSE CADENA HERNANDEZ</v>
      </c>
      <c r="I99" s="10">
        <v>28.92</v>
      </c>
      <c r="J99" s="8" t="s">
        <v>48</v>
      </c>
      <c r="K99" s="8" t="s">
        <v>401</v>
      </c>
      <c r="L99" s="8" t="s">
        <v>404</v>
      </c>
    </row>
    <row r="100" spans="1:12" s="8" customFormat="1" x14ac:dyDescent="0.25">
      <c r="A100" s="8" t="s">
        <v>109</v>
      </c>
      <c r="B100" s="8">
        <v>17301495</v>
      </c>
      <c r="C100" s="9">
        <v>46023</v>
      </c>
      <c r="D100" s="8" t="s">
        <v>143</v>
      </c>
      <c r="E100" s="8" t="str">
        <f>CONCATENATE(D100,23)</f>
        <v>Z00004563323</v>
      </c>
      <c r="F100" s="8" t="s">
        <v>68</v>
      </c>
      <c r="G100" s="8" t="s">
        <v>144</v>
      </c>
      <c r="H100" s="8" t="str">
        <f t="shared" si="3"/>
        <v>LINDA DANIEL</v>
      </c>
      <c r="I100" s="10">
        <v>28.92</v>
      </c>
      <c r="J100" s="8" t="s">
        <v>48</v>
      </c>
      <c r="K100" s="8" t="s">
        <v>401</v>
      </c>
      <c r="L100" s="8" t="s">
        <v>404</v>
      </c>
    </row>
    <row r="101" spans="1:12" s="8" customFormat="1" x14ac:dyDescent="0.25">
      <c r="A101" s="8" t="s">
        <v>109</v>
      </c>
      <c r="B101" s="8">
        <v>17301495</v>
      </c>
      <c r="C101" s="9">
        <v>46023</v>
      </c>
      <c r="D101" s="8" t="s">
        <v>146</v>
      </c>
      <c r="E101" s="8" t="str">
        <f>CONCATENATE(D101,23)</f>
        <v>Z00007172723</v>
      </c>
      <c r="F101" s="8" t="s">
        <v>147</v>
      </c>
      <c r="G101" s="8" t="s">
        <v>138</v>
      </c>
      <c r="H101" s="8" t="str">
        <f t="shared" si="3"/>
        <v>MARIA AVILA</v>
      </c>
      <c r="I101" s="10">
        <v>28.92</v>
      </c>
      <c r="J101" s="8" t="s">
        <v>48</v>
      </c>
      <c r="K101" s="8" t="s">
        <v>401</v>
      </c>
      <c r="L101" s="8" t="s">
        <v>404</v>
      </c>
    </row>
    <row r="102" spans="1:12" s="8" customFormat="1" x14ac:dyDescent="0.25">
      <c r="A102" s="8" t="s">
        <v>109</v>
      </c>
      <c r="B102" s="8">
        <v>17301495</v>
      </c>
      <c r="C102" s="9">
        <v>46023</v>
      </c>
      <c r="D102" s="8" t="s">
        <v>149</v>
      </c>
      <c r="E102" s="8" t="str">
        <f>CONCATENATE(D102,23)</f>
        <v>Z00004364423</v>
      </c>
      <c r="F102" s="8" t="s">
        <v>150</v>
      </c>
      <c r="G102" s="8" t="s">
        <v>151</v>
      </c>
      <c r="H102" s="8" t="str">
        <f t="shared" si="3"/>
        <v>OLEGARIO HERNANDEZ FLORES</v>
      </c>
      <c r="I102" s="10">
        <v>28.92</v>
      </c>
      <c r="J102" s="8" t="s">
        <v>48</v>
      </c>
      <c r="K102" s="8" t="s">
        <v>401</v>
      </c>
      <c r="L102" s="8" t="s">
        <v>404</v>
      </c>
    </row>
    <row r="103" spans="1:12" s="8" customFormat="1" x14ac:dyDescent="0.25">
      <c r="A103" s="8" t="s">
        <v>109</v>
      </c>
      <c r="B103" s="8">
        <v>17301495</v>
      </c>
      <c r="C103" s="9">
        <v>46023</v>
      </c>
      <c r="D103" s="8" t="s">
        <v>153</v>
      </c>
      <c r="E103" s="8" t="str">
        <f>CONCATENATE(D103,23)</f>
        <v>Z00005361123</v>
      </c>
      <c r="F103" s="8" t="s">
        <v>154</v>
      </c>
      <c r="G103" s="8" t="s">
        <v>155</v>
      </c>
      <c r="H103" s="8" t="str">
        <f t="shared" si="3"/>
        <v>PATRICIA REYES</v>
      </c>
      <c r="I103" s="10">
        <v>28.92</v>
      </c>
      <c r="J103" s="8" t="s">
        <v>48</v>
      </c>
      <c r="K103" s="8" t="s">
        <v>401</v>
      </c>
      <c r="L103" s="8" t="s">
        <v>404</v>
      </c>
    </row>
    <row r="104" spans="1:12" s="8" customFormat="1" x14ac:dyDescent="0.25">
      <c r="A104" s="8" t="s">
        <v>109</v>
      </c>
      <c r="B104" s="8">
        <v>17301495</v>
      </c>
      <c r="C104" s="9">
        <v>46023</v>
      </c>
      <c r="D104" s="8" t="s">
        <v>157</v>
      </c>
      <c r="E104" s="8" t="str">
        <f>CONCATENATE(D104,23)</f>
        <v>Z00007209123</v>
      </c>
      <c r="F104" s="8" t="s">
        <v>158</v>
      </c>
      <c r="G104" s="8" t="s">
        <v>159</v>
      </c>
      <c r="H104" s="8" t="str">
        <f t="shared" si="3"/>
        <v>RACHEL BREVE</v>
      </c>
      <c r="I104" s="10">
        <v>28.92</v>
      </c>
      <c r="J104" s="8" t="s">
        <v>48</v>
      </c>
      <c r="K104" s="8" t="s">
        <v>401</v>
      </c>
      <c r="L104" s="8" t="s">
        <v>404</v>
      </c>
    </row>
    <row r="105" spans="1:12" s="8" customFormat="1" x14ac:dyDescent="0.25">
      <c r="A105" s="8" t="s">
        <v>109</v>
      </c>
      <c r="B105" s="8">
        <v>17301495</v>
      </c>
      <c r="C105" s="9">
        <v>46023</v>
      </c>
      <c r="D105" s="8" t="s">
        <v>161</v>
      </c>
      <c r="E105" s="8" t="str">
        <f>CONCATENATE(D105,23)</f>
        <v>Z00006277823</v>
      </c>
      <c r="F105" s="8" t="s">
        <v>162</v>
      </c>
      <c r="G105" s="8" t="s">
        <v>163</v>
      </c>
      <c r="H105" s="8" t="str">
        <f t="shared" si="3"/>
        <v>RAZIA KHOKHAR</v>
      </c>
      <c r="I105" s="10">
        <v>28.92</v>
      </c>
      <c r="J105" s="8" t="s">
        <v>48</v>
      </c>
      <c r="K105" s="8" t="s">
        <v>401</v>
      </c>
      <c r="L105" s="8" t="s">
        <v>404</v>
      </c>
    </row>
    <row r="106" spans="1:12" s="8" customFormat="1" x14ac:dyDescent="0.25">
      <c r="A106" s="8" t="s">
        <v>109</v>
      </c>
      <c r="B106" s="8">
        <v>17301495</v>
      </c>
      <c r="C106" s="9">
        <v>46023</v>
      </c>
      <c r="D106" s="8" t="s">
        <v>165</v>
      </c>
      <c r="E106" s="8" t="str">
        <f>CONCATENATE(D106,23)</f>
        <v>Z00004611923</v>
      </c>
      <c r="F106" s="8" t="s">
        <v>166</v>
      </c>
      <c r="G106" s="8" t="s">
        <v>167</v>
      </c>
      <c r="H106" s="8" t="str">
        <f t="shared" si="3"/>
        <v>RENE DIAZ</v>
      </c>
      <c r="I106" s="10">
        <v>28.92</v>
      </c>
      <c r="J106" s="8" t="s">
        <v>48</v>
      </c>
      <c r="K106" s="8" t="s">
        <v>401</v>
      </c>
      <c r="L106" s="8" t="s">
        <v>404</v>
      </c>
    </row>
    <row r="107" spans="1:12" s="8" customFormat="1" x14ac:dyDescent="0.25">
      <c r="A107" s="8" t="s">
        <v>109</v>
      </c>
      <c r="B107" s="8">
        <v>17301495</v>
      </c>
      <c r="C107" s="9">
        <v>46023</v>
      </c>
      <c r="D107" s="8" t="s">
        <v>169</v>
      </c>
      <c r="E107" s="8" t="str">
        <f>CONCATENATE(D107,23)</f>
        <v>Z00007513223</v>
      </c>
      <c r="F107" s="8" t="s">
        <v>170</v>
      </c>
      <c r="G107" s="8" t="s">
        <v>171</v>
      </c>
      <c r="H107" s="8" t="str">
        <f t="shared" si="3"/>
        <v>SERAFINA TAPIA</v>
      </c>
      <c r="I107" s="10">
        <v>28.92</v>
      </c>
      <c r="J107" s="8" t="s">
        <v>48</v>
      </c>
      <c r="K107" s="8" t="s">
        <v>401</v>
      </c>
      <c r="L107" s="8" t="s">
        <v>404</v>
      </c>
    </row>
    <row r="108" spans="1:12" s="8" customFormat="1" x14ac:dyDescent="0.25">
      <c r="A108" s="8" t="s">
        <v>109</v>
      </c>
      <c r="B108" s="8">
        <v>17301495</v>
      </c>
      <c r="C108" s="9">
        <v>46023</v>
      </c>
      <c r="D108" s="8" t="s">
        <v>173</v>
      </c>
      <c r="E108" s="8" t="str">
        <f>CONCATENATE(D108,23)</f>
        <v>Z00006987623</v>
      </c>
      <c r="F108" s="8" t="s">
        <v>174</v>
      </c>
      <c r="G108" s="8" t="s">
        <v>175</v>
      </c>
      <c r="H108" s="8" t="str">
        <f t="shared" si="3"/>
        <v>STANLEY WARMUZ</v>
      </c>
      <c r="I108" s="10">
        <v>28.92</v>
      </c>
      <c r="J108" s="8" t="s">
        <v>48</v>
      </c>
      <c r="K108" s="8" t="s">
        <v>401</v>
      </c>
      <c r="L108" s="8" t="s">
        <v>404</v>
      </c>
    </row>
    <row r="109" spans="1:12" s="8" customFormat="1" x14ac:dyDescent="0.25">
      <c r="A109" s="8" t="s">
        <v>109</v>
      </c>
      <c r="B109" s="8">
        <v>17301495</v>
      </c>
      <c r="C109" s="9">
        <v>46023</v>
      </c>
      <c r="D109" s="8" t="s">
        <v>177</v>
      </c>
      <c r="E109" s="8" t="str">
        <f>CONCATENATE(D109,23)</f>
        <v>Z00008727623</v>
      </c>
      <c r="F109" s="8" t="s">
        <v>178</v>
      </c>
      <c r="G109" s="8" t="s">
        <v>179</v>
      </c>
      <c r="H109" s="8" t="str">
        <f t="shared" si="3"/>
        <v>VICTOR LOPEZ</v>
      </c>
      <c r="I109" s="10">
        <v>28.92</v>
      </c>
      <c r="J109" s="8" t="s">
        <v>48</v>
      </c>
      <c r="K109" s="8" t="s">
        <v>401</v>
      </c>
      <c r="L109" s="8" t="s">
        <v>404</v>
      </c>
    </row>
    <row r="110" spans="1:12" s="8" customFormat="1" x14ac:dyDescent="0.25">
      <c r="A110" s="8" t="s">
        <v>180</v>
      </c>
      <c r="B110" s="8">
        <v>8814784</v>
      </c>
      <c r="C110" s="9">
        <v>46023</v>
      </c>
      <c r="D110" s="8" t="s">
        <v>183</v>
      </c>
      <c r="E110" s="8" t="str">
        <f>CONCATENATE(D110,23)</f>
        <v>Z00004351323</v>
      </c>
      <c r="F110" s="8" t="s">
        <v>184</v>
      </c>
      <c r="G110" s="8" t="s">
        <v>185</v>
      </c>
      <c r="H110" s="8" t="str">
        <f t="shared" si="3"/>
        <v>WALTER ATTERBERRY</v>
      </c>
      <c r="I110" s="10">
        <v>28.92</v>
      </c>
      <c r="J110" s="8" t="s">
        <v>48</v>
      </c>
      <c r="K110" s="8" t="s">
        <v>401</v>
      </c>
      <c r="L110" s="8" t="s">
        <v>404</v>
      </c>
    </row>
    <row r="111" spans="1:12" s="8" customFormat="1" x14ac:dyDescent="0.25">
      <c r="A111" s="8" t="s">
        <v>186</v>
      </c>
      <c r="B111" s="8">
        <v>9213293</v>
      </c>
      <c r="C111" s="9">
        <v>46023</v>
      </c>
      <c r="D111" s="8" t="s">
        <v>225</v>
      </c>
      <c r="E111" s="8" t="str">
        <f>CONCATENATE(D111,23)</f>
        <v>Z00009671223</v>
      </c>
      <c r="F111" s="8" t="s">
        <v>226</v>
      </c>
      <c r="G111" s="8" t="s">
        <v>227</v>
      </c>
      <c r="H111" s="8" t="str">
        <f t="shared" si="3"/>
        <v>IRVIN BLACKBURN JR</v>
      </c>
      <c r="I111" s="10">
        <v>-347</v>
      </c>
      <c r="J111" s="8" t="s">
        <v>48</v>
      </c>
      <c r="K111" s="8" t="s">
        <v>401</v>
      </c>
      <c r="L111" s="8" t="s">
        <v>402</v>
      </c>
    </row>
    <row r="112" spans="1:12" s="8" customFormat="1" x14ac:dyDescent="0.25">
      <c r="A112" s="8" t="s">
        <v>186</v>
      </c>
      <c r="B112" s="8">
        <v>9213293</v>
      </c>
      <c r="C112" s="9">
        <v>46023</v>
      </c>
      <c r="D112" s="8" t="s">
        <v>189</v>
      </c>
      <c r="E112" s="8" t="str">
        <f>CONCATENATE(D112,23)</f>
        <v>Z00004171023</v>
      </c>
      <c r="F112" s="8" t="s">
        <v>190</v>
      </c>
      <c r="G112" s="8" t="s">
        <v>191</v>
      </c>
      <c r="H112" s="8" t="str">
        <f t="shared" si="3"/>
        <v>ANGEL TORRES</v>
      </c>
      <c r="I112" s="10">
        <v>28.92</v>
      </c>
      <c r="J112" s="8" t="s">
        <v>48</v>
      </c>
      <c r="K112" s="8" t="s">
        <v>401</v>
      </c>
      <c r="L112" s="8" t="s">
        <v>404</v>
      </c>
    </row>
    <row r="113" spans="1:12" s="8" customFormat="1" x14ac:dyDescent="0.25">
      <c r="A113" s="8" t="s">
        <v>186</v>
      </c>
      <c r="B113" s="8">
        <v>9213293</v>
      </c>
      <c r="C113" s="9">
        <v>46023</v>
      </c>
      <c r="D113" s="8" t="s">
        <v>193</v>
      </c>
      <c r="E113" s="8" t="str">
        <f>CONCATENATE(D113,23)</f>
        <v>Z00006916123</v>
      </c>
      <c r="F113" s="8" t="s">
        <v>194</v>
      </c>
      <c r="G113" s="8" t="s">
        <v>195</v>
      </c>
      <c r="H113" s="8" t="str">
        <f t="shared" si="3"/>
        <v>AUDREY MINX</v>
      </c>
      <c r="I113" s="10">
        <v>28.92</v>
      </c>
      <c r="J113" s="8" t="s">
        <v>48</v>
      </c>
      <c r="K113" s="8" t="s">
        <v>401</v>
      </c>
      <c r="L113" s="8" t="s">
        <v>404</v>
      </c>
    </row>
    <row r="114" spans="1:12" s="8" customFormat="1" x14ac:dyDescent="0.25">
      <c r="A114" s="8" t="s">
        <v>186</v>
      </c>
      <c r="B114" s="8">
        <v>9213293</v>
      </c>
      <c r="C114" s="9">
        <v>46023</v>
      </c>
      <c r="D114" s="8" t="s">
        <v>197</v>
      </c>
      <c r="E114" s="8" t="str">
        <f>CONCATENATE(D114,23)</f>
        <v>Z00006982123</v>
      </c>
      <c r="F114" s="8" t="s">
        <v>198</v>
      </c>
      <c r="G114" s="8" t="s">
        <v>199</v>
      </c>
      <c r="H114" s="8" t="str">
        <f t="shared" si="3"/>
        <v>EDWARD WHITE</v>
      </c>
      <c r="I114" s="10">
        <v>28.92</v>
      </c>
      <c r="J114" s="8" t="s">
        <v>48</v>
      </c>
      <c r="K114" s="8" t="s">
        <v>401</v>
      </c>
      <c r="L114" s="8" t="s">
        <v>404</v>
      </c>
    </row>
    <row r="115" spans="1:12" s="8" customFormat="1" x14ac:dyDescent="0.25">
      <c r="A115" s="8" t="s">
        <v>186</v>
      </c>
      <c r="B115" s="8">
        <v>9213293</v>
      </c>
      <c r="C115" s="9">
        <v>46023</v>
      </c>
      <c r="D115" s="8" t="s">
        <v>201</v>
      </c>
      <c r="E115" s="8" t="str">
        <f>CONCATENATE(D115,23)</f>
        <v>Z00005716923</v>
      </c>
      <c r="F115" s="8" t="s">
        <v>202</v>
      </c>
      <c r="G115" s="8" t="s">
        <v>203</v>
      </c>
      <c r="H115" s="8" t="str">
        <f t="shared" si="3"/>
        <v>FRANCISCO GONZALEZ JR</v>
      </c>
      <c r="I115" s="10">
        <v>28.92</v>
      </c>
      <c r="J115" s="8" t="s">
        <v>48</v>
      </c>
      <c r="K115" s="8" t="s">
        <v>401</v>
      </c>
      <c r="L115" s="8" t="s">
        <v>404</v>
      </c>
    </row>
    <row r="116" spans="1:12" s="8" customFormat="1" x14ac:dyDescent="0.25">
      <c r="A116" s="8" t="s">
        <v>186</v>
      </c>
      <c r="B116" s="8">
        <v>9213293</v>
      </c>
      <c r="C116" s="9">
        <v>46023</v>
      </c>
      <c r="D116" s="8" t="s">
        <v>205</v>
      </c>
      <c r="E116" s="8" t="str">
        <f>CONCATENATE(D116,23)</f>
        <v>Z00006547823</v>
      </c>
      <c r="F116" s="8" t="s">
        <v>206</v>
      </c>
      <c r="G116" s="8" t="s">
        <v>207</v>
      </c>
      <c r="H116" s="8" t="str">
        <f t="shared" si="3"/>
        <v>GAIL COLMAN</v>
      </c>
      <c r="I116" s="10">
        <v>28.92</v>
      </c>
      <c r="J116" s="8" t="s">
        <v>48</v>
      </c>
      <c r="K116" s="8" t="s">
        <v>401</v>
      </c>
      <c r="L116" s="8" t="s">
        <v>404</v>
      </c>
    </row>
    <row r="117" spans="1:12" s="8" customFormat="1" x14ac:dyDescent="0.25">
      <c r="A117" s="8" t="s">
        <v>186</v>
      </c>
      <c r="B117" s="8">
        <v>9213293</v>
      </c>
      <c r="C117" s="9">
        <v>46023</v>
      </c>
      <c r="D117" s="8" t="s">
        <v>209</v>
      </c>
      <c r="E117" s="8" t="str">
        <f>CONCATENATE(D117,23)</f>
        <v>Z00006513223</v>
      </c>
      <c r="F117" s="8" t="s">
        <v>210</v>
      </c>
      <c r="G117" s="8" t="s">
        <v>211</v>
      </c>
      <c r="H117" s="8" t="str">
        <f t="shared" si="3"/>
        <v>GARRY FETT</v>
      </c>
      <c r="I117" s="10">
        <v>28.92</v>
      </c>
      <c r="J117" s="8" t="s">
        <v>48</v>
      </c>
      <c r="K117" s="8" t="s">
        <v>401</v>
      </c>
      <c r="L117" s="8" t="s">
        <v>404</v>
      </c>
    </row>
    <row r="118" spans="1:12" s="8" customFormat="1" x14ac:dyDescent="0.25">
      <c r="A118" s="8" t="s">
        <v>186</v>
      </c>
      <c r="B118" s="8">
        <v>9213293</v>
      </c>
      <c r="C118" s="9">
        <v>46023</v>
      </c>
      <c r="D118" s="8" t="s">
        <v>213</v>
      </c>
      <c r="E118" s="8" t="str">
        <f>CONCATENATE(D118,23)</f>
        <v>Z00005667023</v>
      </c>
      <c r="F118" s="8" t="s">
        <v>214</v>
      </c>
      <c r="G118" s="8" t="s">
        <v>215</v>
      </c>
      <c r="H118" s="8" t="str">
        <f t="shared" si="3"/>
        <v>GEORGIA HARRIS</v>
      </c>
      <c r="I118" s="10">
        <v>28.92</v>
      </c>
      <c r="J118" s="8" t="s">
        <v>48</v>
      </c>
      <c r="K118" s="8" t="s">
        <v>401</v>
      </c>
      <c r="L118" s="8" t="s">
        <v>404</v>
      </c>
    </row>
    <row r="119" spans="1:12" s="8" customFormat="1" x14ac:dyDescent="0.25">
      <c r="A119" s="8" t="s">
        <v>186</v>
      </c>
      <c r="B119" s="8">
        <v>9213293</v>
      </c>
      <c r="C119" s="9">
        <v>46023</v>
      </c>
      <c r="D119" s="8" t="s">
        <v>217</v>
      </c>
      <c r="E119" s="8" t="str">
        <f>CONCATENATE(D119,23)</f>
        <v>Z00002571223</v>
      </c>
      <c r="F119" s="8" t="s">
        <v>218</v>
      </c>
      <c r="G119" s="8" t="s">
        <v>219</v>
      </c>
      <c r="H119" s="8" t="str">
        <f t="shared" si="3"/>
        <v>Harold McMath</v>
      </c>
      <c r="I119" s="10">
        <v>28.92</v>
      </c>
      <c r="J119" s="8" t="s">
        <v>48</v>
      </c>
      <c r="K119" s="8" t="s">
        <v>401</v>
      </c>
      <c r="L119" s="8" t="s">
        <v>404</v>
      </c>
    </row>
    <row r="120" spans="1:12" s="8" customFormat="1" x14ac:dyDescent="0.25">
      <c r="A120" s="8" t="s">
        <v>186</v>
      </c>
      <c r="B120" s="8">
        <v>9213293</v>
      </c>
      <c r="C120" s="9">
        <v>46023</v>
      </c>
      <c r="D120" s="8" t="s">
        <v>221</v>
      </c>
      <c r="E120" s="8" t="str">
        <f>CONCATENATE(D120,23)</f>
        <v>Z00008410823</v>
      </c>
      <c r="F120" s="8" t="s">
        <v>222</v>
      </c>
      <c r="G120" s="8" t="s">
        <v>223</v>
      </c>
      <c r="H120" s="8" t="str">
        <f t="shared" si="3"/>
        <v>HENRY BAKER</v>
      </c>
      <c r="I120" s="10">
        <v>28.92</v>
      </c>
      <c r="J120" s="8" t="s">
        <v>48</v>
      </c>
      <c r="K120" s="8" t="s">
        <v>401</v>
      </c>
      <c r="L120" s="8" t="s">
        <v>404</v>
      </c>
    </row>
    <row r="121" spans="1:12" s="8" customFormat="1" x14ac:dyDescent="0.25">
      <c r="A121" s="8" t="s">
        <v>186</v>
      </c>
      <c r="B121" s="8">
        <v>9213293</v>
      </c>
      <c r="C121" s="9">
        <v>46023</v>
      </c>
      <c r="D121" s="8" t="s">
        <v>229</v>
      </c>
      <c r="E121" s="8" t="str">
        <f>CONCATENATE(D121,23)</f>
        <v>Z00005867423</v>
      </c>
      <c r="F121" s="8" t="s">
        <v>137</v>
      </c>
      <c r="G121" s="8" t="s">
        <v>230</v>
      </c>
      <c r="H121" s="8" t="str">
        <f t="shared" si="3"/>
        <v>JOSE RAMIREZ</v>
      </c>
      <c r="I121" s="10">
        <v>28.92</v>
      </c>
      <c r="J121" s="8" t="s">
        <v>48</v>
      </c>
      <c r="K121" s="8" t="s">
        <v>401</v>
      </c>
      <c r="L121" s="8" t="s">
        <v>404</v>
      </c>
    </row>
    <row r="122" spans="1:12" s="8" customFormat="1" x14ac:dyDescent="0.25">
      <c r="A122" s="8" t="s">
        <v>186</v>
      </c>
      <c r="B122" s="8">
        <v>9213293</v>
      </c>
      <c r="C122" s="9">
        <v>46023</v>
      </c>
      <c r="D122" s="8" t="s">
        <v>232</v>
      </c>
      <c r="E122" s="8" t="str">
        <f>CONCATENATE(D122,23)</f>
        <v>Z00008220423</v>
      </c>
      <c r="F122" s="8" t="s">
        <v>147</v>
      </c>
      <c r="G122" s="8" t="s">
        <v>233</v>
      </c>
      <c r="H122" s="8" t="str">
        <f t="shared" si="3"/>
        <v>MARIA ROJAS DE ALONSO</v>
      </c>
      <c r="I122" s="10">
        <v>28.92</v>
      </c>
      <c r="J122" s="8" t="s">
        <v>48</v>
      </c>
      <c r="K122" s="8" t="s">
        <v>401</v>
      </c>
      <c r="L122" s="8" t="s">
        <v>404</v>
      </c>
    </row>
    <row r="123" spans="1:12" s="8" customFormat="1" x14ac:dyDescent="0.25">
      <c r="A123" s="8" t="s">
        <v>186</v>
      </c>
      <c r="B123" s="8">
        <v>9213293</v>
      </c>
      <c r="C123" s="9">
        <v>46023</v>
      </c>
      <c r="D123" s="8" t="s">
        <v>235</v>
      </c>
      <c r="E123" s="8" t="str">
        <f>CONCATENATE(D123,23)</f>
        <v>Z00005314023</v>
      </c>
      <c r="F123" s="8" t="s">
        <v>102</v>
      </c>
      <c r="G123" s="8" t="s">
        <v>236</v>
      </c>
      <c r="H123" s="8" t="str">
        <f t="shared" si="3"/>
        <v>PAUL CRAWFORD</v>
      </c>
      <c r="I123" s="10">
        <v>28.92</v>
      </c>
      <c r="J123" s="8" t="s">
        <v>48</v>
      </c>
      <c r="K123" s="8" t="s">
        <v>401</v>
      </c>
      <c r="L123" s="8" t="s">
        <v>404</v>
      </c>
    </row>
    <row r="124" spans="1:12" s="8" customFormat="1" x14ac:dyDescent="0.25">
      <c r="A124" s="8" t="s">
        <v>186</v>
      </c>
      <c r="B124" s="8">
        <v>9213293</v>
      </c>
      <c r="C124" s="9">
        <v>46023</v>
      </c>
      <c r="D124" s="8" t="s">
        <v>238</v>
      </c>
      <c r="E124" s="8" t="str">
        <f>CONCATENATE(D124,23)</f>
        <v>Z00006680823</v>
      </c>
      <c r="F124" s="8" t="s">
        <v>239</v>
      </c>
      <c r="G124" s="8" t="s">
        <v>195</v>
      </c>
      <c r="H124" s="8" t="str">
        <f t="shared" si="3"/>
        <v>RALPH MINX</v>
      </c>
      <c r="I124" s="10">
        <v>28.92</v>
      </c>
      <c r="J124" s="8" t="s">
        <v>48</v>
      </c>
      <c r="K124" s="8" t="s">
        <v>401</v>
      </c>
      <c r="L124" s="8" t="s">
        <v>404</v>
      </c>
    </row>
    <row r="125" spans="1:12" s="8" customFormat="1" x14ac:dyDescent="0.25">
      <c r="A125" s="8" t="s">
        <v>186</v>
      </c>
      <c r="B125" s="8">
        <v>9213293</v>
      </c>
      <c r="C125" s="9">
        <v>46023</v>
      </c>
      <c r="D125" s="8" t="s">
        <v>241</v>
      </c>
      <c r="E125" s="8" t="str">
        <f>CONCATENATE(D125,23)</f>
        <v>Z00005815323</v>
      </c>
      <c r="F125" s="8" t="s">
        <v>242</v>
      </c>
      <c r="G125" s="8" t="s">
        <v>243</v>
      </c>
      <c r="H125" s="8" t="str">
        <f t="shared" si="3"/>
        <v>RANDAL KAMOWSKI</v>
      </c>
      <c r="I125" s="10">
        <v>28.92</v>
      </c>
      <c r="J125" s="8" t="s">
        <v>48</v>
      </c>
      <c r="K125" s="8" t="s">
        <v>401</v>
      </c>
      <c r="L125" s="8" t="s">
        <v>404</v>
      </c>
    </row>
    <row r="126" spans="1:12" s="8" customFormat="1" x14ac:dyDescent="0.25">
      <c r="A126" s="8" t="s">
        <v>186</v>
      </c>
      <c r="B126" s="8">
        <v>9213293</v>
      </c>
      <c r="C126" s="9">
        <v>46023</v>
      </c>
      <c r="D126" s="8" t="s">
        <v>245</v>
      </c>
      <c r="E126" s="8" t="str">
        <f>CONCATENATE(D126,23)</f>
        <v>Z00005487023</v>
      </c>
      <c r="F126" s="8" t="s">
        <v>246</v>
      </c>
      <c r="G126" s="8" t="s">
        <v>114</v>
      </c>
      <c r="H126" s="8" t="str">
        <f t="shared" si="3"/>
        <v>REYNALDO MARTINEZ</v>
      </c>
      <c r="I126" s="10">
        <v>28.92</v>
      </c>
      <c r="J126" s="8" t="s">
        <v>48</v>
      </c>
      <c r="K126" s="8" t="s">
        <v>401</v>
      </c>
      <c r="L126" s="8" t="s">
        <v>404</v>
      </c>
    </row>
    <row r="127" spans="1:12" s="8" customFormat="1" x14ac:dyDescent="0.25">
      <c r="A127" s="8" t="s">
        <v>186</v>
      </c>
      <c r="B127" s="8">
        <v>9213293</v>
      </c>
      <c r="C127" s="9">
        <v>46023</v>
      </c>
      <c r="D127" s="8" t="s">
        <v>248</v>
      </c>
      <c r="E127" s="8" t="str">
        <f>CONCATENATE(D127,23)</f>
        <v>Z00007149423</v>
      </c>
      <c r="F127" s="8" t="s">
        <v>249</v>
      </c>
      <c r="G127" s="8" t="s">
        <v>250</v>
      </c>
      <c r="H127" s="8" t="str">
        <f t="shared" si="3"/>
        <v>ROSA ESCOBEDO</v>
      </c>
      <c r="I127" s="10">
        <v>28.92</v>
      </c>
      <c r="J127" s="8" t="s">
        <v>48</v>
      </c>
      <c r="K127" s="8" t="s">
        <v>401</v>
      </c>
      <c r="L127" s="8" t="s">
        <v>404</v>
      </c>
    </row>
    <row r="128" spans="1:12" s="8" customFormat="1" x14ac:dyDescent="0.25">
      <c r="A128" s="8" t="s">
        <v>186</v>
      </c>
      <c r="B128" s="8">
        <v>9213293</v>
      </c>
      <c r="C128" s="9">
        <v>46023</v>
      </c>
      <c r="D128" s="8" t="s">
        <v>252</v>
      </c>
      <c r="E128" s="8" t="str">
        <f>CONCATENATE(D128,23)</f>
        <v>Z00006520923</v>
      </c>
      <c r="F128" s="8" t="s">
        <v>253</v>
      </c>
      <c r="G128" s="8" t="s">
        <v>254</v>
      </c>
      <c r="H128" s="8" t="str">
        <f t="shared" si="3"/>
        <v>SCOT STOLTZ</v>
      </c>
      <c r="I128" s="10">
        <v>28.92</v>
      </c>
      <c r="J128" s="8" t="s">
        <v>48</v>
      </c>
      <c r="K128" s="8" t="s">
        <v>401</v>
      </c>
      <c r="L128" s="8" t="s">
        <v>404</v>
      </c>
    </row>
    <row r="129" spans="1:12" s="8" customFormat="1" x14ac:dyDescent="0.25">
      <c r="A129" s="8" t="s">
        <v>186</v>
      </c>
      <c r="B129" s="8">
        <v>9213293</v>
      </c>
      <c r="C129" s="9">
        <v>46023</v>
      </c>
      <c r="D129" s="8" t="s">
        <v>257</v>
      </c>
      <c r="E129" s="8" t="str">
        <f>CONCATENATE(D129,23)</f>
        <v>Z00007216423</v>
      </c>
      <c r="F129" s="8" t="s">
        <v>258</v>
      </c>
      <c r="G129" s="8" t="s">
        <v>259</v>
      </c>
      <c r="H129" s="8" t="str">
        <f t="shared" si="3"/>
        <v>SHARON OSBORNE JONES</v>
      </c>
      <c r="I129" s="10">
        <v>28.92</v>
      </c>
      <c r="J129" s="8" t="s">
        <v>48</v>
      </c>
      <c r="K129" s="8" t="s">
        <v>401</v>
      </c>
      <c r="L129" s="8" t="s">
        <v>404</v>
      </c>
    </row>
    <row r="130" spans="1:12" s="8" customFormat="1" x14ac:dyDescent="0.25">
      <c r="A130" s="8" t="s">
        <v>186</v>
      </c>
      <c r="B130" s="8">
        <v>9213293</v>
      </c>
      <c r="C130" s="9">
        <v>46023</v>
      </c>
      <c r="D130" s="8" t="s">
        <v>261</v>
      </c>
      <c r="E130" s="8" t="str">
        <f>CONCATENATE(D130,23)</f>
        <v>Z00006660123</v>
      </c>
      <c r="F130" s="8" t="s">
        <v>262</v>
      </c>
      <c r="G130" s="8" t="s">
        <v>263</v>
      </c>
      <c r="H130" s="8" t="str">
        <f t="shared" si="3"/>
        <v>SIXTO BRAVO HUESCA</v>
      </c>
      <c r="I130" s="10">
        <v>28.92</v>
      </c>
      <c r="J130" s="8" t="s">
        <v>48</v>
      </c>
      <c r="K130" s="8" t="s">
        <v>401</v>
      </c>
      <c r="L130" s="8" t="s">
        <v>404</v>
      </c>
    </row>
    <row r="131" spans="1:12" s="8" customFormat="1" x14ac:dyDescent="0.25">
      <c r="A131" s="8" t="s">
        <v>186</v>
      </c>
      <c r="B131" s="8">
        <v>9213293</v>
      </c>
      <c r="C131" s="9">
        <v>46023</v>
      </c>
      <c r="D131" s="8" t="s">
        <v>265</v>
      </c>
      <c r="E131" s="8" t="str">
        <f>CONCATENATE(D131,23)</f>
        <v>Z00006661023</v>
      </c>
      <c r="F131" s="8" t="s">
        <v>266</v>
      </c>
      <c r="G131" s="8" t="s">
        <v>267</v>
      </c>
      <c r="H131" s="8" t="str">
        <f t="shared" ref="H131:H156" si="4">CONCATENATE(F131," ",G131)</f>
        <v>STEVEN BRODY</v>
      </c>
      <c r="I131" s="10">
        <v>28.92</v>
      </c>
      <c r="J131" s="8" t="s">
        <v>48</v>
      </c>
      <c r="K131" s="8" t="s">
        <v>401</v>
      </c>
      <c r="L131" s="8" t="s">
        <v>404</v>
      </c>
    </row>
    <row r="132" spans="1:12" s="8" customFormat="1" x14ac:dyDescent="0.25">
      <c r="A132" s="8" t="s">
        <v>186</v>
      </c>
      <c r="B132" s="8">
        <v>9213293</v>
      </c>
      <c r="C132" s="9">
        <v>46023</v>
      </c>
      <c r="D132" s="8" t="s">
        <v>269</v>
      </c>
      <c r="E132" s="8" t="str">
        <f>CONCATENATE(D132,23)</f>
        <v>Z00008470123</v>
      </c>
      <c r="F132" s="8" t="s">
        <v>270</v>
      </c>
      <c r="G132" s="8" t="s">
        <v>271</v>
      </c>
      <c r="H132" s="8" t="str">
        <f t="shared" si="4"/>
        <v>SUSAN MITCHELL</v>
      </c>
      <c r="I132" s="10">
        <v>28.92</v>
      </c>
      <c r="J132" s="8" t="s">
        <v>48</v>
      </c>
      <c r="K132" s="8" t="s">
        <v>401</v>
      </c>
      <c r="L132" s="8" t="s">
        <v>404</v>
      </c>
    </row>
    <row r="133" spans="1:12" s="8" customFormat="1" x14ac:dyDescent="0.25">
      <c r="A133" s="8" t="s">
        <v>272</v>
      </c>
      <c r="B133" s="8">
        <v>17094718</v>
      </c>
      <c r="C133" s="9">
        <v>46023</v>
      </c>
      <c r="D133" s="8" t="s">
        <v>275</v>
      </c>
      <c r="E133" s="8" t="str">
        <f>CONCATENATE(D133,23)</f>
        <v>Z00008220823</v>
      </c>
      <c r="F133" s="8" t="s">
        <v>276</v>
      </c>
      <c r="G133" s="8" t="s">
        <v>277</v>
      </c>
      <c r="H133" s="8" t="str">
        <f t="shared" si="4"/>
        <v>JESSE HAYDEN JR</v>
      </c>
      <c r="I133" s="10">
        <v>28.92</v>
      </c>
      <c r="J133" s="8" t="s">
        <v>48</v>
      </c>
      <c r="K133" s="8" t="s">
        <v>401</v>
      </c>
      <c r="L133" s="8" t="s">
        <v>404</v>
      </c>
    </row>
    <row r="134" spans="1:12" s="8" customFormat="1" x14ac:dyDescent="0.25">
      <c r="A134" s="8" t="s">
        <v>278</v>
      </c>
      <c r="B134" s="8">
        <v>2158366</v>
      </c>
      <c r="C134" s="11">
        <v>46082</v>
      </c>
      <c r="D134" s="8" t="s">
        <v>285</v>
      </c>
      <c r="E134" s="8" t="str">
        <f>CONCATENATE(D134,33)</f>
        <v>Z00009543733</v>
      </c>
      <c r="F134" s="8" t="s">
        <v>282</v>
      </c>
      <c r="G134" s="8" t="s">
        <v>286</v>
      </c>
      <c r="H134" s="8" t="str">
        <f t="shared" si="4"/>
        <v>RENEE PAYNE</v>
      </c>
      <c r="I134" s="10">
        <v>694</v>
      </c>
      <c r="J134" s="8" t="s">
        <v>48</v>
      </c>
      <c r="K134" s="8" t="s">
        <v>400</v>
      </c>
      <c r="L134" s="8" t="s">
        <v>403</v>
      </c>
    </row>
    <row r="135" spans="1:12" s="8" customFormat="1" x14ac:dyDescent="0.25">
      <c r="A135" s="8" t="s">
        <v>278</v>
      </c>
      <c r="B135" s="8">
        <v>2158366</v>
      </c>
      <c r="C135" s="9">
        <v>46023</v>
      </c>
      <c r="D135" s="8" t="s">
        <v>281</v>
      </c>
      <c r="E135" s="8" t="str">
        <f>CONCATENATE(D135,23)</f>
        <v>Z00004943723</v>
      </c>
      <c r="F135" s="8" t="s">
        <v>282</v>
      </c>
      <c r="G135" s="8" t="s">
        <v>283</v>
      </c>
      <c r="H135" s="8" t="str">
        <f t="shared" si="4"/>
        <v>RENEE LUMPKIN</v>
      </c>
      <c r="I135" s="10">
        <v>28.92</v>
      </c>
      <c r="J135" s="8" t="s">
        <v>48</v>
      </c>
      <c r="K135" s="8" t="s">
        <v>401</v>
      </c>
      <c r="L135" s="8" t="s">
        <v>404</v>
      </c>
    </row>
    <row r="136" spans="1:12" s="8" customFormat="1" x14ac:dyDescent="0.25">
      <c r="A136" s="8" t="s">
        <v>289</v>
      </c>
      <c r="B136" s="8">
        <v>16683808</v>
      </c>
      <c r="C136" s="9">
        <v>46023</v>
      </c>
      <c r="D136" s="8" t="s">
        <v>292</v>
      </c>
      <c r="E136" s="8" t="str">
        <f>CONCATENATE(D136,23)</f>
        <v>Z00006245723</v>
      </c>
      <c r="F136" s="8" t="s">
        <v>293</v>
      </c>
      <c r="G136" s="8" t="s">
        <v>294</v>
      </c>
      <c r="H136" s="8" t="str">
        <f t="shared" si="4"/>
        <v>CRAIG THULIN</v>
      </c>
      <c r="I136" s="10">
        <v>28.92</v>
      </c>
      <c r="J136" s="8" t="s">
        <v>48</v>
      </c>
      <c r="K136" s="8" t="s">
        <v>401</v>
      </c>
      <c r="L136" s="8" t="s">
        <v>404</v>
      </c>
    </row>
    <row r="137" spans="1:12" s="8" customFormat="1" x14ac:dyDescent="0.25">
      <c r="A137" s="8" t="s">
        <v>295</v>
      </c>
      <c r="B137" s="8">
        <v>20212926</v>
      </c>
      <c r="C137" s="9">
        <v>46023</v>
      </c>
      <c r="D137" s="8" t="s">
        <v>303</v>
      </c>
      <c r="E137" s="8" t="str">
        <f>CONCATENATE(D137,23)</f>
        <v>Z00009411823</v>
      </c>
      <c r="F137" s="8" t="s">
        <v>304</v>
      </c>
      <c r="G137" s="8" t="s">
        <v>305</v>
      </c>
      <c r="H137" s="8" t="str">
        <f t="shared" si="4"/>
        <v>HERMILO SOTELO</v>
      </c>
      <c r="I137" s="10">
        <v>-347</v>
      </c>
      <c r="J137" s="8" t="s">
        <v>48</v>
      </c>
      <c r="K137" s="8" t="s">
        <v>401</v>
      </c>
      <c r="L137" s="8" t="s">
        <v>402</v>
      </c>
    </row>
    <row r="138" spans="1:12" s="8" customFormat="1" x14ac:dyDescent="0.25">
      <c r="A138" s="8" t="s">
        <v>295</v>
      </c>
      <c r="B138" s="8">
        <v>20212926</v>
      </c>
      <c r="C138" s="9">
        <v>46023</v>
      </c>
      <c r="D138" s="8" t="s">
        <v>315</v>
      </c>
      <c r="E138" s="8" t="str">
        <f>CONCATENATE(D138,23)</f>
        <v>Z00009180623</v>
      </c>
      <c r="F138" s="8" t="s">
        <v>316</v>
      </c>
      <c r="G138" s="8" t="s">
        <v>317</v>
      </c>
      <c r="H138" s="8" t="str">
        <f t="shared" si="4"/>
        <v>MARIO DELGADO VILLAMIZAR</v>
      </c>
      <c r="I138" s="10">
        <v>-347</v>
      </c>
      <c r="J138" s="8" t="s">
        <v>48</v>
      </c>
      <c r="K138" s="8" t="s">
        <v>401</v>
      </c>
      <c r="L138" s="8" t="s">
        <v>402</v>
      </c>
    </row>
    <row r="139" spans="1:12" s="8" customFormat="1" x14ac:dyDescent="0.25">
      <c r="A139" s="8" t="s">
        <v>295</v>
      </c>
      <c r="B139" s="8">
        <v>20212926</v>
      </c>
      <c r="C139" s="9">
        <v>46023</v>
      </c>
      <c r="D139" s="8" t="s">
        <v>299</v>
      </c>
      <c r="E139" s="8" t="str">
        <f>CONCATENATE(D139,23)</f>
        <v>Z00005002723</v>
      </c>
      <c r="F139" s="8" t="s">
        <v>300</v>
      </c>
      <c r="G139" s="8" t="s">
        <v>301</v>
      </c>
      <c r="H139" s="8" t="str">
        <f t="shared" si="4"/>
        <v>FORTUNATA CORONEL</v>
      </c>
      <c r="I139" s="10">
        <v>28.92</v>
      </c>
      <c r="J139" s="8" t="s">
        <v>48</v>
      </c>
      <c r="K139" s="8" t="s">
        <v>401</v>
      </c>
      <c r="L139" s="8" t="s">
        <v>404</v>
      </c>
    </row>
    <row r="140" spans="1:12" s="8" customFormat="1" x14ac:dyDescent="0.25">
      <c r="A140" s="8" t="s">
        <v>295</v>
      </c>
      <c r="B140" s="8">
        <v>20212926</v>
      </c>
      <c r="C140" s="9">
        <v>46023</v>
      </c>
      <c r="D140" s="8" t="s">
        <v>307</v>
      </c>
      <c r="E140" s="8" t="str">
        <f>CONCATENATE(D140,23)</f>
        <v>Z00004899923</v>
      </c>
      <c r="F140" s="8" t="s">
        <v>308</v>
      </c>
      <c r="G140" s="8" t="s">
        <v>309</v>
      </c>
      <c r="H140" s="8" t="str">
        <f t="shared" si="4"/>
        <v>ISIDORO ORTIZ</v>
      </c>
      <c r="I140" s="10">
        <v>28.92</v>
      </c>
      <c r="J140" s="8" t="s">
        <v>48</v>
      </c>
      <c r="K140" s="8" t="s">
        <v>401</v>
      </c>
      <c r="L140" s="8" t="s">
        <v>404</v>
      </c>
    </row>
    <row r="141" spans="1:12" s="8" customFormat="1" x14ac:dyDescent="0.25">
      <c r="A141" s="8" t="s">
        <v>295</v>
      </c>
      <c r="B141" s="8">
        <v>20212926</v>
      </c>
      <c r="C141" s="9">
        <v>46023</v>
      </c>
      <c r="D141" s="8" t="s">
        <v>311</v>
      </c>
      <c r="E141" s="8" t="str">
        <f>CONCATENATE(D141,23)</f>
        <v>Z00007151423</v>
      </c>
      <c r="F141" s="8" t="s">
        <v>312</v>
      </c>
      <c r="G141" s="8" t="s">
        <v>313</v>
      </c>
      <c r="H141" s="8" t="str">
        <f t="shared" si="4"/>
        <v>LILIA MORALES</v>
      </c>
      <c r="I141" s="10">
        <v>28.92</v>
      </c>
      <c r="J141" s="8" t="s">
        <v>48</v>
      </c>
      <c r="K141" s="8" t="s">
        <v>401</v>
      </c>
      <c r="L141" s="8" t="s">
        <v>404</v>
      </c>
    </row>
    <row r="142" spans="1:12" s="8" customFormat="1" x14ac:dyDescent="0.25">
      <c r="A142" s="8" t="s">
        <v>295</v>
      </c>
      <c r="B142" s="8">
        <v>20212926</v>
      </c>
      <c r="C142" s="9">
        <v>46023</v>
      </c>
      <c r="D142" s="8" t="s">
        <v>319</v>
      </c>
      <c r="E142" s="8" t="str">
        <f>CONCATENATE(D142,23)</f>
        <v>Z00007340823</v>
      </c>
      <c r="F142" s="8" t="s">
        <v>316</v>
      </c>
      <c r="G142" s="8" t="s">
        <v>320</v>
      </c>
      <c r="H142" s="8" t="str">
        <f t="shared" si="4"/>
        <v>MARIO SANTOYO</v>
      </c>
      <c r="I142" s="10">
        <v>28.92</v>
      </c>
      <c r="J142" s="8" t="s">
        <v>48</v>
      </c>
      <c r="K142" s="8" t="s">
        <v>401</v>
      </c>
      <c r="L142" s="8" t="s">
        <v>404</v>
      </c>
    </row>
    <row r="143" spans="1:12" s="8" customFormat="1" x14ac:dyDescent="0.25">
      <c r="A143" s="8" t="s">
        <v>295</v>
      </c>
      <c r="B143" s="8">
        <v>20212926</v>
      </c>
      <c r="C143" s="9">
        <v>46023</v>
      </c>
      <c r="D143" s="8" t="s">
        <v>322</v>
      </c>
      <c r="E143" s="8" t="str">
        <f>CONCATENATE(D143,23)</f>
        <v>Z00005140223</v>
      </c>
      <c r="F143" s="8" t="s">
        <v>323</v>
      </c>
      <c r="G143" s="8" t="s">
        <v>324</v>
      </c>
      <c r="H143" s="8" t="str">
        <f t="shared" si="4"/>
        <v>SABINA HERNANDEZ</v>
      </c>
      <c r="I143" s="10">
        <v>28.92</v>
      </c>
      <c r="J143" s="8" t="s">
        <v>48</v>
      </c>
      <c r="K143" s="8" t="s">
        <v>401</v>
      </c>
      <c r="L143" s="8" t="s">
        <v>404</v>
      </c>
    </row>
    <row r="144" spans="1:12" s="8" customFormat="1" x14ac:dyDescent="0.25">
      <c r="A144" s="8" t="s">
        <v>391</v>
      </c>
      <c r="B144" s="8">
        <v>20220688</v>
      </c>
      <c r="C144" s="9">
        <v>46023</v>
      </c>
      <c r="D144" s="8" t="s">
        <v>394</v>
      </c>
      <c r="E144" s="8" t="str">
        <f>CONCATENATE(D144,23)</f>
        <v>Z00007087123</v>
      </c>
      <c r="F144" s="8" t="s">
        <v>395</v>
      </c>
      <c r="G144" s="8" t="s">
        <v>396</v>
      </c>
      <c r="H144" s="8" t="str">
        <f t="shared" si="4"/>
        <v>TSEDEV TSEEPEL</v>
      </c>
      <c r="I144" s="10">
        <v>28.92</v>
      </c>
      <c r="J144" s="8" t="s">
        <v>48</v>
      </c>
      <c r="K144" s="8" t="s">
        <v>401</v>
      </c>
      <c r="L144" s="8" t="s">
        <v>404</v>
      </c>
    </row>
    <row r="145" spans="1:12" s="8" customFormat="1" x14ac:dyDescent="0.25">
      <c r="A145" s="8" t="s">
        <v>334</v>
      </c>
      <c r="B145" s="8">
        <v>8405446</v>
      </c>
      <c r="C145" s="9">
        <v>46023</v>
      </c>
      <c r="D145" s="8" t="s">
        <v>341</v>
      </c>
      <c r="E145" s="8" t="str">
        <f>CONCATENATE(D145,33)</f>
        <v>Z00009766633</v>
      </c>
      <c r="F145" s="8" t="s">
        <v>342</v>
      </c>
      <c r="G145" s="8" t="s">
        <v>343</v>
      </c>
      <c r="H145" s="8" t="str">
        <f t="shared" si="4"/>
        <v>ANTHONY PHORASAVONG</v>
      </c>
      <c r="I145" s="10">
        <v>-694</v>
      </c>
      <c r="J145" s="8" t="s">
        <v>48</v>
      </c>
      <c r="K145" s="8" t="s">
        <v>400</v>
      </c>
      <c r="L145" s="8" t="s">
        <v>403</v>
      </c>
    </row>
    <row r="146" spans="1:12" s="8" customFormat="1" x14ac:dyDescent="0.25">
      <c r="A146" s="8" t="s">
        <v>334</v>
      </c>
      <c r="B146" s="8">
        <v>8405446</v>
      </c>
      <c r="C146" s="9">
        <v>46023</v>
      </c>
      <c r="D146" s="8" t="s">
        <v>337</v>
      </c>
      <c r="E146" s="8" t="str">
        <f>CONCATENATE(D146,23)</f>
        <v>Z00007746223</v>
      </c>
      <c r="F146" s="8" t="s">
        <v>338</v>
      </c>
      <c r="G146" s="8" t="s">
        <v>339</v>
      </c>
      <c r="H146" s="8" t="str">
        <f t="shared" si="4"/>
        <v>ANN CHANTHARASY</v>
      </c>
      <c r="I146" s="10">
        <v>28.92</v>
      </c>
      <c r="J146" s="8" t="s">
        <v>48</v>
      </c>
      <c r="K146" s="8" t="s">
        <v>401</v>
      </c>
      <c r="L146" s="8" t="s">
        <v>404</v>
      </c>
    </row>
    <row r="147" spans="1:12" s="8" customFormat="1" x14ac:dyDescent="0.25">
      <c r="A147" s="8" t="s">
        <v>334</v>
      </c>
      <c r="B147" s="8">
        <v>8405446</v>
      </c>
      <c r="C147" s="9">
        <v>46023</v>
      </c>
      <c r="D147" s="8" t="s">
        <v>364</v>
      </c>
      <c r="E147" s="8" t="str">
        <f>CONCATENATE(D147,23)</f>
        <v>Z00007532323</v>
      </c>
      <c r="F147" s="8" t="s">
        <v>365</v>
      </c>
      <c r="G147" s="8" t="s">
        <v>366</v>
      </c>
      <c r="H147" s="8" t="str">
        <f t="shared" si="4"/>
        <v>KHEM VONGKHOUNETHEP</v>
      </c>
      <c r="I147" s="10">
        <v>28.92</v>
      </c>
      <c r="J147" s="8" t="s">
        <v>48</v>
      </c>
      <c r="K147" s="8" t="s">
        <v>401</v>
      </c>
      <c r="L147" s="8" t="s">
        <v>404</v>
      </c>
    </row>
    <row r="148" spans="1:12" s="8" customFormat="1" x14ac:dyDescent="0.25">
      <c r="A148" s="8" t="s">
        <v>334</v>
      </c>
      <c r="B148" s="8">
        <v>8405446</v>
      </c>
      <c r="C148" s="9">
        <v>46023</v>
      </c>
      <c r="D148" s="8" t="s">
        <v>368</v>
      </c>
      <c r="E148" s="8" t="str">
        <f>CONCATENATE(D148,23)</f>
        <v>Z00008656823</v>
      </c>
      <c r="F148" s="8" t="s">
        <v>369</v>
      </c>
      <c r="G148" s="8" t="s">
        <v>370</v>
      </c>
      <c r="H148" s="8" t="str">
        <f t="shared" si="4"/>
        <v>LAY PRATHOUMMACHITH</v>
      </c>
      <c r="I148" s="10">
        <v>28.92</v>
      </c>
      <c r="J148" s="8" t="s">
        <v>48</v>
      </c>
      <c r="K148" s="8" t="s">
        <v>401</v>
      </c>
      <c r="L148" s="8" t="s">
        <v>404</v>
      </c>
    </row>
    <row r="149" spans="1:12" s="8" customFormat="1" x14ac:dyDescent="0.25">
      <c r="A149" s="8" t="s">
        <v>334</v>
      </c>
      <c r="B149" s="8">
        <v>8405446</v>
      </c>
      <c r="C149" s="9">
        <v>46023</v>
      </c>
      <c r="D149" s="8" t="s">
        <v>372</v>
      </c>
      <c r="E149" s="8" t="str">
        <f>CONCATENATE(D149,23)</f>
        <v>Z00007592323</v>
      </c>
      <c r="F149" s="8" t="s">
        <v>373</v>
      </c>
      <c r="G149" s="8" t="s">
        <v>374</v>
      </c>
      <c r="H149" s="8" t="str">
        <f t="shared" si="4"/>
        <v>MALY VONGTHIP</v>
      </c>
      <c r="I149" s="10">
        <v>28.92</v>
      </c>
      <c r="J149" s="8" t="s">
        <v>48</v>
      </c>
      <c r="K149" s="8" t="s">
        <v>401</v>
      </c>
      <c r="L149" s="8" t="s">
        <v>404</v>
      </c>
    </row>
    <row r="150" spans="1:12" s="8" customFormat="1" x14ac:dyDescent="0.25">
      <c r="A150" s="8" t="s">
        <v>334</v>
      </c>
      <c r="B150" s="8">
        <v>8405446</v>
      </c>
      <c r="C150" s="9">
        <v>46023</v>
      </c>
      <c r="D150" s="8" t="s">
        <v>376</v>
      </c>
      <c r="E150" s="8" t="str">
        <f>CONCATENATE(D150,23)</f>
        <v>Z00007020123</v>
      </c>
      <c r="F150" s="8" t="s">
        <v>377</v>
      </c>
      <c r="G150" s="8" t="s">
        <v>378</v>
      </c>
      <c r="H150" s="8" t="str">
        <f t="shared" si="4"/>
        <v>PHAENGSY PHETTHONGSY</v>
      </c>
      <c r="I150" s="10">
        <v>28.92</v>
      </c>
      <c r="J150" s="8" t="s">
        <v>48</v>
      </c>
      <c r="K150" s="8" t="s">
        <v>401</v>
      </c>
      <c r="L150" s="8" t="s">
        <v>404</v>
      </c>
    </row>
    <row r="151" spans="1:12" s="8" customFormat="1" x14ac:dyDescent="0.25">
      <c r="A151" s="8" t="s">
        <v>334</v>
      </c>
      <c r="B151" s="8">
        <v>8405446</v>
      </c>
      <c r="C151" s="9">
        <v>46023</v>
      </c>
      <c r="D151" s="8" t="s">
        <v>380</v>
      </c>
      <c r="E151" s="8" t="str">
        <f>CONCATENATE(D151,23)</f>
        <v>Z00007686423</v>
      </c>
      <c r="F151" s="8" t="s">
        <v>381</v>
      </c>
      <c r="G151" s="8" t="s">
        <v>382</v>
      </c>
      <c r="H151" s="8" t="str">
        <f t="shared" si="4"/>
        <v>PHANNALY LUANGSISONGKHAM</v>
      </c>
      <c r="I151" s="10">
        <v>28.92</v>
      </c>
      <c r="J151" s="8" t="s">
        <v>48</v>
      </c>
      <c r="K151" s="8" t="s">
        <v>401</v>
      </c>
      <c r="L151" s="8" t="s">
        <v>404</v>
      </c>
    </row>
    <row r="152" spans="1:12" s="8" customFormat="1" x14ac:dyDescent="0.25">
      <c r="A152" s="8" t="s">
        <v>345</v>
      </c>
      <c r="B152" s="8">
        <v>19200754</v>
      </c>
      <c r="C152" s="9">
        <v>46023</v>
      </c>
      <c r="D152" s="8" t="s">
        <v>384</v>
      </c>
      <c r="E152" s="8" t="str">
        <f>CONCATENATE(D152,23)</f>
        <v>Z00007446723</v>
      </c>
      <c r="F152" s="8" t="s">
        <v>385</v>
      </c>
      <c r="G152" s="8" t="s">
        <v>386</v>
      </c>
      <c r="H152" s="8" t="str">
        <f t="shared" si="4"/>
        <v>REMEGIO DULAY</v>
      </c>
      <c r="I152" s="10">
        <v>28.92</v>
      </c>
      <c r="J152" s="8" t="s">
        <v>48</v>
      </c>
      <c r="K152" s="8" t="s">
        <v>401</v>
      </c>
      <c r="L152" s="8" t="s">
        <v>404</v>
      </c>
    </row>
    <row r="153" spans="1:12" s="8" customFormat="1" x14ac:dyDescent="0.25">
      <c r="A153" s="8" t="s">
        <v>345</v>
      </c>
      <c r="B153" s="8">
        <v>19200754</v>
      </c>
      <c r="C153" s="9">
        <v>46023</v>
      </c>
      <c r="D153" s="8" t="s">
        <v>388</v>
      </c>
      <c r="E153" s="8" t="str">
        <f>CONCATENATE(D153,23)</f>
        <v>Z00005490423</v>
      </c>
      <c r="F153" s="8" t="s">
        <v>389</v>
      </c>
      <c r="G153" s="8" t="s">
        <v>390</v>
      </c>
      <c r="H153" s="8" t="str">
        <f t="shared" si="4"/>
        <v>ROBERT SCHMIDT</v>
      </c>
      <c r="I153" s="10">
        <v>28.92</v>
      </c>
      <c r="J153" s="8" t="s">
        <v>48</v>
      </c>
      <c r="K153" s="8" t="s">
        <v>401</v>
      </c>
      <c r="L153" s="8" t="s">
        <v>404</v>
      </c>
    </row>
    <row r="154" spans="1:12" s="8" customFormat="1" x14ac:dyDescent="0.25">
      <c r="A154" s="8" t="s">
        <v>345</v>
      </c>
      <c r="B154" s="8">
        <v>19200754</v>
      </c>
      <c r="C154" s="11">
        <v>46082</v>
      </c>
      <c r="D154" s="8" t="s">
        <v>348</v>
      </c>
      <c r="E154" s="8" t="str">
        <f>CONCATENATE(D154,23)</f>
        <v>Z00010288623</v>
      </c>
      <c r="F154" s="8" t="s">
        <v>349</v>
      </c>
      <c r="G154" s="8" t="s">
        <v>350</v>
      </c>
      <c r="H154" s="8" t="str">
        <f t="shared" si="4"/>
        <v>EDDIE COOPER</v>
      </c>
      <c r="I154" s="10">
        <v>289.17</v>
      </c>
      <c r="J154" s="8" t="s">
        <v>48</v>
      </c>
      <c r="K154" s="8" t="s">
        <v>401</v>
      </c>
      <c r="L154" s="8" t="s">
        <v>405</v>
      </c>
    </row>
    <row r="155" spans="1:12" s="8" customFormat="1" x14ac:dyDescent="0.25">
      <c r="A155" s="8" t="s">
        <v>357</v>
      </c>
      <c r="B155" s="8">
        <v>19396223</v>
      </c>
      <c r="C155" s="9">
        <v>46023</v>
      </c>
      <c r="D155" s="8" t="s">
        <v>360</v>
      </c>
      <c r="E155" s="8" t="str">
        <f>CONCATENATE(D155,23)</f>
        <v>Z00007652623</v>
      </c>
      <c r="F155" s="8" t="s">
        <v>361</v>
      </c>
      <c r="G155" s="8" t="s">
        <v>362</v>
      </c>
      <c r="H155" s="8" t="str">
        <f t="shared" si="4"/>
        <v>JUNAID AHMED</v>
      </c>
      <c r="I155" s="10">
        <v>28.92</v>
      </c>
      <c r="J155" s="8" t="s">
        <v>48</v>
      </c>
      <c r="K155" s="8" t="s">
        <v>401</v>
      </c>
      <c r="L155" s="8" t="s">
        <v>404</v>
      </c>
    </row>
    <row r="156" spans="1:12" s="8" customFormat="1" x14ac:dyDescent="0.25">
      <c r="A156" s="8" t="s">
        <v>325</v>
      </c>
      <c r="B156" s="8">
        <v>17126004</v>
      </c>
      <c r="C156" s="11">
        <v>46082</v>
      </c>
      <c r="D156" s="8" t="s">
        <v>328</v>
      </c>
      <c r="E156" s="8" t="str">
        <f>CONCATENATE(D156,23)</f>
        <v>Z00010217523</v>
      </c>
      <c r="F156" s="8" t="s">
        <v>329</v>
      </c>
      <c r="G156" s="8" t="s">
        <v>330</v>
      </c>
      <c r="H156" s="8" t="str">
        <f t="shared" si="4"/>
        <v>ALAN ESTEBAN</v>
      </c>
      <c r="I156" s="10">
        <v>289.17</v>
      </c>
      <c r="J156" s="8" t="s">
        <v>48</v>
      </c>
      <c r="K156" s="8" t="s">
        <v>401</v>
      </c>
      <c r="L156" s="8" t="s">
        <v>405</v>
      </c>
    </row>
  </sheetData>
  <sortState xmlns:xlrd2="http://schemas.microsoft.com/office/spreadsheetml/2017/richdata2" ref="A80:S156">
    <sortCondition ref="A80:A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2026-03-06T10:08:52Z</dcterms:created>
  <dcterms:modified xsi:type="dcterms:W3CDTF">2026-03-06T16:02:02Z</dcterms:modified>
</cp:coreProperties>
</file>