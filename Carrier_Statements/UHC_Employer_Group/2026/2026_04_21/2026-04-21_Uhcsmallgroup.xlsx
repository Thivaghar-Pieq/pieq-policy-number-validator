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4EyY5dFaygLLfSnC2z5Li3cUosP0xUXljj3q44+YPNs="/>
    </ext>
  </extLst>
</workbook>
</file>

<file path=xl/sharedStrings.xml><?xml version="1.0" encoding="utf-8"?>
<sst xmlns="http://schemas.openxmlformats.org/spreadsheetml/2006/main" count="424" uniqueCount="108">
  <si>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</si>
  <si>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</si>
  <si>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</si>
  <si>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</si>
  <si>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</si>
  <si>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</si>
  <si>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</si>
  <si>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</si>
  <si>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</si>
  <si>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</si>
  <si>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</si>
  <si>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</si>
  <si>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</si>
  <si>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</si>
  <si>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</si>
  <si>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</si>
  <si>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</si>
  <si>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</si>
  <si>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</si>
  <si>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</si>
  <si>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</si>
  <si>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</si>
  <si>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</si>
  <si>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</si>
  <si>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</si>
  <si>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</si>
  <si>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</si>
  <si>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</si>
  <si>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</si>
  <si>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</si>
  <si>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04/08/2026</t>
  </si>
  <si>
    <t>04/21/2026</t>
  </si>
  <si>
    <t>Base Commission And Service Fee Detail</t>
  </si>
  <si>
    <t>Small Business</t>
  </si>
  <si>
    <t>New Business</t>
  </si>
  <si>
    <t>233582-02</t>
  </si>
  <si>
    <t>GREEN, DANNA</t>
  </si>
  <si>
    <t>1782783</t>
  </si>
  <si>
    <t>DL Lester and Associates</t>
  </si>
  <si>
    <t>Med</t>
  </si>
  <si>
    <t>04/01/2026</t>
  </si>
  <si>
    <t>2</t>
  </si>
  <si>
    <t>V</t>
  </si>
  <si>
    <t>IN</t>
  </si>
  <si>
    <t>PEPM</t>
  </si>
  <si>
    <t>100%</t>
  </si>
  <si>
    <t>FEE</t>
  </si>
  <si>
    <t>Level Funded</t>
  </si>
  <si>
    <t>0</t>
  </si>
  <si>
    <t>Renewal</t>
  </si>
  <si>
    <t>214956-04</t>
  </si>
  <si>
    <t>HOFFMANN, JASON R</t>
  </si>
  <si>
    <t>1500970</t>
  </si>
  <si>
    <t>La Cabra Brewing LLC</t>
  </si>
  <si>
    <t>5</t>
  </si>
  <si>
    <t>PA</t>
  </si>
  <si>
    <t>COMM</t>
  </si>
  <si>
    <t>Commercial</t>
  </si>
  <si>
    <t>235415-02</t>
  </si>
  <si>
    <t>RICHTER, PETER LAURENCE K</t>
  </si>
  <si>
    <t>1498389</t>
  </si>
  <si>
    <t>CONNECTION CHURCH</t>
  </si>
  <si>
    <t>Vis</t>
  </si>
  <si>
    <t>8</t>
  </si>
  <si>
    <t>POP</t>
  </si>
  <si>
    <t>10.00%</t>
  </si>
  <si>
    <t>05L6214</t>
  </si>
  <si>
    <t>1614180</t>
  </si>
  <si>
    <t>Libratum Counseling LLC</t>
  </si>
  <si>
    <t>Den</t>
  </si>
  <si>
    <t>281388-02</t>
  </si>
  <si>
    <t>SANDEROCK, MARSHA</t>
  </si>
  <si>
    <t>1524410</t>
  </si>
  <si>
    <t>CARL'S HEATING &amp; COOLING</t>
  </si>
  <si>
    <t>SPEM</t>
  </si>
  <si>
    <t>885</t>
  </si>
  <si>
    <t>06L2752</t>
  </si>
  <si>
    <t>280969-01</t>
  </si>
  <si>
    <t>SHULMAN, JAKE</t>
  </si>
  <si>
    <t>1683652</t>
  </si>
  <si>
    <t>NATIONAL COMMUNICATIONS GROUP LLC</t>
  </si>
  <si>
    <t>FL</t>
  </si>
  <si>
    <t>08X1987</t>
  </si>
  <si>
    <t>4</t>
  </si>
  <si>
    <t>259418-02</t>
  </si>
  <si>
    <t>YALE, JACOB D</t>
  </si>
  <si>
    <t>1677591</t>
  </si>
  <si>
    <t>NC Capital Partners LLC</t>
  </si>
  <si>
    <t>03/01/2026</t>
  </si>
  <si>
    <t>1</t>
  </si>
  <si>
    <t>NC</t>
  </si>
  <si>
    <t>13</t>
  </si>
  <si>
    <t>Adjustment Date</t>
  </si>
  <si>
    <t>Adjustment Description</t>
  </si>
  <si>
    <t>Adjustment Compensation Type</t>
  </si>
  <si>
    <t>Adjustment Business Type</t>
  </si>
  <si>
    <t>Adjustment Amount</t>
  </si>
  <si>
    <t>pro</t>
  </si>
  <si>
    <t>17827833</t>
  </si>
  <si>
    <t>UHC SG MD-Level Funded</t>
  </si>
  <si>
    <t>15009702</t>
  </si>
  <si>
    <t>UHC SG PA choice</t>
  </si>
  <si>
    <t>UHC SG Dental/Vision</t>
  </si>
  <si>
    <t>15244103</t>
  </si>
  <si>
    <t>UHC SG IN</t>
  </si>
  <si>
    <t>16836523</t>
  </si>
  <si>
    <t>UHC SG Medical FL</t>
  </si>
  <si>
    <t>UHC SG 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</si>
</sst>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8.13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  <col customWidth="1" min="28" max="28" width="4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88.0</v>
      </c>
      <c r="O2" s="3">
        <v>88.0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50.0</v>
      </c>
      <c r="U2" s="2" t="s">
        <v>45</v>
      </c>
      <c r="V2" s="2" t="s">
        <v>46</v>
      </c>
      <c r="W2" s="2" t="s">
        <v>47</v>
      </c>
      <c r="X2" s="3">
        <v>100.0</v>
      </c>
      <c r="Y2" s="3">
        <v>100.0</v>
      </c>
      <c r="Z2" s="3">
        <v>100.0</v>
      </c>
      <c r="AA2" s="2"/>
      <c r="AB2" s="2" t="s">
        <v>48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39</v>
      </c>
      <c r="M3" s="2" t="s">
        <v>40</v>
      </c>
      <c r="N3" s="3">
        <v>2978.75</v>
      </c>
      <c r="O3" s="3">
        <v>2978.75</v>
      </c>
      <c r="P3" s="2" t="s">
        <v>54</v>
      </c>
      <c r="Q3" s="2" t="s">
        <v>42</v>
      </c>
      <c r="R3" s="2" t="s">
        <v>55</v>
      </c>
      <c r="S3" s="2" t="s">
        <v>44</v>
      </c>
      <c r="T3" s="3">
        <v>41.0</v>
      </c>
      <c r="U3" s="2" t="s">
        <v>45</v>
      </c>
      <c r="V3" s="2" t="s">
        <v>56</v>
      </c>
      <c r="W3" s="2" t="s">
        <v>57</v>
      </c>
      <c r="X3" s="2"/>
      <c r="Y3" s="2"/>
      <c r="Z3" s="3">
        <v>205.0</v>
      </c>
      <c r="AA3" s="2"/>
      <c r="AB3" s="2" t="s">
        <v>48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49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40</v>
      </c>
      <c r="N4" s="3">
        <v>108.19</v>
      </c>
      <c r="O4" s="3">
        <v>108.19</v>
      </c>
      <c r="P4" s="2" t="s">
        <v>63</v>
      </c>
      <c r="Q4" s="2" t="s">
        <v>42</v>
      </c>
      <c r="R4" s="2" t="s">
        <v>55</v>
      </c>
      <c r="S4" s="2" t="s">
        <v>64</v>
      </c>
      <c r="T4" s="2" t="s">
        <v>65</v>
      </c>
      <c r="U4" s="2" t="s">
        <v>45</v>
      </c>
      <c r="V4" s="2" t="s">
        <v>56</v>
      </c>
      <c r="W4" s="2" t="s">
        <v>57</v>
      </c>
      <c r="X4" s="2"/>
      <c r="Y4" s="2"/>
      <c r="Z4" s="3">
        <v>10.82</v>
      </c>
      <c r="AA4" s="2" t="s">
        <v>66</v>
      </c>
      <c r="AB4" s="2" t="s">
        <v>48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49</v>
      </c>
      <c r="H5" s="2" t="s">
        <v>58</v>
      </c>
      <c r="I5" s="2" t="s">
        <v>59</v>
      </c>
      <c r="J5" s="2" t="s">
        <v>67</v>
      </c>
      <c r="K5" s="2" t="s">
        <v>68</v>
      </c>
      <c r="L5" s="2" t="s">
        <v>69</v>
      </c>
      <c r="M5" s="2" t="s">
        <v>40</v>
      </c>
      <c r="N5" s="3">
        <v>83.64</v>
      </c>
      <c r="O5" s="3">
        <v>83.64</v>
      </c>
      <c r="P5" s="2" t="s">
        <v>41</v>
      </c>
      <c r="Q5" s="2" t="s">
        <v>42</v>
      </c>
      <c r="R5" s="2" t="s">
        <v>55</v>
      </c>
      <c r="S5" s="2" t="s">
        <v>64</v>
      </c>
      <c r="T5" s="2" t="s">
        <v>65</v>
      </c>
      <c r="U5" s="2" t="s">
        <v>45</v>
      </c>
      <c r="V5" s="2" t="s">
        <v>56</v>
      </c>
      <c r="W5" s="2" t="s">
        <v>57</v>
      </c>
      <c r="X5" s="2"/>
      <c r="Y5" s="2"/>
      <c r="Z5" s="3">
        <v>8.36</v>
      </c>
      <c r="AA5" s="2"/>
      <c r="AB5" s="2" t="s">
        <v>48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49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39</v>
      </c>
      <c r="M6" s="2" t="s">
        <v>40</v>
      </c>
      <c r="N6" s="3">
        <v>3031.55</v>
      </c>
      <c r="O6" s="3">
        <v>3031.55</v>
      </c>
      <c r="P6" s="2" t="s">
        <v>41</v>
      </c>
      <c r="Q6" s="2" t="s">
        <v>42</v>
      </c>
      <c r="R6" s="2" t="s">
        <v>43</v>
      </c>
      <c r="S6" s="2" t="s">
        <v>74</v>
      </c>
      <c r="T6" s="2" t="s">
        <v>75</v>
      </c>
      <c r="U6" s="2" t="s">
        <v>45</v>
      </c>
      <c r="V6" s="2" t="s">
        <v>56</v>
      </c>
      <c r="W6" s="2" t="s">
        <v>57</v>
      </c>
      <c r="X6" s="2"/>
      <c r="Y6" s="2"/>
      <c r="Z6" s="3">
        <v>16.0</v>
      </c>
      <c r="AA6" s="2" t="s">
        <v>76</v>
      </c>
      <c r="AB6" s="2" t="s">
        <v>48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49</v>
      </c>
      <c r="H7" s="2" t="s">
        <v>77</v>
      </c>
      <c r="I7" s="2" t="s">
        <v>78</v>
      </c>
      <c r="J7" s="2" t="s">
        <v>79</v>
      </c>
      <c r="K7" s="2" t="s">
        <v>80</v>
      </c>
      <c r="L7" s="2" t="s">
        <v>39</v>
      </c>
      <c r="M7" s="2" t="s">
        <v>40</v>
      </c>
      <c r="N7" s="3">
        <v>2071.83</v>
      </c>
      <c r="O7" s="3">
        <v>2071.83</v>
      </c>
      <c r="P7" s="2" t="s">
        <v>41</v>
      </c>
      <c r="Q7" s="2" t="s">
        <v>42</v>
      </c>
      <c r="R7" s="2" t="s">
        <v>81</v>
      </c>
      <c r="S7" s="2" t="s">
        <v>44</v>
      </c>
      <c r="T7" s="3">
        <v>2.0</v>
      </c>
      <c r="U7" s="2" t="s">
        <v>45</v>
      </c>
      <c r="V7" s="2" t="s">
        <v>56</v>
      </c>
      <c r="W7" s="2" t="s">
        <v>57</v>
      </c>
      <c r="X7" s="2"/>
      <c r="Y7" s="2"/>
      <c r="Z7" s="3">
        <v>4.0</v>
      </c>
      <c r="AA7" s="2" t="s">
        <v>82</v>
      </c>
      <c r="AB7" s="2" t="s">
        <v>48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49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69</v>
      </c>
      <c r="M8" s="2" t="s">
        <v>40</v>
      </c>
      <c r="N8" s="3">
        <v>184.44</v>
      </c>
      <c r="O8" s="3">
        <v>184.44</v>
      </c>
      <c r="P8" s="2" t="s">
        <v>83</v>
      </c>
      <c r="Q8" s="2" t="s">
        <v>42</v>
      </c>
      <c r="R8" s="2" t="s">
        <v>81</v>
      </c>
      <c r="S8" s="2" t="s">
        <v>64</v>
      </c>
      <c r="T8" s="2" t="s">
        <v>65</v>
      </c>
      <c r="U8" s="2" t="s">
        <v>45</v>
      </c>
      <c r="V8" s="2" t="s">
        <v>56</v>
      </c>
      <c r="W8" s="2" t="s">
        <v>57</v>
      </c>
      <c r="X8" s="2"/>
      <c r="Y8" s="2"/>
      <c r="Z8" s="3">
        <v>18.44</v>
      </c>
      <c r="AA8" s="2" t="s">
        <v>82</v>
      </c>
      <c r="AB8" s="2" t="s">
        <v>48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49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62</v>
      </c>
      <c r="M9" s="2" t="s">
        <v>40</v>
      </c>
      <c r="N9" s="3">
        <v>21.52</v>
      </c>
      <c r="O9" s="3">
        <v>21.52</v>
      </c>
      <c r="P9" s="2" t="s">
        <v>83</v>
      </c>
      <c r="Q9" s="2" t="s">
        <v>42</v>
      </c>
      <c r="R9" s="2" t="s">
        <v>81</v>
      </c>
      <c r="S9" s="2" t="s">
        <v>64</v>
      </c>
      <c r="T9" s="2" t="s">
        <v>65</v>
      </c>
      <c r="U9" s="2" t="s">
        <v>45</v>
      </c>
      <c r="V9" s="2" t="s">
        <v>56</v>
      </c>
      <c r="W9" s="2" t="s">
        <v>57</v>
      </c>
      <c r="X9" s="2"/>
      <c r="Y9" s="2"/>
      <c r="Z9" s="3">
        <v>2.15</v>
      </c>
      <c r="AA9" s="2" t="s">
        <v>82</v>
      </c>
      <c r="AB9" s="2" t="s">
        <v>48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49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39</v>
      </c>
      <c r="M10" s="2" t="s">
        <v>88</v>
      </c>
      <c r="N10" s="3">
        <v>1153.69</v>
      </c>
      <c r="O10" s="3">
        <v>1153.69</v>
      </c>
      <c r="P10" s="2" t="s">
        <v>89</v>
      </c>
      <c r="Q10" s="2" t="s">
        <v>42</v>
      </c>
      <c r="R10" s="2" t="s">
        <v>90</v>
      </c>
      <c r="S10" s="2" t="s">
        <v>44</v>
      </c>
      <c r="T10" s="3">
        <v>31.0</v>
      </c>
      <c r="U10" s="2" t="s">
        <v>45</v>
      </c>
      <c r="V10" s="2" t="s">
        <v>56</v>
      </c>
      <c r="W10" s="2" t="s">
        <v>57</v>
      </c>
      <c r="X10" s="2"/>
      <c r="Y10" s="2"/>
      <c r="Z10" s="3">
        <v>31.0</v>
      </c>
      <c r="AA10" s="2"/>
      <c r="AB10" s="2" t="s">
        <v>48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49</v>
      </c>
      <c r="H11" s="2" t="s">
        <v>84</v>
      </c>
      <c r="I11" s="2" t="s">
        <v>85</v>
      </c>
      <c r="J11" s="2" t="s">
        <v>86</v>
      </c>
      <c r="K11" s="2" t="s">
        <v>87</v>
      </c>
      <c r="L11" s="2" t="s">
        <v>39</v>
      </c>
      <c r="M11" s="2" t="s">
        <v>40</v>
      </c>
      <c r="N11" s="3">
        <v>8139.51</v>
      </c>
      <c r="O11" s="3">
        <v>8139.51</v>
      </c>
      <c r="P11" s="2" t="s">
        <v>63</v>
      </c>
      <c r="Q11" s="2" t="s">
        <v>42</v>
      </c>
      <c r="R11" s="2" t="s">
        <v>90</v>
      </c>
      <c r="S11" s="2" t="s">
        <v>44</v>
      </c>
      <c r="T11" s="3">
        <v>31.0</v>
      </c>
      <c r="U11" s="2" t="s">
        <v>45</v>
      </c>
      <c r="V11" s="2" t="s">
        <v>56</v>
      </c>
      <c r="W11" s="2" t="s">
        <v>57</v>
      </c>
      <c r="X11" s="2"/>
      <c r="Y11" s="2"/>
      <c r="Z11" s="3">
        <v>248.0</v>
      </c>
      <c r="AA11" s="2"/>
      <c r="AB11" s="2" t="s">
        <v>48</v>
      </c>
    </row>
    <row r="12" ht="12.75" customHeight="1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49</v>
      </c>
      <c r="H12" s="2" t="s">
        <v>84</v>
      </c>
      <c r="I12" s="2" t="s">
        <v>85</v>
      </c>
      <c r="J12" s="2" t="s">
        <v>86</v>
      </c>
      <c r="K12" s="2" t="s">
        <v>87</v>
      </c>
      <c r="L12" s="2" t="s">
        <v>39</v>
      </c>
      <c r="M12" s="2" t="s">
        <v>40</v>
      </c>
      <c r="N12" s="3">
        <v>9718.55</v>
      </c>
      <c r="O12" s="3">
        <v>9718.55</v>
      </c>
      <c r="P12" s="2" t="s">
        <v>91</v>
      </c>
      <c r="Q12" s="2" t="s">
        <v>42</v>
      </c>
      <c r="R12" s="2" t="s">
        <v>90</v>
      </c>
      <c r="S12" s="2" t="s">
        <v>44</v>
      </c>
      <c r="T12" s="3">
        <v>31.0</v>
      </c>
      <c r="U12" s="2" t="s">
        <v>45</v>
      </c>
      <c r="V12" s="2" t="s">
        <v>56</v>
      </c>
      <c r="W12" s="2" t="s">
        <v>57</v>
      </c>
      <c r="X12" s="2"/>
      <c r="Y12" s="2"/>
      <c r="Z12" s="3">
        <v>403.0</v>
      </c>
      <c r="AA12" s="2"/>
      <c r="AB12" s="2" t="s">
        <v>48</v>
      </c>
    </row>
    <row r="13" ht="12.75" customHeight="1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49</v>
      </c>
      <c r="H13" s="2" t="s">
        <v>84</v>
      </c>
      <c r="I13" s="2" t="s">
        <v>85</v>
      </c>
      <c r="J13" s="2" t="s">
        <v>86</v>
      </c>
      <c r="K13" s="2" t="s">
        <v>87</v>
      </c>
      <c r="L13" s="2" t="s">
        <v>39</v>
      </c>
      <c r="M13" s="2" t="s">
        <v>40</v>
      </c>
      <c r="N13" s="3">
        <v>2125.02</v>
      </c>
      <c r="O13" s="3">
        <v>2125.02</v>
      </c>
      <c r="P13" s="2" t="s">
        <v>41</v>
      </c>
      <c r="Q13" s="2" t="s">
        <v>42</v>
      </c>
      <c r="R13" s="2" t="s">
        <v>90</v>
      </c>
      <c r="S13" s="2" t="s">
        <v>44</v>
      </c>
      <c r="T13" s="3">
        <v>31.0</v>
      </c>
      <c r="U13" s="2" t="s">
        <v>45</v>
      </c>
      <c r="V13" s="2" t="s">
        <v>56</v>
      </c>
      <c r="W13" s="2" t="s">
        <v>57</v>
      </c>
      <c r="X13" s="2"/>
      <c r="Y13" s="2"/>
      <c r="Z13" s="3">
        <v>62.0</v>
      </c>
      <c r="AA13" s="2"/>
      <c r="AB13" s="2" t="s">
        <v>48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8.63"/>
    <col customWidth="1" min="4" max="4" width="34.0"/>
    <col customWidth="1" min="5" max="5" width="21.75"/>
    <col customWidth="1" min="6" max="6" width="31.38"/>
    <col customWidth="1" min="7" max="7" width="23.38"/>
    <col customWidth="1" min="8" max="9" width="37.75"/>
    <col customWidth="1" min="10" max="10" width="18.63"/>
    <col customWidth="1" min="11" max="11" width="10.63"/>
    <col customWidth="1" min="12" max="13" width="8.0"/>
    <col customWidth="1" min="14" max="14" width="18.63"/>
  </cols>
  <sheetData>
    <row r="1">
      <c r="A1" s="1" t="s">
        <v>8</v>
      </c>
      <c r="B1" s="1" t="s">
        <v>9</v>
      </c>
      <c r="C1" s="1"/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/>
      <c r="J1" s="1" t="s">
        <v>17</v>
      </c>
      <c r="K1" s="1" t="s">
        <v>18</v>
      </c>
      <c r="L1" s="1" t="s">
        <v>19</v>
      </c>
      <c r="M1" s="4" t="s">
        <v>97</v>
      </c>
      <c r="N1" s="1" t="s">
        <v>25</v>
      </c>
    </row>
    <row r="2">
      <c r="A2" s="2" t="s">
        <v>36</v>
      </c>
      <c r="B2" s="2" t="s">
        <v>37</v>
      </c>
      <c r="C2" s="5" t="s">
        <v>98</v>
      </c>
      <c r="D2" s="2" t="s">
        <v>38</v>
      </c>
      <c r="E2" s="2" t="s">
        <v>39</v>
      </c>
      <c r="F2" s="2" t="s">
        <v>40</v>
      </c>
      <c r="G2" s="6">
        <v>1.0</v>
      </c>
      <c r="H2" s="2" t="s">
        <v>41</v>
      </c>
      <c r="I2" s="2" t="str">
        <f t="shared" ref="I2:I3" si="1">IF(H2&gt;1,"[PMPM="&amp;H2&amp;"]","")</f>
        <v>[PMPM=2]</v>
      </c>
      <c r="J2" s="2" t="s">
        <v>43</v>
      </c>
      <c r="K2" s="2" t="s">
        <v>44</v>
      </c>
      <c r="L2" s="3">
        <v>50.0</v>
      </c>
      <c r="M2" s="7" t="s">
        <v>99</v>
      </c>
      <c r="N2" s="8">
        <v>100.0</v>
      </c>
    </row>
    <row r="3">
      <c r="A3" s="2" t="s">
        <v>51</v>
      </c>
      <c r="B3" s="2" t="s">
        <v>52</v>
      </c>
      <c r="C3" s="5" t="s">
        <v>100</v>
      </c>
      <c r="D3" s="2" t="s">
        <v>53</v>
      </c>
      <c r="E3" s="2" t="s">
        <v>39</v>
      </c>
      <c r="F3" s="2" t="s">
        <v>40</v>
      </c>
      <c r="G3" s="6">
        <v>1.0</v>
      </c>
      <c r="H3" s="2" t="s">
        <v>54</v>
      </c>
      <c r="I3" s="2" t="str">
        <f t="shared" si="1"/>
        <v>[PMPM=5]</v>
      </c>
      <c r="J3" s="2" t="s">
        <v>55</v>
      </c>
      <c r="K3" s="2" t="s">
        <v>44</v>
      </c>
      <c r="L3" s="3">
        <v>41.0</v>
      </c>
      <c r="M3" s="7" t="s">
        <v>101</v>
      </c>
      <c r="N3" s="8">
        <v>205.0</v>
      </c>
    </row>
    <row r="4">
      <c r="A4" s="2" t="s">
        <v>59</v>
      </c>
      <c r="B4" s="2" t="s">
        <v>60</v>
      </c>
      <c r="C4" s="2" t="str">
        <f t="shared" ref="C4:C5" si="2">concat(B4,1)</f>
        <v>14983891</v>
      </c>
      <c r="D4" s="2" t="s">
        <v>61</v>
      </c>
      <c r="E4" s="2" t="s">
        <v>62</v>
      </c>
      <c r="F4" s="2" t="s">
        <v>40</v>
      </c>
      <c r="G4" s="8">
        <v>108.19</v>
      </c>
      <c r="H4" s="2" t="s">
        <v>63</v>
      </c>
      <c r="I4" s="2"/>
      <c r="J4" s="2" t="s">
        <v>55</v>
      </c>
      <c r="K4" s="2" t="s">
        <v>64</v>
      </c>
      <c r="L4" s="2" t="s">
        <v>65</v>
      </c>
      <c r="M4" s="5" t="s">
        <v>102</v>
      </c>
      <c r="N4" s="8">
        <v>10.82</v>
      </c>
    </row>
    <row r="5">
      <c r="A5" s="2" t="s">
        <v>59</v>
      </c>
      <c r="B5" s="2" t="s">
        <v>67</v>
      </c>
      <c r="C5" s="2" t="str">
        <f t="shared" si="2"/>
        <v>16141801</v>
      </c>
      <c r="D5" s="2" t="s">
        <v>68</v>
      </c>
      <c r="E5" s="2" t="s">
        <v>69</v>
      </c>
      <c r="F5" s="2" t="s">
        <v>40</v>
      </c>
      <c r="G5" s="8">
        <v>83.64</v>
      </c>
      <c r="H5" s="2" t="s">
        <v>41</v>
      </c>
      <c r="I5" s="2"/>
      <c r="J5" s="2" t="s">
        <v>55</v>
      </c>
      <c r="K5" s="2" t="s">
        <v>64</v>
      </c>
      <c r="L5" s="2" t="s">
        <v>65</v>
      </c>
      <c r="M5" s="5" t="s">
        <v>102</v>
      </c>
      <c r="N5" s="8">
        <v>8.36</v>
      </c>
    </row>
    <row r="6">
      <c r="A6" s="2" t="s">
        <v>71</v>
      </c>
      <c r="B6" s="2" t="s">
        <v>72</v>
      </c>
      <c r="C6" s="5" t="s">
        <v>103</v>
      </c>
      <c r="D6" s="2" t="s">
        <v>73</v>
      </c>
      <c r="E6" s="2" t="s">
        <v>39</v>
      </c>
      <c r="F6" s="2" t="s">
        <v>40</v>
      </c>
      <c r="G6" s="6">
        <v>1.0</v>
      </c>
      <c r="H6" s="2" t="s">
        <v>41</v>
      </c>
      <c r="I6" s="2" t="str">
        <f t="shared" ref="I6:I7" si="3">IF(H6&gt;1,"[PMPM="&amp;H6&amp;"]","")</f>
        <v>[PMPM=2]</v>
      </c>
      <c r="J6" s="2" t="s">
        <v>43</v>
      </c>
      <c r="K6" s="2" t="s">
        <v>74</v>
      </c>
      <c r="L6" s="2" t="s">
        <v>75</v>
      </c>
      <c r="M6" s="5" t="s">
        <v>104</v>
      </c>
      <c r="N6" s="8">
        <v>16.0</v>
      </c>
    </row>
    <row r="7">
      <c r="A7" s="2" t="s">
        <v>78</v>
      </c>
      <c r="B7" s="2" t="s">
        <v>79</v>
      </c>
      <c r="C7" s="5" t="s">
        <v>105</v>
      </c>
      <c r="D7" s="2" t="s">
        <v>80</v>
      </c>
      <c r="E7" s="2" t="s">
        <v>39</v>
      </c>
      <c r="F7" s="2" t="s">
        <v>40</v>
      </c>
      <c r="G7" s="6">
        <v>1.0</v>
      </c>
      <c r="H7" s="2" t="s">
        <v>41</v>
      </c>
      <c r="I7" s="2" t="str">
        <f t="shared" si="3"/>
        <v>[PMPM=2]</v>
      </c>
      <c r="J7" s="2" t="s">
        <v>81</v>
      </c>
      <c r="K7" s="2" t="s">
        <v>44</v>
      </c>
      <c r="L7" s="3">
        <v>2.0</v>
      </c>
      <c r="M7" s="7" t="s">
        <v>106</v>
      </c>
      <c r="N7" s="8">
        <v>4.0</v>
      </c>
    </row>
    <row r="8">
      <c r="A8" s="2" t="s">
        <v>78</v>
      </c>
      <c r="B8" s="2" t="s">
        <v>79</v>
      </c>
      <c r="C8" s="2" t="str">
        <f t="shared" ref="C8:C9" si="4">concat(B8,1)</f>
        <v>16836521</v>
      </c>
      <c r="D8" s="2" t="s">
        <v>80</v>
      </c>
      <c r="E8" s="2" t="s">
        <v>69</v>
      </c>
      <c r="F8" s="2" t="s">
        <v>40</v>
      </c>
      <c r="G8" s="8">
        <v>184.44</v>
      </c>
      <c r="H8" s="2" t="s">
        <v>83</v>
      </c>
      <c r="I8" s="2"/>
      <c r="J8" s="2" t="s">
        <v>81</v>
      </c>
      <c r="K8" s="2" t="s">
        <v>64</v>
      </c>
      <c r="L8" s="2" t="s">
        <v>65</v>
      </c>
      <c r="M8" s="5" t="s">
        <v>102</v>
      </c>
      <c r="N8" s="8">
        <v>18.44</v>
      </c>
    </row>
    <row r="9">
      <c r="A9" s="2" t="s">
        <v>78</v>
      </c>
      <c r="B9" s="2" t="s">
        <v>79</v>
      </c>
      <c r="C9" s="2" t="str">
        <f t="shared" si="4"/>
        <v>16836521</v>
      </c>
      <c r="D9" s="2" t="s">
        <v>80</v>
      </c>
      <c r="E9" s="2" t="s">
        <v>62</v>
      </c>
      <c r="F9" s="2" t="s">
        <v>40</v>
      </c>
      <c r="G9" s="8">
        <v>21.52</v>
      </c>
      <c r="H9" s="2" t="s">
        <v>83</v>
      </c>
      <c r="I9" s="2"/>
      <c r="J9" s="2" t="s">
        <v>81</v>
      </c>
      <c r="K9" s="2" t="s">
        <v>64</v>
      </c>
      <c r="L9" s="2" t="s">
        <v>65</v>
      </c>
      <c r="M9" s="5" t="s">
        <v>102</v>
      </c>
      <c r="N9" s="8">
        <v>2.15</v>
      </c>
    </row>
    <row r="10">
      <c r="A10" s="2" t="s">
        <v>85</v>
      </c>
      <c r="B10" s="2" t="s">
        <v>86</v>
      </c>
      <c r="C10" s="2" t="str">
        <f t="shared" ref="C10:C13" si="5">concat(B10,4)</f>
        <v>16775914</v>
      </c>
      <c r="D10" s="2" t="s">
        <v>87</v>
      </c>
      <c r="E10" s="2" t="s">
        <v>39</v>
      </c>
      <c r="F10" s="2" t="s">
        <v>88</v>
      </c>
      <c r="G10" s="6">
        <v>1.0</v>
      </c>
      <c r="H10" s="2" t="s">
        <v>89</v>
      </c>
      <c r="I10" s="2"/>
      <c r="J10" s="2" t="s">
        <v>90</v>
      </c>
      <c r="K10" s="2" t="s">
        <v>44</v>
      </c>
      <c r="L10" s="3">
        <v>31.0</v>
      </c>
      <c r="M10" s="7" t="s">
        <v>107</v>
      </c>
      <c r="N10" s="8">
        <v>31.0</v>
      </c>
    </row>
    <row r="11">
      <c r="A11" s="2" t="s">
        <v>85</v>
      </c>
      <c r="B11" s="2" t="s">
        <v>86</v>
      </c>
      <c r="C11" s="2" t="str">
        <f t="shared" si="5"/>
        <v>16775914</v>
      </c>
      <c r="D11" s="2" t="s">
        <v>87</v>
      </c>
      <c r="E11" s="2" t="s">
        <v>39</v>
      </c>
      <c r="F11" s="2" t="s">
        <v>40</v>
      </c>
      <c r="G11" s="6">
        <v>1.0</v>
      </c>
      <c r="H11" s="2" t="s">
        <v>63</v>
      </c>
      <c r="I11" s="2" t="str">
        <f t="shared" ref="I11:I13" si="6">IF(H11&gt;1,"[PMPM="&amp;H11&amp;"]","")</f>
        <v>[PMPM=8]</v>
      </c>
      <c r="J11" s="2" t="s">
        <v>90</v>
      </c>
      <c r="K11" s="2" t="s">
        <v>44</v>
      </c>
      <c r="L11" s="3">
        <v>31.0</v>
      </c>
      <c r="M11" s="7" t="s">
        <v>107</v>
      </c>
      <c r="N11" s="8">
        <v>248.0</v>
      </c>
    </row>
    <row r="12">
      <c r="A12" s="2" t="s">
        <v>85</v>
      </c>
      <c r="B12" s="2" t="s">
        <v>86</v>
      </c>
      <c r="C12" s="2" t="str">
        <f t="shared" si="5"/>
        <v>16775914</v>
      </c>
      <c r="D12" s="2" t="s">
        <v>87</v>
      </c>
      <c r="E12" s="2" t="s">
        <v>39</v>
      </c>
      <c r="F12" s="2" t="s">
        <v>40</v>
      </c>
      <c r="G12" s="6">
        <v>1.0</v>
      </c>
      <c r="H12" s="2" t="s">
        <v>91</v>
      </c>
      <c r="I12" s="2" t="str">
        <f t="shared" si="6"/>
        <v>[PMPM=13]</v>
      </c>
      <c r="J12" s="2" t="s">
        <v>90</v>
      </c>
      <c r="K12" s="2" t="s">
        <v>44</v>
      </c>
      <c r="L12" s="3">
        <v>31.0</v>
      </c>
      <c r="M12" s="7" t="s">
        <v>107</v>
      </c>
      <c r="N12" s="8">
        <v>403.0</v>
      </c>
    </row>
    <row r="13">
      <c r="A13" s="2" t="s">
        <v>85</v>
      </c>
      <c r="B13" s="2" t="s">
        <v>86</v>
      </c>
      <c r="C13" s="2" t="str">
        <f t="shared" si="5"/>
        <v>16775914</v>
      </c>
      <c r="D13" s="2" t="s">
        <v>87</v>
      </c>
      <c r="E13" s="2" t="s">
        <v>39</v>
      </c>
      <c r="F13" s="2" t="s">
        <v>40</v>
      </c>
      <c r="G13" s="6">
        <v>1.0</v>
      </c>
      <c r="H13" s="2" t="s">
        <v>41</v>
      </c>
      <c r="I13" s="2" t="str">
        <f t="shared" si="6"/>
        <v>[PMPM=2]</v>
      </c>
      <c r="J13" s="2" t="s">
        <v>90</v>
      </c>
      <c r="K13" s="2" t="s">
        <v>44</v>
      </c>
      <c r="L13" s="3">
        <v>31.0</v>
      </c>
      <c r="M13" s="7" t="s">
        <v>107</v>
      </c>
      <c r="N13" s="8">
        <v>62.0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2026-05-06T10:33:53Z</dcterms:created>
  <dc:creator>JB Infotech</dc:creator>
</cp:coreProperties>
</file>