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</sheets>
  <definedNames/>
  <calcPr/>
  <extLst>
    <ext uri="GoogleSheetsCustomDataVersion2">
      <go:sheetsCustomData xmlns:go="http://customooxmlschemas.google.com/" r:id="rId6" roundtripDataChecksum="a1HzgKEvTBWPX7MzKlYVT7WtrH9ZJCEehJi49Z9cmgM="/>
    </ext>
  </extLst>
</workbook>
</file>

<file path=xl/sharedStrings.xml><?xml version="1.0" encoding="utf-8"?>
<sst xmlns="http://schemas.openxmlformats.org/spreadsheetml/2006/main" count="257" uniqueCount="89">
  <si>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</si>
  <si>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</si>
  <si>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</si>
  <si>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</si>
  <si>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</si>
  <si>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</si>
  <si>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</si>
  <si>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</si>
  <si>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Issue State</t>
  </si>
  <si>
    <t>Method</t>
  </si>
  <si>
    <t>Rate</t>
  </si>
  <si>
    <t>pro</t>
  </si>
  <si>
    <t>Compensation Type</t>
  </si>
  <si>
    <t>Business Type</t>
  </si>
  <si>
    <t>Billed Fee Amount</t>
  </si>
  <si>
    <t>Customer Paid Fee Amount</t>
  </si>
  <si>
    <t>Paid Amount</t>
  </si>
  <si>
    <t>HOFFMANN, JASON R</t>
  </si>
  <si>
    <t>1583717</t>
  </si>
  <si>
    <t>COURTELL CORP.</t>
  </si>
  <si>
    <t>Med</t>
  </si>
  <si>
    <t>02/01/2026</t>
  </si>
  <si>
    <t>3</t>
  </si>
  <si>
    <t>PA</t>
  </si>
  <si>
    <t>PEPM</t>
  </si>
  <si>
    <t>UHC SG PA choice</t>
  </si>
  <si>
    <t>FEE</t>
  </si>
  <si>
    <t>Level Funded</t>
  </si>
  <si>
    <t>2</t>
  </si>
  <si>
    <t>Vis</t>
  </si>
  <si>
    <t>POP</t>
  </si>
  <si>
    <t>10.00%</t>
  </si>
  <si>
    <t>UHC SG Dental/Vision</t>
  </si>
  <si>
    <t>COMM</t>
  </si>
  <si>
    <t>Commercial</t>
  </si>
  <si>
    <t>1500970</t>
  </si>
  <si>
    <t>La Cabra Brewing LLC</t>
  </si>
  <si>
    <t>12/01/2025</t>
  </si>
  <si>
    <t>01/01/2026</t>
  </si>
  <si>
    <t>5</t>
  </si>
  <si>
    <t>RICHTER, PETER LAURENCE K</t>
  </si>
  <si>
    <t>1498389</t>
  </si>
  <si>
    <t>CONNECTION CHURCH</t>
  </si>
  <si>
    <t>1614180</t>
  </si>
  <si>
    <t>Libratum Counseling LLC</t>
  </si>
  <si>
    <t>Den</t>
  </si>
  <si>
    <t>1441727</t>
  </si>
  <si>
    <t>14417273</t>
  </si>
  <si>
    <t>NEW VISTA CORPORATION</t>
  </si>
  <si>
    <t>7</t>
  </si>
  <si>
    <t>MD</t>
  </si>
  <si>
    <t>UHC SG MD-Level Funded</t>
  </si>
  <si>
    <t>1386751</t>
  </si>
  <si>
    <t>13867513</t>
  </si>
  <si>
    <t>ZIVERGE INC</t>
  </si>
  <si>
    <t>UHC SG MD</t>
  </si>
  <si>
    <t>SANDEROCK, MARSHA</t>
  </si>
  <si>
    <t>1524410</t>
  </si>
  <si>
    <t>15244103</t>
  </si>
  <si>
    <t>CARL'S HEATING &amp; COOLING</t>
  </si>
  <si>
    <t>IN</t>
  </si>
  <si>
    <t>SPEM</t>
  </si>
  <si>
    <t>885</t>
  </si>
  <si>
    <t>UHC SG IN</t>
  </si>
  <si>
    <t>SHULMAN, JAKE</t>
  </si>
  <si>
    <t>1683652</t>
  </si>
  <si>
    <t>16836523</t>
  </si>
  <si>
    <t>NATIONAL COMMUNICATIONS GROUP LLC</t>
  </si>
  <si>
    <t>FL</t>
  </si>
  <si>
    <t>UHC SG Medical FL</t>
  </si>
  <si>
    <t>YALE, JACOB D</t>
  </si>
  <si>
    <t>1677591</t>
  </si>
  <si>
    <t>NC Capital Partners LLC</t>
  </si>
  <si>
    <t>15</t>
  </si>
  <si>
    <t>NC</t>
  </si>
  <si>
    <t>UHC SG NC</t>
  </si>
  <si>
    <t>11</t>
  </si>
  <si>
    <t>YALE, RICHARD</t>
  </si>
  <si>
    <t>1686981</t>
  </si>
  <si>
    <t>16869813</t>
  </si>
  <si>
    <t>ESSENCE PAINTING AND RESTORATION INC</t>
  </si>
  <si>
    <t>4</t>
  </si>
  <si>
    <t>IL</t>
  </si>
  <si>
    <t>UHC SG IL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</si>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</sst>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/>
    </xf>
    <xf borderId="0" fillId="0" fontId="2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3" width="18.88"/>
    <col customWidth="1" min="4" max="4" width="24.25"/>
    <col customWidth="1" min="5" max="5" width="22.75"/>
    <col customWidth="1" min="6" max="6" width="27.13"/>
    <col customWidth="1" min="7" max="7" width="23.38"/>
    <col customWidth="1" min="8" max="8" width="20.25"/>
    <col customWidth="1" min="9" max="10" width="35.0"/>
    <col customWidth="1" min="11" max="11" width="17.63"/>
    <col customWidth="1" min="12" max="12" width="12.25"/>
    <col customWidth="1" min="13" max="13" width="8.13"/>
    <col customWidth="1" min="14" max="14" width="23.0"/>
    <col customWidth="1" min="15" max="15" width="29.63"/>
    <col customWidth="1" min="16" max="16" width="21.88"/>
    <col customWidth="1" min="17" max="17" width="27.63"/>
    <col customWidth="1" min="18" max="18" width="40.25"/>
    <col customWidth="1" min="19" max="19" width="19.75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ht="12.75" customHeight="1">
      <c r="A2" s="3" t="s">
        <v>17</v>
      </c>
      <c r="B2" s="3" t="s">
        <v>18</v>
      </c>
      <c r="C2" s="3" t="str">
        <f t="shared" ref="C2:C3" si="1">concat(B2,2)</f>
        <v>15837172</v>
      </c>
      <c r="D2" s="3" t="s">
        <v>19</v>
      </c>
      <c r="E2" s="3" t="s">
        <v>20</v>
      </c>
      <c r="F2" s="3" t="s">
        <v>21</v>
      </c>
      <c r="G2" s="4">
        <v>91.5</v>
      </c>
      <c r="H2" s="5">
        <v>1.0</v>
      </c>
      <c r="I2" s="3" t="s">
        <v>22</v>
      </c>
      <c r="J2" s="3" t="str">
        <f t="shared" ref="J2:J22" si="2">IF(I2&gt;1,"[PMPM="&amp;I2&amp;"]","")</f>
        <v>[PMPM=3]</v>
      </c>
      <c r="K2" s="3" t="s">
        <v>23</v>
      </c>
      <c r="L2" s="3" t="s">
        <v>24</v>
      </c>
      <c r="M2" s="4">
        <v>41.0</v>
      </c>
      <c r="N2" s="6" t="s">
        <v>25</v>
      </c>
      <c r="O2" s="3" t="s">
        <v>26</v>
      </c>
      <c r="P2" s="3" t="s">
        <v>27</v>
      </c>
      <c r="Q2" s="4">
        <v>123.0</v>
      </c>
      <c r="R2" s="4">
        <v>123.0</v>
      </c>
      <c r="S2" s="7">
        <v>123.0</v>
      </c>
    </row>
    <row r="3" ht="12.75" customHeight="1">
      <c r="A3" s="3" t="s">
        <v>17</v>
      </c>
      <c r="B3" s="3" t="s">
        <v>18</v>
      </c>
      <c r="C3" s="3" t="str">
        <f t="shared" si="1"/>
        <v>15837172</v>
      </c>
      <c r="D3" s="3" t="s">
        <v>19</v>
      </c>
      <c r="E3" s="3" t="s">
        <v>20</v>
      </c>
      <c r="F3" s="3" t="s">
        <v>21</v>
      </c>
      <c r="G3" s="4">
        <v>61.0</v>
      </c>
      <c r="H3" s="5">
        <v>1.0</v>
      </c>
      <c r="I3" s="3" t="s">
        <v>28</v>
      </c>
      <c r="J3" s="3" t="str">
        <f t="shared" si="2"/>
        <v>[PMPM=2]</v>
      </c>
      <c r="K3" s="3" t="s">
        <v>23</v>
      </c>
      <c r="L3" s="3" t="s">
        <v>24</v>
      </c>
      <c r="M3" s="4">
        <v>41.0</v>
      </c>
      <c r="N3" s="6" t="s">
        <v>25</v>
      </c>
      <c r="O3" s="3" t="s">
        <v>26</v>
      </c>
      <c r="P3" s="3" t="s">
        <v>27</v>
      </c>
      <c r="Q3" s="4">
        <v>82.0</v>
      </c>
      <c r="R3" s="4">
        <v>82.0</v>
      </c>
      <c r="S3" s="7">
        <v>82.0</v>
      </c>
    </row>
    <row r="4" ht="12.75" customHeight="1">
      <c r="A4" s="3" t="s">
        <v>17</v>
      </c>
      <c r="B4" s="3" t="s">
        <v>18</v>
      </c>
      <c r="C4" s="3" t="str">
        <f t="shared" ref="C4:C6" si="3">concat(B4,1)</f>
        <v>15837171</v>
      </c>
      <c r="D4" s="3" t="s">
        <v>19</v>
      </c>
      <c r="E4" s="3" t="s">
        <v>29</v>
      </c>
      <c r="F4" s="3" t="s">
        <v>21</v>
      </c>
      <c r="G4" s="4">
        <v>-56.88</v>
      </c>
      <c r="H4" s="7">
        <v>-56.88</v>
      </c>
      <c r="I4" s="3"/>
      <c r="J4" s="3" t="str">
        <f t="shared" si="2"/>
        <v/>
      </c>
      <c r="K4" s="3" t="s">
        <v>23</v>
      </c>
      <c r="L4" s="3" t="s">
        <v>30</v>
      </c>
      <c r="M4" s="3" t="s">
        <v>31</v>
      </c>
      <c r="N4" s="8" t="s">
        <v>32</v>
      </c>
      <c r="O4" s="3" t="s">
        <v>33</v>
      </c>
      <c r="P4" s="3" t="s">
        <v>34</v>
      </c>
      <c r="Q4" s="3"/>
      <c r="R4" s="3"/>
      <c r="S4" s="7">
        <v>-5.69</v>
      </c>
    </row>
    <row r="5" ht="12.75" customHeight="1">
      <c r="A5" s="3" t="s">
        <v>17</v>
      </c>
      <c r="B5" s="3" t="s">
        <v>18</v>
      </c>
      <c r="C5" s="3" t="str">
        <f t="shared" si="3"/>
        <v>15837171</v>
      </c>
      <c r="D5" s="3" t="s">
        <v>19</v>
      </c>
      <c r="E5" s="3" t="s">
        <v>29</v>
      </c>
      <c r="F5" s="3" t="s">
        <v>21</v>
      </c>
      <c r="G5" s="4">
        <v>56.88</v>
      </c>
      <c r="H5" s="7">
        <v>6.98</v>
      </c>
      <c r="I5" s="3"/>
      <c r="J5" s="3" t="str">
        <f t="shared" si="2"/>
        <v/>
      </c>
      <c r="K5" s="3" t="s">
        <v>23</v>
      </c>
      <c r="L5" s="3" t="s">
        <v>30</v>
      </c>
      <c r="M5" s="3" t="s">
        <v>31</v>
      </c>
      <c r="N5" s="8" t="s">
        <v>32</v>
      </c>
      <c r="O5" s="3" t="s">
        <v>33</v>
      </c>
      <c r="P5" s="3" t="s">
        <v>34</v>
      </c>
      <c r="Q5" s="3"/>
      <c r="R5" s="3"/>
      <c r="S5" s="7">
        <v>0.7</v>
      </c>
    </row>
    <row r="6" ht="12.75" customHeight="1">
      <c r="A6" s="3" t="s">
        <v>17</v>
      </c>
      <c r="B6" s="3" t="s">
        <v>18</v>
      </c>
      <c r="C6" s="3" t="str">
        <f t="shared" si="3"/>
        <v>15837171</v>
      </c>
      <c r="D6" s="3" t="s">
        <v>19</v>
      </c>
      <c r="E6" s="3" t="s">
        <v>29</v>
      </c>
      <c r="F6" s="3" t="s">
        <v>21</v>
      </c>
      <c r="G6" s="4">
        <v>29.04</v>
      </c>
      <c r="H6" s="7">
        <v>29.04</v>
      </c>
      <c r="I6" s="3"/>
      <c r="J6" s="3" t="str">
        <f t="shared" si="2"/>
        <v/>
      </c>
      <c r="K6" s="3" t="s">
        <v>23</v>
      </c>
      <c r="L6" s="3" t="s">
        <v>30</v>
      </c>
      <c r="M6" s="3" t="s">
        <v>31</v>
      </c>
      <c r="N6" s="8" t="s">
        <v>32</v>
      </c>
      <c r="O6" s="3" t="s">
        <v>33</v>
      </c>
      <c r="P6" s="3" t="s">
        <v>34</v>
      </c>
      <c r="Q6" s="3"/>
      <c r="R6" s="3"/>
      <c r="S6" s="7">
        <v>2.9</v>
      </c>
    </row>
    <row r="7" ht="12.75" customHeight="1">
      <c r="A7" s="3" t="s">
        <v>17</v>
      </c>
      <c r="B7" s="3" t="s">
        <v>35</v>
      </c>
      <c r="C7" s="3" t="str">
        <f t="shared" ref="C7:C9" si="4">concat(B7,2)</f>
        <v>15009702</v>
      </c>
      <c r="D7" s="3" t="s">
        <v>36</v>
      </c>
      <c r="E7" s="3" t="s">
        <v>20</v>
      </c>
      <c r="F7" s="3" t="s">
        <v>37</v>
      </c>
      <c r="G7" s="4">
        <v>-773.79</v>
      </c>
      <c r="H7" s="5">
        <v>1.0</v>
      </c>
      <c r="I7" s="3"/>
      <c r="J7" s="3" t="str">
        <f t="shared" si="2"/>
        <v/>
      </c>
      <c r="K7" s="3" t="s">
        <v>23</v>
      </c>
      <c r="L7" s="3" t="s">
        <v>24</v>
      </c>
      <c r="M7" s="4">
        <v>41.0</v>
      </c>
      <c r="N7" s="6" t="s">
        <v>25</v>
      </c>
      <c r="O7" s="3" t="s">
        <v>33</v>
      </c>
      <c r="P7" s="3" t="s">
        <v>34</v>
      </c>
      <c r="Q7" s="3"/>
      <c r="R7" s="3"/>
      <c r="S7" s="7">
        <v>-41.0</v>
      </c>
    </row>
    <row r="8" ht="12.75" customHeight="1">
      <c r="A8" s="3" t="s">
        <v>17</v>
      </c>
      <c r="B8" s="3" t="s">
        <v>35</v>
      </c>
      <c r="C8" s="3" t="str">
        <f t="shared" si="4"/>
        <v>15009702</v>
      </c>
      <c r="D8" s="3" t="s">
        <v>36</v>
      </c>
      <c r="E8" s="3" t="s">
        <v>20</v>
      </c>
      <c r="F8" s="3" t="s">
        <v>38</v>
      </c>
      <c r="G8" s="4">
        <v>-773.79</v>
      </c>
      <c r="H8" s="5">
        <v>1.0</v>
      </c>
      <c r="I8" s="3"/>
      <c r="J8" s="3" t="str">
        <f t="shared" si="2"/>
        <v/>
      </c>
      <c r="K8" s="3" t="s">
        <v>23</v>
      </c>
      <c r="L8" s="3" t="s">
        <v>24</v>
      </c>
      <c r="M8" s="4">
        <v>41.0</v>
      </c>
      <c r="N8" s="6" t="s">
        <v>25</v>
      </c>
      <c r="O8" s="3" t="s">
        <v>33</v>
      </c>
      <c r="P8" s="3" t="s">
        <v>34</v>
      </c>
      <c r="Q8" s="3"/>
      <c r="R8" s="3"/>
      <c r="S8" s="7">
        <v>-41.0</v>
      </c>
    </row>
    <row r="9" ht="12.75" customHeight="1">
      <c r="A9" s="3" t="s">
        <v>17</v>
      </c>
      <c r="B9" s="3" t="s">
        <v>35</v>
      </c>
      <c r="C9" s="3" t="str">
        <f t="shared" si="4"/>
        <v>15009702</v>
      </c>
      <c r="D9" s="3" t="s">
        <v>36</v>
      </c>
      <c r="E9" s="3" t="s">
        <v>20</v>
      </c>
      <c r="F9" s="3" t="s">
        <v>21</v>
      </c>
      <c r="G9" s="4">
        <v>2366.96</v>
      </c>
      <c r="H9" s="5">
        <v>1.0</v>
      </c>
      <c r="I9" s="3" t="s">
        <v>39</v>
      </c>
      <c r="J9" s="3" t="str">
        <f t="shared" si="2"/>
        <v>[PMPM=5]</v>
      </c>
      <c r="K9" s="3" t="s">
        <v>23</v>
      </c>
      <c r="L9" s="3" t="s">
        <v>24</v>
      </c>
      <c r="M9" s="4">
        <v>41.0</v>
      </c>
      <c r="N9" s="6" t="s">
        <v>25</v>
      </c>
      <c r="O9" s="3" t="s">
        <v>33</v>
      </c>
      <c r="P9" s="3" t="s">
        <v>34</v>
      </c>
      <c r="Q9" s="3"/>
      <c r="R9" s="3"/>
      <c r="S9" s="7">
        <v>205.0</v>
      </c>
    </row>
    <row r="10" ht="12.75" customHeight="1">
      <c r="A10" s="3" t="s">
        <v>40</v>
      </c>
      <c r="B10" s="3" t="s">
        <v>41</v>
      </c>
      <c r="C10" s="3" t="str">
        <f t="shared" ref="C10:C11" si="5">concat(B10,1)</f>
        <v>14983891</v>
      </c>
      <c r="D10" s="3" t="s">
        <v>42</v>
      </c>
      <c r="E10" s="3" t="s">
        <v>29</v>
      </c>
      <c r="F10" s="3" t="s">
        <v>21</v>
      </c>
      <c r="G10" s="4">
        <v>101.02</v>
      </c>
      <c r="H10" s="7">
        <v>101.02</v>
      </c>
      <c r="I10" s="3"/>
      <c r="J10" s="3" t="str">
        <f t="shared" si="2"/>
        <v/>
      </c>
      <c r="K10" s="3" t="s">
        <v>23</v>
      </c>
      <c r="L10" s="3" t="s">
        <v>30</v>
      </c>
      <c r="M10" s="3" t="s">
        <v>31</v>
      </c>
      <c r="N10" s="8" t="s">
        <v>32</v>
      </c>
      <c r="O10" s="3" t="s">
        <v>33</v>
      </c>
      <c r="P10" s="3" t="s">
        <v>34</v>
      </c>
      <c r="Q10" s="3"/>
      <c r="R10" s="3"/>
      <c r="S10" s="7">
        <v>10.1</v>
      </c>
    </row>
    <row r="11" ht="12.75" customHeight="1">
      <c r="A11" s="3" t="s">
        <v>40</v>
      </c>
      <c r="B11" s="3" t="s">
        <v>43</v>
      </c>
      <c r="C11" s="3" t="str">
        <f t="shared" si="5"/>
        <v>16141801</v>
      </c>
      <c r="D11" s="3" t="s">
        <v>44</v>
      </c>
      <c r="E11" s="3" t="s">
        <v>45</v>
      </c>
      <c r="F11" s="3" t="s">
        <v>21</v>
      </c>
      <c r="G11" s="4">
        <v>83.64</v>
      </c>
      <c r="H11" s="7">
        <v>83.64</v>
      </c>
      <c r="I11" s="3"/>
      <c r="J11" s="3" t="str">
        <f t="shared" si="2"/>
        <v/>
      </c>
      <c r="K11" s="3" t="s">
        <v>23</v>
      </c>
      <c r="L11" s="3" t="s">
        <v>30</v>
      </c>
      <c r="M11" s="3" t="s">
        <v>31</v>
      </c>
      <c r="N11" s="8" t="s">
        <v>32</v>
      </c>
      <c r="O11" s="3" t="s">
        <v>33</v>
      </c>
      <c r="P11" s="3" t="s">
        <v>34</v>
      </c>
      <c r="Q11" s="3"/>
      <c r="R11" s="3"/>
      <c r="S11" s="7">
        <v>8.36</v>
      </c>
    </row>
    <row r="12" ht="12.75" customHeight="1">
      <c r="A12" s="3" t="s">
        <v>40</v>
      </c>
      <c r="B12" s="3" t="s">
        <v>46</v>
      </c>
      <c r="C12" s="8" t="s">
        <v>47</v>
      </c>
      <c r="D12" s="3" t="s">
        <v>48</v>
      </c>
      <c r="E12" s="3" t="s">
        <v>20</v>
      </c>
      <c r="F12" s="3" t="s">
        <v>21</v>
      </c>
      <c r="G12" s="4">
        <v>-89.54</v>
      </c>
      <c r="H12" s="5">
        <v>1.0</v>
      </c>
      <c r="I12" s="3" t="s">
        <v>49</v>
      </c>
      <c r="J12" s="3" t="str">
        <f t="shared" si="2"/>
        <v>[PMPM=7]</v>
      </c>
      <c r="K12" s="3" t="s">
        <v>50</v>
      </c>
      <c r="L12" s="3" t="s">
        <v>24</v>
      </c>
      <c r="M12" s="4">
        <v>50.0</v>
      </c>
      <c r="N12" s="6" t="s">
        <v>51</v>
      </c>
      <c r="O12" s="3" t="s">
        <v>26</v>
      </c>
      <c r="P12" s="3" t="s">
        <v>27</v>
      </c>
      <c r="Q12" s="4">
        <v>350.0</v>
      </c>
      <c r="R12" s="4">
        <v>350.0</v>
      </c>
      <c r="S12" s="7">
        <v>350.0</v>
      </c>
    </row>
    <row r="13" ht="12.75" customHeight="1">
      <c r="A13" s="3" t="s">
        <v>40</v>
      </c>
      <c r="B13" s="3" t="s">
        <v>52</v>
      </c>
      <c r="C13" s="8" t="s">
        <v>53</v>
      </c>
      <c r="D13" s="3" t="s">
        <v>54</v>
      </c>
      <c r="E13" s="3" t="s">
        <v>20</v>
      </c>
      <c r="F13" s="3" t="s">
        <v>21</v>
      </c>
      <c r="G13" s="4">
        <v>4342.06</v>
      </c>
      <c r="H13" s="5">
        <v>1.0</v>
      </c>
      <c r="I13" s="3" t="s">
        <v>22</v>
      </c>
      <c r="J13" s="3" t="str">
        <f t="shared" si="2"/>
        <v>[PMPM=3]</v>
      </c>
      <c r="K13" s="3" t="s">
        <v>50</v>
      </c>
      <c r="L13" s="3" t="s">
        <v>24</v>
      </c>
      <c r="M13" s="4">
        <v>20.0</v>
      </c>
      <c r="N13" s="6" t="s">
        <v>55</v>
      </c>
      <c r="O13" s="3" t="s">
        <v>33</v>
      </c>
      <c r="P13" s="3" t="s">
        <v>34</v>
      </c>
      <c r="Q13" s="3"/>
      <c r="R13" s="3"/>
      <c r="S13" s="7">
        <v>60.0</v>
      </c>
    </row>
    <row r="14" ht="12.75" customHeight="1">
      <c r="A14" s="3" t="s">
        <v>40</v>
      </c>
      <c r="B14" s="3" t="s">
        <v>52</v>
      </c>
      <c r="C14" s="3" t="str">
        <f t="shared" ref="C14:C15" si="6">concat(B14,1)</f>
        <v>13867511</v>
      </c>
      <c r="D14" s="3" t="s">
        <v>54</v>
      </c>
      <c r="E14" s="3" t="s">
        <v>45</v>
      </c>
      <c r="F14" s="3" t="s">
        <v>21</v>
      </c>
      <c r="G14" s="4">
        <v>268.48</v>
      </c>
      <c r="H14" s="7">
        <v>268.48</v>
      </c>
      <c r="I14" s="3"/>
      <c r="J14" s="3" t="str">
        <f t="shared" si="2"/>
        <v/>
      </c>
      <c r="K14" s="3" t="s">
        <v>50</v>
      </c>
      <c r="L14" s="3" t="s">
        <v>30</v>
      </c>
      <c r="M14" s="3" t="s">
        <v>31</v>
      </c>
      <c r="N14" s="8" t="s">
        <v>32</v>
      </c>
      <c r="O14" s="3" t="s">
        <v>33</v>
      </c>
      <c r="P14" s="3" t="s">
        <v>34</v>
      </c>
      <c r="Q14" s="3"/>
      <c r="R14" s="3"/>
      <c r="S14" s="7">
        <v>26.85</v>
      </c>
    </row>
    <row r="15" ht="12.75" customHeight="1">
      <c r="A15" s="3" t="s">
        <v>40</v>
      </c>
      <c r="B15" s="3" t="s">
        <v>52</v>
      </c>
      <c r="C15" s="3" t="str">
        <f t="shared" si="6"/>
        <v>13867511</v>
      </c>
      <c r="D15" s="3" t="s">
        <v>54</v>
      </c>
      <c r="E15" s="3" t="s">
        <v>29</v>
      </c>
      <c r="F15" s="3" t="s">
        <v>21</v>
      </c>
      <c r="G15" s="4">
        <v>55.73</v>
      </c>
      <c r="H15" s="7">
        <v>55.73</v>
      </c>
      <c r="I15" s="3"/>
      <c r="J15" s="3" t="str">
        <f t="shared" si="2"/>
        <v/>
      </c>
      <c r="K15" s="3" t="s">
        <v>50</v>
      </c>
      <c r="L15" s="3" t="s">
        <v>30</v>
      </c>
      <c r="M15" s="3" t="s">
        <v>31</v>
      </c>
      <c r="N15" s="8" t="s">
        <v>32</v>
      </c>
      <c r="O15" s="3" t="s">
        <v>33</v>
      </c>
      <c r="P15" s="3" t="s">
        <v>34</v>
      </c>
      <c r="Q15" s="3"/>
      <c r="R15" s="3"/>
      <c r="S15" s="7">
        <v>5.57</v>
      </c>
    </row>
    <row r="16" ht="12.75" customHeight="1">
      <c r="A16" s="3" t="s">
        <v>56</v>
      </c>
      <c r="B16" s="3" t="s">
        <v>57</v>
      </c>
      <c r="C16" s="8" t="s">
        <v>58</v>
      </c>
      <c r="D16" s="3" t="s">
        <v>59</v>
      </c>
      <c r="E16" s="3" t="s">
        <v>20</v>
      </c>
      <c r="F16" s="3" t="s">
        <v>21</v>
      </c>
      <c r="G16" s="4">
        <v>3031.55</v>
      </c>
      <c r="H16" s="5">
        <v>1.0</v>
      </c>
      <c r="I16" s="3" t="s">
        <v>28</v>
      </c>
      <c r="J16" s="3" t="str">
        <f t="shared" si="2"/>
        <v>[PMPM=2]</v>
      </c>
      <c r="K16" s="3" t="s">
        <v>60</v>
      </c>
      <c r="L16" s="3" t="s">
        <v>61</v>
      </c>
      <c r="M16" s="3" t="s">
        <v>62</v>
      </c>
      <c r="N16" s="8" t="s">
        <v>63</v>
      </c>
      <c r="O16" s="3" t="s">
        <v>33</v>
      </c>
      <c r="P16" s="3" t="s">
        <v>34</v>
      </c>
      <c r="Q16" s="3"/>
      <c r="R16" s="3"/>
      <c r="S16" s="7">
        <v>16.0</v>
      </c>
    </row>
    <row r="17" ht="12.75" customHeight="1">
      <c r="A17" s="3" t="s">
        <v>64</v>
      </c>
      <c r="B17" s="3" t="s">
        <v>65</v>
      </c>
      <c r="C17" s="8" t="s">
        <v>66</v>
      </c>
      <c r="D17" s="3" t="s">
        <v>67</v>
      </c>
      <c r="E17" s="3" t="s">
        <v>20</v>
      </c>
      <c r="F17" s="3" t="s">
        <v>21</v>
      </c>
      <c r="G17" s="4">
        <v>2071.83</v>
      </c>
      <c r="H17" s="5">
        <v>1.0</v>
      </c>
      <c r="I17" s="3" t="s">
        <v>28</v>
      </c>
      <c r="J17" s="3" t="str">
        <f t="shared" si="2"/>
        <v>[PMPM=2]</v>
      </c>
      <c r="K17" s="3" t="s">
        <v>68</v>
      </c>
      <c r="L17" s="3" t="s">
        <v>24</v>
      </c>
      <c r="M17" s="4">
        <v>2.0</v>
      </c>
      <c r="N17" s="6" t="s">
        <v>69</v>
      </c>
      <c r="O17" s="3" t="s">
        <v>33</v>
      </c>
      <c r="P17" s="3" t="s">
        <v>34</v>
      </c>
      <c r="Q17" s="3"/>
      <c r="R17" s="3"/>
      <c r="S17" s="7">
        <v>4.0</v>
      </c>
    </row>
    <row r="18" ht="12.75" customHeight="1">
      <c r="A18" s="3" t="s">
        <v>64</v>
      </c>
      <c r="B18" s="3" t="s">
        <v>65</v>
      </c>
      <c r="C18" s="3" t="str">
        <f t="shared" ref="C18:C19" si="7">concat(B18,1)</f>
        <v>16836521</v>
      </c>
      <c r="D18" s="3" t="s">
        <v>67</v>
      </c>
      <c r="E18" s="3" t="s">
        <v>45</v>
      </c>
      <c r="F18" s="3" t="s">
        <v>21</v>
      </c>
      <c r="G18" s="4">
        <v>184.44</v>
      </c>
      <c r="H18" s="7">
        <v>184.44</v>
      </c>
      <c r="I18" s="3"/>
      <c r="J18" s="3" t="str">
        <f t="shared" si="2"/>
        <v/>
      </c>
      <c r="K18" s="3" t="s">
        <v>68</v>
      </c>
      <c r="L18" s="3" t="s">
        <v>30</v>
      </c>
      <c r="M18" s="3" t="s">
        <v>31</v>
      </c>
      <c r="N18" s="8" t="s">
        <v>32</v>
      </c>
      <c r="O18" s="3" t="s">
        <v>33</v>
      </c>
      <c r="P18" s="3" t="s">
        <v>34</v>
      </c>
      <c r="Q18" s="3"/>
      <c r="R18" s="3"/>
      <c r="S18" s="7">
        <v>18.44</v>
      </c>
    </row>
    <row r="19" ht="12.75" customHeight="1">
      <c r="A19" s="3" t="s">
        <v>64</v>
      </c>
      <c r="B19" s="3" t="s">
        <v>65</v>
      </c>
      <c r="C19" s="3" t="str">
        <f t="shared" si="7"/>
        <v>16836521</v>
      </c>
      <c r="D19" s="3" t="s">
        <v>67</v>
      </c>
      <c r="E19" s="3" t="s">
        <v>29</v>
      </c>
      <c r="F19" s="3" t="s">
        <v>21</v>
      </c>
      <c r="G19" s="4">
        <v>21.52</v>
      </c>
      <c r="H19" s="7">
        <v>21.52</v>
      </c>
      <c r="I19" s="3"/>
      <c r="J19" s="3" t="str">
        <f t="shared" si="2"/>
        <v/>
      </c>
      <c r="K19" s="3" t="s">
        <v>68</v>
      </c>
      <c r="L19" s="3" t="s">
        <v>30</v>
      </c>
      <c r="M19" s="3" t="s">
        <v>31</v>
      </c>
      <c r="N19" s="8" t="s">
        <v>32</v>
      </c>
      <c r="O19" s="3" t="s">
        <v>33</v>
      </c>
      <c r="P19" s="3" t="s">
        <v>34</v>
      </c>
      <c r="Q19" s="3"/>
      <c r="R19" s="3"/>
      <c r="S19" s="7">
        <v>2.15</v>
      </c>
    </row>
    <row r="20" ht="12.75" customHeight="1">
      <c r="A20" s="3" t="s">
        <v>70</v>
      </c>
      <c r="B20" s="3" t="s">
        <v>71</v>
      </c>
      <c r="C20" s="3" t="str">
        <f t="shared" ref="C20:C21" si="8">concat(B20,4)</f>
        <v>16775914</v>
      </c>
      <c r="D20" s="3" t="s">
        <v>72</v>
      </c>
      <c r="E20" s="3" t="s">
        <v>20</v>
      </c>
      <c r="F20" s="3" t="s">
        <v>21</v>
      </c>
      <c r="G20" s="4">
        <v>11350.41</v>
      </c>
      <c r="H20" s="5">
        <v>1.0</v>
      </c>
      <c r="I20" s="3" t="s">
        <v>73</v>
      </c>
      <c r="J20" s="3" t="str">
        <f t="shared" si="2"/>
        <v>[PMPM=15]</v>
      </c>
      <c r="K20" s="3" t="s">
        <v>74</v>
      </c>
      <c r="L20" s="3" t="s">
        <v>24</v>
      </c>
      <c r="M20" s="4">
        <v>31.0</v>
      </c>
      <c r="N20" s="6" t="s">
        <v>75</v>
      </c>
      <c r="O20" s="3" t="s">
        <v>33</v>
      </c>
      <c r="P20" s="3" t="s">
        <v>34</v>
      </c>
      <c r="Q20" s="3"/>
      <c r="R20" s="3"/>
      <c r="S20" s="7">
        <v>465.0</v>
      </c>
    </row>
    <row r="21" ht="12.75" customHeight="1">
      <c r="A21" s="3" t="s">
        <v>70</v>
      </c>
      <c r="B21" s="3" t="s">
        <v>71</v>
      </c>
      <c r="C21" s="3" t="str">
        <f t="shared" si="8"/>
        <v>16775914</v>
      </c>
      <c r="D21" s="3" t="s">
        <v>72</v>
      </c>
      <c r="E21" s="3" t="s">
        <v>20</v>
      </c>
      <c r="F21" s="3" t="s">
        <v>21</v>
      </c>
      <c r="G21" s="4">
        <v>9588.77</v>
      </c>
      <c r="H21" s="5">
        <v>1.0</v>
      </c>
      <c r="I21" s="3" t="s">
        <v>76</v>
      </c>
      <c r="J21" s="3" t="str">
        <f t="shared" si="2"/>
        <v>[PMPM=11]</v>
      </c>
      <c r="K21" s="3" t="s">
        <v>74</v>
      </c>
      <c r="L21" s="3" t="s">
        <v>24</v>
      </c>
      <c r="M21" s="4">
        <v>31.0</v>
      </c>
      <c r="N21" s="6" t="s">
        <v>75</v>
      </c>
      <c r="O21" s="3" t="s">
        <v>33</v>
      </c>
      <c r="P21" s="3" t="s">
        <v>34</v>
      </c>
      <c r="Q21" s="3"/>
      <c r="R21" s="3"/>
      <c r="S21" s="7">
        <v>341.0</v>
      </c>
    </row>
    <row r="22" ht="12.75" customHeight="1">
      <c r="A22" s="3" t="s">
        <v>77</v>
      </c>
      <c r="B22" s="3" t="s">
        <v>78</v>
      </c>
      <c r="C22" s="8" t="s">
        <v>79</v>
      </c>
      <c r="D22" s="3" t="s">
        <v>80</v>
      </c>
      <c r="E22" s="3" t="s">
        <v>20</v>
      </c>
      <c r="F22" s="3" t="s">
        <v>21</v>
      </c>
      <c r="G22" s="4">
        <v>422.17</v>
      </c>
      <c r="H22" s="5">
        <v>1.0</v>
      </c>
      <c r="I22" s="3" t="s">
        <v>81</v>
      </c>
      <c r="J22" s="3" t="str">
        <f t="shared" si="2"/>
        <v>[PMPM=4]</v>
      </c>
      <c r="K22" s="3" t="s">
        <v>82</v>
      </c>
      <c r="L22" s="3" t="s">
        <v>24</v>
      </c>
      <c r="M22" s="4">
        <v>75.0</v>
      </c>
      <c r="N22" s="6" t="s">
        <v>83</v>
      </c>
      <c r="O22" s="3" t="s">
        <v>26</v>
      </c>
      <c r="P22" s="3" t="s">
        <v>27</v>
      </c>
      <c r="Q22" s="4">
        <v>300.0</v>
      </c>
      <c r="R22" s="4">
        <v>300.0</v>
      </c>
      <c r="S22" s="7">
        <v>300.0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2026-03-09T11:46:08Z</dcterms:created>
  <dc:creator>ADMIN</dc:creator>
</cp:coreProperties>
</file>