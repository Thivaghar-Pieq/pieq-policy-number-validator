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Data - 1" sheetId="1" r:id="rId4"/>
    <sheet state="visible" name="Adjustment Data - 1" sheetId="2" r:id="rId5"/>
    <sheet state="visible" name="Sheet1" sheetId="3" r:id="rId6"/>
  </sheets>
  <definedNames>
    <definedName hidden="1" localSheetId="2" name="_xlnm._FilterDatabase">Sheet1!$A$1:$T$1000</definedName>
  </definedNames>
  <calcPr/>
  <extLst>
    <ext uri="GoogleSheetsCustomDataVersion2">
      <go:sheetsCustomData xmlns:go="http://customooxmlschemas.google.com/" r:id="rId7" roundtripDataChecksum="HPONvGFlU7KHuyf6UNNRrFJtCDhXvniupUr+Uc6WMVQ="/>
    </ext>
  </extLst>
</workbook>
</file>

<file path=xl/sharedStrings.xml><?xml version="1.0" encoding="utf-8"?>
<sst xmlns="http://schemas.openxmlformats.org/spreadsheetml/2006/main" count="415" uniqueCount="95">
  <si>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</si>
  <si>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</si>
  <si>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</si>
  <si>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</si>
  <si>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</si>
  <si>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</si>
  <si>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</si>
  <si>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</si>
  <si>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</si>
  <si>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</si>
  <si>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</si>
  <si>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</si>
  <si>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</si>
  <si>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</si>
  <si>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</si>
  <si>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</si>
  <si>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</si>
  <si>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</si>
  <si>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</si>
  <si>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</si>
  <si>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</si>
  <si>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</si>
  <si>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</si>
  <si>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</si>
  <si>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</si>
  <si>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</si>
  <si>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</si>
  <si>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Rate Adjustment Type Code</t>
  </si>
  <si>
    <t>270367</t>
  </si>
  <si>
    <t>MAIN LINE BENEFITS LLC</t>
  </si>
  <si>
    <t>03/18/2026</t>
  </si>
  <si>
    <t>04/07/2026</t>
  </si>
  <si>
    <t>Base Commission And Service Fee Detail</t>
  </si>
  <si>
    <t>Small Business</t>
  </si>
  <si>
    <t>Renewal</t>
  </si>
  <si>
    <t>214956-04</t>
  </si>
  <si>
    <t>HOFFMANN, JASON R</t>
  </si>
  <si>
    <t>1583717</t>
  </si>
  <si>
    <t>COURTELL CORP.</t>
  </si>
  <si>
    <t>Med</t>
  </si>
  <si>
    <t>03/01/2026</t>
  </si>
  <si>
    <t>3</t>
  </si>
  <si>
    <t>V</t>
  </si>
  <si>
    <t>PA</t>
  </si>
  <si>
    <t>PEPM</t>
  </si>
  <si>
    <t>100%</t>
  </si>
  <si>
    <t>FEE</t>
  </si>
  <si>
    <t>Level Funded</t>
  </si>
  <si>
    <t>01X7600</t>
  </si>
  <si>
    <t>0</t>
  </si>
  <si>
    <t>2</t>
  </si>
  <si>
    <t>Vis</t>
  </si>
  <si>
    <t>6</t>
  </si>
  <si>
    <t>POP</t>
  </si>
  <si>
    <t>10.00%</t>
  </si>
  <si>
    <t>COMM</t>
  </si>
  <si>
    <t>Commercial</t>
  </si>
  <si>
    <t>235415-02</t>
  </si>
  <si>
    <t>RICHTER, PETER LAURENCE K</t>
  </si>
  <si>
    <t>1441727</t>
  </si>
  <si>
    <t>NEW VISTA CORPORATION</t>
  </si>
  <si>
    <t>04/01/2026</t>
  </si>
  <si>
    <t>7</t>
  </si>
  <si>
    <t>MD</t>
  </si>
  <si>
    <t>1536206</t>
  </si>
  <si>
    <t>TRIAD INSURANCE MANAGEMENT &amp; SERVICES AG</t>
  </si>
  <si>
    <t>Den</t>
  </si>
  <si>
    <t>15</t>
  </si>
  <si>
    <t>07X9700</t>
  </si>
  <si>
    <t>1386751</t>
  </si>
  <si>
    <t>ZIVERGE INC</t>
  </si>
  <si>
    <t>-3</t>
  </si>
  <si>
    <t>Q</t>
  </si>
  <si>
    <t>01Q4037</t>
  </si>
  <si>
    <t>233839-03</t>
  </si>
  <si>
    <t>YALE, RICHARD</t>
  </si>
  <si>
    <t>1686981</t>
  </si>
  <si>
    <t>ESSENCE PAINTING AND RESTORATION INC</t>
  </si>
  <si>
    <t>4</t>
  </si>
  <si>
    <t>IL</t>
  </si>
  <si>
    <t>Adjustment Date</t>
  </si>
  <si>
    <t>Adjustment Description</t>
  </si>
  <si>
    <t>Adjustment Compensation Type</t>
  </si>
  <si>
    <t>Adjustment Business Type</t>
  </si>
  <si>
    <t>Adjustment Amount</t>
  </si>
  <si>
    <t>pro</t>
  </si>
  <si>
    <t>15837172</t>
  </si>
  <si>
    <t>UHC SG PA choice</t>
  </si>
  <si>
    <t>UHC SG Dental/Vision</t>
  </si>
  <si>
    <t>14417273</t>
  </si>
  <si>
    <t>UHC SG MD-Level Funded</t>
  </si>
  <si>
    <t>13867513</t>
  </si>
  <si>
    <t>UHC SG MD</t>
  </si>
  <si>
    <t>16869813</t>
  </si>
  <si>
    <t>UHC SG 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</si>
</sst>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0.0"/>
      <color rgb="FF000000"/>
      <name val="Arial"/>
      <scheme val="minor"/>
    </font>
    <font>
      <b/>
      <sz val="16.0"/>
      <color theme="1"/>
      <name val="Courier New"/>
    </font>
    <font>
      <sz val="10.0"/>
      <color theme="1"/>
      <name val="Courier Ne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2" numFmtId="4" xfId="0" applyAlignment="1" applyFont="1" applyNumberFormat="1">
      <alignment horizontal="left" readingOrder="0"/>
    </xf>
    <xf borderId="0" fillId="0" fontId="2" numFmtId="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23.38"/>
    <col customWidth="1" min="3" max="3" width="47.63"/>
    <col customWidth="1" min="4" max="4" width="45.75"/>
    <col customWidth="1" min="5" max="5" width="41.63"/>
    <col customWidth="1" min="6" max="6" width="34.13"/>
    <col customWidth="1" min="7" max="7" width="17.0"/>
    <col customWidth="1" min="8" max="8" width="25.13"/>
    <col customWidth="1" min="9" max="9" width="30.38"/>
    <col customWidth="1" min="10" max="10" width="18.88"/>
    <col customWidth="1" min="11" max="11" width="24.25"/>
    <col customWidth="1" min="12" max="12" width="22.75"/>
    <col customWidth="1" min="13" max="13" width="27.13"/>
    <col customWidth="1" min="14" max="14" width="23.13"/>
    <col customWidth="1" min="15" max="15" width="21.38"/>
    <col customWidth="1" min="16" max="16" width="22.38"/>
    <col customWidth="1" min="17" max="17" width="12.88"/>
    <col customWidth="1" min="18" max="18" width="17.63"/>
    <col customWidth="1" min="19" max="19" width="12.25"/>
    <col customWidth="1" min="20" max="20" width="8.13"/>
    <col customWidth="1" min="21" max="21" width="13.0"/>
    <col customWidth="1" min="22" max="22" width="14.25"/>
    <col customWidth="1" min="23" max="23" width="21.88"/>
    <col customWidth="1" min="24" max="24" width="9.5"/>
    <col customWidth="1" min="25" max="25" width="10.13"/>
    <col customWidth="1" min="26" max="26" width="19.75"/>
    <col customWidth="1" min="27" max="27" width="38.13"/>
    <col customWidth="1" min="28" max="28" width="41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2.75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3">
        <v>91.5</v>
      </c>
      <c r="O2" s="3">
        <v>91.5</v>
      </c>
      <c r="P2" s="2" t="s">
        <v>41</v>
      </c>
      <c r="Q2" s="2" t="s">
        <v>42</v>
      </c>
      <c r="R2" s="2" t="s">
        <v>43</v>
      </c>
      <c r="S2" s="2" t="s">
        <v>44</v>
      </c>
      <c r="T2" s="3">
        <v>41.0</v>
      </c>
      <c r="U2" s="2" t="s">
        <v>45</v>
      </c>
      <c r="V2" s="2" t="s">
        <v>46</v>
      </c>
      <c r="W2" s="2" t="s">
        <v>47</v>
      </c>
      <c r="X2" s="3">
        <v>123.0</v>
      </c>
      <c r="Y2" s="3">
        <v>123.0</v>
      </c>
      <c r="Z2" s="3">
        <v>123.0</v>
      </c>
      <c r="AA2" s="2" t="s">
        <v>48</v>
      </c>
      <c r="AB2" s="2" t="s">
        <v>49</v>
      </c>
    </row>
    <row r="3" ht="12.75" customHeight="1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3">
        <v>61.0</v>
      </c>
      <c r="O3" s="3">
        <v>61.0</v>
      </c>
      <c r="P3" s="2" t="s">
        <v>50</v>
      </c>
      <c r="Q3" s="2" t="s">
        <v>42</v>
      </c>
      <c r="R3" s="2" t="s">
        <v>43</v>
      </c>
      <c r="S3" s="2" t="s">
        <v>44</v>
      </c>
      <c r="T3" s="3">
        <v>41.0</v>
      </c>
      <c r="U3" s="2" t="s">
        <v>45</v>
      </c>
      <c r="V3" s="2" t="s">
        <v>46</v>
      </c>
      <c r="W3" s="2" t="s">
        <v>47</v>
      </c>
      <c r="X3" s="3">
        <v>82.0</v>
      </c>
      <c r="Y3" s="3">
        <v>82.0</v>
      </c>
      <c r="Z3" s="3">
        <v>82.0</v>
      </c>
      <c r="AA3" s="2" t="s">
        <v>48</v>
      </c>
      <c r="AB3" s="2" t="s">
        <v>49</v>
      </c>
    </row>
    <row r="4" ht="12.75" customHeight="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51</v>
      </c>
      <c r="M4" s="2" t="s">
        <v>40</v>
      </c>
      <c r="N4" s="3">
        <v>29.04</v>
      </c>
      <c r="O4" s="3">
        <v>29.04</v>
      </c>
      <c r="P4" s="2" t="s">
        <v>52</v>
      </c>
      <c r="Q4" s="2" t="s">
        <v>42</v>
      </c>
      <c r="R4" s="2" t="s">
        <v>43</v>
      </c>
      <c r="S4" s="2" t="s">
        <v>53</v>
      </c>
      <c r="T4" s="2" t="s">
        <v>54</v>
      </c>
      <c r="U4" s="2" t="s">
        <v>45</v>
      </c>
      <c r="V4" s="2" t="s">
        <v>55</v>
      </c>
      <c r="W4" s="2" t="s">
        <v>56</v>
      </c>
      <c r="X4" s="2"/>
      <c r="Y4" s="2"/>
      <c r="Z4" s="3">
        <v>2.9</v>
      </c>
      <c r="AA4" s="2" t="s">
        <v>48</v>
      </c>
      <c r="AB4" s="2" t="s">
        <v>49</v>
      </c>
    </row>
    <row r="5" ht="12.75" customHeight="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39</v>
      </c>
      <c r="M5" s="2" t="s">
        <v>61</v>
      </c>
      <c r="N5" s="3">
        <v>-124.1</v>
      </c>
      <c r="O5" s="3">
        <v>-124.1</v>
      </c>
      <c r="P5" s="2" t="s">
        <v>62</v>
      </c>
      <c r="Q5" s="2" t="s">
        <v>42</v>
      </c>
      <c r="R5" s="2" t="s">
        <v>63</v>
      </c>
      <c r="S5" s="2" t="s">
        <v>44</v>
      </c>
      <c r="T5" s="3">
        <v>50.0</v>
      </c>
      <c r="U5" s="2" t="s">
        <v>45</v>
      </c>
      <c r="V5" s="2" t="s">
        <v>46</v>
      </c>
      <c r="W5" s="2" t="s">
        <v>47</v>
      </c>
      <c r="X5" s="3">
        <v>350.0</v>
      </c>
      <c r="Y5" s="3">
        <v>350.0</v>
      </c>
      <c r="Z5" s="3">
        <v>350.0</v>
      </c>
      <c r="AA5" s="2"/>
      <c r="AB5" s="2" t="s">
        <v>49</v>
      </c>
    </row>
    <row r="6" ht="12.75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57</v>
      </c>
      <c r="I6" s="2" t="s">
        <v>58</v>
      </c>
      <c r="J6" s="2" t="s">
        <v>64</v>
      </c>
      <c r="K6" s="2" t="s">
        <v>65</v>
      </c>
      <c r="L6" s="2" t="s">
        <v>66</v>
      </c>
      <c r="M6" s="2" t="s">
        <v>61</v>
      </c>
      <c r="N6" s="3">
        <v>1113.9</v>
      </c>
      <c r="O6" s="3">
        <v>1113.9</v>
      </c>
      <c r="P6" s="2" t="s">
        <v>67</v>
      </c>
      <c r="Q6" s="2" t="s">
        <v>42</v>
      </c>
      <c r="R6" s="2" t="s">
        <v>43</v>
      </c>
      <c r="S6" s="2" t="s">
        <v>53</v>
      </c>
      <c r="T6" s="2" t="s">
        <v>54</v>
      </c>
      <c r="U6" s="2" t="s">
        <v>45</v>
      </c>
      <c r="V6" s="2" t="s">
        <v>55</v>
      </c>
      <c r="W6" s="2" t="s">
        <v>56</v>
      </c>
      <c r="X6" s="2"/>
      <c r="Y6" s="2"/>
      <c r="Z6" s="3">
        <v>111.39</v>
      </c>
      <c r="AA6" s="2" t="s">
        <v>68</v>
      </c>
      <c r="AB6" s="2" t="s">
        <v>49</v>
      </c>
    </row>
    <row r="7" ht="12.75" customHeight="1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57</v>
      </c>
      <c r="I7" s="2" t="s">
        <v>58</v>
      </c>
      <c r="J7" s="2" t="s">
        <v>64</v>
      </c>
      <c r="K7" s="2" t="s">
        <v>65</v>
      </c>
      <c r="L7" s="2" t="s">
        <v>51</v>
      </c>
      <c r="M7" s="2" t="s">
        <v>61</v>
      </c>
      <c r="N7" s="3">
        <v>258.45</v>
      </c>
      <c r="O7" s="3">
        <v>258.45</v>
      </c>
      <c r="P7" s="2" t="s">
        <v>67</v>
      </c>
      <c r="Q7" s="2" t="s">
        <v>42</v>
      </c>
      <c r="R7" s="2" t="s">
        <v>43</v>
      </c>
      <c r="S7" s="2" t="s">
        <v>53</v>
      </c>
      <c r="T7" s="2" t="s">
        <v>54</v>
      </c>
      <c r="U7" s="2" t="s">
        <v>45</v>
      </c>
      <c r="V7" s="2" t="s">
        <v>55</v>
      </c>
      <c r="W7" s="2" t="s">
        <v>56</v>
      </c>
      <c r="X7" s="2"/>
      <c r="Y7" s="2"/>
      <c r="Z7" s="3">
        <v>25.85</v>
      </c>
      <c r="AA7" s="2" t="s">
        <v>68</v>
      </c>
      <c r="AB7" s="2" t="s">
        <v>49</v>
      </c>
    </row>
    <row r="8" ht="12.75" customHeight="1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57</v>
      </c>
      <c r="I8" s="2" t="s">
        <v>58</v>
      </c>
      <c r="J8" s="2" t="s">
        <v>69</v>
      </c>
      <c r="K8" s="2" t="s">
        <v>70</v>
      </c>
      <c r="L8" s="2" t="s">
        <v>39</v>
      </c>
      <c r="M8" s="2" t="s">
        <v>40</v>
      </c>
      <c r="N8" s="3">
        <v>-4342.06</v>
      </c>
      <c r="O8" s="3">
        <v>-4342.06</v>
      </c>
      <c r="P8" s="2" t="s">
        <v>71</v>
      </c>
      <c r="Q8" s="2" t="s">
        <v>72</v>
      </c>
      <c r="R8" s="2" t="s">
        <v>63</v>
      </c>
      <c r="S8" s="2" t="s">
        <v>44</v>
      </c>
      <c r="T8" s="3">
        <v>20.0</v>
      </c>
      <c r="U8" s="2" t="s">
        <v>45</v>
      </c>
      <c r="V8" s="2" t="s">
        <v>55</v>
      </c>
      <c r="W8" s="2" t="s">
        <v>56</v>
      </c>
      <c r="X8" s="2"/>
      <c r="Y8" s="2"/>
      <c r="Z8" s="3">
        <v>-60.0</v>
      </c>
      <c r="AA8" s="2" t="s">
        <v>73</v>
      </c>
      <c r="AB8" s="2" t="s">
        <v>49</v>
      </c>
    </row>
    <row r="9" ht="12.75" customHeight="1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57</v>
      </c>
      <c r="I9" s="2" t="s">
        <v>58</v>
      </c>
      <c r="J9" s="2" t="s">
        <v>69</v>
      </c>
      <c r="K9" s="2" t="s">
        <v>70</v>
      </c>
      <c r="L9" s="2" t="s">
        <v>66</v>
      </c>
      <c r="M9" s="2" t="s">
        <v>40</v>
      </c>
      <c r="N9" s="3">
        <v>-268.48</v>
      </c>
      <c r="O9" s="3">
        <v>-268.48</v>
      </c>
      <c r="P9" s="2" t="s">
        <v>71</v>
      </c>
      <c r="Q9" s="2" t="s">
        <v>72</v>
      </c>
      <c r="R9" s="2" t="s">
        <v>63</v>
      </c>
      <c r="S9" s="2" t="s">
        <v>53</v>
      </c>
      <c r="T9" s="2" t="s">
        <v>54</v>
      </c>
      <c r="U9" s="2" t="s">
        <v>45</v>
      </c>
      <c r="V9" s="2" t="s">
        <v>55</v>
      </c>
      <c r="W9" s="2" t="s">
        <v>56</v>
      </c>
      <c r="X9" s="2"/>
      <c r="Y9" s="2"/>
      <c r="Z9" s="3">
        <v>-26.85</v>
      </c>
      <c r="AA9" s="2" t="s">
        <v>73</v>
      </c>
      <c r="AB9" s="2" t="s">
        <v>49</v>
      </c>
    </row>
    <row r="10" ht="12.75" customHeight="1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57</v>
      </c>
      <c r="I10" s="2" t="s">
        <v>58</v>
      </c>
      <c r="J10" s="2" t="s">
        <v>69</v>
      </c>
      <c r="K10" s="2" t="s">
        <v>70</v>
      </c>
      <c r="L10" s="2" t="s">
        <v>51</v>
      </c>
      <c r="M10" s="2" t="s">
        <v>40</v>
      </c>
      <c r="N10" s="3">
        <v>-55.73</v>
      </c>
      <c r="O10" s="3">
        <v>-55.73</v>
      </c>
      <c r="P10" s="2" t="s">
        <v>71</v>
      </c>
      <c r="Q10" s="2" t="s">
        <v>72</v>
      </c>
      <c r="R10" s="2" t="s">
        <v>63</v>
      </c>
      <c r="S10" s="2" t="s">
        <v>53</v>
      </c>
      <c r="T10" s="2" t="s">
        <v>54</v>
      </c>
      <c r="U10" s="2" t="s">
        <v>45</v>
      </c>
      <c r="V10" s="2" t="s">
        <v>55</v>
      </c>
      <c r="W10" s="2" t="s">
        <v>56</v>
      </c>
      <c r="X10" s="2"/>
      <c r="Y10" s="2"/>
      <c r="Z10" s="3">
        <v>-5.57</v>
      </c>
      <c r="AA10" s="2" t="s">
        <v>73</v>
      </c>
      <c r="AB10" s="2" t="s">
        <v>49</v>
      </c>
    </row>
    <row r="11" ht="12.75" customHeight="1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74</v>
      </c>
      <c r="I11" s="2" t="s">
        <v>75</v>
      </c>
      <c r="J11" s="2" t="s">
        <v>76</v>
      </c>
      <c r="K11" s="2" t="s">
        <v>77</v>
      </c>
      <c r="L11" s="2" t="s">
        <v>39</v>
      </c>
      <c r="M11" s="2" t="s">
        <v>61</v>
      </c>
      <c r="N11" s="3">
        <v>422.17</v>
      </c>
      <c r="O11" s="3">
        <v>422.17</v>
      </c>
      <c r="P11" s="2" t="s">
        <v>78</v>
      </c>
      <c r="Q11" s="2" t="s">
        <v>42</v>
      </c>
      <c r="R11" s="2" t="s">
        <v>79</v>
      </c>
      <c r="S11" s="2" t="s">
        <v>44</v>
      </c>
      <c r="T11" s="3">
        <v>75.0</v>
      </c>
      <c r="U11" s="2" t="s">
        <v>45</v>
      </c>
      <c r="V11" s="2" t="s">
        <v>46</v>
      </c>
      <c r="W11" s="2" t="s">
        <v>47</v>
      </c>
      <c r="X11" s="3">
        <v>300.0</v>
      </c>
      <c r="Y11" s="3">
        <v>300.0</v>
      </c>
      <c r="Z11" s="3">
        <v>300.0</v>
      </c>
      <c r="AA11" s="2"/>
      <c r="AB11" s="2" t="s">
        <v>49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35.13"/>
    <col customWidth="1" min="3" max="3" width="46.88"/>
    <col customWidth="1" min="4" max="4" width="39.13"/>
    <col customWidth="1" min="5" max="5" width="30.0"/>
    <col customWidth="1" min="6" max="6" width="8.0"/>
    <col customWidth="1" min="7" max="26" width="8.63"/>
  </cols>
  <sheetData>
    <row r="1" ht="12.75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3" width="18.63"/>
    <col customWidth="1" min="4" max="5" width="41.0"/>
    <col customWidth="1" min="6" max="6" width="21.75"/>
    <col customWidth="1" min="7" max="7" width="31.38"/>
    <col customWidth="1" min="8" max="8" width="23.38"/>
    <col customWidth="1" min="9" max="9" width="20.25"/>
    <col customWidth="1" min="10" max="10" width="37.75"/>
    <col customWidth="1" min="11" max="11" width="25.0"/>
    <col customWidth="1" min="12" max="12" width="18.63"/>
    <col customWidth="1" min="13" max="13" width="10.63"/>
    <col customWidth="1" min="14" max="14" width="8.0"/>
    <col customWidth="1" min="15" max="15" width="26.63"/>
    <col customWidth="1" min="16" max="16" width="28.25"/>
    <col customWidth="1" min="17" max="17" width="21.75"/>
    <col customWidth="1" min="18" max="18" width="28.25"/>
    <col customWidth="1" min="19" max="19" width="39.38"/>
    <col customWidth="1" min="20" max="20" width="18.63"/>
  </cols>
  <sheetData>
    <row r="1">
      <c r="A1" s="1" t="s">
        <v>8</v>
      </c>
      <c r="B1" s="1" t="s">
        <v>9</v>
      </c>
      <c r="C1" s="1"/>
      <c r="D1" s="1" t="s">
        <v>10</v>
      </c>
      <c r="E1" s="4" t="s">
        <v>85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</row>
    <row r="2">
      <c r="A2" s="2" t="s">
        <v>36</v>
      </c>
      <c r="B2" s="2" t="s">
        <v>37</v>
      </c>
      <c r="C2" s="5" t="s">
        <v>86</v>
      </c>
      <c r="D2" s="2" t="s">
        <v>38</v>
      </c>
      <c r="E2" s="5" t="s">
        <v>87</v>
      </c>
      <c r="F2" s="2" t="s">
        <v>39</v>
      </c>
      <c r="G2" s="2" t="s">
        <v>40</v>
      </c>
      <c r="H2" s="3">
        <v>91.5</v>
      </c>
      <c r="I2" s="6">
        <v>1.0</v>
      </c>
      <c r="J2" s="2" t="s">
        <v>41</v>
      </c>
      <c r="K2" s="2" t="s">
        <v>42</v>
      </c>
      <c r="L2" s="2" t="s">
        <v>43</v>
      </c>
      <c r="M2" s="2" t="s">
        <v>44</v>
      </c>
      <c r="N2" s="3">
        <v>41.0</v>
      </c>
      <c r="O2" s="2" t="s">
        <v>45</v>
      </c>
      <c r="P2" s="2" t="s">
        <v>46</v>
      </c>
      <c r="Q2" s="2" t="s">
        <v>47</v>
      </c>
      <c r="R2" s="3">
        <v>123.0</v>
      </c>
      <c r="S2" s="3">
        <v>123.0</v>
      </c>
      <c r="T2" s="7">
        <v>123.0</v>
      </c>
    </row>
    <row r="3">
      <c r="A3" s="2" t="s">
        <v>36</v>
      </c>
      <c r="B3" s="2" t="s">
        <v>37</v>
      </c>
      <c r="C3" s="5" t="s">
        <v>86</v>
      </c>
      <c r="D3" s="2" t="s">
        <v>38</v>
      </c>
      <c r="E3" s="5" t="s">
        <v>87</v>
      </c>
      <c r="F3" s="2" t="s">
        <v>39</v>
      </c>
      <c r="G3" s="2" t="s">
        <v>40</v>
      </c>
      <c r="H3" s="3">
        <v>61.0</v>
      </c>
      <c r="I3" s="6">
        <v>1.0</v>
      </c>
      <c r="J3" s="2" t="s">
        <v>50</v>
      </c>
      <c r="K3" s="2" t="s">
        <v>42</v>
      </c>
      <c r="L3" s="2" t="s">
        <v>43</v>
      </c>
      <c r="M3" s="2" t="s">
        <v>44</v>
      </c>
      <c r="N3" s="3">
        <v>41.0</v>
      </c>
      <c r="O3" s="2" t="s">
        <v>45</v>
      </c>
      <c r="P3" s="2" t="s">
        <v>46</v>
      </c>
      <c r="Q3" s="2" t="s">
        <v>47</v>
      </c>
      <c r="R3" s="3">
        <v>82.0</v>
      </c>
      <c r="S3" s="3">
        <v>82.0</v>
      </c>
      <c r="T3" s="7">
        <v>82.0</v>
      </c>
    </row>
    <row r="4">
      <c r="A4" s="2" t="s">
        <v>36</v>
      </c>
      <c r="B4" s="2" t="s">
        <v>37</v>
      </c>
      <c r="C4" s="2" t="str">
        <f>concat(B4,1)</f>
        <v>15837171</v>
      </c>
      <c r="D4" s="2" t="s">
        <v>38</v>
      </c>
      <c r="E4" s="5" t="s">
        <v>88</v>
      </c>
      <c r="F4" s="2" t="s">
        <v>51</v>
      </c>
      <c r="G4" s="2" t="s">
        <v>40</v>
      </c>
      <c r="H4" s="3">
        <v>29.04</v>
      </c>
      <c r="I4" s="7">
        <v>29.04</v>
      </c>
      <c r="J4" s="2" t="s">
        <v>52</v>
      </c>
      <c r="K4" s="2" t="s">
        <v>42</v>
      </c>
      <c r="L4" s="2" t="s">
        <v>43</v>
      </c>
      <c r="M4" s="2" t="s">
        <v>53</v>
      </c>
      <c r="N4" s="2" t="s">
        <v>54</v>
      </c>
      <c r="O4" s="2" t="s">
        <v>45</v>
      </c>
      <c r="P4" s="2" t="s">
        <v>55</v>
      </c>
      <c r="Q4" s="2" t="s">
        <v>56</v>
      </c>
      <c r="R4" s="2"/>
      <c r="S4" s="2"/>
      <c r="T4" s="7">
        <v>2.9</v>
      </c>
    </row>
    <row r="5">
      <c r="A5" s="2" t="s">
        <v>58</v>
      </c>
      <c r="B5" s="2" t="s">
        <v>59</v>
      </c>
      <c r="C5" s="5" t="s">
        <v>89</v>
      </c>
      <c r="D5" s="2" t="s">
        <v>60</v>
      </c>
      <c r="E5" s="5" t="s">
        <v>90</v>
      </c>
      <c r="F5" s="2" t="s">
        <v>39</v>
      </c>
      <c r="G5" s="2" t="s">
        <v>61</v>
      </c>
      <c r="H5" s="3">
        <v>-124.1</v>
      </c>
      <c r="I5" s="6">
        <v>1.0</v>
      </c>
      <c r="J5" s="2" t="s">
        <v>62</v>
      </c>
      <c r="K5" s="2" t="s">
        <v>42</v>
      </c>
      <c r="L5" s="2" t="s">
        <v>63</v>
      </c>
      <c r="M5" s="2" t="s">
        <v>44</v>
      </c>
      <c r="N5" s="3">
        <v>50.0</v>
      </c>
      <c r="O5" s="2" t="s">
        <v>45</v>
      </c>
      <c r="P5" s="2" t="s">
        <v>46</v>
      </c>
      <c r="Q5" s="2" t="s">
        <v>47</v>
      </c>
      <c r="R5" s="3">
        <v>350.0</v>
      </c>
      <c r="S5" s="3">
        <v>350.0</v>
      </c>
      <c r="T5" s="7">
        <v>350.0</v>
      </c>
    </row>
    <row r="6">
      <c r="A6" s="2" t="s">
        <v>58</v>
      </c>
      <c r="B6" s="2" t="s">
        <v>64</v>
      </c>
      <c r="C6" s="2" t="str">
        <f t="shared" ref="C6:C7" si="1">concat(B6,1)</f>
        <v>15362061</v>
      </c>
      <c r="D6" s="2" t="s">
        <v>65</v>
      </c>
      <c r="E6" s="5" t="s">
        <v>88</v>
      </c>
      <c r="F6" s="2" t="s">
        <v>66</v>
      </c>
      <c r="G6" s="2" t="s">
        <v>61</v>
      </c>
      <c r="H6" s="3">
        <v>1113.9</v>
      </c>
      <c r="I6" s="7">
        <v>1113.9</v>
      </c>
      <c r="J6" s="2" t="s">
        <v>67</v>
      </c>
      <c r="K6" s="2" t="s">
        <v>42</v>
      </c>
      <c r="L6" s="2" t="s">
        <v>43</v>
      </c>
      <c r="M6" s="2" t="s">
        <v>53</v>
      </c>
      <c r="N6" s="2" t="s">
        <v>54</v>
      </c>
      <c r="O6" s="2" t="s">
        <v>45</v>
      </c>
      <c r="P6" s="2" t="s">
        <v>55</v>
      </c>
      <c r="Q6" s="2" t="s">
        <v>56</v>
      </c>
      <c r="R6" s="2"/>
      <c r="S6" s="2"/>
      <c r="T6" s="7">
        <v>111.39</v>
      </c>
    </row>
    <row r="7">
      <c r="A7" s="2" t="s">
        <v>58</v>
      </c>
      <c r="B7" s="2" t="s">
        <v>64</v>
      </c>
      <c r="C7" s="2" t="str">
        <f t="shared" si="1"/>
        <v>15362061</v>
      </c>
      <c r="D7" s="2" t="s">
        <v>65</v>
      </c>
      <c r="E7" s="5" t="s">
        <v>88</v>
      </c>
      <c r="F7" s="2" t="s">
        <v>51</v>
      </c>
      <c r="G7" s="2" t="s">
        <v>61</v>
      </c>
      <c r="H7" s="3">
        <v>258.45</v>
      </c>
      <c r="I7" s="7">
        <v>258.45</v>
      </c>
      <c r="J7" s="2" t="s">
        <v>67</v>
      </c>
      <c r="K7" s="2" t="s">
        <v>42</v>
      </c>
      <c r="L7" s="2" t="s">
        <v>43</v>
      </c>
      <c r="M7" s="2" t="s">
        <v>53</v>
      </c>
      <c r="N7" s="2" t="s">
        <v>54</v>
      </c>
      <c r="O7" s="2" t="s">
        <v>45</v>
      </c>
      <c r="P7" s="2" t="s">
        <v>55</v>
      </c>
      <c r="Q7" s="2" t="s">
        <v>56</v>
      </c>
      <c r="R7" s="2"/>
      <c r="S7" s="2"/>
      <c r="T7" s="7">
        <v>25.85</v>
      </c>
    </row>
    <row r="8">
      <c r="A8" s="2" t="s">
        <v>58</v>
      </c>
      <c r="B8" s="2" t="s">
        <v>69</v>
      </c>
      <c r="C8" s="5" t="s">
        <v>91</v>
      </c>
      <c r="D8" s="2" t="s">
        <v>70</v>
      </c>
      <c r="E8" s="5" t="s">
        <v>92</v>
      </c>
      <c r="F8" s="2" t="s">
        <v>39</v>
      </c>
      <c r="G8" s="2" t="s">
        <v>40</v>
      </c>
      <c r="H8" s="3">
        <v>-4342.06</v>
      </c>
      <c r="I8" s="6">
        <v>-1.0</v>
      </c>
      <c r="J8" s="2" t="s">
        <v>71</v>
      </c>
      <c r="K8" s="2" t="s">
        <v>72</v>
      </c>
      <c r="L8" s="2" t="s">
        <v>63</v>
      </c>
      <c r="M8" s="2" t="s">
        <v>44</v>
      </c>
      <c r="N8" s="3">
        <v>20.0</v>
      </c>
      <c r="O8" s="2" t="s">
        <v>45</v>
      </c>
      <c r="P8" s="2" t="s">
        <v>55</v>
      </c>
      <c r="Q8" s="2" t="s">
        <v>56</v>
      </c>
      <c r="R8" s="2"/>
      <c r="S8" s="2"/>
      <c r="T8" s="7">
        <v>-60.0</v>
      </c>
    </row>
    <row r="9">
      <c r="A9" s="2" t="s">
        <v>58</v>
      </c>
      <c r="B9" s="2" t="s">
        <v>69</v>
      </c>
      <c r="C9" s="2" t="str">
        <f t="shared" ref="C9:C10" si="2">concat(B9,1)</f>
        <v>13867511</v>
      </c>
      <c r="D9" s="2" t="s">
        <v>70</v>
      </c>
      <c r="E9" s="5" t="s">
        <v>88</v>
      </c>
      <c r="F9" s="2" t="s">
        <v>66</v>
      </c>
      <c r="G9" s="2" t="s">
        <v>40</v>
      </c>
      <c r="H9" s="3">
        <v>-268.48</v>
      </c>
      <c r="I9" s="7">
        <v>-268.48</v>
      </c>
      <c r="J9" s="2" t="s">
        <v>71</v>
      </c>
      <c r="K9" s="2" t="s">
        <v>72</v>
      </c>
      <c r="L9" s="2" t="s">
        <v>63</v>
      </c>
      <c r="M9" s="2" t="s">
        <v>53</v>
      </c>
      <c r="N9" s="2" t="s">
        <v>54</v>
      </c>
      <c r="O9" s="2" t="s">
        <v>45</v>
      </c>
      <c r="P9" s="2" t="s">
        <v>55</v>
      </c>
      <c r="Q9" s="2" t="s">
        <v>56</v>
      </c>
      <c r="R9" s="2"/>
      <c r="S9" s="2"/>
      <c r="T9" s="7">
        <v>-26.85</v>
      </c>
    </row>
    <row r="10">
      <c r="A10" s="2" t="s">
        <v>58</v>
      </c>
      <c r="B10" s="2" t="s">
        <v>69</v>
      </c>
      <c r="C10" s="2" t="str">
        <f t="shared" si="2"/>
        <v>13867511</v>
      </c>
      <c r="D10" s="2" t="s">
        <v>70</v>
      </c>
      <c r="E10" s="5" t="s">
        <v>88</v>
      </c>
      <c r="F10" s="2" t="s">
        <v>51</v>
      </c>
      <c r="G10" s="2" t="s">
        <v>40</v>
      </c>
      <c r="H10" s="3">
        <v>-55.73</v>
      </c>
      <c r="I10" s="7">
        <v>-55.73</v>
      </c>
      <c r="J10" s="2" t="s">
        <v>71</v>
      </c>
      <c r="K10" s="2" t="s">
        <v>72</v>
      </c>
      <c r="L10" s="2" t="s">
        <v>63</v>
      </c>
      <c r="M10" s="2" t="s">
        <v>53</v>
      </c>
      <c r="N10" s="2" t="s">
        <v>54</v>
      </c>
      <c r="O10" s="2" t="s">
        <v>45</v>
      </c>
      <c r="P10" s="2" t="s">
        <v>55</v>
      </c>
      <c r="Q10" s="2" t="s">
        <v>56</v>
      </c>
      <c r="R10" s="2"/>
      <c r="S10" s="2"/>
      <c r="T10" s="7">
        <v>-5.57</v>
      </c>
    </row>
    <row r="11">
      <c r="A11" s="2" t="s">
        <v>75</v>
      </c>
      <c r="B11" s="2" t="s">
        <v>76</v>
      </c>
      <c r="C11" s="5" t="s">
        <v>93</v>
      </c>
      <c r="D11" s="2" t="s">
        <v>77</v>
      </c>
      <c r="E11" s="5" t="s">
        <v>94</v>
      </c>
      <c r="F11" s="2" t="s">
        <v>39</v>
      </c>
      <c r="G11" s="2" t="s">
        <v>61</v>
      </c>
      <c r="H11" s="3">
        <v>422.17</v>
      </c>
      <c r="I11" s="6">
        <v>1.0</v>
      </c>
      <c r="J11" s="2" t="s">
        <v>78</v>
      </c>
      <c r="K11" s="2" t="s">
        <v>42</v>
      </c>
      <c r="L11" s="2" t="s">
        <v>79</v>
      </c>
      <c r="M11" s="2" t="s">
        <v>44</v>
      </c>
      <c r="N11" s="3">
        <v>75.0</v>
      </c>
      <c r="O11" s="2" t="s">
        <v>45</v>
      </c>
      <c r="P11" s="2" t="s">
        <v>46</v>
      </c>
      <c r="Q11" s="2" t="s">
        <v>47</v>
      </c>
      <c r="R11" s="3">
        <v>300.0</v>
      </c>
      <c r="S11" s="3">
        <v>300.0</v>
      </c>
      <c r="T11" s="7">
        <v>300.0</v>
      </c>
    </row>
  </sheetData>
  <autoFilter ref="$A$1:$T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2026-04-13T09:38:59Z</dcterms:created>
  <dc:creator>ADMIN</dc:creator>
</cp:coreProperties>
</file>