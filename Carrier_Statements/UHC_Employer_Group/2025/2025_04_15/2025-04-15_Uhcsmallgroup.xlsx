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4-15-25\"/>
    </mc:Choice>
  </mc:AlternateContent>
  <xr:revisionPtr revIDLastSave="0" documentId="13_ncr:1_{33E6ADDF-860E-4C18-AB2C-4BA7D66D225F}" xr6:coauthVersionLast="47" xr6:coauthVersionMax="47" xr10:uidLastSave="{00000000-0000-0000-0000-000000000000}"/>
  <bookViews>
    <workbookView xWindow="28680" yWindow="-120" windowWidth="29040" windowHeight="16440" activeTab="1" xr2:uid="{429CCF67-ABAA-4CDE-8C4C-6BCE8603AFA3}"/>
  </bookViews>
  <sheets>
    <sheet name="Detail Data - 1" sheetId="1" r:id="rId1"/>
    <sheet name="Sheet1" sheetId="3" r:id="rId2"/>
    <sheet name="Adjustment Data - 1" sheetId="2" r:id="rId3"/>
  </sheets>
  <calcPr calcId="181029"/>
</workbook>
</file>

<file path=xl/calcChain.xml><?xml version="1.0" encoding="utf-8"?>
<calcChain xmlns="http://schemas.openxmlformats.org/spreadsheetml/2006/main">
  <c r="D6" i="3" l="1"/>
  <c r="D5" i="3"/>
  <c r="D4" i="3"/>
  <c r="D3" i="3"/>
  <c r="D2" i="3"/>
  <c r="D12" i="3"/>
  <c r="D11" i="3"/>
  <c r="D9" i="3"/>
  <c r="D8" i="3"/>
  <c r="D7" i="3"/>
  <c r="D19" i="3"/>
  <c r="D18" i="3"/>
  <c r="D17" i="3"/>
  <c r="D16" i="3"/>
  <c r="D15" i="3"/>
  <c r="D14" i="3"/>
  <c r="D13" i="3"/>
  <c r="D10" i="3"/>
</calcChain>
</file>

<file path=xl/sharedStrings.xml><?xml version="1.0" encoding="utf-8"?>
<sst xmlns="http://schemas.openxmlformats.org/spreadsheetml/2006/main" count="586" uniqueCount="100">
  <si>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</si>
  <si>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</si>
  <si>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</si>
  <si>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</si>
  <si>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</si>
  <si>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</si>
  <si>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</si>
  <si>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</si>
  <si>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</si>
  <si>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</si>
  <si>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</si>
  <si>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</si>
  <si>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</si>
  <si>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</si>
  <si>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</si>
  <si>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</si>
  <si>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</si>
  <si>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</si>
  <si>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</si>
  <si>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</si>
  <si>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</si>
  <si>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</si>
  <si>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</si>
  <si>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</si>
  <si>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</si>
  <si>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</si>
  <si>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</si>
  <si>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</si>
  <si>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</si>
  <si>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04/02/2025</t>
  </si>
  <si>
    <t>04/15/2025</t>
  </si>
  <si>
    <t>Base Commission And Service Fee Detail</t>
  </si>
  <si>
    <t>Small Business</t>
  </si>
  <si>
    <t>New Business</t>
  </si>
  <si>
    <t>259418-02</t>
  </si>
  <si>
    <t>YALE, JACOB D</t>
  </si>
  <si>
    <t>1677591</t>
  </si>
  <si>
    <t>NC Capital Partners LLC</t>
  </si>
  <si>
    <t>Med</t>
  </si>
  <si>
    <t>03/01/2025</t>
  </si>
  <si>
    <t>1</t>
  </si>
  <si>
    <t>V</t>
  </si>
  <si>
    <t>NC</t>
  </si>
  <si>
    <t>PEPM</t>
  </si>
  <si>
    <t>100%</t>
  </si>
  <si>
    <t>COMM</t>
  </si>
  <si>
    <t>Commercial</t>
  </si>
  <si>
    <t>04/01/2025</t>
  </si>
  <si>
    <t>9</t>
  </si>
  <si>
    <t>5</t>
  </si>
  <si>
    <t>233839-03</t>
  </si>
  <si>
    <t>YALE, RICHARD</t>
  </si>
  <si>
    <t>1686981</t>
  </si>
  <si>
    <t>ESSENCE PAINTING AND RESTORATION INC</t>
  </si>
  <si>
    <t>4</t>
  </si>
  <si>
    <t>IL</t>
  </si>
  <si>
    <t>FEE</t>
  </si>
  <si>
    <t>Level Funded</t>
  </si>
  <si>
    <t>Renewal</t>
  </si>
  <si>
    <t>214956-04</t>
  </si>
  <si>
    <t>HOFFMANN, JASON R</t>
  </si>
  <si>
    <t>1583717</t>
  </si>
  <si>
    <t>COURTELL CORP.</t>
  </si>
  <si>
    <t>PA</t>
  </si>
  <si>
    <t>01X7600</t>
  </si>
  <si>
    <t>2</t>
  </si>
  <si>
    <t>Vis</t>
  </si>
  <si>
    <t>6</t>
  </si>
  <si>
    <t>POP</t>
  </si>
  <si>
    <t>10.00%</t>
  </si>
  <si>
    <t>1500970</t>
  </si>
  <si>
    <t>La Cabra Brewing LLC</t>
  </si>
  <si>
    <t>1452681</t>
  </si>
  <si>
    <t>PC Real Estate Services</t>
  </si>
  <si>
    <t>235415-02</t>
  </si>
  <si>
    <t>RICHTER, PETER LAURENCE K</t>
  </si>
  <si>
    <t>1498389</t>
  </si>
  <si>
    <t>CONNECTION CHURCH</t>
  </si>
  <si>
    <t>Den</t>
  </si>
  <si>
    <t>7</t>
  </si>
  <si>
    <t>05L6214</t>
  </si>
  <si>
    <t>1614180</t>
  </si>
  <si>
    <t>Libratum Counseling LLC</t>
  </si>
  <si>
    <t>1536206</t>
  </si>
  <si>
    <t>TRIAD INSURANCE MANAGEMENT &amp; SERVICES AG</t>
  </si>
  <si>
    <t>07X9700</t>
  </si>
  <si>
    <t>14</t>
  </si>
  <si>
    <t>Adjustment Date</t>
  </si>
  <si>
    <t>Adjustment Description</t>
  </si>
  <si>
    <t>Adjustment Compensation Type</t>
  </si>
  <si>
    <t>Adjustment Business Type</t>
  </si>
  <si>
    <t>Adjustment Amount</t>
  </si>
  <si>
    <t>UHC SG PA choice</t>
  </si>
  <si>
    <t>UHC SG Dental/Vision</t>
  </si>
  <si>
    <t>UHC SG NC</t>
  </si>
  <si>
    <t>UHC SG IL</t>
  </si>
  <si>
    <t>[PMPM=2]</t>
  </si>
  <si>
    <t>[PMPM=4]</t>
  </si>
  <si>
    <t>[PMPM=5]</t>
  </si>
  <si>
    <t>[PMPM=9]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</si>
</sst>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b/>
      <sz val="16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8" fontId="0" fillId="0" borderId="0" xfId="0" applyNumberFormat="1"/>
    <xf numFmtId="0" fontId="2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8" fontId="3" fillId="2" borderId="0" xfId="0" applyNumberFormat="1" applyFont="1" applyFill="1" applyAlignment="1">
      <alignment horizontal="left"/>
    </xf>
    <xf numFmtId="0" fontId="0" fillId="2" borderId="0" xfId="0" applyFill="1"/>
    <xf numFmtId="0" fontId="2" fillId="3" borderId="0" xfId="0" applyNumberFormat="1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8" fontId="3" fillId="3" borderId="0" xfId="0" applyNumberFormat="1" applyFont="1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7D87-5CC7-4E1D-A6F5-9DD2D25F3B98}">
  <dimension ref="A1:AA20"/>
  <sheetViews>
    <sheetView topLeftCell="H1" workbookViewId="0">
      <selection activeCell="M2" sqref="M2:M19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505.01</v>
      </c>
      <c r="O2" s="3">
        <v>505.01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34</v>
      </c>
      <c r="U2" s="2" t="s">
        <v>44</v>
      </c>
      <c r="V2" s="2" t="s">
        <v>45</v>
      </c>
      <c r="W2" s="2" t="s">
        <v>46</v>
      </c>
      <c r="X2" s="2"/>
      <c r="Y2" s="2"/>
      <c r="Z2" s="3">
        <v>34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47</v>
      </c>
      <c r="N3" s="3">
        <v>8062.77</v>
      </c>
      <c r="O3" s="3">
        <v>8062.77</v>
      </c>
      <c r="P3" s="2" t="s">
        <v>48</v>
      </c>
      <c r="Q3" s="2" t="s">
        <v>41</v>
      </c>
      <c r="R3" s="2" t="s">
        <v>42</v>
      </c>
      <c r="S3" s="2" t="s">
        <v>43</v>
      </c>
      <c r="T3" s="3">
        <v>34</v>
      </c>
      <c r="U3" s="2" t="s">
        <v>44</v>
      </c>
      <c r="V3" s="2" t="s">
        <v>45</v>
      </c>
      <c r="W3" s="2" t="s">
        <v>46</v>
      </c>
      <c r="X3" s="2"/>
      <c r="Y3" s="2"/>
      <c r="Z3" s="3">
        <v>306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47</v>
      </c>
      <c r="N4" s="3">
        <v>3784.9</v>
      </c>
      <c r="O4" s="3">
        <v>3784.9</v>
      </c>
      <c r="P4" s="2" t="s">
        <v>49</v>
      </c>
      <c r="Q4" s="2" t="s">
        <v>41</v>
      </c>
      <c r="R4" s="2" t="s">
        <v>42</v>
      </c>
      <c r="S4" s="2" t="s">
        <v>43</v>
      </c>
      <c r="T4" s="3">
        <v>34</v>
      </c>
      <c r="U4" s="2" t="s">
        <v>44</v>
      </c>
      <c r="V4" s="2" t="s">
        <v>45</v>
      </c>
      <c r="W4" s="2" t="s">
        <v>46</v>
      </c>
      <c r="X4" s="2"/>
      <c r="Y4" s="2"/>
      <c r="Z4" s="3">
        <v>170</v>
      </c>
      <c r="AA4" s="2"/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47</v>
      </c>
      <c r="N5" s="3">
        <v>2463.79</v>
      </c>
      <c r="O5" s="3">
        <v>2463.79</v>
      </c>
      <c r="P5" s="2" t="s">
        <v>49</v>
      </c>
      <c r="Q5" s="2" t="s">
        <v>41</v>
      </c>
      <c r="R5" s="2" t="s">
        <v>42</v>
      </c>
      <c r="S5" s="2" t="s">
        <v>43</v>
      </c>
      <c r="T5" s="3">
        <v>34</v>
      </c>
      <c r="U5" s="2" t="s">
        <v>44</v>
      </c>
      <c r="V5" s="2" t="s">
        <v>45</v>
      </c>
      <c r="W5" s="2" t="s">
        <v>46</v>
      </c>
      <c r="X5" s="2"/>
      <c r="Y5" s="2"/>
      <c r="Z5" s="3">
        <v>170</v>
      </c>
      <c r="AA5" s="2"/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50</v>
      </c>
      <c r="I6" s="2" t="s">
        <v>51</v>
      </c>
      <c r="J6" s="2" t="s">
        <v>52</v>
      </c>
      <c r="K6" s="2" t="s">
        <v>53</v>
      </c>
      <c r="L6" s="2" t="s">
        <v>38</v>
      </c>
      <c r="M6" s="2" t="s">
        <v>47</v>
      </c>
      <c r="N6" s="3">
        <v>422.17</v>
      </c>
      <c r="O6" s="3">
        <v>422.17</v>
      </c>
      <c r="P6" s="2" t="s">
        <v>54</v>
      </c>
      <c r="Q6" s="2" t="s">
        <v>41</v>
      </c>
      <c r="R6" s="2" t="s">
        <v>55</v>
      </c>
      <c r="S6" s="2" t="s">
        <v>43</v>
      </c>
      <c r="T6" s="3">
        <v>75</v>
      </c>
      <c r="U6" s="2" t="s">
        <v>44</v>
      </c>
      <c r="V6" s="2" t="s">
        <v>56</v>
      </c>
      <c r="W6" s="2" t="s">
        <v>57</v>
      </c>
      <c r="X6" s="3">
        <v>300</v>
      </c>
      <c r="Y6" s="3">
        <v>300</v>
      </c>
      <c r="Z6" s="3">
        <v>300</v>
      </c>
      <c r="AA6" s="2"/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38</v>
      </c>
      <c r="M7" s="2" t="s">
        <v>47</v>
      </c>
      <c r="N7" s="3">
        <v>508.81</v>
      </c>
      <c r="O7" s="3">
        <v>508.81</v>
      </c>
      <c r="P7" s="2" t="s">
        <v>40</v>
      </c>
      <c r="Q7" s="2" t="s">
        <v>41</v>
      </c>
      <c r="R7" s="2" t="s">
        <v>63</v>
      </c>
      <c r="S7" s="2" t="s">
        <v>43</v>
      </c>
      <c r="T7" s="3">
        <v>41</v>
      </c>
      <c r="U7" s="2" t="s">
        <v>44</v>
      </c>
      <c r="V7" s="2" t="s">
        <v>45</v>
      </c>
      <c r="W7" s="2" t="s">
        <v>46</v>
      </c>
      <c r="X7" s="2"/>
      <c r="Y7" s="2"/>
      <c r="Z7" s="3">
        <v>41</v>
      </c>
      <c r="AA7" s="2" t="s">
        <v>64</v>
      </c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58</v>
      </c>
      <c r="H8" s="2" t="s">
        <v>59</v>
      </c>
      <c r="I8" s="2" t="s">
        <v>60</v>
      </c>
      <c r="J8" s="2" t="s">
        <v>61</v>
      </c>
      <c r="K8" s="2" t="s">
        <v>62</v>
      </c>
      <c r="L8" s="2" t="s">
        <v>38</v>
      </c>
      <c r="M8" s="2" t="s">
        <v>47</v>
      </c>
      <c r="N8" s="3">
        <v>1735.7</v>
      </c>
      <c r="O8" s="3">
        <v>1735.7</v>
      </c>
      <c r="P8" s="2" t="s">
        <v>65</v>
      </c>
      <c r="Q8" s="2" t="s">
        <v>41</v>
      </c>
      <c r="R8" s="2" t="s">
        <v>63</v>
      </c>
      <c r="S8" s="2" t="s">
        <v>43</v>
      </c>
      <c r="T8" s="3">
        <v>41</v>
      </c>
      <c r="U8" s="2" t="s">
        <v>44</v>
      </c>
      <c r="V8" s="2" t="s">
        <v>45</v>
      </c>
      <c r="W8" s="2" t="s">
        <v>46</v>
      </c>
      <c r="X8" s="2"/>
      <c r="Y8" s="2"/>
      <c r="Z8" s="3">
        <v>82</v>
      </c>
      <c r="AA8" s="2" t="s">
        <v>64</v>
      </c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58</v>
      </c>
      <c r="H9" s="2" t="s">
        <v>59</v>
      </c>
      <c r="I9" s="2" t="s">
        <v>60</v>
      </c>
      <c r="J9" s="2" t="s">
        <v>61</v>
      </c>
      <c r="K9" s="2" t="s">
        <v>62</v>
      </c>
      <c r="L9" s="2" t="s">
        <v>38</v>
      </c>
      <c r="M9" s="2" t="s">
        <v>47</v>
      </c>
      <c r="N9" s="3">
        <v>872.12</v>
      </c>
      <c r="O9" s="3">
        <v>872.12</v>
      </c>
      <c r="P9" s="2" t="s">
        <v>65</v>
      </c>
      <c r="Q9" s="2" t="s">
        <v>41</v>
      </c>
      <c r="R9" s="2" t="s">
        <v>63</v>
      </c>
      <c r="S9" s="2" t="s">
        <v>43</v>
      </c>
      <c r="T9" s="3">
        <v>41</v>
      </c>
      <c r="U9" s="2" t="s">
        <v>44</v>
      </c>
      <c r="V9" s="2" t="s">
        <v>45</v>
      </c>
      <c r="W9" s="2" t="s">
        <v>46</v>
      </c>
      <c r="X9" s="2"/>
      <c r="Y9" s="2"/>
      <c r="Z9" s="3">
        <v>82</v>
      </c>
      <c r="AA9" s="2" t="s">
        <v>64</v>
      </c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58</v>
      </c>
      <c r="H10" s="2" t="s">
        <v>59</v>
      </c>
      <c r="I10" s="2" t="s">
        <v>60</v>
      </c>
      <c r="J10" s="2" t="s">
        <v>61</v>
      </c>
      <c r="K10" s="2" t="s">
        <v>62</v>
      </c>
      <c r="L10" s="2" t="s">
        <v>66</v>
      </c>
      <c r="M10" s="2" t="s">
        <v>47</v>
      </c>
      <c r="N10" s="3">
        <v>56.88</v>
      </c>
      <c r="O10" s="3">
        <v>56.88</v>
      </c>
      <c r="P10" s="2" t="s">
        <v>67</v>
      </c>
      <c r="Q10" s="2" t="s">
        <v>41</v>
      </c>
      <c r="R10" s="2" t="s">
        <v>63</v>
      </c>
      <c r="S10" s="2" t="s">
        <v>68</v>
      </c>
      <c r="T10" s="2" t="s">
        <v>69</v>
      </c>
      <c r="U10" s="2" t="s">
        <v>44</v>
      </c>
      <c r="V10" s="2" t="s">
        <v>45</v>
      </c>
      <c r="W10" s="2" t="s">
        <v>46</v>
      </c>
      <c r="X10" s="2"/>
      <c r="Y10" s="2"/>
      <c r="Z10" s="3">
        <v>5.69</v>
      </c>
      <c r="AA10" s="2" t="s">
        <v>64</v>
      </c>
    </row>
    <row r="11" spans="1:27" ht="12.75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58</v>
      </c>
      <c r="H11" s="2" t="s">
        <v>59</v>
      </c>
      <c r="I11" s="2" t="s">
        <v>60</v>
      </c>
      <c r="J11" s="2" t="s">
        <v>70</v>
      </c>
      <c r="K11" s="2" t="s">
        <v>71</v>
      </c>
      <c r="L11" s="2" t="s">
        <v>38</v>
      </c>
      <c r="M11" s="2" t="s">
        <v>47</v>
      </c>
      <c r="N11" s="3">
        <v>2099.41</v>
      </c>
      <c r="O11" s="3">
        <v>2099.41</v>
      </c>
      <c r="P11" s="2" t="s">
        <v>54</v>
      </c>
      <c r="Q11" s="2" t="s">
        <v>41</v>
      </c>
      <c r="R11" s="2" t="s">
        <v>63</v>
      </c>
      <c r="S11" s="2" t="s">
        <v>43</v>
      </c>
      <c r="T11" s="3">
        <v>41</v>
      </c>
      <c r="U11" s="2" t="s">
        <v>44</v>
      </c>
      <c r="V11" s="2" t="s">
        <v>45</v>
      </c>
      <c r="W11" s="2" t="s">
        <v>46</v>
      </c>
      <c r="X11" s="2"/>
      <c r="Y11" s="2"/>
      <c r="Z11" s="3">
        <v>164</v>
      </c>
      <c r="AA11" s="2"/>
    </row>
    <row r="12" spans="1:27" ht="12.75" customHeigh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58</v>
      </c>
      <c r="H12" s="2" t="s">
        <v>59</v>
      </c>
      <c r="I12" s="2" t="s">
        <v>60</v>
      </c>
      <c r="J12" s="2" t="s">
        <v>72</v>
      </c>
      <c r="K12" s="2" t="s">
        <v>73</v>
      </c>
      <c r="L12" s="2" t="s">
        <v>38</v>
      </c>
      <c r="M12" s="2" t="s">
        <v>47</v>
      </c>
      <c r="N12" s="3">
        <v>2917.09</v>
      </c>
      <c r="O12" s="3">
        <v>2917.09</v>
      </c>
      <c r="P12" s="2" t="s">
        <v>65</v>
      </c>
      <c r="Q12" s="2" t="s">
        <v>41</v>
      </c>
      <c r="R12" s="2" t="s">
        <v>63</v>
      </c>
      <c r="S12" s="2" t="s">
        <v>43</v>
      </c>
      <c r="T12" s="3">
        <v>41</v>
      </c>
      <c r="U12" s="2" t="s">
        <v>44</v>
      </c>
      <c r="V12" s="2" t="s">
        <v>45</v>
      </c>
      <c r="W12" s="2" t="s">
        <v>46</v>
      </c>
      <c r="X12" s="2"/>
      <c r="Y12" s="2"/>
      <c r="Z12" s="3">
        <v>82</v>
      </c>
      <c r="AA12" s="2"/>
    </row>
    <row r="13" spans="1:27" ht="12.75" customHeigh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58</v>
      </c>
      <c r="H13" s="2" t="s">
        <v>74</v>
      </c>
      <c r="I13" s="2" t="s">
        <v>75</v>
      </c>
      <c r="J13" s="2" t="s">
        <v>76</v>
      </c>
      <c r="K13" s="2" t="s">
        <v>77</v>
      </c>
      <c r="L13" s="2" t="s">
        <v>78</v>
      </c>
      <c r="M13" s="2" t="s">
        <v>47</v>
      </c>
      <c r="N13" s="3">
        <v>1221.94</v>
      </c>
      <c r="O13" s="3">
        <v>1221.94</v>
      </c>
      <c r="P13" s="2" t="s">
        <v>79</v>
      </c>
      <c r="Q13" s="2" t="s">
        <v>41</v>
      </c>
      <c r="R13" s="2" t="s">
        <v>63</v>
      </c>
      <c r="S13" s="2" t="s">
        <v>68</v>
      </c>
      <c r="T13" s="2" t="s">
        <v>69</v>
      </c>
      <c r="U13" s="2" t="s">
        <v>44</v>
      </c>
      <c r="V13" s="2" t="s">
        <v>45</v>
      </c>
      <c r="W13" s="2" t="s">
        <v>46</v>
      </c>
      <c r="X13" s="2"/>
      <c r="Y13" s="2"/>
      <c r="Z13" s="3">
        <v>122.19</v>
      </c>
      <c r="AA13" s="2" t="s">
        <v>80</v>
      </c>
    </row>
    <row r="14" spans="1:27" ht="12.75" customHeigh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58</v>
      </c>
      <c r="H14" s="2" t="s">
        <v>74</v>
      </c>
      <c r="I14" s="2" t="s">
        <v>75</v>
      </c>
      <c r="J14" s="2" t="s">
        <v>76</v>
      </c>
      <c r="K14" s="2" t="s">
        <v>77</v>
      </c>
      <c r="L14" s="2" t="s">
        <v>66</v>
      </c>
      <c r="M14" s="2" t="s">
        <v>47</v>
      </c>
      <c r="N14" s="3">
        <v>105.68</v>
      </c>
      <c r="O14" s="3">
        <v>105.68</v>
      </c>
      <c r="P14" s="2" t="s">
        <v>79</v>
      </c>
      <c r="Q14" s="2" t="s">
        <v>41</v>
      </c>
      <c r="R14" s="2" t="s">
        <v>63</v>
      </c>
      <c r="S14" s="2" t="s">
        <v>68</v>
      </c>
      <c r="T14" s="2" t="s">
        <v>69</v>
      </c>
      <c r="U14" s="2" t="s">
        <v>44</v>
      </c>
      <c r="V14" s="2" t="s">
        <v>45</v>
      </c>
      <c r="W14" s="2" t="s">
        <v>46</v>
      </c>
      <c r="X14" s="2"/>
      <c r="Y14" s="2"/>
      <c r="Z14" s="3">
        <v>10.57</v>
      </c>
      <c r="AA14" s="2" t="s">
        <v>80</v>
      </c>
    </row>
    <row r="15" spans="1:27" ht="12.75" customHeigh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58</v>
      </c>
      <c r="H15" s="2" t="s">
        <v>74</v>
      </c>
      <c r="I15" s="2" t="s">
        <v>75</v>
      </c>
      <c r="J15" s="2" t="s">
        <v>81</v>
      </c>
      <c r="K15" s="2" t="s">
        <v>82</v>
      </c>
      <c r="L15" s="2" t="s">
        <v>78</v>
      </c>
      <c r="M15" s="2" t="s">
        <v>47</v>
      </c>
      <c r="N15" s="3">
        <v>74.680000000000007</v>
      </c>
      <c r="O15" s="3">
        <v>74.680000000000007</v>
      </c>
      <c r="P15" s="2" t="s">
        <v>65</v>
      </c>
      <c r="Q15" s="2" t="s">
        <v>41</v>
      </c>
      <c r="R15" s="2" t="s">
        <v>63</v>
      </c>
      <c r="S15" s="2" t="s">
        <v>68</v>
      </c>
      <c r="T15" s="2" t="s">
        <v>69</v>
      </c>
      <c r="U15" s="2" t="s">
        <v>44</v>
      </c>
      <c r="V15" s="2" t="s">
        <v>45</v>
      </c>
      <c r="W15" s="2" t="s">
        <v>46</v>
      </c>
      <c r="X15" s="2"/>
      <c r="Y15" s="2"/>
      <c r="Z15" s="3">
        <v>7.47</v>
      </c>
      <c r="AA15" s="2"/>
    </row>
    <row r="16" spans="1:27" ht="12.75" customHeigh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58</v>
      </c>
      <c r="H16" s="2" t="s">
        <v>74</v>
      </c>
      <c r="I16" s="2" t="s">
        <v>75</v>
      </c>
      <c r="J16" s="2" t="s">
        <v>83</v>
      </c>
      <c r="K16" s="2" t="s">
        <v>84</v>
      </c>
      <c r="L16" s="2" t="s">
        <v>78</v>
      </c>
      <c r="M16" s="2" t="s">
        <v>39</v>
      </c>
      <c r="N16" s="3">
        <v>40.090000000000003</v>
      </c>
      <c r="O16" s="3">
        <v>40.090000000000003</v>
      </c>
      <c r="P16" s="2" t="s">
        <v>40</v>
      </c>
      <c r="Q16" s="2" t="s">
        <v>41</v>
      </c>
      <c r="R16" s="2" t="s">
        <v>63</v>
      </c>
      <c r="S16" s="2" t="s">
        <v>68</v>
      </c>
      <c r="T16" s="2" t="s">
        <v>69</v>
      </c>
      <c r="U16" s="2" t="s">
        <v>44</v>
      </c>
      <c r="V16" s="2" t="s">
        <v>45</v>
      </c>
      <c r="W16" s="2" t="s">
        <v>46</v>
      </c>
      <c r="X16" s="2"/>
      <c r="Y16" s="2"/>
      <c r="Z16" s="3">
        <v>4.01</v>
      </c>
      <c r="AA16" s="2" t="s">
        <v>85</v>
      </c>
    </row>
    <row r="17" spans="1:27" ht="12.75" customHeigh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58</v>
      </c>
      <c r="H17" s="2" t="s">
        <v>74</v>
      </c>
      <c r="I17" s="2" t="s">
        <v>75</v>
      </c>
      <c r="J17" s="2" t="s">
        <v>83</v>
      </c>
      <c r="K17" s="2" t="s">
        <v>84</v>
      </c>
      <c r="L17" s="2" t="s">
        <v>78</v>
      </c>
      <c r="M17" s="2" t="s">
        <v>47</v>
      </c>
      <c r="N17" s="3">
        <v>1020.78</v>
      </c>
      <c r="O17" s="3">
        <v>1020.78</v>
      </c>
      <c r="P17" s="2" t="s">
        <v>86</v>
      </c>
      <c r="Q17" s="2" t="s">
        <v>41</v>
      </c>
      <c r="R17" s="2" t="s">
        <v>63</v>
      </c>
      <c r="S17" s="2" t="s">
        <v>68</v>
      </c>
      <c r="T17" s="2" t="s">
        <v>69</v>
      </c>
      <c r="U17" s="2" t="s">
        <v>44</v>
      </c>
      <c r="V17" s="2" t="s">
        <v>45</v>
      </c>
      <c r="W17" s="2" t="s">
        <v>46</v>
      </c>
      <c r="X17" s="2"/>
      <c r="Y17" s="2"/>
      <c r="Z17" s="3">
        <v>102.08</v>
      </c>
      <c r="AA17" s="2" t="s">
        <v>85</v>
      </c>
    </row>
    <row r="18" spans="1:27" ht="12.75" customHeigh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58</v>
      </c>
      <c r="H18" s="2" t="s">
        <v>74</v>
      </c>
      <c r="I18" s="2" t="s">
        <v>75</v>
      </c>
      <c r="J18" s="2" t="s">
        <v>83</v>
      </c>
      <c r="K18" s="2" t="s">
        <v>84</v>
      </c>
      <c r="L18" s="2" t="s">
        <v>66</v>
      </c>
      <c r="M18" s="2" t="s">
        <v>39</v>
      </c>
      <c r="N18" s="3">
        <v>9.74</v>
      </c>
      <c r="O18" s="3">
        <v>9.74</v>
      </c>
      <c r="P18" s="2" t="s">
        <v>40</v>
      </c>
      <c r="Q18" s="2" t="s">
        <v>41</v>
      </c>
      <c r="R18" s="2" t="s">
        <v>63</v>
      </c>
      <c r="S18" s="2" t="s">
        <v>68</v>
      </c>
      <c r="T18" s="2" t="s">
        <v>69</v>
      </c>
      <c r="U18" s="2" t="s">
        <v>44</v>
      </c>
      <c r="V18" s="2" t="s">
        <v>45</v>
      </c>
      <c r="W18" s="2" t="s">
        <v>46</v>
      </c>
      <c r="X18" s="2"/>
      <c r="Y18" s="2"/>
      <c r="Z18" s="3">
        <v>0.97</v>
      </c>
      <c r="AA18" s="2" t="s">
        <v>85</v>
      </c>
    </row>
    <row r="19" spans="1:27" ht="12.75" customHeight="1" x14ac:dyDescent="0.2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58</v>
      </c>
      <c r="H19" s="2" t="s">
        <v>74</v>
      </c>
      <c r="I19" s="2" t="s">
        <v>75</v>
      </c>
      <c r="J19" s="2" t="s">
        <v>83</v>
      </c>
      <c r="K19" s="2" t="s">
        <v>84</v>
      </c>
      <c r="L19" s="2" t="s">
        <v>66</v>
      </c>
      <c r="M19" s="2" t="s">
        <v>47</v>
      </c>
      <c r="N19" s="3">
        <v>248.71</v>
      </c>
      <c r="O19" s="3">
        <v>248.71</v>
      </c>
      <c r="P19" s="2" t="s">
        <v>86</v>
      </c>
      <c r="Q19" s="2" t="s">
        <v>41</v>
      </c>
      <c r="R19" s="2" t="s">
        <v>63</v>
      </c>
      <c r="S19" s="2" t="s">
        <v>68</v>
      </c>
      <c r="T19" s="2" t="s">
        <v>69</v>
      </c>
      <c r="U19" s="2" t="s">
        <v>44</v>
      </c>
      <c r="V19" s="2" t="s">
        <v>45</v>
      </c>
      <c r="W19" s="2" t="s">
        <v>46</v>
      </c>
      <c r="X19" s="2"/>
      <c r="Y19" s="2"/>
      <c r="Z19" s="3">
        <v>24.87</v>
      </c>
      <c r="AA19" s="2" t="s">
        <v>85</v>
      </c>
    </row>
    <row r="20" spans="1:27" x14ac:dyDescent="0.2">
      <c r="Z20" s="5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488B-9725-47CE-838E-C71D73B85646}">
  <dimension ref="A1:R20"/>
  <sheetViews>
    <sheetView tabSelected="1" topLeftCell="D1" workbookViewId="0">
      <selection activeCell="J2" sqref="J2:J19"/>
    </sheetView>
  </sheetViews>
  <sheetFormatPr defaultRowHeight="12.75" x14ac:dyDescent="0.2"/>
  <cols>
    <col min="1" max="1" width="25.140625" customWidth="1"/>
    <col min="2" max="2" width="30.42578125" customWidth="1"/>
    <col min="3" max="4" width="18.85546875" customWidth="1"/>
    <col min="5" max="5" width="24.28515625" customWidth="1"/>
    <col min="6" max="6" width="9" customWidth="1"/>
    <col min="7" max="7" width="15.42578125" customWidth="1"/>
    <col min="8" max="8" width="13.85546875" customWidth="1"/>
    <col min="9" max="9" width="12.28515625" customWidth="1"/>
    <col min="10" max="10" width="13.5703125" customWidth="1"/>
    <col min="11" max="11" width="8.5703125" customWidth="1"/>
    <col min="12" max="12" width="12.28515625" customWidth="1"/>
    <col min="13" max="13" width="9" bestFit="1" customWidth="1"/>
    <col min="14" max="14" width="10.28515625" customWidth="1"/>
    <col min="15" max="15" width="10.85546875" customWidth="1"/>
    <col min="16" max="16" width="10.140625" customWidth="1"/>
    <col min="17" max="17" width="19.7109375" customWidth="1"/>
    <col min="18" max="18" width="20" bestFit="1" customWidth="1"/>
  </cols>
  <sheetData>
    <row r="1" spans="1:18" ht="12.75" customHeight="1" x14ac:dyDescent="0.35">
      <c r="A1" s="1" t="s">
        <v>7</v>
      </c>
      <c r="B1" s="1" t="s">
        <v>8</v>
      </c>
      <c r="C1" s="1" t="s">
        <v>9</v>
      </c>
      <c r="D1" s="1"/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19</v>
      </c>
      <c r="N1" s="1" t="s">
        <v>21</v>
      </c>
      <c r="O1" s="1" t="s">
        <v>23</v>
      </c>
      <c r="P1" s="1" t="s">
        <v>24</v>
      </c>
      <c r="Q1" s="1" t="s">
        <v>25</v>
      </c>
    </row>
    <row r="2" spans="1:18" ht="12.75" customHeight="1" x14ac:dyDescent="0.25">
      <c r="A2" s="6">
        <v>18754354</v>
      </c>
      <c r="B2" s="2" t="s">
        <v>35</v>
      </c>
      <c r="C2" s="6">
        <v>1677591</v>
      </c>
      <c r="D2" s="11" t="str">
        <f>CONCATENATE(C2,3)</f>
        <v>16775913</v>
      </c>
      <c r="E2" s="2" t="s">
        <v>37</v>
      </c>
      <c r="F2" s="2" t="s">
        <v>38</v>
      </c>
      <c r="G2" s="2" t="s">
        <v>39</v>
      </c>
      <c r="H2" s="3"/>
      <c r="I2" s="3">
        <v>505.01</v>
      </c>
      <c r="J2" s="6"/>
      <c r="K2" s="2" t="s">
        <v>42</v>
      </c>
      <c r="L2" s="2" t="s">
        <v>43</v>
      </c>
      <c r="M2" s="3">
        <v>34</v>
      </c>
      <c r="N2" s="2" t="s">
        <v>45</v>
      </c>
      <c r="O2" s="2"/>
      <c r="P2" s="2"/>
      <c r="Q2" s="3">
        <v>34</v>
      </c>
      <c r="R2" t="s">
        <v>94</v>
      </c>
    </row>
    <row r="3" spans="1:18" ht="12.75" customHeight="1" x14ac:dyDescent="0.25">
      <c r="A3" s="6">
        <v>18754354</v>
      </c>
      <c r="B3" s="2" t="s">
        <v>35</v>
      </c>
      <c r="C3" s="6">
        <v>1677591</v>
      </c>
      <c r="D3" s="11" t="str">
        <f t="shared" ref="D3:D6" si="0">CONCATENATE(C3,3)</f>
        <v>16775913</v>
      </c>
      <c r="E3" s="2" t="s">
        <v>37</v>
      </c>
      <c r="F3" s="2" t="s">
        <v>38</v>
      </c>
      <c r="G3" s="2" t="s">
        <v>47</v>
      </c>
      <c r="H3" s="3"/>
      <c r="I3" s="3">
        <v>8062.77</v>
      </c>
      <c r="J3" s="6" t="s">
        <v>99</v>
      </c>
      <c r="K3" s="2" t="s">
        <v>42</v>
      </c>
      <c r="L3" s="2" t="s">
        <v>43</v>
      </c>
      <c r="M3" s="3">
        <v>34</v>
      </c>
      <c r="N3" s="2" t="s">
        <v>45</v>
      </c>
      <c r="O3" s="2"/>
      <c r="P3" s="2"/>
      <c r="Q3" s="3">
        <v>306</v>
      </c>
      <c r="R3" t="s">
        <v>94</v>
      </c>
    </row>
    <row r="4" spans="1:18" ht="12.75" customHeight="1" x14ac:dyDescent="0.25">
      <c r="A4" s="6">
        <v>18754354</v>
      </c>
      <c r="B4" s="2" t="s">
        <v>35</v>
      </c>
      <c r="C4" s="6">
        <v>1677591</v>
      </c>
      <c r="D4" s="11" t="str">
        <f t="shared" si="0"/>
        <v>16775913</v>
      </c>
      <c r="E4" s="2" t="s">
        <v>37</v>
      </c>
      <c r="F4" s="2" t="s">
        <v>38</v>
      </c>
      <c r="G4" s="2" t="s">
        <v>47</v>
      </c>
      <c r="H4" s="3"/>
      <c r="I4" s="3">
        <v>3784.9</v>
      </c>
      <c r="J4" s="6" t="s">
        <v>98</v>
      </c>
      <c r="K4" s="2" t="s">
        <v>42</v>
      </c>
      <c r="L4" s="2" t="s">
        <v>43</v>
      </c>
      <c r="M4" s="3">
        <v>34</v>
      </c>
      <c r="N4" s="2" t="s">
        <v>45</v>
      </c>
      <c r="O4" s="2"/>
      <c r="P4" s="2"/>
      <c r="Q4" s="3">
        <v>170</v>
      </c>
      <c r="R4" t="s">
        <v>94</v>
      </c>
    </row>
    <row r="5" spans="1:18" ht="12.75" customHeight="1" x14ac:dyDescent="0.25">
      <c r="A5" s="6">
        <v>18754354</v>
      </c>
      <c r="B5" s="2" t="s">
        <v>35</v>
      </c>
      <c r="C5" s="6">
        <v>1677591</v>
      </c>
      <c r="D5" s="11" t="str">
        <f t="shared" si="0"/>
        <v>16775913</v>
      </c>
      <c r="E5" s="2" t="s">
        <v>37</v>
      </c>
      <c r="F5" s="2" t="s">
        <v>38</v>
      </c>
      <c r="G5" s="2" t="s">
        <v>47</v>
      </c>
      <c r="H5" s="3"/>
      <c r="I5" s="3">
        <v>2463.79</v>
      </c>
      <c r="J5" s="6" t="s">
        <v>98</v>
      </c>
      <c r="K5" s="2" t="s">
        <v>42</v>
      </c>
      <c r="L5" s="2" t="s">
        <v>43</v>
      </c>
      <c r="M5" s="3">
        <v>34</v>
      </c>
      <c r="N5" s="2" t="s">
        <v>45</v>
      </c>
      <c r="O5" s="2"/>
      <c r="P5" s="2"/>
      <c r="Q5" s="3">
        <v>170</v>
      </c>
      <c r="R5" t="s">
        <v>94</v>
      </c>
    </row>
    <row r="6" spans="1:18" ht="12.75" customHeight="1" x14ac:dyDescent="0.25">
      <c r="A6" s="6">
        <v>16633294</v>
      </c>
      <c r="B6" s="2" t="s">
        <v>51</v>
      </c>
      <c r="C6" s="6">
        <v>1686981</v>
      </c>
      <c r="D6" s="11" t="str">
        <f t="shared" si="0"/>
        <v>16869813</v>
      </c>
      <c r="E6" s="2" t="s">
        <v>53</v>
      </c>
      <c r="F6" s="2" t="s">
        <v>38</v>
      </c>
      <c r="G6" s="2" t="s">
        <v>47</v>
      </c>
      <c r="H6" s="3"/>
      <c r="I6" s="3">
        <v>422.17</v>
      </c>
      <c r="J6" s="6" t="s">
        <v>97</v>
      </c>
      <c r="K6" s="2" t="s">
        <v>55</v>
      </c>
      <c r="L6" s="2" t="s">
        <v>43</v>
      </c>
      <c r="M6" s="3">
        <v>75</v>
      </c>
      <c r="N6" s="2" t="s">
        <v>56</v>
      </c>
      <c r="O6" s="3">
        <v>300</v>
      </c>
      <c r="P6" s="3">
        <v>300</v>
      </c>
      <c r="Q6" s="3">
        <v>300</v>
      </c>
      <c r="R6" t="s">
        <v>95</v>
      </c>
    </row>
    <row r="7" spans="1:18" s="14" customFormat="1" ht="12.75" customHeight="1" x14ac:dyDescent="0.25">
      <c r="A7" s="11">
        <v>15278437</v>
      </c>
      <c r="B7" s="12" t="s">
        <v>60</v>
      </c>
      <c r="C7" s="11">
        <v>1583717</v>
      </c>
      <c r="D7" s="11" t="str">
        <f>CONCATENATE(C7,2)</f>
        <v>15837172</v>
      </c>
      <c r="E7" s="12" t="s">
        <v>62</v>
      </c>
      <c r="F7" s="12" t="s">
        <v>38</v>
      </c>
      <c r="G7" s="12" t="s">
        <v>47</v>
      </c>
      <c r="H7" s="13"/>
      <c r="I7" s="13">
        <v>508.81</v>
      </c>
      <c r="J7" s="11"/>
      <c r="K7" s="12" t="s">
        <v>63</v>
      </c>
      <c r="L7" s="12" t="s">
        <v>43</v>
      </c>
      <c r="M7" s="13">
        <v>41</v>
      </c>
      <c r="N7" s="12" t="s">
        <v>45</v>
      </c>
      <c r="O7" s="12"/>
      <c r="P7" s="12"/>
      <c r="Q7" s="13">
        <v>41</v>
      </c>
      <c r="R7" s="14" t="s">
        <v>92</v>
      </c>
    </row>
    <row r="8" spans="1:18" s="14" customFormat="1" ht="12.75" customHeight="1" x14ac:dyDescent="0.25">
      <c r="A8" s="11">
        <v>15278437</v>
      </c>
      <c r="B8" s="12" t="s">
        <v>60</v>
      </c>
      <c r="C8" s="11">
        <v>1583717</v>
      </c>
      <c r="D8" s="11" t="str">
        <f t="shared" ref="D8:D9" si="1">CONCATENATE(C8,2)</f>
        <v>15837172</v>
      </c>
      <c r="E8" s="12" t="s">
        <v>62</v>
      </c>
      <c r="F8" s="12" t="s">
        <v>38</v>
      </c>
      <c r="G8" s="12" t="s">
        <v>47</v>
      </c>
      <c r="H8" s="13"/>
      <c r="I8" s="13">
        <v>1735.7</v>
      </c>
      <c r="J8" s="11" t="s">
        <v>96</v>
      </c>
      <c r="K8" s="12" t="s">
        <v>63</v>
      </c>
      <c r="L8" s="12" t="s">
        <v>43</v>
      </c>
      <c r="M8" s="13">
        <v>41</v>
      </c>
      <c r="N8" s="12" t="s">
        <v>45</v>
      </c>
      <c r="O8" s="12"/>
      <c r="P8" s="12"/>
      <c r="Q8" s="13">
        <v>82</v>
      </c>
      <c r="R8" s="14" t="s">
        <v>92</v>
      </c>
    </row>
    <row r="9" spans="1:18" s="14" customFormat="1" ht="12.75" customHeight="1" x14ac:dyDescent="0.25">
      <c r="A9" s="11">
        <v>15278437</v>
      </c>
      <c r="B9" s="12" t="s">
        <v>60</v>
      </c>
      <c r="C9" s="11">
        <v>1583717</v>
      </c>
      <c r="D9" s="11" t="str">
        <f t="shared" si="1"/>
        <v>15837172</v>
      </c>
      <c r="E9" s="12" t="s">
        <v>62</v>
      </c>
      <c r="F9" s="12" t="s">
        <v>38</v>
      </c>
      <c r="G9" s="12" t="s">
        <v>47</v>
      </c>
      <c r="H9" s="13"/>
      <c r="I9" s="13">
        <v>872.12</v>
      </c>
      <c r="J9" s="11" t="s">
        <v>96</v>
      </c>
      <c r="K9" s="12" t="s">
        <v>63</v>
      </c>
      <c r="L9" s="12" t="s">
        <v>43</v>
      </c>
      <c r="M9" s="13">
        <v>41</v>
      </c>
      <c r="N9" s="12" t="s">
        <v>45</v>
      </c>
      <c r="O9" s="12"/>
      <c r="P9" s="12"/>
      <c r="Q9" s="13">
        <v>82</v>
      </c>
      <c r="R9" s="14" t="s">
        <v>92</v>
      </c>
    </row>
    <row r="10" spans="1:18" s="10" customFormat="1" ht="12.75" customHeight="1" x14ac:dyDescent="0.25">
      <c r="A10" s="7">
        <v>15278437</v>
      </c>
      <c r="B10" s="8" t="s">
        <v>60</v>
      </c>
      <c r="C10" s="7">
        <v>1583717</v>
      </c>
      <c r="D10" s="7" t="str">
        <f>CONCATENATE(C10,1)</f>
        <v>15837171</v>
      </c>
      <c r="E10" s="8" t="s">
        <v>62</v>
      </c>
      <c r="F10" s="8" t="s">
        <v>66</v>
      </c>
      <c r="G10" s="8" t="s">
        <v>47</v>
      </c>
      <c r="H10" s="9">
        <v>56.88</v>
      </c>
      <c r="I10" s="9">
        <v>56.88</v>
      </c>
      <c r="J10" s="7"/>
      <c r="K10" s="8" t="s">
        <v>63</v>
      </c>
      <c r="L10" s="8" t="s">
        <v>68</v>
      </c>
      <c r="M10" s="8" t="s">
        <v>69</v>
      </c>
      <c r="N10" s="8" t="s">
        <v>45</v>
      </c>
      <c r="O10" s="8"/>
      <c r="P10" s="8"/>
      <c r="Q10" s="9">
        <v>5.69</v>
      </c>
      <c r="R10" s="10" t="s">
        <v>93</v>
      </c>
    </row>
    <row r="11" spans="1:18" s="14" customFormat="1" ht="12.75" customHeight="1" x14ac:dyDescent="0.25">
      <c r="A11" s="11">
        <v>15278437</v>
      </c>
      <c r="B11" s="12" t="s">
        <v>60</v>
      </c>
      <c r="C11" s="11">
        <v>1500970</v>
      </c>
      <c r="D11" s="11" t="str">
        <f t="shared" ref="D11:D12" si="2">CONCATENATE(C11,2)</f>
        <v>15009702</v>
      </c>
      <c r="E11" s="12" t="s">
        <v>71</v>
      </c>
      <c r="F11" s="12" t="s">
        <v>38</v>
      </c>
      <c r="G11" s="12" t="s">
        <v>47</v>
      </c>
      <c r="H11" s="13"/>
      <c r="I11" s="13">
        <v>2099.41</v>
      </c>
      <c r="J11" s="6" t="s">
        <v>97</v>
      </c>
      <c r="K11" s="12" t="s">
        <v>63</v>
      </c>
      <c r="L11" s="12" t="s">
        <v>43</v>
      </c>
      <c r="M11" s="13">
        <v>41</v>
      </c>
      <c r="N11" s="12" t="s">
        <v>45</v>
      </c>
      <c r="O11" s="12"/>
      <c r="P11" s="12"/>
      <c r="Q11" s="13">
        <v>164</v>
      </c>
      <c r="R11" s="14" t="s">
        <v>92</v>
      </c>
    </row>
    <row r="12" spans="1:18" s="14" customFormat="1" ht="12.75" customHeight="1" x14ac:dyDescent="0.25">
      <c r="A12" s="11">
        <v>15278437</v>
      </c>
      <c r="B12" s="12" t="s">
        <v>60</v>
      </c>
      <c r="C12" s="11">
        <v>1452681</v>
      </c>
      <c r="D12" s="11" t="str">
        <f t="shared" si="2"/>
        <v>14526812</v>
      </c>
      <c r="E12" s="12" t="s">
        <v>73</v>
      </c>
      <c r="F12" s="12" t="s">
        <v>38</v>
      </c>
      <c r="G12" s="12" t="s">
        <v>47</v>
      </c>
      <c r="H12" s="13"/>
      <c r="I12" s="13">
        <v>2917.09</v>
      </c>
      <c r="J12" s="11" t="s">
        <v>96</v>
      </c>
      <c r="K12" s="12" t="s">
        <v>63</v>
      </c>
      <c r="L12" s="12" t="s">
        <v>43</v>
      </c>
      <c r="M12" s="13">
        <v>41</v>
      </c>
      <c r="N12" s="12" t="s">
        <v>45</v>
      </c>
      <c r="O12" s="12"/>
      <c r="P12" s="12"/>
      <c r="Q12" s="13">
        <v>82</v>
      </c>
      <c r="R12" s="14" t="s">
        <v>92</v>
      </c>
    </row>
    <row r="13" spans="1:18" s="10" customFormat="1" ht="12.75" customHeight="1" x14ac:dyDescent="0.25">
      <c r="A13" s="7">
        <v>16509456</v>
      </c>
      <c r="B13" s="8" t="s">
        <v>75</v>
      </c>
      <c r="C13" s="7">
        <v>1498389</v>
      </c>
      <c r="D13" s="7" t="str">
        <f t="shared" ref="D13:D19" si="3">CONCATENATE(C13,1)</f>
        <v>14983891</v>
      </c>
      <c r="E13" s="8" t="s">
        <v>77</v>
      </c>
      <c r="F13" s="8" t="s">
        <v>78</v>
      </c>
      <c r="G13" s="8" t="s">
        <v>47</v>
      </c>
      <c r="H13" s="9">
        <v>1221.94</v>
      </c>
      <c r="I13" s="9">
        <v>1221.94</v>
      </c>
      <c r="J13" s="7"/>
      <c r="K13" s="8" t="s">
        <v>63</v>
      </c>
      <c r="L13" s="8" t="s">
        <v>68</v>
      </c>
      <c r="M13" s="8" t="s">
        <v>69</v>
      </c>
      <c r="N13" s="8" t="s">
        <v>45</v>
      </c>
      <c r="O13" s="8"/>
      <c r="P13" s="8"/>
      <c r="Q13" s="9">
        <v>122.19</v>
      </c>
      <c r="R13" s="10" t="s">
        <v>93</v>
      </c>
    </row>
    <row r="14" spans="1:18" s="10" customFormat="1" ht="12.75" customHeight="1" x14ac:dyDescent="0.25">
      <c r="A14" s="7">
        <v>16509456</v>
      </c>
      <c r="B14" s="8" t="s">
        <v>75</v>
      </c>
      <c r="C14" s="7">
        <v>1498389</v>
      </c>
      <c r="D14" s="7" t="str">
        <f t="shared" si="3"/>
        <v>14983891</v>
      </c>
      <c r="E14" s="8" t="s">
        <v>77</v>
      </c>
      <c r="F14" s="8" t="s">
        <v>66</v>
      </c>
      <c r="G14" s="8" t="s">
        <v>47</v>
      </c>
      <c r="H14" s="9">
        <v>105.68</v>
      </c>
      <c r="I14" s="9">
        <v>105.68</v>
      </c>
      <c r="J14" s="7"/>
      <c r="K14" s="8" t="s">
        <v>63</v>
      </c>
      <c r="L14" s="8" t="s">
        <v>68</v>
      </c>
      <c r="M14" s="8" t="s">
        <v>69</v>
      </c>
      <c r="N14" s="8" t="s">
        <v>45</v>
      </c>
      <c r="O14" s="8"/>
      <c r="P14" s="8"/>
      <c r="Q14" s="9">
        <v>10.57</v>
      </c>
      <c r="R14" s="10" t="s">
        <v>93</v>
      </c>
    </row>
    <row r="15" spans="1:18" s="10" customFormat="1" ht="12.75" customHeight="1" x14ac:dyDescent="0.25">
      <c r="A15" s="7">
        <v>16509456</v>
      </c>
      <c r="B15" s="8" t="s">
        <v>75</v>
      </c>
      <c r="C15" s="7">
        <v>1614180</v>
      </c>
      <c r="D15" s="7" t="str">
        <f t="shared" si="3"/>
        <v>16141801</v>
      </c>
      <c r="E15" s="8" t="s">
        <v>82</v>
      </c>
      <c r="F15" s="8" t="s">
        <v>78</v>
      </c>
      <c r="G15" s="8" t="s">
        <v>47</v>
      </c>
      <c r="H15" s="9">
        <v>74.680000000000007</v>
      </c>
      <c r="I15" s="9">
        <v>74.680000000000007</v>
      </c>
      <c r="J15" s="7"/>
      <c r="K15" s="8" t="s">
        <v>63</v>
      </c>
      <c r="L15" s="8" t="s">
        <v>68</v>
      </c>
      <c r="M15" s="8" t="s">
        <v>69</v>
      </c>
      <c r="N15" s="8" t="s">
        <v>45</v>
      </c>
      <c r="O15" s="8"/>
      <c r="P15" s="8"/>
      <c r="Q15" s="9">
        <v>7.47</v>
      </c>
      <c r="R15" s="10" t="s">
        <v>93</v>
      </c>
    </row>
    <row r="16" spans="1:18" s="10" customFormat="1" ht="12.75" customHeight="1" x14ac:dyDescent="0.25">
      <c r="A16" s="7">
        <v>16509456</v>
      </c>
      <c r="B16" s="8" t="s">
        <v>75</v>
      </c>
      <c r="C16" s="7">
        <v>1536206</v>
      </c>
      <c r="D16" s="7" t="str">
        <f t="shared" si="3"/>
        <v>15362061</v>
      </c>
      <c r="E16" s="8" t="s">
        <v>84</v>
      </c>
      <c r="F16" s="8" t="s">
        <v>78</v>
      </c>
      <c r="G16" s="8" t="s">
        <v>39</v>
      </c>
      <c r="H16" s="9">
        <v>40.090000000000003</v>
      </c>
      <c r="I16" s="9">
        <v>40.090000000000003</v>
      </c>
      <c r="J16" s="7"/>
      <c r="K16" s="8" t="s">
        <v>63</v>
      </c>
      <c r="L16" s="8" t="s">
        <v>68</v>
      </c>
      <c r="M16" s="8" t="s">
        <v>69</v>
      </c>
      <c r="N16" s="8" t="s">
        <v>45</v>
      </c>
      <c r="O16" s="8"/>
      <c r="P16" s="8"/>
      <c r="Q16" s="9">
        <v>4.01</v>
      </c>
      <c r="R16" s="10" t="s">
        <v>93</v>
      </c>
    </row>
    <row r="17" spans="1:18" s="10" customFormat="1" ht="12.75" customHeight="1" x14ac:dyDescent="0.25">
      <c r="A17" s="7">
        <v>16509456</v>
      </c>
      <c r="B17" s="8" t="s">
        <v>75</v>
      </c>
      <c r="C17" s="7">
        <v>1536206</v>
      </c>
      <c r="D17" s="7" t="str">
        <f t="shared" si="3"/>
        <v>15362061</v>
      </c>
      <c r="E17" s="8" t="s">
        <v>84</v>
      </c>
      <c r="F17" s="8" t="s">
        <v>78</v>
      </c>
      <c r="G17" s="8" t="s">
        <v>47</v>
      </c>
      <c r="H17" s="9">
        <v>1020.78</v>
      </c>
      <c r="I17" s="9">
        <v>1020.78</v>
      </c>
      <c r="J17" s="7"/>
      <c r="K17" s="8" t="s">
        <v>63</v>
      </c>
      <c r="L17" s="8" t="s">
        <v>68</v>
      </c>
      <c r="M17" s="8" t="s">
        <v>69</v>
      </c>
      <c r="N17" s="8" t="s">
        <v>45</v>
      </c>
      <c r="O17" s="8"/>
      <c r="P17" s="8"/>
      <c r="Q17" s="9">
        <v>102.08</v>
      </c>
      <c r="R17" s="10" t="s">
        <v>93</v>
      </c>
    </row>
    <row r="18" spans="1:18" s="10" customFormat="1" ht="12.75" customHeight="1" x14ac:dyDescent="0.25">
      <c r="A18" s="7">
        <v>16509456</v>
      </c>
      <c r="B18" s="8" t="s">
        <v>75</v>
      </c>
      <c r="C18" s="7">
        <v>1536206</v>
      </c>
      <c r="D18" s="7" t="str">
        <f t="shared" si="3"/>
        <v>15362061</v>
      </c>
      <c r="E18" s="8" t="s">
        <v>84</v>
      </c>
      <c r="F18" s="8" t="s">
        <v>66</v>
      </c>
      <c r="G18" s="8" t="s">
        <v>39</v>
      </c>
      <c r="H18" s="9">
        <v>9.74</v>
      </c>
      <c r="I18" s="9">
        <v>9.74</v>
      </c>
      <c r="J18" s="7"/>
      <c r="K18" s="8" t="s">
        <v>63</v>
      </c>
      <c r="L18" s="8" t="s">
        <v>68</v>
      </c>
      <c r="M18" s="8" t="s">
        <v>69</v>
      </c>
      <c r="N18" s="8" t="s">
        <v>45</v>
      </c>
      <c r="O18" s="8"/>
      <c r="P18" s="8"/>
      <c r="Q18" s="9">
        <v>0.97</v>
      </c>
      <c r="R18" s="10" t="s">
        <v>93</v>
      </c>
    </row>
    <row r="19" spans="1:18" s="10" customFormat="1" ht="12.75" customHeight="1" x14ac:dyDescent="0.25">
      <c r="A19" s="7">
        <v>16509456</v>
      </c>
      <c r="B19" s="8" t="s">
        <v>75</v>
      </c>
      <c r="C19" s="7">
        <v>1536206</v>
      </c>
      <c r="D19" s="7" t="str">
        <f t="shared" si="3"/>
        <v>15362061</v>
      </c>
      <c r="E19" s="8" t="s">
        <v>84</v>
      </c>
      <c r="F19" s="8" t="s">
        <v>66</v>
      </c>
      <c r="G19" s="8" t="s">
        <v>47</v>
      </c>
      <c r="H19" s="9">
        <v>248.71</v>
      </c>
      <c r="I19" s="9">
        <v>248.71</v>
      </c>
      <c r="J19" s="7"/>
      <c r="K19" s="8" t="s">
        <v>63</v>
      </c>
      <c r="L19" s="8" t="s">
        <v>68</v>
      </c>
      <c r="M19" s="8" t="s">
        <v>69</v>
      </c>
      <c r="N19" s="8" t="s">
        <v>45</v>
      </c>
      <c r="O19" s="8"/>
      <c r="P19" s="8"/>
      <c r="Q19" s="9">
        <v>24.87</v>
      </c>
      <c r="R19" s="10" t="s">
        <v>93</v>
      </c>
    </row>
    <row r="20" spans="1:18" x14ac:dyDescent="0.2">
      <c r="Q20" s="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C876-E68F-4120-BC8F-B27E22AD1517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Data - 1</vt:lpstr>
      <vt:lpstr>Sheet1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2025-04-20T16:19:45Z</dcterms:created>
  <dcterms:modified xsi:type="dcterms:W3CDTF">2025-04-22T21:30:36Z</dcterms:modified>
</cp:coreProperties>
</file>