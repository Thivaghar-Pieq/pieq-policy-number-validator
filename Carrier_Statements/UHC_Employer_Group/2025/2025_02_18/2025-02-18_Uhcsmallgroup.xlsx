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2-18-25\"/>
    </mc:Choice>
  </mc:AlternateContent>
  <xr:revisionPtr revIDLastSave="0" documentId="13_ncr:1_{8B3287B1-83A9-4ED2-A751-D0609BBADCE8}" xr6:coauthVersionLast="47" xr6:coauthVersionMax="47" xr10:uidLastSave="{00000000-0000-0000-0000-000000000000}"/>
  <bookViews>
    <workbookView xWindow="28680" yWindow="-120" windowWidth="29040" windowHeight="16440" activeTab="1" xr2:uid="{AB2195A9-A223-4E3D-9528-50A666207334}"/>
  </bookViews>
  <sheets>
    <sheet name="Detail Data - 1" sheetId="1" r:id="rId1"/>
    <sheet name="Sheet1" sheetId="3" r:id="rId2"/>
    <sheet name="Sheet2" sheetId="4" r:id="rId3"/>
    <sheet name="Adjustment Data - 1" sheetId="2" r:id="rId4"/>
  </sheets>
  <calcPr calcId="181029"/>
</workbook>
</file>

<file path=xl/calcChain.xml><?xml version="1.0" encoding="utf-8"?>
<calcChain xmlns="http://schemas.openxmlformats.org/spreadsheetml/2006/main">
  <c r="B9" i="4" l="1"/>
  <c r="B10" i="4"/>
  <c r="B11" i="4"/>
  <c r="B12" i="4"/>
  <c r="B13" i="4"/>
  <c r="B8" i="4"/>
  <c r="B15" i="4"/>
  <c r="B16" i="4"/>
  <c r="B17" i="4"/>
  <c r="B18" i="4"/>
  <c r="B14" i="4"/>
  <c r="B24" i="4"/>
  <c r="B23" i="4"/>
  <c r="B22" i="4"/>
  <c r="B21" i="4"/>
  <c r="B20" i="4"/>
  <c r="B19" i="4"/>
  <c r="B2" i="4"/>
  <c r="B3" i="4"/>
  <c r="B4" i="4"/>
  <c r="B5" i="4"/>
  <c r="B6" i="4"/>
  <c r="B7" i="4"/>
  <c r="B1" i="4"/>
</calcChain>
</file>

<file path=xl/sharedStrings.xml><?xml version="1.0" encoding="utf-8"?>
<sst xmlns="http://schemas.openxmlformats.org/spreadsheetml/2006/main" count="770" uniqueCount="98">
  <si>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</si>
  <si>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</si>
  <si>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</si>
  <si>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</si>
  <si>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</si>
  <si>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</si>
  <si>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</si>
  <si>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</si>
  <si>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</si>
  <si>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</si>
  <si>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</si>
  <si>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</si>
  <si>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</si>
  <si>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</si>
  <si>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</si>
  <si>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</si>
  <si>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</si>
  <si>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</si>
  <si>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</si>
  <si>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</si>
  <si>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</si>
  <si>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</si>
  <si>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</si>
  <si>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</si>
  <si>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</si>
  <si>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</si>
  <si>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</si>
  <si>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</si>
  <si>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</si>
  <si>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02/05/2025</t>
  </si>
  <si>
    <t>02/18/2025</t>
  </si>
  <si>
    <t>Base Commission And Service Fee Detail</t>
  </si>
  <si>
    <t>Small Business</t>
  </si>
  <si>
    <t>New Business</t>
  </si>
  <si>
    <t>259418-02</t>
  </si>
  <si>
    <t>YALE, JACOB D</t>
  </si>
  <si>
    <t>NC Capital Partners LLC</t>
  </si>
  <si>
    <t>Med</t>
  </si>
  <si>
    <t>02/01/2025</t>
  </si>
  <si>
    <t>10</t>
  </si>
  <si>
    <t>V</t>
  </si>
  <si>
    <t>NC</t>
  </si>
  <si>
    <t>PEPM</t>
  </si>
  <si>
    <t>100%</t>
  </si>
  <si>
    <t>COMM</t>
  </si>
  <si>
    <t>Commercial</t>
  </si>
  <si>
    <t>5</t>
  </si>
  <si>
    <t>4</t>
  </si>
  <si>
    <t>233839-03</t>
  </si>
  <si>
    <t>YALE, RICHARD</t>
  </si>
  <si>
    <t>ESSENCE PAINTING AND RESTORATION INC</t>
  </si>
  <si>
    <t>12/01/2024</t>
  </si>
  <si>
    <t>IL</t>
  </si>
  <si>
    <t>FEE</t>
  </si>
  <si>
    <t>Level Funded</t>
  </si>
  <si>
    <t>Rhyno Manufacturing Inc</t>
  </si>
  <si>
    <t>33</t>
  </si>
  <si>
    <t>Renewal</t>
  </si>
  <si>
    <t>214956-04</t>
  </si>
  <si>
    <t>HOFFMANN, JASON R</t>
  </si>
  <si>
    <t>COURTELL CORP.</t>
  </si>
  <si>
    <t>1</t>
  </si>
  <si>
    <t>PA</t>
  </si>
  <si>
    <t>01X7600</t>
  </si>
  <si>
    <t>2</t>
  </si>
  <si>
    <t>Vis</t>
  </si>
  <si>
    <t>6</t>
  </si>
  <si>
    <t>POP</t>
  </si>
  <si>
    <t>10.00%</t>
  </si>
  <si>
    <t>La Cabra Brewing LLC</t>
  </si>
  <si>
    <t>PC Real Estate Services</t>
  </si>
  <si>
    <t>235415-02</t>
  </si>
  <si>
    <t>RICHTER, PETER LAURENCE K</t>
  </si>
  <si>
    <t>CONNECTION CHURCH</t>
  </si>
  <si>
    <t>Den</t>
  </si>
  <si>
    <t>7</t>
  </si>
  <si>
    <t>05L6214</t>
  </si>
  <si>
    <t>Libratum Counseling LLC</t>
  </si>
  <si>
    <t>01/01/2025</t>
  </si>
  <si>
    <t>-1</t>
  </si>
  <si>
    <t>TRIAD INSURANCE MANAGEMENT &amp; SERVICES AG</t>
  </si>
  <si>
    <t>11/01/2024</t>
  </si>
  <si>
    <t>07X9700</t>
  </si>
  <si>
    <t>13</t>
  </si>
  <si>
    <t>Adjustment Date</t>
  </si>
  <si>
    <t>Adjustment Description</t>
  </si>
  <si>
    <t>Adjustment Compensation Type</t>
  </si>
  <si>
    <t>Adjustment Business Type</t>
  </si>
  <si>
    <t>Adjustment Amount</t>
  </si>
  <si>
    <t>UHC SG PA choice</t>
  </si>
  <si>
    <t>UHC SG Dental/Vision</t>
  </si>
  <si>
    <t>UHC SG NC</t>
  </si>
  <si>
    <t>UHC SG IL</t>
  </si>
  <si>
    <t>[PMPM=10]</t>
  </si>
  <si>
    <t>[PMPM=5]</t>
  </si>
  <si>
    <t>[PMPM=4]</t>
  </si>
  <si>
    <t>[PMPM=33]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</si>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</sst>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Courier New"/>
      <family val="3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8" fontId="3" fillId="2" borderId="0" xfId="0" applyNumberFormat="1" applyFont="1" applyFill="1" applyAlignment="1">
      <alignment horizontal="left"/>
    </xf>
    <xf numFmtId="0" fontId="0" fillId="2" borderId="0" xfId="0" applyFill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8" fontId="7" fillId="0" borderId="0" xfId="0" applyNumberFormat="1" applyFont="1" applyAlignment="1">
      <alignment horizontal="left"/>
    </xf>
    <xf numFmtId="0" fontId="8" fillId="0" borderId="0" xfId="0" applyFont="1"/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32D1-8D27-4F97-8A0B-B582E6FBA33B}">
  <dimension ref="A1:AA25"/>
  <sheetViews>
    <sheetView topLeftCell="G1" workbookViewId="0">
      <selection activeCell="J2" sqref="J2:J25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22.42578125" bestFit="1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15">
        <v>1677591</v>
      </c>
      <c r="K2" s="2" t="s">
        <v>36</v>
      </c>
      <c r="L2" s="2" t="s">
        <v>37</v>
      </c>
      <c r="M2" s="2" t="s">
        <v>38</v>
      </c>
      <c r="N2" s="3">
        <v>9547.1</v>
      </c>
      <c r="O2" s="3">
        <v>9547.1</v>
      </c>
      <c r="P2" s="2" t="s">
        <v>39</v>
      </c>
      <c r="Q2" s="2" t="s">
        <v>40</v>
      </c>
      <c r="R2" s="2" t="s">
        <v>41</v>
      </c>
      <c r="S2" s="2" t="s">
        <v>42</v>
      </c>
      <c r="T2" s="3">
        <v>34</v>
      </c>
      <c r="U2" s="2" t="s">
        <v>43</v>
      </c>
      <c r="V2" s="2" t="s">
        <v>44</v>
      </c>
      <c r="W2" s="2" t="s">
        <v>45</v>
      </c>
      <c r="X2" s="2"/>
      <c r="Y2" s="2"/>
      <c r="Z2" s="3">
        <v>340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15">
        <v>1677591</v>
      </c>
      <c r="K3" s="2" t="s">
        <v>36</v>
      </c>
      <c r="L3" s="2" t="s">
        <v>37</v>
      </c>
      <c r="M3" s="2" t="s">
        <v>38</v>
      </c>
      <c r="N3" s="3">
        <v>3784.9</v>
      </c>
      <c r="O3" s="3">
        <v>3784.9</v>
      </c>
      <c r="P3" s="2" t="s">
        <v>46</v>
      </c>
      <c r="Q3" s="2" t="s">
        <v>40</v>
      </c>
      <c r="R3" s="2" t="s">
        <v>41</v>
      </c>
      <c r="S3" s="2" t="s">
        <v>42</v>
      </c>
      <c r="T3" s="3">
        <v>34</v>
      </c>
      <c r="U3" s="2" t="s">
        <v>43</v>
      </c>
      <c r="V3" s="2" t="s">
        <v>44</v>
      </c>
      <c r="W3" s="2" t="s">
        <v>45</v>
      </c>
      <c r="X3" s="2"/>
      <c r="Y3" s="2"/>
      <c r="Z3" s="3">
        <v>170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15">
        <v>1677591</v>
      </c>
      <c r="K4" s="2" t="s">
        <v>36</v>
      </c>
      <c r="L4" s="2" t="s">
        <v>37</v>
      </c>
      <c r="M4" s="2" t="s">
        <v>38</v>
      </c>
      <c r="N4" s="3">
        <v>2023.27</v>
      </c>
      <c r="O4" s="3">
        <v>2023.27</v>
      </c>
      <c r="P4" s="2" t="s">
        <v>47</v>
      </c>
      <c r="Q4" s="2" t="s">
        <v>40</v>
      </c>
      <c r="R4" s="2" t="s">
        <v>41</v>
      </c>
      <c r="S4" s="2" t="s">
        <v>42</v>
      </c>
      <c r="T4" s="3">
        <v>34</v>
      </c>
      <c r="U4" s="2" t="s">
        <v>43</v>
      </c>
      <c r="V4" s="2" t="s">
        <v>44</v>
      </c>
      <c r="W4" s="2" t="s">
        <v>45</v>
      </c>
      <c r="X4" s="2"/>
      <c r="Y4" s="2"/>
      <c r="Z4" s="3">
        <v>136</v>
      </c>
      <c r="AA4" s="2"/>
    </row>
    <row r="5" spans="1:27" s="10" customFormat="1" ht="12.75" customHeight="1" x14ac:dyDescent="0.25">
      <c r="A5" s="7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7" t="s">
        <v>48</v>
      </c>
      <c r="I5" s="7" t="s">
        <v>49</v>
      </c>
      <c r="J5" s="16">
        <v>1686981</v>
      </c>
      <c r="K5" s="7" t="s">
        <v>50</v>
      </c>
      <c r="L5" s="7" t="s">
        <v>37</v>
      </c>
      <c r="M5" s="7" t="s">
        <v>51</v>
      </c>
      <c r="N5" s="9">
        <v>-300</v>
      </c>
      <c r="O5" s="9">
        <v>-300</v>
      </c>
      <c r="P5" s="7" t="s">
        <v>47</v>
      </c>
      <c r="Q5" s="7" t="s">
        <v>40</v>
      </c>
      <c r="R5" s="7" t="s">
        <v>52</v>
      </c>
      <c r="S5" s="7" t="s">
        <v>42</v>
      </c>
      <c r="T5" s="9">
        <v>75</v>
      </c>
      <c r="U5" s="7" t="s">
        <v>43</v>
      </c>
      <c r="V5" s="7" t="s">
        <v>53</v>
      </c>
      <c r="W5" s="7" t="s">
        <v>54</v>
      </c>
      <c r="X5" s="9">
        <v>300</v>
      </c>
      <c r="Y5" s="9">
        <v>300</v>
      </c>
      <c r="Z5" s="9">
        <v>300</v>
      </c>
      <c r="AA5" s="7"/>
    </row>
    <row r="6" spans="1:27" s="10" customFormat="1" ht="12.75" customHeight="1" x14ac:dyDescent="0.25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33</v>
      </c>
      <c r="H6" s="7" t="s">
        <v>48</v>
      </c>
      <c r="I6" s="7" t="s">
        <v>49</v>
      </c>
      <c r="J6" s="16">
        <v>1686981</v>
      </c>
      <c r="K6" s="7" t="s">
        <v>50</v>
      </c>
      <c r="L6" s="7" t="s">
        <v>37</v>
      </c>
      <c r="M6" s="7" t="s">
        <v>38</v>
      </c>
      <c r="N6" s="9">
        <v>422.17</v>
      </c>
      <c r="O6" s="9">
        <v>422.17</v>
      </c>
      <c r="P6" s="7" t="s">
        <v>47</v>
      </c>
      <c r="Q6" s="7" t="s">
        <v>40</v>
      </c>
      <c r="R6" s="7" t="s">
        <v>52</v>
      </c>
      <c r="S6" s="7" t="s">
        <v>42</v>
      </c>
      <c r="T6" s="9">
        <v>75</v>
      </c>
      <c r="U6" s="7" t="s">
        <v>43</v>
      </c>
      <c r="V6" s="7" t="s">
        <v>53</v>
      </c>
      <c r="W6" s="7" t="s">
        <v>54</v>
      </c>
      <c r="X6" s="9">
        <v>300</v>
      </c>
      <c r="Y6" s="9">
        <v>300</v>
      </c>
      <c r="Z6" s="9">
        <v>300</v>
      </c>
      <c r="AA6" s="7"/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48</v>
      </c>
      <c r="I7" s="2" t="s">
        <v>49</v>
      </c>
      <c r="J7" s="15">
        <v>1719540</v>
      </c>
      <c r="K7" s="2" t="s">
        <v>55</v>
      </c>
      <c r="L7" s="2" t="s">
        <v>37</v>
      </c>
      <c r="M7" s="2" t="s">
        <v>51</v>
      </c>
      <c r="N7" s="3">
        <v>3022.64</v>
      </c>
      <c r="O7" s="3">
        <v>3022.64</v>
      </c>
      <c r="P7" s="2" t="s">
        <v>56</v>
      </c>
      <c r="Q7" s="2" t="s">
        <v>40</v>
      </c>
      <c r="R7" s="2" t="s">
        <v>52</v>
      </c>
      <c r="S7" s="2" t="s">
        <v>42</v>
      </c>
      <c r="T7" s="3">
        <v>75</v>
      </c>
      <c r="U7" s="2" t="s">
        <v>43</v>
      </c>
      <c r="V7" s="2" t="s">
        <v>53</v>
      </c>
      <c r="W7" s="2" t="s">
        <v>54</v>
      </c>
      <c r="X7" s="3">
        <v>2475</v>
      </c>
      <c r="Y7" s="3">
        <v>2475</v>
      </c>
      <c r="Z7" s="3">
        <v>2475</v>
      </c>
      <c r="AA7" s="2"/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57</v>
      </c>
      <c r="H8" s="2" t="s">
        <v>58</v>
      </c>
      <c r="I8" s="2" t="s">
        <v>59</v>
      </c>
      <c r="J8" s="15">
        <v>1583717</v>
      </c>
      <c r="K8" s="2" t="s">
        <v>60</v>
      </c>
      <c r="L8" s="2" t="s">
        <v>37</v>
      </c>
      <c r="M8" s="2" t="s">
        <v>38</v>
      </c>
      <c r="N8" s="3">
        <v>508.81</v>
      </c>
      <c r="O8" s="3">
        <v>508.81</v>
      </c>
      <c r="P8" s="2" t="s">
        <v>61</v>
      </c>
      <c r="Q8" s="2" t="s">
        <v>40</v>
      </c>
      <c r="R8" s="2" t="s">
        <v>62</v>
      </c>
      <c r="S8" s="2" t="s">
        <v>42</v>
      </c>
      <c r="T8" s="3">
        <v>41</v>
      </c>
      <c r="U8" s="2" t="s">
        <v>43</v>
      </c>
      <c r="V8" s="2" t="s">
        <v>44</v>
      </c>
      <c r="W8" s="2" t="s">
        <v>45</v>
      </c>
      <c r="X8" s="2"/>
      <c r="Y8" s="2"/>
      <c r="Z8" s="3">
        <v>41</v>
      </c>
      <c r="AA8" s="2" t="s">
        <v>63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57</v>
      </c>
      <c r="H9" s="2" t="s">
        <v>58</v>
      </c>
      <c r="I9" s="2" t="s">
        <v>59</v>
      </c>
      <c r="J9" s="15">
        <v>1583717</v>
      </c>
      <c r="K9" s="2" t="s">
        <v>60</v>
      </c>
      <c r="L9" s="2" t="s">
        <v>37</v>
      </c>
      <c r="M9" s="2" t="s">
        <v>38</v>
      </c>
      <c r="N9" s="3">
        <v>1735.7</v>
      </c>
      <c r="O9" s="3">
        <v>1735.7</v>
      </c>
      <c r="P9" s="2" t="s">
        <v>64</v>
      </c>
      <c r="Q9" s="2" t="s">
        <v>40</v>
      </c>
      <c r="R9" s="2" t="s">
        <v>62</v>
      </c>
      <c r="S9" s="2" t="s">
        <v>42</v>
      </c>
      <c r="T9" s="3">
        <v>41</v>
      </c>
      <c r="U9" s="2" t="s">
        <v>43</v>
      </c>
      <c r="V9" s="2" t="s">
        <v>44</v>
      </c>
      <c r="W9" s="2" t="s">
        <v>45</v>
      </c>
      <c r="X9" s="2"/>
      <c r="Y9" s="2"/>
      <c r="Z9" s="3">
        <v>82</v>
      </c>
      <c r="AA9" s="2" t="s">
        <v>63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57</v>
      </c>
      <c r="H10" s="2" t="s">
        <v>58</v>
      </c>
      <c r="I10" s="2" t="s">
        <v>59</v>
      </c>
      <c r="J10" s="15">
        <v>1583717</v>
      </c>
      <c r="K10" s="2" t="s">
        <v>60</v>
      </c>
      <c r="L10" s="2" t="s">
        <v>37</v>
      </c>
      <c r="M10" s="2" t="s">
        <v>38</v>
      </c>
      <c r="N10" s="3">
        <v>872.12</v>
      </c>
      <c r="O10" s="3">
        <v>872.12</v>
      </c>
      <c r="P10" s="2" t="s">
        <v>64</v>
      </c>
      <c r="Q10" s="2" t="s">
        <v>40</v>
      </c>
      <c r="R10" s="2" t="s">
        <v>62</v>
      </c>
      <c r="S10" s="2" t="s">
        <v>42</v>
      </c>
      <c r="T10" s="3">
        <v>41</v>
      </c>
      <c r="U10" s="2" t="s">
        <v>43</v>
      </c>
      <c r="V10" s="2" t="s">
        <v>44</v>
      </c>
      <c r="W10" s="2" t="s">
        <v>45</v>
      </c>
      <c r="X10" s="2"/>
      <c r="Y10" s="2"/>
      <c r="Z10" s="3">
        <v>82</v>
      </c>
      <c r="AA10" s="2" t="s">
        <v>63</v>
      </c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57</v>
      </c>
      <c r="H11" s="2" t="s">
        <v>58</v>
      </c>
      <c r="I11" s="2" t="s">
        <v>59</v>
      </c>
      <c r="J11" s="15">
        <v>1583717</v>
      </c>
      <c r="K11" s="2" t="s">
        <v>60</v>
      </c>
      <c r="L11" s="2" t="s">
        <v>65</v>
      </c>
      <c r="M11" s="2" t="s">
        <v>38</v>
      </c>
      <c r="N11" s="3">
        <v>56.88</v>
      </c>
      <c r="O11" s="3">
        <v>56.88</v>
      </c>
      <c r="P11" s="2" t="s">
        <v>66</v>
      </c>
      <c r="Q11" s="2" t="s">
        <v>40</v>
      </c>
      <c r="R11" s="2" t="s">
        <v>62</v>
      </c>
      <c r="S11" s="2" t="s">
        <v>67</v>
      </c>
      <c r="T11" s="2" t="s">
        <v>68</v>
      </c>
      <c r="U11" s="2" t="s">
        <v>43</v>
      </c>
      <c r="V11" s="2" t="s">
        <v>44</v>
      </c>
      <c r="W11" s="2" t="s">
        <v>45</v>
      </c>
      <c r="X11" s="2"/>
      <c r="Y11" s="2"/>
      <c r="Z11" s="3">
        <v>5.69</v>
      </c>
      <c r="AA11" s="2" t="s">
        <v>63</v>
      </c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57</v>
      </c>
      <c r="H12" s="2" t="s">
        <v>58</v>
      </c>
      <c r="I12" s="2" t="s">
        <v>59</v>
      </c>
      <c r="J12" s="15">
        <v>1500970</v>
      </c>
      <c r="K12" s="2" t="s">
        <v>69</v>
      </c>
      <c r="L12" s="2" t="s">
        <v>37</v>
      </c>
      <c r="M12" s="2" t="s">
        <v>38</v>
      </c>
      <c r="N12" s="3">
        <v>1941.93</v>
      </c>
      <c r="O12" s="3">
        <v>1941.93</v>
      </c>
      <c r="P12" s="2" t="s">
        <v>47</v>
      </c>
      <c r="Q12" s="2" t="s">
        <v>40</v>
      </c>
      <c r="R12" s="2" t="s">
        <v>62</v>
      </c>
      <c r="S12" s="2" t="s">
        <v>42</v>
      </c>
      <c r="T12" s="3">
        <v>41</v>
      </c>
      <c r="U12" s="2" t="s">
        <v>43</v>
      </c>
      <c r="V12" s="2" t="s">
        <v>44</v>
      </c>
      <c r="W12" s="2" t="s">
        <v>45</v>
      </c>
      <c r="X12" s="2"/>
      <c r="Y12" s="2"/>
      <c r="Z12" s="3">
        <v>164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57</v>
      </c>
      <c r="H13" s="2" t="s">
        <v>58</v>
      </c>
      <c r="I13" s="2" t="s">
        <v>59</v>
      </c>
      <c r="J13" s="15">
        <v>1452681</v>
      </c>
      <c r="K13" s="2" t="s">
        <v>70</v>
      </c>
      <c r="L13" s="2" t="s">
        <v>37</v>
      </c>
      <c r="M13" s="2" t="s">
        <v>38</v>
      </c>
      <c r="N13" s="3">
        <v>2917.09</v>
      </c>
      <c r="O13" s="3">
        <v>2917.09</v>
      </c>
      <c r="P13" s="2" t="s">
        <v>64</v>
      </c>
      <c r="Q13" s="2" t="s">
        <v>40</v>
      </c>
      <c r="R13" s="2" t="s">
        <v>62</v>
      </c>
      <c r="S13" s="2" t="s">
        <v>42</v>
      </c>
      <c r="T13" s="3">
        <v>41</v>
      </c>
      <c r="U13" s="2" t="s">
        <v>43</v>
      </c>
      <c r="V13" s="2" t="s">
        <v>44</v>
      </c>
      <c r="W13" s="2" t="s">
        <v>45</v>
      </c>
      <c r="X13" s="2"/>
      <c r="Y13" s="2"/>
      <c r="Z13" s="3">
        <v>82</v>
      </c>
      <c r="AA13" s="2"/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57</v>
      </c>
      <c r="H14" s="2" t="s">
        <v>71</v>
      </c>
      <c r="I14" s="2" t="s">
        <v>72</v>
      </c>
      <c r="J14" s="15">
        <v>1498389</v>
      </c>
      <c r="K14" s="2" t="s">
        <v>73</v>
      </c>
      <c r="L14" s="2" t="s">
        <v>74</v>
      </c>
      <c r="M14" s="2" t="s">
        <v>38</v>
      </c>
      <c r="N14" s="3">
        <v>1221.94</v>
      </c>
      <c r="O14" s="3">
        <v>1221.94</v>
      </c>
      <c r="P14" s="2" t="s">
        <v>75</v>
      </c>
      <c r="Q14" s="2" t="s">
        <v>40</v>
      </c>
      <c r="R14" s="2" t="s">
        <v>62</v>
      </c>
      <c r="S14" s="2" t="s">
        <v>67</v>
      </c>
      <c r="T14" s="2" t="s">
        <v>68</v>
      </c>
      <c r="U14" s="2" t="s">
        <v>43</v>
      </c>
      <c r="V14" s="2" t="s">
        <v>44</v>
      </c>
      <c r="W14" s="2" t="s">
        <v>45</v>
      </c>
      <c r="X14" s="2"/>
      <c r="Y14" s="2"/>
      <c r="Z14" s="3">
        <v>122.19</v>
      </c>
      <c r="AA14" s="2" t="s">
        <v>76</v>
      </c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57</v>
      </c>
      <c r="H15" s="2" t="s">
        <v>71</v>
      </c>
      <c r="I15" s="2" t="s">
        <v>72</v>
      </c>
      <c r="J15" s="15">
        <v>1498389</v>
      </c>
      <c r="K15" s="2" t="s">
        <v>73</v>
      </c>
      <c r="L15" s="2" t="s">
        <v>65</v>
      </c>
      <c r="M15" s="2" t="s">
        <v>38</v>
      </c>
      <c r="N15" s="3">
        <v>105.68</v>
      </c>
      <c r="O15" s="3">
        <v>105.68</v>
      </c>
      <c r="P15" s="2" t="s">
        <v>75</v>
      </c>
      <c r="Q15" s="2" t="s">
        <v>40</v>
      </c>
      <c r="R15" s="2" t="s">
        <v>62</v>
      </c>
      <c r="S15" s="2" t="s">
        <v>67</v>
      </c>
      <c r="T15" s="2" t="s">
        <v>68</v>
      </c>
      <c r="U15" s="2" t="s">
        <v>43</v>
      </c>
      <c r="V15" s="2" t="s">
        <v>44</v>
      </c>
      <c r="W15" s="2" t="s">
        <v>45</v>
      </c>
      <c r="X15" s="2"/>
      <c r="Y15" s="2"/>
      <c r="Z15" s="3">
        <v>10.57</v>
      </c>
      <c r="AA15" s="2" t="s">
        <v>76</v>
      </c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57</v>
      </c>
      <c r="H16" s="2" t="s">
        <v>71</v>
      </c>
      <c r="I16" s="2" t="s">
        <v>72</v>
      </c>
      <c r="J16" s="15">
        <v>1614180</v>
      </c>
      <c r="K16" s="2" t="s">
        <v>77</v>
      </c>
      <c r="L16" s="2" t="s">
        <v>74</v>
      </c>
      <c r="M16" s="2" t="s">
        <v>78</v>
      </c>
      <c r="N16" s="3">
        <v>-37.340000000000003</v>
      </c>
      <c r="O16" s="3">
        <v>-37.340000000000003</v>
      </c>
      <c r="P16" s="2" t="s">
        <v>79</v>
      </c>
      <c r="Q16" s="2" t="s">
        <v>40</v>
      </c>
      <c r="R16" s="2" t="s">
        <v>62</v>
      </c>
      <c r="S16" s="2" t="s">
        <v>67</v>
      </c>
      <c r="T16" s="2" t="s">
        <v>68</v>
      </c>
      <c r="U16" s="2" t="s">
        <v>43</v>
      </c>
      <c r="V16" s="2" t="s">
        <v>44</v>
      </c>
      <c r="W16" s="2" t="s">
        <v>45</v>
      </c>
      <c r="X16" s="2"/>
      <c r="Y16" s="2"/>
      <c r="Z16" s="3">
        <v>-3.73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57</v>
      </c>
      <c r="H17" s="2" t="s">
        <v>71</v>
      </c>
      <c r="I17" s="2" t="s">
        <v>72</v>
      </c>
      <c r="J17" s="15">
        <v>1614180</v>
      </c>
      <c r="K17" s="2" t="s">
        <v>77</v>
      </c>
      <c r="L17" s="2" t="s">
        <v>74</v>
      </c>
      <c r="M17" s="2" t="s">
        <v>38</v>
      </c>
      <c r="N17" s="3">
        <v>74.680000000000007</v>
      </c>
      <c r="O17" s="3">
        <v>74.680000000000007</v>
      </c>
      <c r="P17" s="2" t="s">
        <v>64</v>
      </c>
      <c r="Q17" s="2" t="s">
        <v>40</v>
      </c>
      <c r="R17" s="2" t="s">
        <v>62</v>
      </c>
      <c r="S17" s="2" t="s">
        <v>67</v>
      </c>
      <c r="T17" s="2" t="s">
        <v>68</v>
      </c>
      <c r="U17" s="2" t="s">
        <v>43</v>
      </c>
      <c r="V17" s="2" t="s">
        <v>44</v>
      </c>
      <c r="W17" s="2" t="s">
        <v>45</v>
      </c>
      <c r="X17" s="2"/>
      <c r="Y17" s="2"/>
      <c r="Z17" s="3">
        <v>7.47</v>
      </c>
      <c r="AA17" s="2"/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57</v>
      </c>
      <c r="H18" s="2" t="s">
        <v>71</v>
      </c>
      <c r="I18" s="2" t="s">
        <v>72</v>
      </c>
      <c r="J18" s="15">
        <v>1536206</v>
      </c>
      <c r="K18" s="2" t="s">
        <v>80</v>
      </c>
      <c r="L18" s="2" t="s">
        <v>74</v>
      </c>
      <c r="M18" s="2" t="s">
        <v>81</v>
      </c>
      <c r="N18" s="3">
        <v>-40.090000000000003</v>
      </c>
      <c r="O18" s="3">
        <v>-40.090000000000003</v>
      </c>
      <c r="P18" s="2" t="s">
        <v>79</v>
      </c>
      <c r="Q18" s="2" t="s">
        <v>40</v>
      </c>
      <c r="R18" s="2" t="s">
        <v>62</v>
      </c>
      <c r="S18" s="2" t="s">
        <v>67</v>
      </c>
      <c r="T18" s="2" t="s">
        <v>68</v>
      </c>
      <c r="U18" s="2" t="s">
        <v>43</v>
      </c>
      <c r="V18" s="2" t="s">
        <v>44</v>
      </c>
      <c r="W18" s="2" t="s">
        <v>45</v>
      </c>
      <c r="X18" s="2"/>
      <c r="Y18" s="2"/>
      <c r="Z18" s="3">
        <v>-4.01</v>
      </c>
      <c r="AA18" s="2" t="s">
        <v>82</v>
      </c>
    </row>
    <row r="19" spans="1:27" ht="12.75" customHeigh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57</v>
      </c>
      <c r="H19" s="2" t="s">
        <v>71</v>
      </c>
      <c r="I19" s="2" t="s">
        <v>72</v>
      </c>
      <c r="J19" s="15">
        <v>1536206</v>
      </c>
      <c r="K19" s="2" t="s">
        <v>80</v>
      </c>
      <c r="L19" s="2" t="s">
        <v>74</v>
      </c>
      <c r="M19" s="2" t="s">
        <v>51</v>
      </c>
      <c r="N19" s="3">
        <v>-40.090000000000003</v>
      </c>
      <c r="O19" s="3">
        <v>-40.090000000000003</v>
      </c>
      <c r="P19" s="2" t="s">
        <v>79</v>
      </c>
      <c r="Q19" s="2" t="s">
        <v>40</v>
      </c>
      <c r="R19" s="2" t="s">
        <v>62</v>
      </c>
      <c r="S19" s="2" t="s">
        <v>67</v>
      </c>
      <c r="T19" s="2" t="s">
        <v>68</v>
      </c>
      <c r="U19" s="2" t="s">
        <v>43</v>
      </c>
      <c r="V19" s="2" t="s">
        <v>44</v>
      </c>
      <c r="W19" s="2" t="s">
        <v>45</v>
      </c>
      <c r="X19" s="2"/>
      <c r="Y19" s="2"/>
      <c r="Z19" s="3">
        <v>-4.01</v>
      </c>
      <c r="AA19" s="2" t="s">
        <v>82</v>
      </c>
    </row>
    <row r="20" spans="1:27" ht="12.75" customHeight="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57</v>
      </c>
      <c r="H20" s="2" t="s">
        <v>71</v>
      </c>
      <c r="I20" s="2" t="s">
        <v>72</v>
      </c>
      <c r="J20" s="15">
        <v>1536206</v>
      </c>
      <c r="K20" s="2" t="s">
        <v>80</v>
      </c>
      <c r="L20" s="2" t="s">
        <v>74</v>
      </c>
      <c r="M20" s="2" t="s">
        <v>78</v>
      </c>
      <c r="N20" s="3">
        <v>-40.090000000000003</v>
      </c>
      <c r="O20" s="3">
        <v>-40.090000000000003</v>
      </c>
      <c r="P20" s="2" t="s">
        <v>79</v>
      </c>
      <c r="Q20" s="2" t="s">
        <v>40</v>
      </c>
      <c r="R20" s="2" t="s">
        <v>62</v>
      </c>
      <c r="S20" s="2" t="s">
        <v>67</v>
      </c>
      <c r="T20" s="2" t="s">
        <v>68</v>
      </c>
      <c r="U20" s="2" t="s">
        <v>43</v>
      </c>
      <c r="V20" s="2" t="s">
        <v>44</v>
      </c>
      <c r="W20" s="2" t="s">
        <v>45</v>
      </c>
      <c r="X20" s="2"/>
      <c r="Y20" s="2"/>
      <c r="Z20" s="3">
        <v>-4.01</v>
      </c>
      <c r="AA20" s="2" t="s">
        <v>82</v>
      </c>
    </row>
    <row r="21" spans="1:27" ht="12.75" customHeight="1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57</v>
      </c>
      <c r="H21" s="2" t="s">
        <v>71</v>
      </c>
      <c r="I21" s="2" t="s">
        <v>72</v>
      </c>
      <c r="J21" s="15">
        <v>1536206</v>
      </c>
      <c r="K21" s="2" t="s">
        <v>80</v>
      </c>
      <c r="L21" s="2" t="s">
        <v>74</v>
      </c>
      <c r="M21" s="2" t="s">
        <v>38</v>
      </c>
      <c r="N21" s="3">
        <v>1025.24</v>
      </c>
      <c r="O21" s="3">
        <v>1025.24</v>
      </c>
      <c r="P21" s="2" t="s">
        <v>83</v>
      </c>
      <c r="Q21" s="2" t="s">
        <v>40</v>
      </c>
      <c r="R21" s="2" t="s">
        <v>62</v>
      </c>
      <c r="S21" s="2" t="s">
        <v>67</v>
      </c>
      <c r="T21" s="2" t="s">
        <v>68</v>
      </c>
      <c r="U21" s="2" t="s">
        <v>43</v>
      </c>
      <c r="V21" s="2" t="s">
        <v>44</v>
      </c>
      <c r="W21" s="2" t="s">
        <v>45</v>
      </c>
      <c r="X21" s="2"/>
      <c r="Y21" s="2"/>
      <c r="Z21" s="3">
        <v>102.52</v>
      </c>
      <c r="AA21" s="2" t="s">
        <v>82</v>
      </c>
    </row>
    <row r="22" spans="1:27" ht="12.75" customHeight="1" x14ac:dyDescent="0.25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57</v>
      </c>
      <c r="H22" s="2" t="s">
        <v>71</v>
      </c>
      <c r="I22" s="2" t="s">
        <v>72</v>
      </c>
      <c r="J22" s="15">
        <v>1536206</v>
      </c>
      <c r="K22" s="2" t="s">
        <v>80</v>
      </c>
      <c r="L22" s="2" t="s">
        <v>65</v>
      </c>
      <c r="M22" s="2" t="s">
        <v>81</v>
      </c>
      <c r="N22" s="3">
        <v>-9.74</v>
      </c>
      <c r="O22" s="3">
        <v>-9.74</v>
      </c>
      <c r="P22" s="2" t="s">
        <v>79</v>
      </c>
      <c r="Q22" s="2" t="s">
        <v>40</v>
      </c>
      <c r="R22" s="2" t="s">
        <v>62</v>
      </c>
      <c r="S22" s="2" t="s">
        <v>67</v>
      </c>
      <c r="T22" s="2" t="s">
        <v>68</v>
      </c>
      <c r="U22" s="2" t="s">
        <v>43</v>
      </c>
      <c r="V22" s="2" t="s">
        <v>44</v>
      </c>
      <c r="W22" s="2" t="s">
        <v>45</v>
      </c>
      <c r="X22" s="2"/>
      <c r="Y22" s="2"/>
      <c r="Z22" s="3">
        <v>-0.97</v>
      </c>
      <c r="AA22" s="2" t="s">
        <v>82</v>
      </c>
    </row>
    <row r="23" spans="1:27" ht="12.75" customHeight="1" x14ac:dyDescent="0.2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57</v>
      </c>
      <c r="H23" s="2" t="s">
        <v>71</v>
      </c>
      <c r="I23" s="2" t="s">
        <v>72</v>
      </c>
      <c r="J23" s="15">
        <v>1536206</v>
      </c>
      <c r="K23" s="2" t="s">
        <v>80</v>
      </c>
      <c r="L23" s="2" t="s">
        <v>65</v>
      </c>
      <c r="M23" s="2" t="s">
        <v>51</v>
      </c>
      <c r="N23" s="3">
        <v>-9.74</v>
      </c>
      <c r="O23" s="3">
        <v>-9.74</v>
      </c>
      <c r="P23" s="2" t="s">
        <v>79</v>
      </c>
      <c r="Q23" s="2" t="s">
        <v>40</v>
      </c>
      <c r="R23" s="2" t="s">
        <v>62</v>
      </c>
      <c r="S23" s="2" t="s">
        <v>67</v>
      </c>
      <c r="T23" s="2" t="s">
        <v>68</v>
      </c>
      <c r="U23" s="2" t="s">
        <v>43</v>
      </c>
      <c r="V23" s="2" t="s">
        <v>44</v>
      </c>
      <c r="W23" s="2" t="s">
        <v>45</v>
      </c>
      <c r="X23" s="2"/>
      <c r="Y23" s="2"/>
      <c r="Z23" s="3">
        <v>-0.97</v>
      </c>
      <c r="AA23" s="2" t="s">
        <v>82</v>
      </c>
    </row>
    <row r="24" spans="1:27" ht="12.75" customHeight="1" x14ac:dyDescent="0.25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57</v>
      </c>
      <c r="H24" s="2" t="s">
        <v>71</v>
      </c>
      <c r="I24" s="2" t="s">
        <v>72</v>
      </c>
      <c r="J24" s="15">
        <v>1536206</v>
      </c>
      <c r="K24" s="2" t="s">
        <v>80</v>
      </c>
      <c r="L24" s="2" t="s">
        <v>65</v>
      </c>
      <c r="M24" s="2" t="s">
        <v>78</v>
      </c>
      <c r="N24" s="3">
        <v>-9.74</v>
      </c>
      <c r="O24" s="3">
        <v>-9.74</v>
      </c>
      <c r="P24" s="2" t="s">
        <v>79</v>
      </c>
      <c r="Q24" s="2" t="s">
        <v>40</v>
      </c>
      <c r="R24" s="2" t="s">
        <v>62</v>
      </c>
      <c r="S24" s="2" t="s">
        <v>67</v>
      </c>
      <c r="T24" s="2" t="s">
        <v>68</v>
      </c>
      <c r="U24" s="2" t="s">
        <v>43</v>
      </c>
      <c r="V24" s="2" t="s">
        <v>44</v>
      </c>
      <c r="W24" s="2" t="s">
        <v>45</v>
      </c>
      <c r="X24" s="2"/>
      <c r="Y24" s="2"/>
      <c r="Z24" s="3">
        <v>-0.97</v>
      </c>
      <c r="AA24" s="2" t="s">
        <v>82</v>
      </c>
    </row>
    <row r="25" spans="1:27" ht="12.75" customHeight="1" x14ac:dyDescent="0.2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57</v>
      </c>
      <c r="H25" s="2" t="s">
        <v>71</v>
      </c>
      <c r="I25" s="2" t="s">
        <v>72</v>
      </c>
      <c r="J25" s="15">
        <v>1536206</v>
      </c>
      <c r="K25" s="2" t="s">
        <v>80</v>
      </c>
      <c r="L25" s="2" t="s">
        <v>65</v>
      </c>
      <c r="M25" s="2" t="s">
        <v>38</v>
      </c>
      <c r="N25" s="3">
        <v>250.98</v>
      </c>
      <c r="O25" s="3">
        <v>250.98</v>
      </c>
      <c r="P25" s="2" t="s">
        <v>83</v>
      </c>
      <c r="Q25" s="2" t="s">
        <v>40</v>
      </c>
      <c r="R25" s="2" t="s">
        <v>62</v>
      </c>
      <c r="S25" s="2" t="s">
        <v>67</v>
      </c>
      <c r="T25" s="2" t="s">
        <v>68</v>
      </c>
      <c r="U25" s="2" t="s">
        <v>43</v>
      </c>
      <c r="V25" s="2" t="s">
        <v>44</v>
      </c>
      <c r="W25" s="2" t="s">
        <v>45</v>
      </c>
      <c r="X25" s="2"/>
      <c r="Y25" s="2"/>
      <c r="Z25" s="3">
        <v>25.1</v>
      </c>
      <c r="AA25" s="2" t="s">
        <v>82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8D63-DB79-4492-9C70-5C96D774F0F3}">
  <dimension ref="A1:T25"/>
  <sheetViews>
    <sheetView tabSelected="1" topLeftCell="B1" workbookViewId="0">
      <selection activeCell="E12" sqref="E12"/>
    </sheetView>
  </sheetViews>
  <sheetFormatPr defaultRowHeight="12.75" x14ac:dyDescent="0.2"/>
  <cols>
    <col min="1" max="1" width="17" customWidth="1"/>
    <col min="2" max="2" width="25.140625" customWidth="1"/>
    <col min="3" max="3" width="30.42578125" customWidth="1"/>
    <col min="4" max="5" width="18.85546875" customWidth="1"/>
    <col min="6" max="6" width="24.28515625" customWidth="1"/>
    <col min="7" max="7" width="22.7109375" customWidth="1"/>
    <col min="8" max="8" width="27.140625" customWidth="1"/>
    <col min="9" max="9" width="23.140625" customWidth="1"/>
    <col min="10" max="10" width="21.42578125" customWidth="1"/>
    <col min="11" max="11" width="35" customWidth="1"/>
    <col min="12" max="12" width="17.5703125" customWidth="1"/>
    <col min="13" max="13" width="9" bestFit="1" customWidth="1"/>
    <col min="14" max="14" width="21.85546875" customWidth="1"/>
    <col min="15" max="15" width="27.5703125" customWidth="1"/>
    <col min="16" max="16" width="40.28515625" customWidth="1"/>
    <col min="17" max="17" width="19.7109375" customWidth="1"/>
    <col min="18" max="18" width="20" bestFit="1" customWidth="1"/>
    <col min="19" max="19" width="11" bestFit="1" customWidth="1"/>
  </cols>
  <sheetData>
    <row r="1" spans="1:20" ht="12.75" customHeight="1" x14ac:dyDescent="0.35">
      <c r="A1" s="1" t="s">
        <v>6</v>
      </c>
      <c r="B1" s="1" t="s">
        <v>7</v>
      </c>
      <c r="C1" s="1" t="s">
        <v>8</v>
      </c>
      <c r="D1" s="1" t="s">
        <v>9</v>
      </c>
      <c r="E1" s="1"/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19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20" s="10" customFormat="1" ht="12.75" customHeight="1" x14ac:dyDescent="0.25">
      <c r="A2" s="7" t="s">
        <v>57</v>
      </c>
      <c r="B2" s="8">
        <v>16509456</v>
      </c>
      <c r="C2" s="7" t="s">
        <v>72</v>
      </c>
      <c r="D2" s="8">
        <v>1498389</v>
      </c>
      <c r="E2" s="8">
        <v>14983891</v>
      </c>
      <c r="F2" s="7" t="s">
        <v>73</v>
      </c>
      <c r="G2" s="7" t="s">
        <v>74</v>
      </c>
      <c r="H2" s="7" t="s">
        <v>38</v>
      </c>
      <c r="I2" s="9">
        <v>1221.94</v>
      </c>
      <c r="J2" s="9">
        <v>1221.94</v>
      </c>
      <c r="K2" s="7" t="s">
        <v>75</v>
      </c>
      <c r="L2" s="7" t="s">
        <v>62</v>
      </c>
      <c r="M2" s="7" t="s">
        <v>68</v>
      </c>
      <c r="N2" s="7" t="s">
        <v>45</v>
      </c>
      <c r="O2" s="7"/>
      <c r="P2" s="7"/>
      <c r="Q2" s="9">
        <v>122.19</v>
      </c>
      <c r="R2" s="10" t="s">
        <v>90</v>
      </c>
    </row>
    <row r="3" spans="1:20" s="10" customFormat="1" ht="12.75" customHeight="1" x14ac:dyDescent="0.25">
      <c r="A3" s="7" t="s">
        <v>57</v>
      </c>
      <c r="B3" s="8">
        <v>16509456</v>
      </c>
      <c r="C3" s="7" t="s">
        <v>72</v>
      </c>
      <c r="D3" s="8">
        <v>1498390</v>
      </c>
      <c r="E3" s="8">
        <v>14983901</v>
      </c>
      <c r="F3" s="7" t="s">
        <v>77</v>
      </c>
      <c r="G3" s="7" t="s">
        <v>74</v>
      </c>
      <c r="H3" s="7" t="s">
        <v>78</v>
      </c>
      <c r="I3" s="9">
        <v>-37.340000000000003</v>
      </c>
      <c r="J3" s="9">
        <v>-37.340000000000003</v>
      </c>
      <c r="K3" s="7" t="s">
        <v>79</v>
      </c>
      <c r="L3" s="7" t="s">
        <v>62</v>
      </c>
      <c r="M3" s="7" t="s">
        <v>68</v>
      </c>
      <c r="N3" s="7" t="s">
        <v>45</v>
      </c>
      <c r="O3" s="7"/>
      <c r="P3" s="7"/>
      <c r="Q3" s="9">
        <v>-3.73</v>
      </c>
      <c r="R3" s="10" t="s">
        <v>90</v>
      </c>
    </row>
    <row r="4" spans="1:20" s="10" customFormat="1" ht="12.75" customHeight="1" x14ac:dyDescent="0.25">
      <c r="A4" s="7" t="s">
        <v>57</v>
      </c>
      <c r="B4" s="8">
        <v>16509456</v>
      </c>
      <c r="C4" s="7" t="s">
        <v>72</v>
      </c>
      <c r="D4" s="8">
        <v>1498391</v>
      </c>
      <c r="E4" s="8">
        <v>14983911</v>
      </c>
      <c r="F4" s="7" t="s">
        <v>77</v>
      </c>
      <c r="G4" s="7" t="s">
        <v>74</v>
      </c>
      <c r="H4" s="7" t="s">
        <v>38</v>
      </c>
      <c r="I4" s="9">
        <v>74.680000000000007</v>
      </c>
      <c r="J4" s="9">
        <v>74.680000000000007</v>
      </c>
      <c r="K4" s="7" t="s">
        <v>64</v>
      </c>
      <c r="L4" s="7" t="s">
        <v>62</v>
      </c>
      <c r="M4" s="7" t="s">
        <v>68</v>
      </c>
      <c r="N4" s="7" t="s">
        <v>45</v>
      </c>
      <c r="O4" s="7"/>
      <c r="P4" s="7"/>
      <c r="Q4" s="9">
        <v>7.47</v>
      </c>
      <c r="R4" s="10" t="s">
        <v>90</v>
      </c>
    </row>
    <row r="5" spans="1:20" s="10" customFormat="1" ht="12.75" customHeight="1" x14ac:dyDescent="0.25">
      <c r="A5" s="7" t="s">
        <v>57</v>
      </c>
      <c r="B5" s="8">
        <v>16509456</v>
      </c>
      <c r="C5" s="7" t="s">
        <v>72</v>
      </c>
      <c r="D5" s="8">
        <v>1498392</v>
      </c>
      <c r="E5" s="8">
        <v>14983921</v>
      </c>
      <c r="F5" s="7" t="s">
        <v>80</v>
      </c>
      <c r="G5" s="7" t="s">
        <v>74</v>
      </c>
      <c r="H5" s="7" t="s">
        <v>81</v>
      </c>
      <c r="I5" s="9">
        <v>-40.090000000000003</v>
      </c>
      <c r="J5" s="9">
        <v>-40.090000000000003</v>
      </c>
      <c r="K5" s="7" t="s">
        <v>79</v>
      </c>
      <c r="L5" s="7" t="s">
        <v>62</v>
      </c>
      <c r="M5" s="7" t="s">
        <v>68</v>
      </c>
      <c r="N5" s="7" t="s">
        <v>45</v>
      </c>
      <c r="O5" s="7"/>
      <c r="P5" s="7"/>
      <c r="Q5" s="9">
        <v>-4.01</v>
      </c>
      <c r="R5" s="10" t="s">
        <v>90</v>
      </c>
    </row>
    <row r="6" spans="1:20" s="10" customFormat="1" ht="12.75" customHeight="1" x14ac:dyDescent="0.25">
      <c r="A6" s="7" t="s">
        <v>57</v>
      </c>
      <c r="B6" s="8">
        <v>16509456</v>
      </c>
      <c r="C6" s="7" t="s">
        <v>72</v>
      </c>
      <c r="D6" s="8">
        <v>1498393</v>
      </c>
      <c r="E6" s="8">
        <v>14983931</v>
      </c>
      <c r="F6" s="7" t="s">
        <v>80</v>
      </c>
      <c r="G6" s="7" t="s">
        <v>74</v>
      </c>
      <c r="H6" s="7" t="s">
        <v>51</v>
      </c>
      <c r="I6" s="9">
        <v>-40.090000000000003</v>
      </c>
      <c r="J6" s="9">
        <v>-40.090000000000003</v>
      </c>
      <c r="K6" s="7" t="s">
        <v>79</v>
      </c>
      <c r="L6" s="7" t="s">
        <v>62</v>
      </c>
      <c r="M6" s="7" t="s">
        <v>68</v>
      </c>
      <c r="N6" s="7" t="s">
        <v>45</v>
      </c>
      <c r="O6" s="7"/>
      <c r="P6" s="7"/>
      <c r="Q6" s="9">
        <v>-4.01</v>
      </c>
      <c r="R6" s="10" t="s">
        <v>90</v>
      </c>
    </row>
    <row r="7" spans="1:20" s="10" customFormat="1" ht="12.75" customHeight="1" x14ac:dyDescent="0.25">
      <c r="A7" s="7" t="s">
        <v>57</v>
      </c>
      <c r="B7" s="8">
        <v>16509456</v>
      </c>
      <c r="C7" s="7" t="s">
        <v>72</v>
      </c>
      <c r="D7" s="8">
        <v>1498394</v>
      </c>
      <c r="E7" s="8">
        <v>14983941</v>
      </c>
      <c r="F7" s="7" t="s">
        <v>80</v>
      </c>
      <c r="G7" s="7" t="s">
        <v>74</v>
      </c>
      <c r="H7" s="7" t="s">
        <v>78</v>
      </c>
      <c r="I7" s="9">
        <v>-40.090000000000003</v>
      </c>
      <c r="J7" s="9">
        <v>-40.090000000000003</v>
      </c>
      <c r="K7" s="7" t="s">
        <v>79</v>
      </c>
      <c r="L7" s="7" t="s">
        <v>62</v>
      </c>
      <c r="M7" s="7" t="s">
        <v>68</v>
      </c>
      <c r="N7" s="7" t="s">
        <v>45</v>
      </c>
      <c r="O7" s="7"/>
      <c r="P7" s="7"/>
      <c r="Q7" s="9">
        <v>-4.01</v>
      </c>
      <c r="R7" s="10" t="s">
        <v>90</v>
      </c>
    </row>
    <row r="8" spans="1:20" s="10" customFormat="1" ht="12.75" customHeight="1" x14ac:dyDescent="0.25">
      <c r="A8" s="7" t="s">
        <v>57</v>
      </c>
      <c r="B8" s="8">
        <v>16509456</v>
      </c>
      <c r="C8" s="7" t="s">
        <v>72</v>
      </c>
      <c r="D8" s="8">
        <v>1498395</v>
      </c>
      <c r="E8" s="8">
        <v>14983951</v>
      </c>
      <c r="F8" s="7" t="s">
        <v>80</v>
      </c>
      <c r="G8" s="7" t="s">
        <v>74</v>
      </c>
      <c r="H8" s="7" t="s">
        <v>38</v>
      </c>
      <c r="I8" s="9">
        <v>1025.24</v>
      </c>
      <c r="J8" s="9">
        <v>1025.24</v>
      </c>
      <c r="K8" s="7" t="s">
        <v>83</v>
      </c>
      <c r="L8" s="7" t="s">
        <v>62</v>
      </c>
      <c r="M8" s="7" t="s">
        <v>68</v>
      </c>
      <c r="N8" s="7" t="s">
        <v>45</v>
      </c>
      <c r="O8" s="7"/>
      <c r="P8" s="7"/>
      <c r="Q8" s="9">
        <v>102.52</v>
      </c>
      <c r="R8" s="10" t="s">
        <v>90</v>
      </c>
    </row>
    <row r="9" spans="1:20" ht="12.75" customHeight="1" x14ac:dyDescent="0.25">
      <c r="A9" s="2" t="s">
        <v>33</v>
      </c>
      <c r="B9" s="6">
        <v>18754354</v>
      </c>
      <c r="C9" s="2" t="s">
        <v>35</v>
      </c>
      <c r="D9" s="6">
        <v>1498396</v>
      </c>
      <c r="E9" s="6">
        <v>14983963</v>
      </c>
      <c r="F9" s="2" t="s">
        <v>36</v>
      </c>
      <c r="G9" s="2" t="s">
        <v>37</v>
      </c>
      <c r="H9" s="2" t="s">
        <v>38</v>
      </c>
      <c r="I9" s="3">
        <v>9547.1</v>
      </c>
      <c r="J9" s="3">
        <v>9547.1</v>
      </c>
      <c r="K9" s="2" t="s">
        <v>39</v>
      </c>
      <c r="L9" s="2" t="s">
        <v>41</v>
      </c>
      <c r="M9" s="3">
        <v>34</v>
      </c>
      <c r="N9" s="2" t="s">
        <v>45</v>
      </c>
      <c r="O9" s="2"/>
      <c r="P9" s="2"/>
      <c r="Q9" s="3">
        <v>340</v>
      </c>
      <c r="R9" t="s">
        <v>91</v>
      </c>
      <c r="S9" s="5" t="s">
        <v>93</v>
      </c>
      <c r="T9" s="6"/>
    </row>
    <row r="10" spans="1:20" ht="12.75" customHeight="1" x14ac:dyDescent="0.25">
      <c r="A10" s="2" t="s">
        <v>33</v>
      </c>
      <c r="B10" s="6">
        <v>18754354</v>
      </c>
      <c r="C10" s="2" t="s">
        <v>35</v>
      </c>
      <c r="D10" s="6">
        <v>1498397</v>
      </c>
      <c r="E10" s="6">
        <v>14983973</v>
      </c>
      <c r="F10" s="2" t="s">
        <v>36</v>
      </c>
      <c r="G10" s="2" t="s">
        <v>37</v>
      </c>
      <c r="H10" s="2" t="s">
        <v>38</v>
      </c>
      <c r="I10" s="3">
        <v>3784.9</v>
      </c>
      <c r="J10" s="3">
        <v>3784.9</v>
      </c>
      <c r="K10" s="2" t="s">
        <v>46</v>
      </c>
      <c r="L10" s="2" t="s">
        <v>41</v>
      </c>
      <c r="M10" s="3">
        <v>34</v>
      </c>
      <c r="N10" s="2" t="s">
        <v>45</v>
      </c>
      <c r="O10" s="2"/>
      <c r="P10" s="2"/>
      <c r="Q10" s="3">
        <v>170</v>
      </c>
      <c r="R10" t="s">
        <v>91</v>
      </c>
      <c r="S10" s="5" t="s">
        <v>94</v>
      </c>
      <c r="T10" s="6"/>
    </row>
    <row r="11" spans="1:20" ht="12.75" customHeight="1" x14ac:dyDescent="0.25">
      <c r="A11" s="2" t="s">
        <v>33</v>
      </c>
      <c r="B11" s="6">
        <v>18754354</v>
      </c>
      <c r="C11" s="2" t="s">
        <v>35</v>
      </c>
      <c r="D11" s="6">
        <v>1498398</v>
      </c>
      <c r="E11" s="6">
        <v>14983983</v>
      </c>
      <c r="F11" s="2" t="s">
        <v>36</v>
      </c>
      <c r="G11" s="2" t="s">
        <v>37</v>
      </c>
      <c r="H11" s="2" t="s">
        <v>38</v>
      </c>
      <c r="I11" s="3">
        <v>2023.27</v>
      </c>
      <c r="J11" s="3">
        <v>2023.27</v>
      </c>
      <c r="K11" s="2" t="s">
        <v>47</v>
      </c>
      <c r="L11" s="2" t="s">
        <v>41</v>
      </c>
      <c r="M11" s="3">
        <v>34</v>
      </c>
      <c r="N11" s="2" t="s">
        <v>45</v>
      </c>
      <c r="O11" s="2"/>
      <c r="P11" s="2"/>
      <c r="Q11" s="3">
        <v>136</v>
      </c>
      <c r="R11" t="s">
        <v>91</v>
      </c>
      <c r="S11" s="5" t="s">
        <v>95</v>
      </c>
      <c r="T11" s="6"/>
    </row>
    <row r="12" spans="1:20" ht="12.75" customHeight="1" x14ac:dyDescent="0.25">
      <c r="A12" s="2" t="s">
        <v>33</v>
      </c>
      <c r="B12" s="6">
        <v>16633294</v>
      </c>
      <c r="C12" s="2" t="s">
        <v>49</v>
      </c>
      <c r="D12" s="6">
        <v>1498399</v>
      </c>
      <c r="E12" s="6">
        <v>14983993</v>
      </c>
      <c r="F12" s="2" t="s">
        <v>50</v>
      </c>
      <c r="G12" s="2" t="s">
        <v>37</v>
      </c>
      <c r="H12" s="2" t="s">
        <v>51</v>
      </c>
      <c r="I12" s="3">
        <v>-300</v>
      </c>
      <c r="J12" s="3">
        <v>-300</v>
      </c>
      <c r="K12" s="2" t="s">
        <v>47</v>
      </c>
      <c r="L12" s="2" t="s">
        <v>52</v>
      </c>
      <c r="M12" s="3">
        <v>75</v>
      </c>
      <c r="N12" s="2" t="s">
        <v>54</v>
      </c>
      <c r="O12" s="3">
        <v>300</v>
      </c>
      <c r="P12" s="3">
        <v>300</v>
      </c>
      <c r="Q12" s="3">
        <v>300</v>
      </c>
      <c r="R12" t="s">
        <v>92</v>
      </c>
      <c r="S12" s="5" t="s">
        <v>95</v>
      </c>
      <c r="T12" s="6"/>
    </row>
    <row r="13" spans="1:20" ht="12.75" customHeight="1" x14ac:dyDescent="0.25">
      <c r="A13" s="2" t="s">
        <v>33</v>
      </c>
      <c r="B13" s="6">
        <v>16633294</v>
      </c>
      <c r="C13" s="2" t="s">
        <v>49</v>
      </c>
      <c r="D13" s="6">
        <v>1498400</v>
      </c>
      <c r="E13" s="6">
        <v>14984003</v>
      </c>
      <c r="F13" s="2" t="s">
        <v>50</v>
      </c>
      <c r="G13" s="2" t="s">
        <v>37</v>
      </c>
      <c r="H13" s="2" t="s">
        <v>38</v>
      </c>
      <c r="I13" s="3">
        <v>422.17</v>
      </c>
      <c r="J13" s="3">
        <v>422.17</v>
      </c>
      <c r="K13" s="2" t="s">
        <v>47</v>
      </c>
      <c r="L13" s="2" t="s">
        <v>52</v>
      </c>
      <c r="M13" s="3">
        <v>75</v>
      </c>
      <c r="N13" s="2" t="s">
        <v>54</v>
      </c>
      <c r="O13" s="3">
        <v>300</v>
      </c>
      <c r="P13" s="3">
        <v>300</v>
      </c>
      <c r="Q13" s="3">
        <v>300</v>
      </c>
      <c r="R13" t="s">
        <v>92</v>
      </c>
      <c r="S13" s="5" t="s">
        <v>95</v>
      </c>
      <c r="T13" s="6"/>
    </row>
    <row r="14" spans="1:20" ht="12.75" customHeight="1" x14ac:dyDescent="0.25">
      <c r="A14" s="2" t="s">
        <v>33</v>
      </c>
      <c r="B14" s="6">
        <v>16633294</v>
      </c>
      <c r="C14" s="2" t="s">
        <v>49</v>
      </c>
      <c r="D14" s="6">
        <v>1498401</v>
      </c>
      <c r="E14" s="6">
        <v>14984013</v>
      </c>
      <c r="F14" s="2" t="s">
        <v>55</v>
      </c>
      <c r="G14" s="2" t="s">
        <v>37</v>
      </c>
      <c r="H14" s="2" t="s">
        <v>51</v>
      </c>
      <c r="I14" s="3">
        <v>3022.64</v>
      </c>
      <c r="J14" s="3">
        <v>3022.64</v>
      </c>
      <c r="K14" s="2" t="s">
        <v>56</v>
      </c>
      <c r="L14" s="2" t="s">
        <v>52</v>
      </c>
      <c r="M14" s="3">
        <v>75</v>
      </c>
      <c r="N14" s="2" t="s">
        <v>54</v>
      </c>
      <c r="O14" s="3">
        <v>2475</v>
      </c>
      <c r="P14" s="3">
        <v>2475</v>
      </c>
      <c r="Q14" s="3">
        <v>2475</v>
      </c>
      <c r="R14" t="s">
        <v>92</v>
      </c>
      <c r="S14" s="5" t="s">
        <v>96</v>
      </c>
      <c r="T14" s="6"/>
    </row>
    <row r="15" spans="1:20" s="14" customFormat="1" ht="12.75" customHeight="1" x14ac:dyDescent="0.25">
      <c r="A15" s="11" t="s">
        <v>57</v>
      </c>
      <c r="B15" s="12">
        <v>15278437</v>
      </c>
      <c r="C15" s="11" t="s">
        <v>59</v>
      </c>
      <c r="D15" s="12">
        <v>1498402</v>
      </c>
      <c r="E15" s="12">
        <v>14984022</v>
      </c>
      <c r="F15" s="11" t="s">
        <v>60</v>
      </c>
      <c r="G15" s="11" t="s">
        <v>37</v>
      </c>
      <c r="H15" s="11" t="s">
        <v>38</v>
      </c>
      <c r="I15" s="13">
        <v>508.81</v>
      </c>
      <c r="J15" s="13">
        <v>508.81</v>
      </c>
      <c r="K15" s="11" t="s">
        <v>61</v>
      </c>
      <c r="L15" s="11" t="s">
        <v>62</v>
      </c>
      <c r="M15" s="13">
        <v>41</v>
      </c>
      <c r="N15" s="11" t="s">
        <v>45</v>
      </c>
      <c r="O15" s="11"/>
      <c r="P15" s="11"/>
      <c r="Q15" s="13">
        <v>41</v>
      </c>
      <c r="R15" s="14" t="s">
        <v>89</v>
      </c>
      <c r="S15" s="5"/>
      <c r="T15" s="12"/>
    </row>
    <row r="16" spans="1:20" s="14" customFormat="1" ht="12.75" customHeight="1" x14ac:dyDescent="0.25">
      <c r="A16" s="11" t="s">
        <v>57</v>
      </c>
      <c r="B16" s="12">
        <v>15278437</v>
      </c>
      <c r="C16" s="11" t="s">
        <v>59</v>
      </c>
      <c r="D16" s="12">
        <v>1498403</v>
      </c>
      <c r="E16" s="12">
        <v>14984032</v>
      </c>
      <c r="F16" s="11" t="s">
        <v>60</v>
      </c>
      <c r="G16" s="11" t="s">
        <v>37</v>
      </c>
      <c r="H16" s="11" t="s">
        <v>38</v>
      </c>
      <c r="I16" s="13">
        <v>1735.7</v>
      </c>
      <c r="J16" s="13">
        <v>1735.7</v>
      </c>
      <c r="K16" s="11" t="s">
        <v>64</v>
      </c>
      <c r="L16" s="11" t="s">
        <v>62</v>
      </c>
      <c r="M16" s="13">
        <v>41</v>
      </c>
      <c r="N16" s="11" t="s">
        <v>45</v>
      </c>
      <c r="O16" s="11"/>
      <c r="P16" s="11"/>
      <c r="Q16" s="13">
        <v>82</v>
      </c>
      <c r="R16" s="14" t="s">
        <v>89</v>
      </c>
      <c r="S16" s="5" t="s">
        <v>97</v>
      </c>
      <c r="T16" s="12"/>
    </row>
    <row r="17" spans="1:20" s="14" customFormat="1" ht="12.75" customHeight="1" x14ac:dyDescent="0.25">
      <c r="A17" s="11" t="s">
        <v>57</v>
      </c>
      <c r="B17" s="12">
        <v>15278437</v>
      </c>
      <c r="C17" s="11" t="s">
        <v>59</v>
      </c>
      <c r="D17" s="12">
        <v>1498404</v>
      </c>
      <c r="E17" s="12">
        <v>14984042</v>
      </c>
      <c r="F17" s="11" t="s">
        <v>60</v>
      </c>
      <c r="G17" s="11" t="s">
        <v>37</v>
      </c>
      <c r="H17" s="11" t="s">
        <v>38</v>
      </c>
      <c r="I17" s="13">
        <v>872.12</v>
      </c>
      <c r="J17" s="13">
        <v>872.12</v>
      </c>
      <c r="K17" s="11" t="s">
        <v>64</v>
      </c>
      <c r="L17" s="11" t="s">
        <v>62</v>
      </c>
      <c r="M17" s="13">
        <v>41</v>
      </c>
      <c r="N17" s="11" t="s">
        <v>45</v>
      </c>
      <c r="O17" s="11"/>
      <c r="P17" s="11"/>
      <c r="Q17" s="13">
        <v>82</v>
      </c>
      <c r="R17" s="14" t="s">
        <v>89</v>
      </c>
      <c r="S17" s="5" t="s">
        <v>97</v>
      </c>
      <c r="T17" s="12"/>
    </row>
    <row r="18" spans="1:20" s="14" customFormat="1" ht="12.75" customHeight="1" x14ac:dyDescent="0.25">
      <c r="A18" s="11" t="s">
        <v>57</v>
      </c>
      <c r="B18" s="12">
        <v>15278437</v>
      </c>
      <c r="C18" s="11" t="s">
        <v>59</v>
      </c>
      <c r="D18" s="12">
        <v>1498405</v>
      </c>
      <c r="E18" s="12">
        <v>14984052</v>
      </c>
      <c r="F18" s="11" t="s">
        <v>69</v>
      </c>
      <c r="G18" s="11" t="s">
        <v>37</v>
      </c>
      <c r="H18" s="11" t="s">
        <v>38</v>
      </c>
      <c r="I18" s="13">
        <v>1941.93</v>
      </c>
      <c r="J18" s="13">
        <v>1941.93</v>
      </c>
      <c r="K18" s="11" t="s">
        <v>47</v>
      </c>
      <c r="L18" s="11" t="s">
        <v>62</v>
      </c>
      <c r="M18" s="13">
        <v>41</v>
      </c>
      <c r="N18" s="11" t="s">
        <v>45</v>
      </c>
      <c r="O18" s="11"/>
      <c r="P18" s="11"/>
      <c r="Q18" s="13">
        <v>164</v>
      </c>
      <c r="R18" s="14" t="s">
        <v>89</v>
      </c>
      <c r="S18" s="5" t="s">
        <v>95</v>
      </c>
      <c r="T18" s="12"/>
    </row>
    <row r="19" spans="1:20" s="14" customFormat="1" ht="12.75" customHeight="1" x14ac:dyDescent="0.25">
      <c r="A19" s="11" t="s">
        <v>57</v>
      </c>
      <c r="B19" s="12">
        <v>15278437</v>
      </c>
      <c r="C19" s="11" t="s">
        <v>59</v>
      </c>
      <c r="D19" s="12">
        <v>1498406</v>
      </c>
      <c r="E19" s="12">
        <v>14984062</v>
      </c>
      <c r="F19" s="11" t="s">
        <v>70</v>
      </c>
      <c r="G19" s="11" t="s">
        <v>37</v>
      </c>
      <c r="H19" s="11" t="s">
        <v>38</v>
      </c>
      <c r="I19" s="13">
        <v>2917.09</v>
      </c>
      <c r="J19" s="13">
        <v>2917.09</v>
      </c>
      <c r="K19" s="11" t="s">
        <v>64</v>
      </c>
      <c r="L19" s="11" t="s">
        <v>62</v>
      </c>
      <c r="M19" s="13">
        <v>41</v>
      </c>
      <c r="N19" s="11" t="s">
        <v>45</v>
      </c>
      <c r="O19" s="11"/>
      <c r="P19" s="11"/>
      <c r="Q19" s="13">
        <v>82</v>
      </c>
      <c r="R19" s="14" t="s">
        <v>89</v>
      </c>
      <c r="S19" s="5" t="s">
        <v>97</v>
      </c>
      <c r="T19" s="12"/>
    </row>
    <row r="20" spans="1:20" s="10" customFormat="1" ht="12.75" customHeight="1" x14ac:dyDescent="0.25">
      <c r="A20" s="7" t="s">
        <v>57</v>
      </c>
      <c r="B20" s="8">
        <v>15278437</v>
      </c>
      <c r="C20" s="7" t="s">
        <v>59</v>
      </c>
      <c r="D20" s="8">
        <v>1498407</v>
      </c>
      <c r="E20" s="8">
        <v>14984071</v>
      </c>
      <c r="F20" s="7" t="s">
        <v>60</v>
      </c>
      <c r="G20" s="7" t="s">
        <v>65</v>
      </c>
      <c r="H20" s="7" t="s">
        <v>38</v>
      </c>
      <c r="I20" s="9">
        <v>56.88</v>
      </c>
      <c r="J20" s="9">
        <v>56.88</v>
      </c>
      <c r="K20" s="7" t="s">
        <v>66</v>
      </c>
      <c r="L20" s="7" t="s">
        <v>62</v>
      </c>
      <c r="M20" s="7" t="s">
        <v>68</v>
      </c>
      <c r="N20" s="7" t="s">
        <v>45</v>
      </c>
      <c r="O20" s="7"/>
      <c r="P20" s="7"/>
      <c r="Q20" s="9">
        <v>5.69</v>
      </c>
      <c r="R20" s="10" t="s">
        <v>90</v>
      </c>
    </row>
    <row r="21" spans="1:20" s="10" customFormat="1" ht="12.75" customHeight="1" x14ac:dyDescent="0.25">
      <c r="A21" s="7" t="s">
        <v>57</v>
      </c>
      <c r="B21" s="8">
        <v>16509456</v>
      </c>
      <c r="C21" s="7" t="s">
        <v>72</v>
      </c>
      <c r="D21" s="8">
        <v>1498408</v>
      </c>
      <c r="E21" s="8">
        <v>14984081</v>
      </c>
      <c r="F21" s="7" t="s">
        <v>73</v>
      </c>
      <c r="G21" s="7" t="s">
        <v>65</v>
      </c>
      <c r="H21" s="7" t="s">
        <v>38</v>
      </c>
      <c r="I21" s="9">
        <v>105.68</v>
      </c>
      <c r="J21" s="9">
        <v>105.68</v>
      </c>
      <c r="K21" s="7" t="s">
        <v>75</v>
      </c>
      <c r="L21" s="7" t="s">
        <v>62</v>
      </c>
      <c r="M21" s="7" t="s">
        <v>68</v>
      </c>
      <c r="N21" s="7" t="s">
        <v>45</v>
      </c>
      <c r="O21" s="7"/>
      <c r="P21" s="7"/>
      <c r="Q21" s="9">
        <v>10.57</v>
      </c>
      <c r="R21" s="10" t="s">
        <v>90</v>
      </c>
    </row>
    <row r="22" spans="1:20" s="10" customFormat="1" ht="12.75" customHeight="1" x14ac:dyDescent="0.25">
      <c r="A22" s="7" t="s">
        <v>57</v>
      </c>
      <c r="B22" s="8">
        <v>16509456</v>
      </c>
      <c r="C22" s="7" t="s">
        <v>72</v>
      </c>
      <c r="D22" s="8">
        <v>1498409</v>
      </c>
      <c r="E22" s="8">
        <v>14984091</v>
      </c>
      <c r="F22" s="7" t="s">
        <v>80</v>
      </c>
      <c r="G22" s="7" t="s">
        <v>65</v>
      </c>
      <c r="H22" s="7" t="s">
        <v>81</v>
      </c>
      <c r="I22" s="9">
        <v>-9.74</v>
      </c>
      <c r="J22" s="9">
        <v>-9.74</v>
      </c>
      <c r="K22" s="7" t="s">
        <v>79</v>
      </c>
      <c r="L22" s="7" t="s">
        <v>62</v>
      </c>
      <c r="M22" s="7" t="s">
        <v>68</v>
      </c>
      <c r="N22" s="7" t="s">
        <v>45</v>
      </c>
      <c r="O22" s="7"/>
      <c r="P22" s="7"/>
      <c r="Q22" s="9">
        <v>-0.97</v>
      </c>
      <c r="R22" s="10" t="s">
        <v>90</v>
      </c>
    </row>
    <row r="23" spans="1:20" s="10" customFormat="1" ht="12.75" customHeight="1" x14ac:dyDescent="0.25">
      <c r="A23" s="7" t="s">
        <v>57</v>
      </c>
      <c r="B23" s="8">
        <v>16509456</v>
      </c>
      <c r="C23" s="7" t="s">
        <v>72</v>
      </c>
      <c r="D23" s="8">
        <v>1498410</v>
      </c>
      <c r="E23" s="8">
        <v>14984101</v>
      </c>
      <c r="F23" s="7" t="s">
        <v>80</v>
      </c>
      <c r="G23" s="7" t="s">
        <v>65</v>
      </c>
      <c r="H23" s="7" t="s">
        <v>51</v>
      </c>
      <c r="I23" s="9">
        <v>-9.74</v>
      </c>
      <c r="J23" s="9">
        <v>-9.74</v>
      </c>
      <c r="K23" s="7" t="s">
        <v>79</v>
      </c>
      <c r="L23" s="7" t="s">
        <v>62</v>
      </c>
      <c r="M23" s="7" t="s">
        <v>68</v>
      </c>
      <c r="N23" s="7" t="s">
        <v>45</v>
      </c>
      <c r="O23" s="7"/>
      <c r="P23" s="7"/>
      <c r="Q23" s="9">
        <v>-0.97</v>
      </c>
      <c r="R23" s="10" t="s">
        <v>90</v>
      </c>
    </row>
    <row r="24" spans="1:20" s="10" customFormat="1" ht="12.75" customHeight="1" x14ac:dyDescent="0.25">
      <c r="A24" s="7" t="s">
        <v>57</v>
      </c>
      <c r="B24" s="8">
        <v>16509456</v>
      </c>
      <c r="C24" s="7" t="s">
        <v>72</v>
      </c>
      <c r="D24" s="8">
        <v>1498411</v>
      </c>
      <c r="E24" s="8">
        <v>14984111</v>
      </c>
      <c r="F24" s="7" t="s">
        <v>80</v>
      </c>
      <c r="G24" s="7" t="s">
        <v>65</v>
      </c>
      <c r="H24" s="7" t="s">
        <v>78</v>
      </c>
      <c r="I24" s="9">
        <v>-9.74</v>
      </c>
      <c r="J24" s="9">
        <v>-9.74</v>
      </c>
      <c r="K24" s="7" t="s">
        <v>79</v>
      </c>
      <c r="L24" s="7" t="s">
        <v>62</v>
      </c>
      <c r="M24" s="7" t="s">
        <v>68</v>
      </c>
      <c r="N24" s="7" t="s">
        <v>45</v>
      </c>
      <c r="O24" s="7"/>
      <c r="P24" s="7"/>
      <c r="Q24" s="9">
        <v>-0.97</v>
      </c>
      <c r="R24" s="10" t="s">
        <v>90</v>
      </c>
    </row>
    <row r="25" spans="1:20" s="10" customFormat="1" ht="12.75" customHeight="1" x14ac:dyDescent="0.25">
      <c r="A25" s="7" t="s">
        <v>57</v>
      </c>
      <c r="B25" s="8">
        <v>16509456</v>
      </c>
      <c r="C25" s="7" t="s">
        <v>72</v>
      </c>
      <c r="D25" s="8">
        <v>1498412</v>
      </c>
      <c r="E25" s="8">
        <v>14984121</v>
      </c>
      <c r="F25" s="7" t="s">
        <v>80</v>
      </c>
      <c r="G25" s="7" t="s">
        <v>65</v>
      </c>
      <c r="H25" s="7" t="s">
        <v>38</v>
      </c>
      <c r="I25" s="9">
        <v>250.98</v>
      </c>
      <c r="J25" s="9">
        <v>250.98</v>
      </c>
      <c r="K25" s="7" t="s">
        <v>83</v>
      </c>
      <c r="L25" s="7" t="s">
        <v>62</v>
      </c>
      <c r="M25" s="7" t="s">
        <v>68</v>
      </c>
      <c r="N25" s="7" t="s">
        <v>45</v>
      </c>
      <c r="O25" s="7"/>
      <c r="P25" s="7"/>
      <c r="Q25" s="9">
        <v>25.1</v>
      </c>
      <c r="R25" s="10" t="s">
        <v>90</v>
      </c>
    </row>
  </sheetData>
  <sortState xmlns:xlrd2="http://schemas.microsoft.com/office/spreadsheetml/2017/richdata2" ref="A2:AB25">
    <sortCondition ref="G2:G25"/>
  </sortState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6A7B-4020-4911-840E-0503704E5BB1}">
  <dimension ref="A1:B24"/>
  <sheetViews>
    <sheetView workbookViewId="0">
      <selection activeCell="B1" sqref="B1:B24"/>
    </sheetView>
  </sheetViews>
  <sheetFormatPr defaultRowHeight="12.75" x14ac:dyDescent="0.2"/>
  <cols>
    <col min="1" max="1" width="9" bestFit="1" customWidth="1"/>
  </cols>
  <sheetData>
    <row r="1" spans="1:2" ht="13.5" x14ac:dyDescent="0.25">
      <c r="A1" s="8">
        <v>1498389</v>
      </c>
      <c r="B1" t="str">
        <f>CONCATENATE(A1,1)</f>
        <v>14983891</v>
      </c>
    </row>
    <row r="2" spans="1:2" ht="13.5" x14ac:dyDescent="0.25">
      <c r="A2" s="8">
        <v>1498390</v>
      </c>
      <c r="B2" t="str">
        <f t="shared" ref="B2:B7" si="0">CONCATENATE(A2,1)</f>
        <v>14983901</v>
      </c>
    </row>
    <row r="3" spans="1:2" ht="13.5" x14ac:dyDescent="0.25">
      <c r="A3" s="8">
        <v>1498391</v>
      </c>
      <c r="B3" t="str">
        <f t="shared" si="0"/>
        <v>14983911</v>
      </c>
    </row>
    <row r="4" spans="1:2" ht="13.5" x14ac:dyDescent="0.25">
      <c r="A4" s="8">
        <v>1498392</v>
      </c>
      <c r="B4" t="str">
        <f t="shared" si="0"/>
        <v>14983921</v>
      </c>
    </row>
    <row r="5" spans="1:2" ht="13.5" x14ac:dyDescent="0.25">
      <c r="A5" s="8">
        <v>1498393</v>
      </c>
      <c r="B5" t="str">
        <f t="shared" si="0"/>
        <v>14983931</v>
      </c>
    </row>
    <row r="6" spans="1:2" ht="13.5" x14ac:dyDescent="0.25">
      <c r="A6" s="8">
        <v>1498394</v>
      </c>
      <c r="B6" t="str">
        <f t="shared" si="0"/>
        <v>14983941</v>
      </c>
    </row>
    <row r="7" spans="1:2" ht="13.5" x14ac:dyDescent="0.25">
      <c r="A7" s="8">
        <v>1498395</v>
      </c>
      <c r="B7" t="str">
        <f t="shared" si="0"/>
        <v>14983951</v>
      </c>
    </row>
    <row r="8" spans="1:2" ht="13.5" x14ac:dyDescent="0.25">
      <c r="A8" s="6">
        <v>1498396</v>
      </c>
      <c r="B8" t="str">
        <f>CONCATENATE(A8,3)</f>
        <v>14983963</v>
      </c>
    </row>
    <row r="9" spans="1:2" ht="13.5" x14ac:dyDescent="0.25">
      <c r="A9" s="6">
        <v>1498397</v>
      </c>
      <c r="B9" t="str">
        <f t="shared" ref="B9:B13" si="1">CONCATENATE(A9,3)</f>
        <v>14983973</v>
      </c>
    </row>
    <row r="10" spans="1:2" ht="13.5" x14ac:dyDescent="0.25">
      <c r="A10" s="6">
        <v>1498398</v>
      </c>
      <c r="B10" t="str">
        <f t="shared" si="1"/>
        <v>14983983</v>
      </c>
    </row>
    <row r="11" spans="1:2" ht="13.5" x14ac:dyDescent="0.25">
      <c r="A11" s="6">
        <v>1498399</v>
      </c>
      <c r="B11" t="str">
        <f t="shared" si="1"/>
        <v>14983993</v>
      </c>
    </row>
    <row r="12" spans="1:2" ht="13.5" x14ac:dyDescent="0.25">
      <c r="A12" s="6">
        <v>1498400</v>
      </c>
      <c r="B12" t="str">
        <f t="shared" si="1"/>
        <v>14984003</v>
      </c>
    </row>
    <row r="13" spans="1:2" ht="13.5" x14ac:dyDescent="0.25">
      <c r="A13" s="6">
        <v>1498401</v>
      </c>
      <c r="B13" t="str">
        <f t="shared" si="1"/>
        <v>14984013</v>
      </c>
    </row>
    <row r="14" spans="1:2" ht="13.5" x14ac:dyDescent="0.25">
      <c r="A14" s="12">
        <v>1498402</v>
      </c>
      <c r="B14" t="str">
        <f>CONCATENATE(A14,2)</f>
        <v>14984022</v>
      </c>
    </row>
    <row r="15" spans="1:2" ht="13.5" x14ac:dyDescent="0.25">
      <c r="A15" s="12">
        <v>1498403</v>
      </c>
      <c r="B15" t="str">
        <f t="shared" ref="B15:B18" si="2">CONCATENATE(A15,2)</f>
        <v>14984032</v>
      </c>
    </row>
    <row r="16" spans="1:2" ht="13.5" x14ac:dyDescent="0.25">
      <c r="A16" s="12">
        <v>1498404</v>
      </c>
      <c r="B16" t="str">
        <f t="shared" si="2"/>
        <v>14984042</v>
      </c>
    </row>
    <row r="17" spans="1:2" ht="13.5" x14ac:dyDescent="0.25">
      <c r="A17" s="12">
        <v>1498405</v>
      </c>
      <c r="B17" t="str">
        <f t="shared" si="2"/>
        <v>14984052</v>
      </c>
    </row>
    <row r="18" spans="1:2" ht="13.5" x14ac:dyDescent="0.25">
      <c r="A18" s="12">
        <v>1498406</v>
      </c>
      <c r="B18" t="str">
        <f t="shared" si="2"/>
        <v>14984062</v>
      </c>
    </row>
    <row r="19" spans="1:2" ht="13.5" x14ac:dyDescent="0.25">
      <c r="A19" s="8">
        <v>1498407</v>
      </c>
      <c r="B19" t="str">
        <f t="shared" ref="B19:B24" si="3">CONCATENATE(A19,1)</f>
        <v>14984071</v>
      </c>
    </row>
    <row r="20" spans="1:2" ht="13.5" x14ac:dyDescent="0.25">
      <c r="A20" s="8">
        <v>1498408</v>
      </c>
      <c r="B20" t="str">
        <f t="shared" si="3"/>
        <v>14984081</v>
      </c>
    </row>
    <row r="21" spans="1:2" ht="13.5" x14ac:dyDescent="0.25">
      <c r="A21" s="8">
        <v>1498409</v>
      </c>
      <c r="B21" t="str">
        <f t="shared" si="3"/>
        <v>14984091</v>
      </c>
    </row>
    <row r="22" spans="1:2" ht="13.5" x14ac:dyDescent="0.25">
      <c r="A22" s="8">
        <v>1498410</v>
      </c>
      <c r="B22" t="str">
        <f t="shared" si="3"/>
        <v>14984101</v>
      </c>
    </row>
    <row r="23" spans="1:2" ht="13.5" x14ac:dyDescent="0.25">
      <c r="A23" s="8">
        <v>1498411</v>
      </c>
      <c r="B23" t="str">
        <f t="shared" si="3"/>
        <v>14984111</v>
      </c>
    </row>
    <row r="24" spans="1:2" ht="13.5" x14ac:dyDescent="0.25">
      <c r="A24" s="8">
        <v>1498412</v>
      </c>
      <c r="B24" t="str">
        <f t="shared" si="3"/>
        <v>14984121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FDC0-EAB3-494D-AAC4-5CE1D22599DD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- 1</vt:lpstr>
      <vt:lpstr>Sheet1</vt:lpstr>
      <vt:lpstr>Sheet2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2025-02-21T16:34:13Z</dcterms:created>
  <dcterms:modified xsi:type="dcterms:W3CDTF">2025-02-25T15:54:46Z</dcterms:modified>
</cp:coreProperties>
</file>