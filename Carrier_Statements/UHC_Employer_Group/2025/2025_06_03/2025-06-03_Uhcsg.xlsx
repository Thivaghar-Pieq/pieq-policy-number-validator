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06-03-25\"/>
    </mc:Choice>
  </mc:AlternateContent>
  <xr:revisionPtr revIDLastSave="0" documentId="13_ncr:9_{9D4B5855-00F5-4B32-8758-45AC73408ED3}" xr6:coauthVersionLast="47" xr6:coauthVersionMax="47" xr10:uidLastSave="{00000000-0000-0000-0000-000000000000}"/>
  <bookViews>
    <workbookView xWindow="28680" yWindow="-120" windowWidth="29040" windowHeight="16440" xr2:uid="{FFB3C3AB-CE8D-43A1-805A-A4E9C4A3B730}"/>
  </bookViews>
  <sheets>
    <sheet name="Detail Data - 1" sheetId="1" r:id="rId1"/>
    <sheet name="Adjustment Data - 1" sheetId="2" r:id="rId2"/>
  </sheets>
  <calcPr calcId="181029"/>
</workbook>
</file>

<file path=xl/calcChain.xml><?xml version="1.0" encoding="utf-8"?>
<calcChain xmlns="http://schemas.openxmlformats.org/spreadsheetml/2006/main">
  <c r="K16" i="1" l="1"/>
  <c r="W13" i="1"/>
</calcChain>
</file>

<file path=xl/sharedStrings.xml><?xml version="1.0" encoding="utf-8"?>
<sst xmlns="http://schemas.openxmlformats.org/spreadsheetml/2006/main" count="112" uniqueCount="67">
  <si>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</si>
  <si>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</si>
  <si>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</si>
  <si>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</si>
  <si>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</si>
  <si>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</si>
  <si>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</si>
  <si>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</si>
  <si>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</si>
  <si>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</si>
  <si>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</si>
  <si>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</si>
  <si>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</si>
  <si>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</si>
  <si>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</si>
  <si>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</si>
  <si>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</si>
  <si>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</si>
  <si>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</si>
  <si>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</si>
  <si>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</si>
  <si>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</si>
  <si>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</si>
  <si>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</si>
  <si>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</si>
  <si>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</si>
  <si>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</si>
  <si>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</si>
  <si>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</si>
  <si>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05/14/2025</t>
  </si>
  <si>
    <t>06/03/2025</t>
  </si>
  <si>
    <t>Base Commission And Service Fee Detail</t>
  </si>
  <si>
    <t>Small Business</t>
  </si>
  <si>
    <t>New Business</t>
  </si>
  <si>
    <t>233839-03</t>
  </si>
  <si>
    <t>YALE, RICHARD</t>
  </si>
  <si>
    <t>Rhyno Manufacturing Inc</t>
  </si>
  <si>
    <t>Med</t>
  </si>
  <si>
    <t>02/01/2025</t>
  </si>
  <si>
    <t>-1</t>
  </si>
  <si>
    <t>V</t>
  </si>
  <si>
    <t>IL</t>
  </si>
  <si>
    <t>PEPM</t>
  </si>
  <si>
    <t>100%</t>
  </si>
  <si>
    <t>FEE</t>
  </si>
  <si>
    <t>Level Funded</t>
  </si>
  <si>
    <t>05/01/2025</t>
  </si>
  <si>
    <t>33</t>
  </si>
  <si>
    <t>Renewal</t>
  </si>
  <si>
    <t>235415-02</t>
  </si>
  <si>
    <t>RICHTER, PETER LAURENCE K</t>
  </si>
  <si>
    <t>TRIAD INSURANCE MANAGEMENT &amp; SERVICES AG</t>
  </si>
  <si>
    <t>Den</t>
  </si>
  <si>
    <t>06/01/2025</t>
  </si>
  <si>
    <t>14</t>
  </si>
  <si>
    <t>PA</t>
  </si>
  <si>
    <t>POP</t>
  </si>
  <si>
    <t>10.00%</t>
  </si>
  <si>
    <t>COMM</t>
  </si>
  <si>
    <t>Commercial</t>
  </si>
  <si>
    <t>07X9700</t>
  </si>
  <si>
    <t>Vis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</si>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</sst>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6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593B-96D2-47F0-8AE5-45C329D91D8F}">
  <dimension ref="A1:AA16"/>
  <sheetViews>
    <sheetView tabSelected="1" topLeftCell="I1" workbookViewId="0">
      <selection activeCell="J4" sqref="J4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15.7109375" customWidth="1"/>
    <col min="12" max="12" width="10.140625" customWidth="1"/>
    <col min="13" max="13" width="12" customWidth="1"/>
    <col min="14" max="14" width="10.7109375" customWidth="1"/>
    <col min="15" max="15" width="13.140625" customWidth="1"/>
    <col min="16" max="16" width="8.7109375" customWidth="1"/>
    <col min="17" max="17" width="6.85546875" customWidth="1"/>
    <col min="18" max="18" width="10.85546875" customWidth="1"/>
    <col min="19" max="19" width="8.28515625" customWidth="1"/>
    <col min="20" max="20" width="9" bestFit="1" customWidth="1"/>
    <col min="21" max="21" width="10.5703125" customWidth="1"/>
    <col min="22" max="22" width="6.7109375" customWidth="1"/>
    <col min="23" max="23" width="21.85546875" customWidth="1"/>
    <col min="24" max="24" width="8.5703125" customWidth="1"/>
    <col min="25" max="25" width="21" customWidth="1"/>
    <col min="26" max="26" width="14.2851562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5">
        <v>1719540</v>
      </c>
      <c r="K2" s="2" t="s">
        <v>36</v>
      </c>
      <c r="L2" s="2" t="s">
        <v>37</v>
      </c>
      <c r="M2" s="2" t="s">
        <v>38</v>
      </c>
      <c r="N2" s="3">
        <v>75</v>
      </c>
      <c r="O2" s="3">
        <v>75</v>
      </c>
      <c r="P2" s="2" t="s">
        <v>39</v>
      </c>
      <c r="Q2" s="2" t="s">
        <v>40</v>
      </c>
      <c r="R2" s="2" t="s">
        <v>41</v>
      </c>
      <c r="S2" s="2" t="s">
        <v>42</v>
      </c>
      <c r="T2" s="3">
        <v>75</v>
      </c>
      <c r="U2" s="2" t="s">
        <v>43</v>
      </c>
      <c r="V2" s="2" t="s">
        <v>44</v>
      </c>
      <c r="W2" s="2" t="s">
        <v>45</v>
      </c>
      <c r="X2" s="3">
        <v>-75</v>
      </c>
      <c r="Y2" s="3">
        <v>-75</v>
      </c>
      <c r="Z2" s="3">
        <v>-75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5">
        <v>1719540</v>
      </c>
      <c r="K3" s="2" t="s">
        <v>36</v>
      </c>
      <c r="L3" s="2" t="s">
        <v>37</v>
      </c>
      <c r="M3" s="2" t="s">
        <v>46</v>
      </c>
      <c r="N3" s="3">
        <v>3064.96</v>
      </c>
      <c r="O3" s="3">
        <v>3064.96</v>
      </c>
      <c r="P3" s="2" t="s">
        <v>47</v>
      </c>
      <c r="Q3" s="2" t="s">
        <v>40</v>
      </c>
      <c r="R3" s="2" t="s">
        <v>41</v>
      </c>
      <c r="S3" s="2" t="s">
        <v>42</v>
      </c>
      <c r="T3" s="3">
        <v>75</v>
      </c>
      <c r="U3" s="2" t="s">
        <v>43</v>
      </c>
      <c r="V3" s="2" t="s">
        <v>44</v>
      </c>
      <c r="W3" s="2" t="s">
        <v>45</v>
      </c>
      <c r="X3" s="3">
        <v>2475</v>
      </c>
      <c r="Y3" s="3">
        <v>2475</v>
      </c>
      <c r="Z3" s="3">
        <v>2475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48</v>
      </c>
      <c r="H4" s="2" t="s">
        <v>49</v>
      </c>
      <c r="I4" s="2" t="s">
        <v>50</v>
      </c>
      <c r="J4" s="5">
        <v>1536206</v>
      </c>
      <c r="K4" s="2" t="s">
        <v>51</v>
      </c>
      <c r="L4" s="2" t="s">
        <v>52</v>
      </c>
      <c r="M4" s="2" t="s">
        <v>53</v>
      </c>
      <c r="N4" s="3">
        <v>1020.78</v>
      </c>
      <c r="O4" s="3">
        <v>1020.78</v>
      </c>
      <c r="P4" s="2" t="s">
        <v>54</v>
      </c>
      <c r="Q4" s="2" t="s">
        <v>40</v>
      </c>
      <c r="R4" s="2" t="s">
        <v>55</v>
      </c>
      <c r="S4" s="2" t="s">
        <v>56</v>
      </c>
      <c r="T4" s="2" t="s">
        <v>57</v>
      </c>
      <c r="U4" s="2" t="s">
        <v>43</v>
      </c>
      <c r="V4" s="2" t="s">
        <v>58</v>
      </c>
      <c r="W4" s="2" t="s">
        <v>59</v>
      </c>
      <c r="X4" s="2"/>
      <c r="Y4" s="2"/>
      <c r="Z4" s="3">
        <v>102.08</v>
      </c>
      <c r="AA4" s="2" t="s">
        <v>60</v>
      </c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48</v>
      </c>
      <c r="H5" s="2" t="s">
        <v>49</v>
      </c>
      <c r="I5" s="2" t="s">
        <v>50</v>
      </c>
      <c r="J5" s="5">
        <v>1536206</v>
      </c>
      <c r="K5" s="2" t="s">
        <v>51</v>
      </c>
      <c r="L5" s="2" t="s">
        <v>61</v>
      </c>
      <c r="M5" s="2" t="s">
        <v>53</v>
      </c>
      <c r="N5" s="3">
        <v>248.71</v>
      </c>
      <c r="O5" s="3">
        <v>248.71</v>
      </c>
      <c r="P5" s="2" t="s">
        <v>54</v>
      </c>
      <c r="Q5" s="2" t="s">
        <v>40</v>
      </c>
      <c r="R5" s="2" t="s">
        <v>55</v>
      </c>
      <c r="S5" s="2" t="s">
        <v>56</v>
      </c>
      <c r="T5" s="2" t="s">
        <v>57</v>
      </c>
      <c r="U5" s="2" t="s">
        <v>43</v>
      </c>
      <c r="V5" s="2" t="s">
        <v>58</v>
      </c>
      <c r="W5" s="2" t="s">
        <v>59</v>
      </c>
      <c r="X5" s="2"/>
      <c r="Y5" s="2"/>
      <c r="Z5" s="3">
        <v>24.87</v>
      </c>
      <c r="AA5" s="2" t="s">
        <v>60</v>
      </c>
    </row>
    <row r="13" spans="1:27" x14ac:dyDescent="0.2">
      <c r="W13">
        <f>2475/75</f>
        <v>33</v>
      </c>
    </row>
    <row r="16" spans="1:27" x14ac:dyDescent="0.2">
      <c r="K16">
        <f>63+5.25+6.75</f>
        <v>75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B9AB-7AA8-42FE-9CE2-555E6B83655D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2025-06-12T17:45:18Z</dcterms:created>
  <dcterms:modified xsi:type="dcterms:W3CDTF">2025-06-12T20:28:15Z</dcterms:modified>
</cp:coreProperties>
</file>