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UHC Small Group 08-19-25\"/>
    </mc:Choice>
  </mc:AlternateContent>
  <xr:revisionPtr revIDLastSave="0" documentId="13_ncr:1_{B5333F71-71FA-4A0C-892C-0484A5B0DA72}" xr6:coauthVersionLast="47" xr6:coauthVersionMax="47" xr10:uidLastSave="{00000000-0000-0000-0000-000000000000}"/>
  <bookViews>
    <workbookView xWindow="28680" yWindow="-120" windowWidth="29040" windowHeight="16440" activeTab="1" xr2:uid="{DC3FCAD9-2F1D-4C29-9204-F70E0A749350}"/>
  </bookViews>
  <sheets>
    <sheet name="Detail Data - 1" sheetId="1" r:id="rId1"/>
    <sheet name="Sheet1" sheetId="3" r:id="rId2"/>
    <sheet name="Adjustment Data - 1" sheetId="2" r:id="rId3"/>
  </sheets>
  <calcPr calcId="181029"/>
</workbook>
</file>

<file path=xl/calcChain.xml><?xml version="1.0" encoding="utf-8"?>
<calcChain xmlns="http://schemas.openxmlformats.org/spreadsheetml/2006/main">
  <c r="E17" i="3" l="1"/>
  <c r="E16" i="3"/>
  <c r="E15" i="3"/>
  <c r="E14" i="3"/>
  <c r="E5" i="3"/>
  <c r="E4" i="3"/>
  <c r="E3" i="3"/>
  <c r="E2" i="3"/>
  <c r="E13" i="3"/>
  <c r="E12" i="3"/>
  <c r="E11" i="3"/>
  <c r="E10" i="3"/>
  <c r="E9" i="3"/>
  <c r="E8" i="3"/>
  <c r="E7" i="3"/>
  <c r="E6" i="3"/>
</calcChain>
</file>

<file path=xl/sharedStrings.xml><?xml version="1.0" encoding="utf-8"?>
<sst xmlns="http://schemas.openxmlformats.org/spreadsheetml/2006/main" count="530" uniqueCount="100">
  <si>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</si>
  <si>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</si>
  <si>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</si>
  <si>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</si>
  <si>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</si>
  <si>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</si>
  <si>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</si>
  <si>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</si>
  <si>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</si>
  <si>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</si>
  <si>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</si>
  <si>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</si>
  <si>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</si>
  <si>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</si>
  <si>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</si>
  <si>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</si>
  <si>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</si>
  <si>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</si>
  <si>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</si>
  <si>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</si>
  <si>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</si>
  <si>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</si>
  <si>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</si>
  <si>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</si>
  <si>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</si>
  <si>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</si>
  <si>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</si>
  <si>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</si>
  <si>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</si>
  <si>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08/06/2025</t>
  </si>
  <si>
    <t>08/19/2025</t>
  </si>
  <si>
    <t>Base Commission And Service Fee Detail</t>
  </si>
  <si>
    <t>Small Business</t>
  </si>
  <si>
    <t>New Business</t>
  </si>
  <si>
    <t>259418-02</t>
  </si>
  <si>
    <t>YALE, JACOB D</t>
  </si>
  <si>
    <t>1677591</t>
  </si>
  <si>
    <t>NC Capital Partners LLC</t>
  </si>
  <si>
    <t>Med</t>
  </si>
  <si>
    <t>06/01/2025</t>
  </si>
  <si>
    <t>-1</t>
  </si>
  <si>
    <t>V</t>
  </si>
  <si>
    <t>NC</t>
  </si>
  <si>
    <t>PEPM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</si>
  <si>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</si>
  <si>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</si>
  <si>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</si>
  <si>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</si>
  <si>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</si>
  <si>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</si>
  <si>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</si>
  <si>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</si>
  <si>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08/01/2025</t>
  </si>
  <si>
    <t>4</t>
  </si>
  <si>
    <t>PA</t>
  </si>
  <si>
    <t>235415-02</t>
  </si>
  <si>
    <t>RICHTER, PETER LAURENCE K</t>
  </si>
  <si>
    <t>1498389</t>
  </si>
  <si>
    <t>CONNECTION CHURCH</t>
  </si>
  <si>
    <t>Den</t>
  </si>
  <si>
    <t>07/01/2025</t>
  </si>
  <si>
    <t>0</t>
  </si>
  <si>
    <t>POP</t>
  </si>
  <si>
    <t>10.00%</t>
  </si>
  <si>
    <t>05L6214</t>
  </si>
  <si>
    <t>Vis</t>
  </si>
  <si>
    <t>7</t>
  </si>
  <si>
    <t>1614180</t>
  </si>
  <si>
    <t>Libratum Counseling LLC</t>
  </si>
  <si>
    <t>2</t>
  </si>
  <si>
    <t>1441727</t>
  </si>
  <si>
    <t>NEW VISTA CORPORATION</t>
  </si>
  <si>
    <t>MD</t>
  </si>
  <si>
    <t>FEE</t>
  </si>
  <si>
    <t>Level Funded</t>
  </si>
  <si>
    <t>-10</t>
  </si>
  <si>
    <t>15</t>
  </si>
  <si>
    <t>-5</t>
  </si>
  <si>
    <t>-6</t>
  </si>
  <si>
    <t>233839-03</t>
  </si>
  <si>
    <t>YALE, RICHARD</t>
  </si>
  <si>
    <t>1686981</t>
  </si>
  <si>
    <t>ESSENCE PAINTING AND RESTORATION INC</t>
  </si>
  <si>
    <t>IL</t>
  </si>
  <si>
    <t>Adjustment Date</t>
  </si>
  <si>
    <t>Adjustment Description</t>
  </si>
  <si>
    <t>Adjustment Compensation Type</t>
  </si>
  <si>
    <t>Adjustment Business Type</t>
  </si>
  <si>
    <t>Adjustment Amount</t>
  </si>
  <si>
    <t>UHC SG Dental/Vision</t>
  </si>
  <si>
    <t>UHC SG PA choice</t>
  </si>
  <si>
    <t>UHC SG NC</t>
  </si>
  <si>
    <t>UHC SG MD-Level Funded</t>
  </si>
  <si>
    <t>UHC SG IL</t>
  </si>
  <si>
    <t>[PMPM=4]</t>
  </si>
  <si>
    <t>[PMPM=7]</t>
  </si>
  <si>
    <t>[PMPM=5]</t>
  </si>
  <si>
    <t>[PMPM=15]</t>
  </si>
  <si>
    <t>[PMPM=10]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</si>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</sst>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  <font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5" fillId="0" borderId="0" xfId="0" applyFont="1"/>
    <xf numFmtId="14" fontId="0" fillId="0" borderId="0" xfId="0" applyNumberFormat="1"/>
    <xf numFmtId="0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643F-D4B1-4E9B-AB8D-F41510FBBC56}">
  <dimension ref="A1:AA17"/>
  <sheetViews>
    <sheetView topLeftCell="Q1" workbookViewId="0">
      <selection activeCell="Q1" sqref="A1:XFD1048576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-454.41</v>
      </c>
      <c r="O2" s="3">
        <v>-454.41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34</v>
      </c>
      <c r="U2" s="2" t="s">
        <v>44</v>
      </c>
      <c r="V2" s="2" t="s">
        <v>45</v>
      </c>
      <c r="W2" s="2" t="s">
        <v>46</v>
      </c>
      <c r="X2" s="2"/>
      <c r="Y2" s="2"/>
      <c r="Z2" s="3">
        <v>-34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38</v>
      </c>
      <c r="M3" s="2" t="s">
        <v>52</v>
      </c>
      <c r="N3" s="3">
        <v>2099.41</v>
      </c>
      <c r="O3" s="3">
        <v>2099.41</v>
      </c>
      <c r="P3" s="2" t="s">
        <v>53</v>
      </c>
      <c r="Q3" s="2" t="s">
        <v>41</v>
      </c>
      <c r="R3" s="2" t="s">
        <v>54</v>
      </c>
      <c r="S3" s="2" t="s">
        <v>43</v>
      </c>
      <c r="T3" s="3">
        <v>41</v>
      </c>
      <c r="U3" s="2" t="s">
        <v>44</v>
      </c>
      <c r="V3" s="2" t="s">
        <v>45</v>
      </c>
      <c r="W3" s="2" t="s">
        <v>46</v>
      </c>
      <c r="X3" s="2"/>
      <c r="Y3" s="2"/>
      <c r="Z3" s="3">
        <v>164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47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3">
        <v>87.08</v>
      </c>
      <c r="O4" s="3">
        <v>87.08</v>
      </c>
      <c r="P4" s="2" t="s">
        <v>61</v>
      </c>
      <c r="Q4" s="2" t="s">
        <v>41</v>
      </c>
      <c r="R4" s="2" t="s">
        <v>54</v>
      </c>
      <c r="S4" s="2" t="s">
        <v>62</v>
      </c>
      <c r="T4" s="2" t="s">
        <v>63</v>
      </c>
      <c r="U4" s="2" t="s">
        <v>44</v>
      </c>
      <c r="V4" s="2" t="s">
        <v>45</v>
      </c>
      <c r="W4" s="2" t="s">
        <v>46</v>
      </c>
      <c r="X4" s="2"/>
      <c r="Y4" s="2"/>
      <c r="Z4" s="3">
        <v>8.7100000000000009</v>
      </c>
      <c r="AA4" s="2" t="s">
        <v>64</v>
      </c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47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65</v>
      </c>
      <c r="M5" s="2" t="s">
        <v>60</v>
      </c>
      <c r="N5" s="3">
        <v>6.93</v>
      </c>
      <c r="O5" s="3">
        <v>6.93</v>
      </c>
      <c r="P5" s="2" t="s">
        <v>61</v>
      </c>
      <c r="Q5" s="2" t="s">
        <v>41</v>
      </c>
      <c r="R5" s="2" t="s">
        <v>54</v>
      </c>
      <c r="S5" s="2" t="s">
        <v>62</v>
      </c>
      <c r="T5" s="2" t="s">
        <v>63</v>
      </c>
      <c r="U5" s="2" t="s">
        <v>44</v>
      </c>
      <c r="V5" s="2" t="s">
        <v>45</v>
      </c>
      <c r="W5" s="2" t="s">
        <v>46</v>
      </c>
      <c r="X5" s="2"/>
      <c r="Y5" s="2"/>
      <c r="Z5" s="3">
        <v>0.69</v>
      </c>
      <c r="AA5" s="2" t="s">
        <v>64</v>
      </c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47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65</v>
      </c>
      <c r="M6" s="2" t="s">
        <v>52</v>
      </c>
      <c r="N6" s="3">
        <v>95.22</v>
      </c>
      <c r="O6" s="3">
        <v>95.22</v>
      </c>
      <c r="P6" s="2" t="s">
        <v>66</v>
      </c>
      <c r="Q6" s="2" t="s">
        <v>41</v>
      </c>
      <c r="R6" s="2" t="s">
        <v>54</v>
      </c>
      <c r="S6" s="2" t="s">
        <v>62</v>
      </c>
      <c r="T6" s="2" t="s">
        <v>63</v>
      </c>
      <c r="U6" s="2" t="s">
        <v>44</v>
      </c>
      <c r="V6" s="2" t="s">
        <v>45</v>
      </c>
      <c r="W6" s="2" t="s">
        <v>46</v>
      </c>
      <c r="X6" s="2"/>
      <c r="Y6" s="2"/>
      <c r="Z6" s="3">
        <v>9.52</v>
      </c>
      <c r="AA6" s="2" t="s">
        <v>64</v>
      </c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47</v>
      </c>
      <c r="H7" s="2" t="s">
        <v>55</v>
      </c>
      <c r="I7" s="2" t="s">
        <v>56</v>
      </c>
      <c r="J7" s="2" t="s">
        <v>67</v>
      </c>
      <c r="K7" s="2" t="s">
        <v>68</v>
      </c>
      <c r="L7" s="2" t="s">
        <v>59</v>
      </c>
      <c r="M7" s="2" t="s">
        <v>52</v>
      </c>
      <c r="N7" s="3">
        <v>74.680000000000007</v>
      </c>
      <c r="O7" s="3">
        <v>74.680000000000007</v>
      </c>
      <c r="P7" s="2" t="s">
        <v>69</v>
      </c>
      <c r="Q7" s="2" t="s">
        <v>41</v>
      </c>
      <c r="R7" s="2" t="s">
        <v>54</v>
      </c>
      <c r="S7" s="2" t="s">
        <v>62</v>
      </c>
      <c r="T7" s="2" t="s">
        <v>63</v>
      </c>
      <c r="U7" s="2" t="s">
        <v>44</v>
      </c>
      <c r="V7" s="2" t="s">
        <v>45</v>
      </c>
      <c r="W7" s="2" t="s">
        <v>46</v>
      </c>
      <c r="X7" s="2"/>
      <c r="Y7" s="2"/>
      <c r="Z7" s="3">
        <v>7.47</v>
      </c>
      <c r="AA7" s="2"/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47</v>
      </c>
      <c r="H8" s="2" t="s">
        <v>55</v>
      </c>
      <c r="I8" s="2" t="s">
        <v>56</v>
      </c>
      <c r="J8" s="2" t="s">
        <v>70</v>
      </c>
      <c r="K8" s="2" t="s">
        <v>71</v>
      </c>
      <c r="L8" s="2" t="s">
        <v>38</v>
      </c>
      <c r="M8" s="2" t="s">
        <v>60</v>
      </c>
      <c r="N8" s="3">
        <v>-325.45</v>
      </c>
      <c r="O8" s="3">
        <v>-325.45</v>
      </c>
      <c r="P8" s="2" t="s">
        <v>66</v>
      </c>
      <c r="Q8" s="2" t="s">
        <v>41</v>
      </c>
      <c r="R8" s="2" t="s">
        <v>72</v>
      </c>
      <c r="S8" s="2" t="s">
        <v>43</v>
      </c>
      <c r="T8" s="3">
        <v>50</v>
      </c>
      <c r="U8" s="2" t="s">
        <v>44</v>
      </c>
      <c r="V8" s="2" t="s">
        <v>73</v>
      </c>
      <c r="W8" s="2" t="s">
        <v>74</v>
      </c>
      <c r="X8" s="3">
        <v>350</v>
      </c>
      <c r="Y8" s="3">
        <v>350</v>
      </c>
      <c r="Z8" s="3">
        <v>350</v>
      </c>
      <c r="AA8" s="2"/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47</v>
      </c>
      <c r="H9" s="2" t="s">
        <v>55</v>
      </c>
      <c r="I9" s="2" t="s">
        <v>56</v>
      </c>
      <c r="J9" s="2" t="s">
        <v>70</v>
      </c>
      <c r="K9" s="2" t="s">
        <v>71</v>
      </c>
      <c r="L9" s="2" t="s">
        <v>38</v>
      </c>
      <c r="M9" s="2" t="s">
        <v>52</v>
      </c>
      <c r="N9" s="3">
        <v>-99.55</v>
      </c>
      <c r="O9" s="3">
        <v>-99.55</v>
      </c>
      <c r="P9" s="2" t="s">
        <v>66</v>
      </c>
      <c r="Q9" s="2" t="s">
        <v>41</v>
      </c>
      <c r="R9" s="2" t="s">
        <v>72</v>
      </c>
      <c r="S9" s="2" t="s">
        <v>43</v>
      </c>
      <c r="T9" s="3">
        <v>50</v>
      </c>
      <c r="U9" s="2" t="s">
        <v>44</v>
      </c>
      <c r="V9" s="2" t="s">
        <v>73</v>
      </c>
      <c r="W9" s="2" t="s">
        <v>74</v>
      </c>
      <c r="X9" s="3">
        <v>350</v>
      </c>
      <c r="Y9" s="3">
        <v>350</v>
      </c>
      <c r="Z9" s="3">
        <v>350</v>
      </c>
      <c r="AA9" s="2"/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47</v>
      </c>
      <c r="H10" s="2" t="s">
        <v>34</v>
      </c>
      <c r="I10" s="2" t="s">
        <v>35</v>
      </c>
      <c r="J10" s="2" t="s">
        <v>36</v>
      </c>
      <c r="K10" s="2" t="s">
        <v>37</v>
      </c>
      <c r="L10" s="2" t="s">
        <v>38</v>
      </c>
      <c r="M10" s="2" t="s">
        <v>60</v>
      </c>
      <c r="N10" s="3">
        <v>-8687.5499999999993</v>
      </c>
      <c r="O10" s="3">
        <v>-8687.5499999999993</v>
      </c>
      <c r="P10" s="2" t="s">
        <v>75</v>
      </c>
      <c r="Q10" s="2" t="s">
        <v>41</v>
      </c>
      <c r="R10" s="2" t="s">
        <v>42</v>
      </c>
      <c r="S10" s="2" t="s">
        <v>43</v>
      </c>
      <c r="T10" s="3">
        <v>31</v>
      </c>
      <c r="U10" s="2" t="s">
        <v>44</v>
      </c>
      <c r="V10" s="2" t="s">
        <v>45</v>
      </c>
      <c r="W10" s="2" t="s">
        <v>46</v>
      </c>
      <c r="X10" s="2"/>
      <c r="Y10" s="2"/>
      <c r="Z10" s="3">
        <v>-310</v>
      </c>
      <c r="AA10" s="2"/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47</v>
      </c>
      <c r="H11" s="2" t="s">
        <v>34</v>
      </c>
      <c r="I11" s="2" t="s">
        <v>35</v>
      </c>
      <c r="J11" s="2" t="s">
        <v>36</v>
      </c>
      <c r="K11" s="2" t="s">
        <v>37</v>
      </c>
      <c r="L11" s="2" t="s">
        <v>38</v>
      </c>
      <c r="M11" s="2" t="s">
        <v>60</v>
      </c>
      <c r="N11" s="3">
        <v>12549.66</v>
      </c>
      <c r="O11" s="3">
        <v>12549.66</v>
      </c>
      <c r="P11" s="2" t="s">
        <v>76</v>
      </c>
      <c r="Q11" s="2" t="s">
        <v>41</v>
      </c>
      <c r="R11" s="2" t="s">
        <v>42</v>
      </c>
      <c r="S11" s="2" t="s">
        <v>43</v>
      </c>
      <c r="T11" s="3">
        <v>31</v>
      </c>
      <c r="U11" s="2" t="s">
        <v>44</v>
      </c>
      <c r="V11" s="2" t="s">
        <v>45</v>
      </c>
      <c r="W11" s="2" t="s">
        <v>46</v>
      </c>
      <c r="X11" s="2"/>
      <c r="Y11" s="2"/>
      <c r="Z11" s="3">
        <v>465</v>
      </c>
      <c r="AA11" s="2"/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47</v>
      </c>
      <c r="H12" s="2" t="s">
        <v>34</v>
      </c>
      <c r="I12" s="2" t="s">
        <v>35</v>
      </c>
      <c r="J12" s="2" t="s">
        <v>36</v>
      </c>
      <c r="K12" s="2" t="s">
        <v>37</v>
      </c>
      <c r="L12" s="2" t="s">
        <v>38</v>
      </c>
      <c r="M12" s="2" t="s">
        <v>60</v>
      </c>
      <c r="N12" s="3">
        <v>5230.24</v>
      </c>
      <c r="O12" s="3">
        <v>5230.24</v>
      </c>
      <c r="P12" s="2" t="s">
        <v>66</v>
      </c>
      <c r="Q12" s="2" t="s">
        <v>41</v>
      </c>
      <c r="R12" s="2" t="s">
        <v>42</v>
      </c>
      <c r="S12" s="2" t="s">
        <v>43</v>
      </c>
      <c r="T12" s="3">
        <v>31</v>
      </c>
      <c r="U12" s="2" t="s">
        <v>44</v>
      </c>
      <c r="V12" s="2" t="s">
        <v>45</v>
      </c>
      <c r="W12" s="2" t="s">
        <v>46</v>
      </c>
      <c r="X12" s="2"/>
      <c r="Y12" s="2"/>
      <c r="Z12" s="3">
        <v>217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47</v>
      </c>
      <c r="H13" s="2" t="s">
        <v>34</v>
      </c>
      <c r="I13" s="2" t="s">
        <v>35</v>
      </c>
      <c r="J13" s="2" t="s">
        <v>36</v>
      </c>
      <c r="K13" s="2" t="s">
        <v>37</v>
      </c>
      <c r="L13" s="2" t="s">
        <v>38</v>
      </c>
      <c r="M13" s="2" t="s">
        <v>60</v>
      </c>
      <c r="N13" s="3">
        <v>-4339.66</v>
      </c>
      <c r="O13" s="3">
        <v>-4339.66</v>
      </c>
      <c r="P13" s="2" t="s">
        <v>77</v>
      </c>
      <c r="Q13" s="2" t="s">
        <v>41</v>
      </c>
      <c r="R13" s="2" t="s">
        <v>42</v>
      </c>
      <c r="S13" s="2" t="s">
        <v>43</v>
      </c>
      <c r="T13" s="3">
        <v>31</v>
      </c>
      <c r="U13" s="2" t="s">
        <v>44</v>
      </c>
      <c r="V13" s="2" t="s">
        <v>45</v>
      </c>
      <c r="W13" s="2" t="s">
        <v>46</v>
      </c>
      <c r="X13" s="2"/>
      <c r="Y13" s="2"/>
      <c r="Z13" s="3">
        <v>-155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47</v>
      </c>
      <c r="H14" s="2" t="s">
        <v>34</v>
      </c>
      <c r="I14" s="2" t="s">
        <v>35</v>
      </c>
      <c r="J14" s="2" t="s">
        <v>36</v>
      </c>
      <c r="K14" s="2" t="s">
        <v>37</v>
      </c>
      <c r="L14" s="2" t="s">
        <v>38</v>
      </c>
      <c r="M14" s="2" t="s">
        <v>60</v>
      </c>
      <c r="N14" s="3">
        <v>-3252.15</v>
      </c>
      <c r="O14" s="3">
        <v>-3252.15</v>
      </c>
      <c r="P14" s="2" t="s">
        <v>78</v>
      </c>
      <c r="Q14" s="2" t="s">
        <v>41</v>
      </c>
      <c r="R14" s="2" t="s">
        <v>42</v>
      </c>
      <c r="S14" s="2" t="s">
        <v>43</v>
      </c>
      <c r="T14" s="3">
        <v>31</v>
      </c>
      <c r="U14" s="2" t="s">
        <v>44</v>
      </c>
      <c r="V14" s="2" t="s">
        <v>45</v>
      </c>
      <c r="W14" s="2" t="s">
        <v>46</v>
      </c>
      <c r="X14" s="2"/>
      <c r="Y14" s="2"/>
      <c r="Z14" s="3">
        <v>-186</v>
      </c>
      <c r="AA14" s="2"/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47</v>
      </c>
      <c r="H15" s="2" t="s">
        <v>34</v>
      </c>
      <c r="I15" s="2" t="s">
        <v>35</v>
      </c>
      <c r="J15" s="2" t="s">
        <v>36</v>
      </c>
      <c r="K15" s="2" t="s">
        <v>37</v>
      </c>
      <c r="L15" s="2" t="s">
        <v>38</v>
      </c>
      <c r="M15" s="2" t="s">
        <v>52</v>
      </c>
      <c r="N15" s="3">
        <v>12549.66</v>
      </c>
      <c r="O15" s="3">
        <v>12549.66</v>
      </c>
      <c r="P15" s="2" t="s">
        <v>76</v>
      </c>
      <c r="Q15" s="2" t="s">
        <v>41</v>
      </c>
      <c r="R15" s="2" t="s">
        <v>42</v>
      </c>
      <c r="S15" s="2" t="s">
        <v>43</v>
      </c>
      <c r="T15" s="3">
        <v>31</v>
      </c>
      <c r="U15" s="2" t="s">
        <v>44</v>
      </c>
      <c r="V15" s="2" t="s">
        <v>45</v>
      </c>
      <c r="W15" s="2" t="s">
        <v>46</v>
      </c>
      <c r="X15" s="2"/>
      <c r="Y15" s="2"/>
      <c r="Z15" s="3">
        <v>465</v>
      </c>
      <c r="AA15" s="2"/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47</v>
      </c>
      <c r="H16" s="2" t="s">
        <v>34</v>
      </c>
      <c r="I16" s="2" t="s">
        <v>35</v>
      </c>
      <c r="J16" s="2" t="s">
        <v>36</v>
      </c>
      <c r="K16" s="2" t="s">
        <v>37</v>
      </c>
      <c r="L16" s="2" t="s">
        <v>38</v>
      </c>
      <c r="M16" s="2" t="s">
        <v>52</v>
      </c>
      <c r="N16" s="3">
        <v>5230.24</v>
      </c>
      <c r="O16" s="3">
        <v>5230.24</v>
      </c>
      <c r="P16" s="2" t="s">
        <v>66</v>
      </c>
      <c r="Q16" s="2" t="s">
        <v>41</v>
      </c>
      <c r="R16" s="2" t="s">
        <v>42</v>
      </c>
      <c r="S16" s="2" t="s">
        <v>43</v>
      </c>
      <c r="T16" s="3">
        <v>31</v>
      </c>
      <c r="U16" s="2" t="s">
        <v>44</v>
      </c>
      <c r="V16" s="2" t="s">
        <v>45</v>
      </c>
      <c r="W16" s="2" t="s">
        <v>46</v>
      </c>
      <c r="X16" s="2"/>
      <c r="Y16" s="2"/>
      <c r="Z16" s="3">
        <v>217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47</v>
      </c>
      <c r="H17" s="2" t="s">
        <v>79</v>
      </c>
      <c r="I17" s="2" t="s">
        <v>80</v>
      </c>
      <c r="J17" s="2" t="s">
        <v>81</v>
      </c>
      <c r="K17" s="2" t="s">
        <v>82</v>
      </c>
      <c r="L17" s="2" t="s">
        <v>38</v>
      </c>
      <c r="M17" s="2" t="s">
        <v>52</v>
      </c>
      <c r="N17" s="3">
        <v>422.17</v>
      </c>
      <c r="O17" s="3">
        <v>422.17</v>
      </c>
      <c r="P17" s="2" t="s">
        <v>53</v>
      </c>
      <c r="Q17" s="2" t="s">
        <v>41</v>
      </c>
      <c r="R17" s="2" t="s">
        <v>83</v>
      </c>
      <c r="S17" s="2" t="s">
        <v>43</v>
      </c>
      <c r="T17" s="3">
        <v>75</v>
      </c>
      <c r="U17" s="2" t="s">
        <v>44</v>
      </c>
      <c r="V17" s="2" t="s">
        <v>73</v>
      </c>
      <c r="W17" s="2" t="s">
        <v>74</v>
      </c>
      <c r="X17" s="3">
        <v>300</v>
      </c>
      <c r="Y17" s="3">
        <v>300</v>
      </c>
      <c r="Z17" s="3">
        <v>300</v>
      </c>
      <c r="AA17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919F-179F-46ED-B2FA-9097E5F29A4D}">
  <dimension ref="A1:S17"/>
  <sheetViews>
    <sheetView tabSelected="1" topLeftCell="E1" workbookViewId="0">
      <selection activeCell="O18" sqref="O18"/>
    </sheetView>
  </sheetViews>
  <sheetFormatPr defaultRowHeight="12.75" x14ac:dyDescent="0.2"/>
  <cols>
    <col min="1" max="1" width="17" customWidth="1"/>
    <col min="2" max="2" width="25.140625" customWidth="1"/>
    <col min="3" max="3" width="30.42578125" customWidth="1"/>
    <col min="4" max="5" width="18.85546875" customWidth="1"/>
    <col min="6" max="6" width="24.28515625" customWidth="1"/>
    <col min="7" max="7" width="14.5703125" customWidth="1"/>
    <col min="8" max="8" width="18.85546875" customWidth="1"/>
    <col min="9" max="9" width="21.42578125" customWidth="1"/>
    <col min="10" max="10" width="45.42578125" bestFit="1" customWidth="1"/>
    <col min="11" max="11" width="12.28515625" customWidth="1"/>
    <col min="12" max="12" width="10.42578125" customWidth="1"/>
    <col min="13" max="13" width="11.28515625" customWidth="1"/>
    <col min="14" max="14" width="15.42578125" customWidth="1"/>
    <col min="15" max="15" width="12.140625" customWidth="1"/>
    <col min="16" max="16" width="14.42578125" customWidth="1"/>
    <col min="17" max="17" width="16.5703125" customWidth="1"/>
    <col min="18" max="18" width="23.42578125" bestFit="1" customWidth="1"/>
    <col min="19" max="19" width="10.140625" bestFit="1" customWidth="1"/>
  </cols>
  <sheetData>
    <row r="1" spans="1:19" ht="12.75" customHeight="1" x14ac:dyDescent="0.35">
      <c r="A1" s="1" t="s">
        <v>6</v>
      </c>
      <c r="B1" s="1" t="s">
        <v>7</v>
      </c>
      <c r="C1" s="1" t="s">
        <v>8</v>
      </c>
      <c r="D1" s="1" t="s">
        <v>9</v>
      </c>
      <c r="E1" s="1"/>
      <c r="F1" s="1" t="s">
        <v>10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9" ht="12.75" customHeight="1" x14ac:dyDescent="0.25">
      <c r="A2" s="2" t="s">
        <v>47</v>
      </c>
      <c r="B2" s="5">
        <v>16509456</v>
      </c>
      <c r="C2" s="2" t="s">
        <v>56</v>
      </c>
      <c r="D2" s="5">
        <v>1498389</v>
      </c>
      <c r="E2" s="5" t="str">
        <f>CONCATENATE(D2,1)</f>
        <v>14983891</v>
      </c>
      <c r="F2" s="2" t="s">
        <v>58</v>
      </c>
      <c r="G2" s="2" t="s">
        <v>59</v>
      </c>
      <c r="H2" s="2" t="s">
        <v>60</v>
      </c>
      <c r="I2" s="3">
        <v>87.08</v>
      </c>
      <c r="J2" s="5"/>
      <c r="K2" s="2" t="s">
        <v>62</v>
      </c>
      <c r="L2" s="6">
        <v>0.1</v>
      </c>
      <c r="M2" s="2" t="s">
        <v>45</v>
      </c>
      <c r="N2" s="2" t="s">
        <v>46</v>
      </c>
      <c r="O2" s="2"/>
      <c r="P2" s="2"/>
      <c r="Q2" s="3">
        <v>8.7100000000000009</v>
      </c>
      <c r="R2" t="s">
        <v>89</v>
      </c>
      <c r="S2" s="8">
        <v>45444</v>
      </c>
    </row>
    <row r="3" spans="1:19" ht="12.75" customHeight="1" x14ac:dyDescent="0.25">
      <c r="A3" s="2" t="s">
        <v>47</v>
      </c>
      <c r="B3" s="5">
        <v>16509456</v>
      </c>
      <c r="C3" s="2" t="s">
        <v>56</v>
      </c>
      <c r="D3" s="5">
        <v>1498389</v>
      </c>
      <c r="E3" s="5" t="str">
        <f t="shared" ref="E3:E5" si="0">CONCATENATE(D3,1)</f>
        <v>14983891</v>
      </c>
      <c r="F3" s="2" t="s">
        <v>58</v>
      </c>
      <c r="G3" s="2" t="s">
        <v>65</v>
      </c>
      <c r="H3" s="2" t="s">
        <v>60</v>
      </c>
      <c r="I3" s="3">
        <v>6.93</v>
      </c>
      <c r="J3" s="5"/>
      <c r="K3" s="2" t="s">
        <v>62</v>
      </c>
      <c r="L3" s="6">
        <v>0.1</v>
      </c>
      <c r="M3" s="2" t="s">
        <v>45</v>
      </c>
      <c r="N3" s="2" t="s">
        <v>46</v>
      </c>
      <c r="O3" s="2"/>
      <c r="P3" s="2"/>
      <c r="Q3" s="3">
        <v>0.69</v>
      </c>
      <c r="R3" t="s">
        <v>89</v>
      </c>
      <c r="S3" s="8">
        <v>45444</v>
      </c>
    </row>
    <row r="4" spans="1:19" ht="12.75" customHeight="1" x14ac:dyDescent="0.25">
      <c r="A4" s="2" t="s">
        <v>47</v>
      </c>
      <c r="B4" s="5">
        <v>16509456</v>
      </c>
      <c r="C4" s="2" t="s">
        <v>56</v>
      </c>
      <c r="D4" s="5">
        <v>1498389</v>
      </c>
      <c r="E4" s="5" t="str">
        <f t="shared" si="0"/>
        <v>14983891</v>
      </c>
      <c r="F4" s="2" t="s">
        <v>58</v>
      </c>
      <c r="G4" s="2" t="s">
        <v>65</v>
      </c>
      <c r="H4" s="2" t="s">
        <v>52</v>
      </c>
      <c r="I4" s="3">
        <v>95.22</v>
      </c>
      <c r="J4" s="5"/>
      <c r="K4" s="2" t="s">
        <v>62</v>
      </c>
      <c r="L4" s="6">
        <v>0.1</v>
      </c>
      <c r="M4" s="2" t="s">
        <v>45</v>
      </c>
      <c r="N4" s="2" t="s">
        <v>46</v>
      </c>
      <c r="O4" s="2"/>
      <c r="P4" s="2"/>
      <c r="Q4" s="3">
        <v>9.52</v>
      </c>
      <c r="R4" t="s">
        <v>89</v>
      </c>
      <c r="S4" s="8">
        <v>45444</v>
      </c>
    </row>
    <row r="5" spans="1:19" ht="12.75" customHeight="1" x14ac:dyDescent="0.25">
      <c r="A5" s="2" t="s">
        <v>47</v>
      </c>
      <c r="B5" s="5">
        <v>16509456</v>
      </c>
      <c r="C5" s="2" t="s">
        <v>56</v>
      </c>
      <c r="D5" s="5">
        <v>1614180</v>
      </c>
      <c r="E5" s="5" t="str">
        <f t="shared" si="0"/>
        <v>16141801</v>
      </c>
      <c r="F5" s="2" t="s">
        <v>68</v>
      </c>
      <c r="G5" s="2" t="s">
        <v>59</v>
      </c>
      <c r="H5" s="2" t="s">
        <v>52</v>
      </c>
      <c r="I5" s="3">
        <v>74.680000000000007</v>
      </c>
      <c r="J5" s="5"/>
      <c r="K5" s="2" t="s">
        <v>62</v>
      </c>
      <c r="L5" s="6">
        <v>0.1</v>
      </c>
      <c r="M5" s="2" t="s">
        <v>45</v>
      </c>
      <c r="N5" s="2" t="s">
        <v>46</v>
      </c>
      <c r="O5" s="2"/>
      <c r="P5" s="2"/>
      <c r="Q5" s="3">
        <v>7.47</v>
      </c>
      <c r="R5" t="s">
        <v>89</v>
      </c>
      <c r="S5" s="8">
        <v>45275</v>
      </c>
    </row>
    <row r="6" spans="1:19" ht="12.75" customHeight="1" x14ac:dyDescent="0.25">
      <c r="A6" s="2" t="s">
        <v>47</v>
      </c>
      <c r="B6" s="5">
        <v>18754354</v>
      </c>
      <c r="C6" s="2" t="s">
        <v>35</v>
      </c>
      <c r="D6" s="5">
        <v>1677591</v>
      </c>
      <c r="E6" s="5" t="str">
        <f>CONCATENATE(D6,4)</f>
        <v>16775914</v>
      </c>
      <c r="F6" s="2" t="s">
        <v>37</v>
      </c>
      <c r="G6" s="2" t="s">
        <v>38</v>
      </c>
      <c r="H6" s="2" t="s">
        <v>60</v>
      </c>
      <c r="I6" s="3">
        <v>-8687.5499999999993</v>
      </c>
      <c r="J6" s="5" t="s">
        <v>98</v>
      </c>
      <c r="K6" s="2" t="s">
        <v>43</v>
      </c>
      <c r="L6" s="3">
        <v>31</v>
      </c>
      <c r="M6" s="2" t="s">
        <v>45</v>
      </c>
      <c r="N6" s="2" t="s">
        <v>46</v>
      </c>
      <c r="O6" s="2"/>
      <c r="P6" s="2"/>
      <c r="Q6" s="3">
        <v>-310</v>
      </c>
      <c r="R6" t="s">
        <v>91</v>
      </c>
      <c r="S6" s="8">
        <v>45292</v>
      </c>
    </row>
    <row r="7" spans="1:19" ht="12.75" customHeight="1" x14ac:dyDescent="0.25">
      <c r="A7" s="2" t="s">
        <v>47</v>
      </c>
      <c r="B7" s="5">
        <v>18754354</v>
      </c>
      <c r="C7" s="2" t="s">
        <v>35</v>
      </c>
      <c r="D7" s="5">
        <v>1677591</v>
      </c>
      <c r="E7" s="5" t="str">
        <f t="shared" ref="E7:E13" si="1">CONCATENATE(D7,4)</f>
        <v>16775914</v>
      </c>
      <c r="F7" s="2" t="s">
        <v>37</v>
      </c>
      <c r="G7" s="2" t="s">
        <v>38</v>
      </c>
      <c r="H7" s="2" t="s">
        <v>60</v>
      </c>
      <c r="I7" s="3">
        <v>12549.66</v>
      </c>
      <c r="J7" s="5" t="s">
        <v>97</v>
      </c>
      <c r="K7" s="2" t="s">
        <v>43</v>
      </c>
      <c r="L7" s="3">
        <v>31</v>
      </c>
      <c r="M7" s="2" t="s">
        <v>45</v>
      </c>
      <c r="N7" s="2" t="s">
        <v>46</v>
      </c>
      <c r="O7" s="2"/>
      <c r="P7" s="2"/>
      <c r="Q7" s="3">
        <v>465</v>
      </c>
      <c r="R7" t="s">
        <v>91</v>
      </c>
      <c r="S7" s="8">
        <v>45292</v>
      </c>
    </row>
    <row r="8" spans="1:19" ht="12.75" customHeight="1" x14ac:dyDescent="0.25">
      <c r="A8" s="2" t="s">
        <v>47</v>
      </c>
      <c r="B8" s="5">
        <v>18754354</v>
      </c>
      <c r="C8" s="2" t="s">
        <v>35</v>
      </c>
      <c r="D8" s="5">
        <v>1677591</v>
      </c>
      <c r="E8" s="5" t="str">
        <f t="shared" si="1"/>
        <v>16775914</v>
      </c>
      <c r="F8" s="2" t="s">
        <v>37</v>
      </c>
      <c r="G8" s="2" t="s">
        <v>38</v>
      </c>
      <c r="H8" s="2" t="s">
        <v>60</v>
      </c>
      <c r="I8" s="3">
        <v>5230.24</v>
      </c>
      <c r="J8" s="5" t="s">
        <v>95</v>
      </c>
      <c r="K8" s="2" t="s">
        <v>43</v>
      </c>
      <c r="L8" s="3">
        <v>31</v>
      </c>
      <c r="M8" s="2" t="s">
        <v>45</v>
      </c>
      <c r="N8" s="2" t="s">
        <v>46</v>
      </c>
      <c r="O8" s="2"/>
      <c r="P8" s="2"/>
      <c r="Q8" s="3">
        <v>217</v>
      </c>
      <c r="R8" t="s">
        <v>91</v>
      </c>
      <c r="S8" s="8">
        <v>45292</v>
      </c>
    </row>
    <row r="9" spans="1:19" ht="12.75" customHeight="1" x14ac:dyDescent="0.25">
      <c r="A9" s="2" t="s">
        <v>47</v>
      </c>
      <c r="B9" s="5">
        <v>18754354</v>
      </c>
      <c r="C9" s="2" t="s">
        <v>35</v>
      </c>
      <c r="D9" s="5">
        <v>1677591</v>
      </c>
      <c r="E9" s="5" t="str">
        <f t="shared" si="1"/>
        <v>16775914</v>
      </c>
      <c r="F9" s="2" t="s">
        <v>37</v>
      </c>
      <c r="G9" s="2" t="s">
        <v>38</v>
      </c>
      <c r="H9" s="2" t="s">
        <v>60</v>
      </c>
      <c r="I9" s="3">
        <v>-4339.66</v>
      </c>
      <c r="J9" s="9" t="s">
        <v>96</v>
      </c>
      <c r="K9" s="2" t="s">
        <v>43</v>
      </c>
      <c r="L9" s="3">
        <v>31</v>
      </c>
      <c r="M9" s="2" t="s">
        <v>45</v>
      </c>
      <c r="N9" s="2" t="s">
        <v>46</v>
      </c>
      <c r="O9" s="2"/>
      <c r="P9" s="2"/>
      <c r="Q9" s="3">
        <v>-155</v>
      </c>
      <c r="R9" t="s">
        <v>91</v>
      </c>
      <c r="S9" s="8">
        <v>45292</v>
      </c>
    </row>
    <row r="10" spans="1:19" ht="12.75" customHeight="1" x14ac:dyDescent="0.25">
      <c r="A10" s="2" t="s">
        <v>47</v>
      </c>
      <c r="B10" s="5">
        <v>18754354</v>
      </c>
      <c r="C10" s="2" t="s">
        <v>35</v>
      </c>
      <c r="D10" s="5">
        <v>1677591</v>
      </c>
      <c r="E10" s="5" t="str">
        <f t="shared" si="1"/>
        <v>16775914</v>
      </c>
      <c r="F10" s="2" t="s">
        <v>37</v>
      </c>
      <c r="G10" s="2" t="s">
        <v>38</v>
      </c>
      <c r="H10" s="2" t="s">
        <v>60</v>
      </c>
      <c r="I10" s="3">
        <v>-3252.15</v>
      </c>
      <c r="J10" s="5" t="s">
        <v>99</v>
      </c>
      <c r="K10" s="2" t="s">
        <v>43</v>
      </c>
      <c r="L10" s="3">
        <v>31</v>
      </c>
      <c r="M10" s="2" t="s">
        <v>45</v>
      </c>
      <c r="N10" s="2" t="s">
        <v>46</v>
      </c>
      <c r="O10" s="2"/>
      <c r="P10" s="2"/>
      <c r="Q10" s="3">
        <v>-186</v>
      </c>
      <c r="R10" t="s">
        <v>91</v>
      </c>
      <c r="S10" s="8">
        <v>45292</v>
      </c>
    </row>
    <row r="11" spans="1:19" ht="12.75" customHeight="1" x14ac:dyDescent="0.25">
      <c r="A11" s="2" t="s">
        <v>47</v>
      </c>
      <c r="B11" s="5">
        <v>18754354</v>
      </c>
      <c r="C11" s="2" t="s">
        <v>35</v>
      </c>
      <c r="D11" s="5">
        <v>1677591</v>
      </c>
      <c r="E11" s="5" t="str">
        <f t="shared" si="1"/>
        <v>16775914</v>
      </c>
      <c r="F11" s="2" t="s">
        <v>37</v>
      </c>
      <c r="G11" s="2" t="s">
        <v>38</v>
      </c>
      <c r="H11" s="2" t="s">
        <v>52</v>
      </c>
      <c r="I11" s="3">
        <v>12549.66</v>
      </c>
      <c r="J11" s="5" t="s">
        <v>97</v>
      </c>
      <c r="K11" s="2" t="s">
        <v>43</v>
      </c>
      <c r="L11" s="3">
        <v>31</v>
      </c>
      <c r="M11" s="2" t="s">
        <v>45</v>
      </c>
      <c r="N11" s="2" t="s">
        <v>46</v>
      </c>
      <c r="O11" s="2"/>
      <c r="P11" s="2"/>
      <c r="Q11" s="3">
        <v>465</v>
      </c>
      <c r="R11" t="s">
        <v>91</v>
      </c>
      <c r="S11" s="8">
        <v>45292</v>
      </c>
    </row>
    <row r="12" spans="1:19" ht="12.75" customHeight="1" x14ac:dyDescent="0.25">
      <c r="A12" s="2" t="s">
        <v>47</v>
      </c>
      <c r="B12" s="5">
        <v>18754354</v>
      </c>
      <c r="C12" s="2" t="s">
        <v>35</v>
      </c>
      <c r="D12" s="5">
        <v>1677591</v>
      </c>
      <c r="E12" s="5" t="str">
        <f t="shared" si="1"/>
        <v>16775914</v>
      </c>
      <c r="F12" s="2" t="s">
        <v>37</v>
      </c>
      <c r="G12" s="2" t="s">
        <v>38</v>
      </c>
      <c r="H12" s="2" t="s">
        <v>52</v>
      </c>
      <c r="I12" s="3">
        <v>5230.24</v>
      </c>
      <c r="J12" s="5" t="s">
        <v>95</v>
      </c>
      <c r="K12" s="2" t="s">
        <v>43</v>
      </c>
      <c r="L12" s="3">
        <v>31</v>
      </c>
      <c r="M12" s="2" t="s">
        <v>45</v>
      </c>
      <c r="N12" s="2" t="s">
        <v>46</v>
      </c>
      <c r="O12" s="2"/>
      <c r="P12" s="2"/>
      <c r="Q12" s="3">
        <v>217</v>
      </c>
      <c r="R12" t="s">
        <v>91</v>
      </c>
      <c r="S12" s="8">
        <v>45292</v>
      </c>
    </row>
    <row r="13" spans="1:19" ht="12.75" customHeight="1" x14ac:dyDescent="0.25">
      <c r="A13" s="2" t="s">
        <v>33</v>
      </c>
      <c r="B13" s="5">
        <v>18754354</v>
      </c>
      <c r="C13" s="2" t="s">
        <v>35</v>
      </c>
      <c r="D13" s="5">
        <v>1677591</v>
      </c>
      <c r="E13" s="5" t="str">
        <f t="shared" si="1"/>
        <v>16775914</v>
      </c>
      <c r="F13" s="2" t="s">
        <v>37</v>
      </c>
      <c r="G13" s="2" t="s">
        <v>38</v>
      </c>
      <c r="H13" s="2" t="s">
        <v>39</v>
      </c>
      <c r="I13" s="3">
        <v>-454.41</v>
      </c>
      <c r="J13" s="5"/>
      <c r="K13" s="2" t="s">
        <v>43</v>
      </c>
      <c r="L13" s="3">
        <v>34</v>
      </c>
      <c r="M13" s="2" t="s">
        <v>45</v>
      </c>
      <c r="N13" s="2" t="s">
        <v>46</v>
      </c>
      <c r="O13" s="2"/>
      <c r="P13" s="2"/>
      <c r="Q13" s="3">
        <v>-34</v>
      </c>
      <c r="R13" t="s">
        <v>91</v>
      </c>
      <c r="S13" s="8">
        <v>45292</v>
      </c>
    </row>
    <row r="14" spans="1:19" ht="12.75" customHeight="1" x14ac:dyDescent="0.25">
      <c r="A14" s="2" t="s">
        <v>47</v>
      </c>
      <c r="B14" s="5">
        <v>15278437</v>
      </c>
      <c r="C14" s="2" t="s">
        <v>49</v>
      </c>
      <c r="D14" s="5">
        <v>1500970</v>
      </c>
      <c r="E14" s="5" t="str">
        <f>CONCATENATE(D14,2)</f>
        <v>15009702</v>
      </c>
      <c r="F14" s="2" t="s">
        <v>51</v>
      </c>
      <c r="G14" s="2" t="s">
        <v>38</v>
      </c>
      <c r="H14" s="2" t="s">
        <v>52</v>
      </c>
      <c r="I14" s="3">
        <v>2099.41</v>
      </c>
      <c r="J14" s="5" t="s">
        <v>94</v>
      </c>
      <c r="K14" s="2" t="s">
        <v>43</v>
      </c>
      <c r="L14" s="3">
        <v>41</v>
      </c>
      <c r="M14" s="2" t="s">
        <v>45</v>
      </c>
      <c r="N14" s="2" t="s">
        <v>46</v>
      </c>
      <c r="O14" s="2"/>
      <c r="P14" s="2"/>
      <c r="Q14" s="3">
        <v>164</v>
      </c>
      <c r="R14" t="s">
        <v>90</v>
      </c>
      <c r="S14" s="8">
        <v>45474</v>
      </c>
    </row>
    <row r="15" spans="1:19" ht="12.75" customHeight="1" x14ac:dyDescent="0.25">
      <c r="A15" s="2" t="s">
        <v>47</v>
      </c>
      <c r="B15" s="5">
        <v>16509456</v>
      </c>
      <c r="C15" s="2" t="s">
        <v>56</v>
      </c>
      <c r="D15" s="5">
        <v>1441727</v>
      </c>
      <c r="E15" s="5" t="str">
        <f>CONCATENATE(D15,3)</f>
        <v>14417273</v>
      </c>
      <c r="F15" s="2" t="s">
        <v>71</v>
      </c>
      <c r="G15" s="2" t="s">
        <v>38</v>
      </c>
      <c r="H15" s="2" t="s">
        <v>60</v>
      </c>
      <c r="I15" s="3">
        <v>-325.45</v>
      </c>
      <c r="J15" s="5" t="s">
        <v>95</v>
      </c>
      <c r="K15" s="2" t="s">
        <v>43</v>
      </c>
      <c r="L15" s="3">
        <v>50</v>
      </c>
      <c r="M15" s="2" t="s">
        <v>73</v>
      </c>
      <c r="N15" s="2" t="s">
        <v>74</v>
      </c>
      <c r="O15" s="3">
        <v>350</v>
      </c>
      <c r="P15" s="3">
        <v>350</v>
      </c>
      <c r="Q15" s="3">
        <v>350</v>
      </c>
      <c r="R15" t="s">
        <v>92</v>
      </c>
      <c r="S15" s="8">
        <v>45292</v>
      </c>
    </row>
    <row r="16" spans="1:19" ht="12.75" customHeight="1" x14ac:dyDescent="0.25">
      <c r="A16" s="2" t="s">
        <v>47</v>
      </c>
      <c r="B16" s="5">
        <v>16509456</v>
      </c>
      <c r="C16" s="2" t="s">
        <v>56</v>
      </c>
      <c r="D16" s="5">
        <v>1441727</v>
      </c>
      <c r="E16" s="5" t="str">
        <f>CONCATENATE(D16,3)</f>
        <v>14417273</v>
      </c>
      <c r="F16" s="2" t="s">
        <v>71</v>
      </c>
      <c r="G16" s="2" t="s">
        <v>38</v>
      </c>
      <c r="H16" s="2" t="s">
        <v>52</v>
      </c>
      <c r="I16" s="3">
        <v>-99.55</v>
      </c>
      <c r="J16" s="5" t="s">
        <v>95</v>
      </c>
      <c r="K16" s="2" t="s">
        <v>43</v>
      </c>
      <c r="L16" s="3">
        <v>50</v>
      </c>
      <c r="M16" s="2" t="s">
        <v>73</v>
      </c>
      <c r="N16" s="2" t="s">
        <v>74</v>
      </c>
      <c r="O16" s="3">
        <v>350</v>
      </c>
      <c r="P16" s="3">
        <v>350</v>
      </c>
      <c r="Q16" s="3">
        <v>350</v>
      </c>
      <c r="R16" t="s">
        <v>92</v>
      </c>
      <c r="S16" s="8">
        <v>45292</v>
      </c>
    </row>
    <row r="17" spans="1:19" ht="12.75" customHeight="1" x14ac:dyDescent="0.25">
      <c r="A17" s="2" t="s">
        <v>47</v>
      </c>
      <c r="B17" s="9">
        <v>16633294</v>
      </c>
      <c r="C17" s="2" t="s">
        <v>80</v>
      </c>
      <c r="D17" s="5">
        <v>1686981</v>
      </c>
      <c r="E17" s="5" t="str">
        <f>CONCATENATE(D17,3)</f>
        <v>16869813</v>
      </c>
      <c r="F17" s="2" t="s">
        <v>82</v>
      </c>
      <c r="G17" s="2" t="s">
        <v>38</v>
      </c>
      <c r="H17" s="2" t="s">
        <v>52</v>
      </c>
      <c r="I17" s="3">
        <v>422.17</v>
      </c>
      <c r="J17" s="5" t="s">
        <v>94</v>
      </c>
      <c r="K17" s="2" t="s">
        <v>43</v>
      </c>
      <c r="L17" s="3">
        <v>75</v>
      </c>
      <c r="M17" s="2" t="s">
        <v>73</v>
      </c>
      <c r="N17" s="2" t="s">
        <v>74</v>
      </c>
      <c r="O17" s="3">
        <v>300</v>
      </c>
      <c r="P17" s="3">
        <v>300</v>
      </c>
      <c r="Q17" s="3">
        <v>300</v>
      </c>
      <c r="R17" s="7" t="s">
        <v>93</v>
      </c>
      <c r="S17" s="8">
        <v>45597</v>
      </c>
    </row>
  </sheetData>
  <sortState xmlns:xlrd2="http://schemas.microsoft.com/office/spreadsheetml/2017/richdata2" ref="A2:AB17">
    <sortCondition ref="L2:L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DE77-D24A-4081-A98B-EE3249FCA2C9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2025-09-18T17:44:23Z</dcterms:created>
  <dcterms:modified xsi:type="dcterms:W3CDTF">2025-09-24T13:31:45Z</dcterms:modified>
</cp:coreProperties>
</file>