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small group\2025\UHC Small Group 10-21-25\"/>
    </mc:Choice>
  </mc:AlternateContent>
  <xr:revisionPtr revIDLastSave="0" documentId="13_ncr:1_{68118AB4-0892-4BFA-8F2E-3D08C4C6B470}" xr6:coauthVersionLast="47" xr6:coauthVersionMax="47" xr10:uidLastSave="{00000000-0000-0000-0000-000000000000}"/>
  <bookViews>
    <workbookView xWindow="-57720" yWindow="-45" windowWidth="29040" windowHeight="15720" xr2:uid="{8C5ECAEE-69F9-4F0A-8121-8BA6686D2E4C}"/>
  </bookViews>
  <sheets>
    <sheet name="Detail Data - 1" sheetId="1" r:id="rId1"/>
    <sheet name="Adjustment Data - 1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3" l="1"/>
  <c r="D22" i="3"/>
  <c r="D21" i="3"/>
  <c r="D20" i="3"/>
  <c r="D19" i="3"/>
  <c r="D15" i="3"/>
  <c r="D8" i="3"/>
  <c r="D7" i="3"/>
  <c r="D6" i="3"/>
  <c r="D5" i="3"/>
  <c r="D4" i="3"/>
  <c r="D3" i="3"/>
  <c r="D18" i="3"/>
  <c r="D17" i="3"/>
  <c r="D16" i="3"/>
  <c r="D14" i="3"/>
  <c r="D13" i="3"/>
  <c r="D12" i="3"/>
  <c r="D11" i="3"/>
  <c r="D10" i="3"/>
  <c r="D9" i="3"/>
  <c r="D2" i="3"/>
</calcChain>
</file>

<file path=xl/sharedStrings.xml><?xml version="1.0" encoding="utf-8"?>
<sst xmlns="http://schemas.openxmlformats.org/spreadsheetml/2006/main" count="701" uniqueCount="114">
  <si>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</si>
  <si>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</si>
  <si>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</si>
  <si>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</si>
  <si>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</si>
  <si>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</si>
  <si>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</si>
  <si>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</si>
  <si>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</si>
  <si>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</si>
  <si>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</si>
  <si>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</si>
  <si>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</si>
  <si>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</si>
  <si>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</si>
  <si>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</si>
  <si>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</si>
  <si>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</si>
  <si>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</si>
  <si>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</si>
  <si>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</si>
  <si>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</si>
  <si>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</si>
  <si>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</si>
  <si>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</si>
  <si>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</si>
  <si>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</si>
  <si>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MAIN LINE BENEFITS LLC</t>
  </si>
  <si>
    <t>10/01/2025</t>
  </si>
  <si>
    <t>10/21/2025</t>
  </si>
  <si>
    <t>Base Commission And Service Fee Detail</t>
  </si>
  <si>
    <t>Small Business</t>
  </si>
  <si>
    <t>New Business</t>
  </si>
  <si>
    <t>233839-03</t>
  </si>
  <si>
    <t>YALE, RICHARD</t>
  </si>
  <si>
    <t>Rhyno Manufacturing Inc</t>
  </si>
  <si>
    <t>Med</t>
  </si>
  <si>
    <t>07/01/2025</t>
  </si>
  <si>
    <t>-1</t>
  </si>
  <si>
    <t>V</t>
  </si>
  <si>
    <t>IL</t>
  </si>
  <si>
    <t>PEPM</t>
  </si>
  <si>
    <t>100%</t>
  </si>
  <si>
    <t>FEE</t>
  </si>
  <si>
    <t>Level Funded</t>
  </si>
  <si>
    <t>08/01/2025</t>
  </si>
  <si>
    <t>-2</t>
  </si>
  <si>
    <t>09/01/2025</t>
  </si>
  <si>
    <t>-3</t>
  </si>
  <si>
    <t>32</t>
  </si>
  <si>
    <t>Renewal</t>
  </si>
  <si>
    <t>214956-04</t>
  </si>
  <si>
    <t>HOFFMANN, JASON R</t>
  </si>
  <si>
    <t>COURTELL CORP.</t>
  </si>
  <si>
    <t>1</t>
  </si>
  <si>
    <t>PA</t>
  </si>
  <si>
    <t>COMM</t>
  </si>
  <si>
    <t>Commercial</t>
  </si>
  <si>
    <t>01X7600</t>
  </si>
  <si>
    <t>2</t>
  </si>
  <si>
    <t>Vis</t>
  </si>
  <si>
    <t>6</t>
  </si>
  <si>
    <t>POP</t>
  </si>
  <si>
    <t>La Cabra Brewing LLC</t>
  </si>
  <si>
    <t>235415-02</t>
  </si>
  <si>
    <t>RICHTER, PETER LAURENCE K</t>
  </si>
  <si>
    <t>CONNECTION CHURCH</t>
  </si>
  <si>
    <t>7</t>
  </si>
  <si>
    <t>05L6214</t>
  </si>
  <si>
    <t>Libratum Counseling LLC</t>
  </si>
  <si>
    <t>Den</t>
  </si>
  <si>
    <t>NEW VISTA CORPORATION</t>
  </si>
  <si>
    <t>MD</t>
  </si>
  <si>
    <t>TRIAD INSURANCE MANAGEMENT &amp; SERVICES AG</t>
  </si>
  <si>
    <t>15</t>
  </si>
  <si>
    <t>07X9700</t>
  </si>
  <si>
    <t>ZIVERGE INC</t>
  </si>
  <si>
    <t>3</t>
  </si>
  <si>
    <t>01Q4037</t>
  </si>
  <si>
    <t>281388-02</t>
  </si>
  <si>
    <t>SANDEROCK, MARSHA</t>
  </si>
  <si>
    <t>CARL'S HEATING &amp; COOLING</t>
  </si>
  <si>
    <t>IN</t>
  </si>
  <si>
    <t>SPEM</t>
  </si>
  <si>
    <t>06L2752</t>
  </si>
  <si>
    <t>259418-02</t>
  </si>
  <si>
    <t>YALE, JACOB D</t>
  </si>
  <si>
    <t>NC Capital Partners LLC</t>
  </si>
  <si>
    <t>NC</t>
  </si>
  <si>
    <t>8</t>
  </si>
  <si>
    <t>ESSENCE PAINTING AND RESTORATION INC</t>
  </si>
  <si>
    <t>4</t>
  </si>
  <si>
    <t>Adjustment Date</t>
  </si>
  <si>
    <t>Adjustment Description</t>
  </si>
  <si>
    <t>Adjustment Compensation Type</t>
  </si>
  <si>
    <t>Adjustment Business Type</t>
  </si>
  <si>
    <t>Adjustment Amount</t>
  </si>
  <si>
    <t>[PMPM=2]</t>
  </si>
  <si>
    <t>[PMPM=3]</t>
  </si>
  <si>
    <t>[PMPM=4]</t>
  </si>
  <si>
    <t>[PMPM=8]</t>
  </si>
  <si>
    <t>[PMPM=6]</t>
  </si>
  <si>
    <t>[PMPM=7]</t>
  </si>
  <si>
    <t>UHC SG IL</t>
  </si>
  <si>
    <t>UHC SG MD-Level Funded</t>
  </si>
  <si>
    <t>UHC SG PA choice</t>
  </si>
  <si>
    <t>UHC SG Dental/Vision</t>
  </si>
  <si>
    <t>UHC SG NC</t>
  </si>
  <si>
    <t>15278437</t>
  </si>
  <si>
    <t>16509456</t>
  </si>
  <si>
    <t>18754354</t>
  </si>
  <si>
    <t>16633294</t>
  </si>
  <si>
    <t>[PMPM=32]</t>
  </si>
  <si>
    <t>[PMPM=15]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</si>
</sst>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0"/>
      <name val="Arial"/>
    </font>
    <font>
      <b/>
      <sz val="16"/>
      <name val="Courier New"/>
      <family val="3"/>
    </font>
    <font>
      <sz val="10"/>
      <name val="Courier New"/>
      <family val="3"/>
    </font>
    <font>
      <sz val="10"/>
      <name val="Courier New"/>
      <family val="3"/>
    </font>
    <font>
      <b/>
      <sz val="16"/>
      <name val="Courier New"/>
      <family val="3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8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0" fontId="2" fillId="0" borderId="0" xfId="0" applyNumberFormat="1" applyFont="1" applyAlignment="1">
      <alignment horizontal="left"/>
    </xf>
    <xf numFmtId="49" fontId="2" fillId="2" borderId="0" xfId="0" applyNumberFormat="1" applyFont="1" applyFill="1" applyAlignment="1">
      <alignment horizontal="left"/>
    </xf>
    <xf numFmtId="8" fontId="3" fillId="2" borderId="0" xfId="0" applyNumberFormat="1" applyFont="1" applyFill="1" applyAlignment="1">
      <alignment horizontal="left"/>
    </xf>
    <xf numFmtId="0" fontId="0" fillId="2" borderId="0" xfId="0" applyFill="1"/>
    <xf numFmtId="0" fontId="5" fillId="0" borderId="0" xfId="0" applyFont="1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2C59-6521-4917-B58A-0A0261DBB489}">
  <dimension ref="A1:AA24"/>
  <sheetViews>
    <sheetView tabSelected="1" topLeftCell="Q1" workbookViewId="0">
      <selection activeCell="J2" sqref="J2"/>
    </sheetView>
  </sheetViews>
  <sheetFormatPr defaultRowHeight="12.75" x14ac:dyDescent="0.2"/>
  <cols>
    <col min="1" max="1" width="18.42578125" customWidth="1"/>
    <col min="2" max="2" width="23.42578125" customWidth="1"/>
    <col min="3" max="3" width="47.5703125" customWidth="1"/>
    <col min="4" max="4" width="45.7109375" customWidth="1"/>
    <col min="5" max="5" width="41.5703125" customWidth="1"/>
    <col min="6" max="6" width="34.140625" customWidth="1"/>
    <col min="7" max="7" width="17" customWidth="1"/>
    <col min="8" max="8" width="25.140625" customWidth="1"/>
    <col min="9" max="9" width="30.42578125" customWidth="1"/>
    <col min="10" max="10" width="18.85546875" customWidth="1"/>
    <col min="11" max="11" width="48" bestFit="1" customWidth="1"/>
    <col min="12" max="12" width="22.7109375" customWidth="1"/>
    <col min="13" max="13" width="27.140625" customWidth="1"/>
    <col min="14" max="14" width="23.140625" customWidth="1"/>
    <col min="15" max="15" width="21.42578125" customWidth="1"/>
    <col min="16" max="16" width="35" customWidth="1"/>
    <col min="17" max="17" width="25.7109375" customWidth="1"/>
    <col min="18" max="18" width="17.5703125" customWidth="1"/>
    <col min="19" max="19" width="12.28515625" customWidth="1"/>
    <col min="20" max="20" width="9" bestFit="1" customWidth="1"/>
    <col min="21" max="21" width="25.28515625" customWidth="1"/>
    <col min="22" max="22" width="29.5703125" customWidth="1"/>
    <col min="23" max="23" width="21.85546875" customWidth="1"/>
    <col min="24" max="24" width="27.5703125" customWidth="1"/>
    <col min="25" max="25" width="40.28515625" customWidth="1"/>
    <col min="26" max="26" width="19.7109375" customWidth="1"/>
    <col min="27" max="27" width="38.140625" customWidth="1"/>
    <col min="28" max="28" width="8" customWidth="1"/>
  </cols>
  <sheetData>
    <row r="1" spans="1:27" ht="12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2.75" customHeight="1" x14ac:dyDescent="0.25">
      <c r="A2" s="11">
        <v>270367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50</v>
      </c>
      <c r="H2" s="7" t="s">
        <v>79</v>
      </c>
      <c r="I2" s="7" t="s">
        <v>80</v>
      </c>
      <c r="J2" s="11">
        <v>1524410</v>
      </c>
      <c r="K2" s="7" t="s">
        <v>81</v>
      </c>
      <c r="L2" s="7" t="s">
        <v>36</v>
      </c>
      <c r="M2" s="7" t="s">
        <v>28</v>
      </c>
      <c r="N2" s="8">
        <v>4316.33</v>
      </c>
      <c r="O2" s="8">
        <v>4316.33</v>
      </c>
      <c r="P2" s="7" t="s">
        <v>59</v>
      </c>
      <c r="Q2" s="7" t="s">
        <v>39</v>
      </c>
      <c r="R2" s="7" t="s">
        <v>82</v>
      </c>
      <c r="S2" s="7" t="s">
        <v>83</v>
      </c>
      <c r="T2" s="11">
        <v>885</v>
      </c>
      <c r="U2" s="7" t="s">
        <v>42</v>
      </c>
      <c r="V2" s="7" t="s">
        <v>56</v>
      </c>
      <c r="W2" s="7" t="s">
        <v>57</v>
      </c>
      <c r="X2" s="7"/>
      <c r="Y2" s="7"/>
      <c r="Z2" s="8">
        <v>16</v>
      </c>
      <c r="AA2" s="7" t="s">
        <v>84</v>
      </c>
    </row>
    <row r="3" spans="1:27" ht="12.75" customHeight="1" x14ac:dyDescent="0.25">
      <c r="A3" s="5">
        <v>270367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50</v>
      </c>
      <c r="H3" s="2" t="s">
        <v>64</v>
      </c>
      <c r="I3" s="2" t="s">
        <v>65</v>
      </c>
      <c r="J3" s="5">
        <v>1498389</v>
      </c>
      <c r="K3" s="2" t="s">
        <v>66</v>
      </c>
      <c r="L3" s="2" t="s">
        <v>60</v>
      </c>
      <c r="M3" s="2" t="s">
        <v>28</v>
      </c>
      <c r="N3" s="3">
        <v>95.22</v>
      </c>
      <c r="O3" s="3">
        <v>95.22</v>
      </c>
      <c r="P3" s="2" t="s">
        <v>67</v>
      </c>
      <c r="Q3" s="2" t="s">
        <v>39</v>
      </c>
      <c r="R3" s="2" t="s">
        <v>55</v>
      </c>
      <c r="S3" s="2" t="s">
        <v>62</v>
      </c>
      <c r="T3" s="6">
        <v>0.1</v>
      </c>
      <c r="U3" s="2" t="s">
        <v>42</v>
      </c>
      <c r="V3" s="2" t="s">
        <v>56</v>
      </c>
      <c r="W3" s="2" t="s">
        <v>57</v>
      </c>
      <c r="X3" s="2"/>
      <c r="Y3" s="2"/>
      <c r="Z3" s="3">
        <v>9.52</v>
      </c>
      <c r="AA3" s="2" t="s">
        <v>68</v>
      </c>
    </row>
    <row r="4" spans="1:27" ht="12.75" customHeight="1" x14ac:dyDescent="0.25">
      <c r="A4" s="5">
        <v>270367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50</v>
      </c>
      <c r="H4" s="2" t="s">
        <v>51</v>
      </c>
      <c r="I4" s="2" t="s">
        <v>52</v>
      </c>
      <c r="J4" s="5">
        <v>1583717</v>
      </c>
      <c r="K4" s="2" t="s">
        <v>53</v>
      </c>
      <c r="L4" s="2" t="s">
        <v>36</v>
      </c>
      <c r="M4" s="2" t="s">
        <v>28</v>
      </c>
      <c r="N4" s="3">
        <v>508.81</v>
      </c>
      <c r="O4" s="3">
        <v>508.81</v>
      </c>
      <c r="P4" s="2" t="s">
        <v>54</v>
      </c>
      <c r="Q4" s="2" t="s">
        <v>39</v>
      </c>
      <c r="R4" s="2" t="s">
        <v>55</v>
      </c>
      <c r="S4" s="2" t="s">
        <v>41</v>
      </c>
      <c r="T4" s="3">
        <v>41</v>
      </c>
      <c r="U4" s="2" t="s">
        <v>42</v>
      </c>
      <c r="V4" s="2" t="s">
        <v>56</v>
      </c>
      <c r="W4" s="2" t="s">
        <v>57</v>
      </c>
      <c r="X4" s="2"/>
      <c r="Y4" s="2"/>
      <c r="Z4" s="3">
        <v>41</v>
      </c>
      <c r="AA4" s="2" t="s">
        <v>58</v>
      </c>
    </row>
    <row r="5" spans="1:27" ht="12.75" customHeight="1" x14ac:dyDescent="0.25">
      <c r="A5" s="5">
        <v>270367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50</v>
      </c>
      <c r="H5" s="2" t="s">
        <v>51</v>
      </c>
      <c r="I5" s="2" t="s">
        <v>52</v>
      </c>
      <c r="J5" s="5">
        <v>1583717</v>
      </c>
      <c r="K5" s="2" t="s">
        <v>53</v>
      </c>
      <c r="L5" s="2" t="s">
        <v>36</v>
      </c>
      <c r="M5" s="2" t="s">
        <v>28</v>
      </c>
      <c r="N5" s="3">
        <v>872.12</v>
      </c>
      <c r="O5" s="3">
        <v>872.12</v>
      </c>
      <c r="P5" s="2" t="s">
        <v>59</v>
      </c>
      <c r="Q5" s="2" t="s">
        <v>39</v>
      </c>
      <c r="R5" s="2" t="s">
        <v>55</v>
      </c>
      <c r="S5" s="2" t="s">
        <v>41</v>
      </c>
      <c r="T5" s="3">
        <v>41</v>
      </c>
      <c r="U5" s="2" t="s">
        <v>42</v>
      </c>
      <c r="V5" s="2" t="s">
        <v>56</v>
      </c>
      <c r="W5" s="2" t="s">
        <v>57</v>
      </c>
      <c r="X5" s="2"/>
      <c r="Y5" s="2"/>
      <c r="Z5" s="3">
        <v>82</v>
      </c>
      <c r="AA5" s="2" t="s">
        <v>58</v>
      </c>
    </row>
    <row r="6" spans="1:27" ht="12.75" customHeight="1" x14ac:dyDescent="0.25">
      <c r="A6" s="5">
        <v>270367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50</v>
      </c>
      <c r="H6" s="2" t="s">
        <v>51</v>
      </c>
      <c r="I6" s="2" t="s">
        <v>52</v>
      </c>
      <c r="J6" s="5">
        <v>1583717</v>
      </c>
      <c r="K6" s="2" t="s">
        <v>53</v>
      </c>
      <c r="L6" s="2" t="s">
        <v>36</v>
      </c>
      <c r="M6" s="2" t="s">
        <v>28</v>
      </c>
      <c r="N6" s="3">
        <v>1735.7</v>
      </c>
      <c r="O6" s="3">
        <v>1735.7</v>
      </c>
      <c r="P6" s="2" t="s">
        <v>59</v>
      </c>
      <c r="Q6" s="2" t="s">
        <v>39</v>
      </c>
      <c r="R6" s="2" t="s">
        <v>55</v>
      </c>
      <c r="S6" s="2" t="s">
        <v>41</v>
      </c>
      <c r="T6" s="3">
        <v>41</v>
      </c>
      <c r="U6" s="2" t="s">
        <v>42</v>
      </c>
      <c r="V6" s="2" t="s">
        <v>56</v>
      </c>
      <c r="W6" s="2" t="s">
        <v>57</v>
      </c>
      <c r="X6" s="2"/>
      <c r="Y6" s="2"/>
      <c r="Z6" s="3">
        <v>82</v>
      </c>
      <c r="AA6" s="2" t="s">
        <v>58</v>
      </c>
    </row>
    <row r="7" spans="1:27" ht="12.75" customHeight="1" x14ac:dyDescent="0.25">
      <c r="A7" s="5">
        <v>270367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50</v>
      </c>
      <c r="H7" s="2" t="s">
        <v>51</v>
      </c>
      <c r="I7" s="2" t="s">
        <v>52</v>
      </c>
      <c r="J7" s="5">
        <v>1583717</v>
      </c>
      <c r="K7" s="2" t="s">
        <v>53</v>
      </c>
      <c r="L7" s="2" t="s">
        <v>60</v>
      </c>
      <c r="M7" s="2" t="s">
        <v>28</v>
      </c>
      <c r="N7" s="3">
        <v>56.88</v>
      </c>
      <c r="O7" s="3">
        <v>56.88</v>
      </c>
      <c r="P7" s="2" t="s">
        <v>61</v>
      </c>
      <c r="Q7" s="2" t="s">
        <v>39</v>
      </c>
      <c r="R7" s="2" t="s">
        <v>55</v>
      </c>
      <c r="S7" s="2" t="s">
        <v>62</v>
      </c>
      <c r="T7" s="6">
        <v>0.1</v>
      </c>
      <c r="U7" s="2" t="s">
        <v>42</v>
      </c>
      <c r="V7" s="2" t="s">
        <v>56</v>
      </c>
      <c r="W7" s="2" t="s">
        <v>57</v>
      </c>
      <c r="X7" s="2"/>
      <c r="Y7" s="2"/>
      <c r="Z7" s="3">
        <v>5.69</v>
      </c>
      <c r="AA7" s="2" t="s">
        <v>58</v>
      </c>
    </row>
    <row r="8" spans="1:27" ht="12.75" customHeight="1" x14ac:dyDescent="0.25">
      <c r="A8" s="5">
        <v>270367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31</v>
      </c>
      <c r="G8" s="2" t="s">
        <v>50</v>
      </c>
      <c r="H8" s="2" t="s">
        <v>33</v>
      </c>
      <c r="I8" s="2" t="s">
        <v>34</v>
      </c>
      <c r="J8" s="5">
        <v>1686981</v>
      </c>
      <c r="K8" s="2" t="s">
        <v>90</v>
      </c>
      <c r="L8" s="2" t="s">
        <v>36</v>
      </c>
      <c r="M8" s="2" t="s">
        <v>28</v>
      </c>
      <c r="N8" s="3">
        <v>422.17</v>
      </c>
      <c r="O8" s="3">
        <v>422.17</v>
      </c>
      <c r="P8" s="2" t="s">
        <v>91</v>
      </c>
      <c r="Q8" s="2" t="s">
        <v>39</v>
      </c>
      <c r="R8" s="2" t="s">
        <v>40</v>
      </c>
      <c r="S8" s="2" t="s">
        <v>41</v>
      </c>
      <c r="T8" s="3">
        <v>75</v>
      </c>
      <c r="U8" s="2" t="s">
        <v>42</v>
      </c>
      <c r="V8" s="2" t="s">
        <v>43</v>
      </c>
      <c r="W8" s="2" t="s">
        <v>44</v>
      </c>
      <c r="X8" s="3">
        <v>300</v>
      </c>
      <c r="Y8" s="3">
        <v>300</v>
      </c>
      <c r="Z8" s="3">
        <v>300</v>
      </c>
      <c r="AA8" s="2"/>
    </row>
    <row r="9" spans="1:27" ht="12.75" customHeight="1" x14ac:dyDescent="0.25">
      <c r="A9" s="5">
        <v>270367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31</v>
      </c>
      <c r="G9" s="2" t="s">
        <v>50</v>
      </c>
      <c r="H9" s="2" t="s">
        <v>51</v>
      </c>
      <c r="I9" s="2" t="s">
        <v>52</v>
      </c>
      <c r="J9" s="5">
        <v>1500970</v>
      </c>
      <c r="K9" s="2" t="s">
        <v>63</v>
      </c>
      <c r="L9" s="2" t="s">
        <v>36</v>
      </c>
      <c r="M9" s="2" t="s">
        <v>45</v>
      </c>
      <c r="N9" s="3">
        <v>1041.3399999999999</v>
      </c>
      <c r="O9" s="3">
        <v>1041.3399999999999</v>
      </c>
      <c r="P9" s="2" t="s">
        <v>59</v>
      </c>
      <c r="Q9" s="2" t="s">
        <v>39</v>
      </c>
      <c r="R9" s="2" t="s">
        <v>55</v>
      </c>
      <c r="S9" s="2" t="s">
        <v>41</v>
      </c>
      <c r="T9" s="3">
        <v>41</v>
      </c>
      <c r="U9" s="2" t="s">
        <v>42</v>
      </c>
      <c r="V9" s="2" t="s">
        <v>56</v>
      </c>
      <c r="W9" s="2" t="s">
        <v>57</v>
      </c>
      <c r="X9" s="2"/>
      <c r="Y9" s="2"/>
      <c r="Z9" s="3">
        <v>82</v>
      </c>
      <c r="AA9" s="2"/>
    </row>
    <row r="10" spans="1:27" ht="12.75" customHeight="1" x14ac:dyDescent="0.25">
      <c r="A10" s="5">
        <v>270367</v>
      </c>
      <c r="B10" s="2" t="s">
        <v>27</v>
      </c>
      <c r="C10" s="2" t="s">
        <v>28</v>
      </c>
      <c r="D10" s="2" t="s">
        <v>29</v>
      </c>
      <c r="E10" s="2" t="s">
        <v>30</v>
      </c>
      <c r="F10" s="2" t="s">
        <v>31</v>
      </c>
      <c r="G10" s="2" t="s">
        <v>50</v>
      </c>
      <c r="H10" s="2" t="s">
        <v>51</v>
      </c>
      <c r="I10" s="2" t="s">
        <v>52</v>
      </c>
      <c r="J10" s="5">
        <v>1500970</v>
      </c>
      <c r="K10" s="2" t="s">
        <v>63</v>
      </c>
      <c r="L10" s="2" t="s">
        <v>36</v>
      </c>
      <c r="M10" s="2" t="s">
        <v>47</v>
      </c>
      <c r="N10" s="3">
        <v>1041.3399999999999</v>
      </c>
      <c r="O10" s="3">
        <v>1041.3399999999999</v>
      </c>
      <c r="P10" s="2" t="s">
        <v>59</v>
      </c>
      <c r="Q10" s="2" t="s">
        <v>39</v>
      </c>
      <c r="R10" s="2" t="s">
        <v>55</v>
      </c>
      <c r="S10" s="2" t="s">
        <v>41</v>
      </c>
      <c r="T10" s="3">
        <v>41</v>
      </c>
      <c r="U10" s="2" t="s">
        <v>42</v>
      </c>
      <c r="V10" s="2" t="s">
        <v>56</v>
      </c>
      <c r="W10" s="2" t="s">
        <v>57</v>
      </c>
      <c r="X10" s="2"/>
      <c r="Y10" s="2"/>
      <c r="Z10" s="3">
        <v>82</v>
      </c>
      <c r="AA10" s="2"/>
    </row>
    <row r="11" spans="1:27" ht="12.75" customHeight="1" x14ac:dyDescent="0.25">
      <c r="A11" s="5">
        <v>270367</v>
      </c>
      <c r="B11" s="2" t="s">
        <v>27</v>
      </c>
      <c r="C11" s="2" t="s">
        <v>28</v>
      </c>
      <c r="D11" s="2" t="s">
        <v>29</v>
      </c>
      <c r="E11" s="2" t="s">
        <v>30</v>
      </c>
      <c r="F11" s="2" t="s">
        <v>31</v>
      </c>
      <c r="G11" s="2" t="s">
        <v>50</v>
      </c>
      <c r="H11" s="2" t="s">
        <v>51</v>
      </c>
      <c r="I11" s="2" t="s">
        <v>52</v>
      </c>
      <c r="J11" s="5">
        <v>1500970</v>
      </c>
      <c r="K11" s="2" t="s">
        <v>63</v>
      </c>
      <c r="L11" s="2" t="s">
        <v>36</v>
      </c>
      <c r="M11" s="2" t="s">
        <v>28</v>
      </c>
      <c r="N11" s="3">
        <v>3140.75</v>
      </c>
      <c r="O11" s="3">
        <v>3140.75</v>
      </c>
      <c r="P11" s="2" t="s">
        <v>61</v>
      </c>
      <c r="Q11" s="2" t="s">
        <v>39</v>
      </c>
      <c r="R11" s="2" t="s">
        <v>55</v>
      </c>
      <c r="S11" s="2" t="s">
        <v>41</v>
      </c>
      <c r="T11" s="3">
        <v>41</v>
      </c>
      <c r="U11" s="2" t="s">
        <v>42</v>
      </c>
      <c r="V11" s="2" t="s">
        <v>56</v>
      </c>
      <c r="W11" s="2" t="s">
        <v>57</v>
      </c>
      <c r="X11" s="2"/>
      <c r="Y11" s="2"/>
      <c r="Z11" s="3">
        <v>246</v>
      </c>
      <c r="AA11" s="2"/>
    </row>
    <row r="12" spans="1:27" ht="12.75" customHeight="1" x14ac:dyDescent="0.25">
      <c r="A12" s="5">
        <v>270367</v>
      </c>
      <c r="B12" s="2" t="s">
        <v>27</v>
      </c>
      <c r="C12" s="2" t="s">
        <v>28</v>
      </c>
      <c r="D12" s="2" t="s">
        <v>29</v>
      </c>
      <c r="E12" s="2" t="s">
        <v>30</v>
      </c>
      <c r="F12" s="2" t="s">
        <v>31</v>
      </c>
      <c r="G12" s="2" t="s">
        <v>50</v>
      </c>
      <c r="H12" s="2" t="s">
        <v>64</v>
      </c>
      <c r="I12" s="2" t="s">
        <v>65</v>
      </c>
      <c r="J12" s="5">
        <v>1614180</v>
      </c>
      <c r="K12" s="2" t="s">
        <v>69</v>
      </c>
      <c r="L12" s="2" t="s">
        <v>70</v>
      </c>
      <c r="M12" s="2" t="s">
        <v>28</v>
      </c>
      <c r="N12" s="3">
        <v>74.680000000000007</v>
      </c>
      <c r="O12" s="3">
        <v>74.680000000000007</v>
      </c>
      <c r="P12" s="2" t="s">
        <v>59</v>
      </c>
      <c r="Q12" s="2" t="s">
        <v>39</v>
      </c>
      <c r="R12" s="2" t="s">
        <v>55</v>
      </c>
      <c r="S12" s="2" t="s">
        <v>62</v>
      </c>
      <c r="T12" s="6">
        <v>0.1</v>
      </c>
      <c r="U12" s="2" t="s">
        <v>42</v>
      </c>
      <c r="V12" s="2" t="s">
        <v>56</v>
      </c>
      <c r="W12" s="2" t="s">
        <v>57</v>
      </c>
      <c r="X12" s="2"/>
      <c r="Y12" s="2"/>
      <c r="Z12" s="3">
        <v>7.47</v>
      </c>
      <c r="AA12" s="2"/>
    </row>
    <row r="13" spans="1:27" ht="12.75" customHeight="1" x14ac:dyDescent="0.25">
      <c r="A13" s="5">
        <v>270367</v>
      </c>
      <c r="B13" s="2" t="s">
        <v>27</v>
      </c>
      <c r="C13" s="2" t="s">
        <v>28</v>
      </c>
      <c r="D13" s="2" t="s">
        <v>29</v>
      </c>
      <c r="E13" s="2" t="s">
        <v>30</v>
      </c>
      <c r="F13" s="2" t="s">
        <v>31</v>
      </c>
      <c r="G13" s="2" t="s">
        <v>50</v>
      </c>
      <c r="H13" s="2" t="s">
        <v>85</v>
      </c>
      <c r="I13" s="2" t="s">
        <v>86</v>
      </c>
      <c r="J13" s="5">
        <v>1677591</v>
      </c>
      <c r="K13" s="2" t="s">
        <v>87</v>
      </c>
      <c r="L13" s="2" t="s">
        <v>36</v>
      </c>
      <c r="M13" s="2" t="s">
        <v>45</v>
      </c>
      <c r="N13" s="3">
        <v>607.23</v>
      </c>
      <c r="O13" s="3">
        <v>607.23</v>
      </c>
      <c r="P13" s="2" t="s">
        <v>54</v>
      </c>
      <c r="Q13" s="2" t="s">
        <v>39</v>
      </c>
      <c r="R13" s="2" t="s">
        <v>88</v>
      </c>
      <c r="S13" s="2" t="s">
        <v>41</v>
      </c>
      <c r="T13" s="3">
        <v>31</v>
      </c>
      <c r="U13" s="2" t="s">
        <v>42</v>
      </c>
      <c r="V13" s="2" t="s">
        <v>56</v>
      </c>
      <c r="W13" s="2" t="s">
        <v>57</v>
      </c>
      <c r="X13" s="2"/>
      <c r="Y13" s="2"/>
      <c r="Z13" s="3">
        <v>31</v>
      </c>
      <c r="AA13" s="2"/>
    </row>
    <row r="14" spans="1:27" ht="12.75" customHeight="1" x14ac:dyDescent="0.25">
      <c r="A14" s="5">
        <v>270367</v>
      </c>
      <c r="B14" s="2" t="s">
        <v>27</v>
      </c>
      <c r="C14" s="2" t="s">
        <v>28</v>
      </c>
      <c r="D14" s="2" t="s">
        <v>29</v>
      </c>
      <c r="E14" s="2" t="s">
        <v>30</v>
      </c>
      <c r="F14" s="2" t="s">
        <v>31</v>
      </c>
      <c r="G14" s="2" t="s">
        <v>50</v>
      </c>
      <c r="H14" s="2" t="s">
        <v>85</v>
      </c>
      <c r="I14" s="2" t="s">
        <v>86</v>
      </c>
      <c r="J14" s="5">
        <v>1677591</v>
      </c>
      <c r="K14" s="2" t="s">
        <v>87</v>
      </c>
      <c r="L14" s="2" t="s">
        <v>36</v>
      </c>
      <c r="M14" s="2" t="s">
        <v>28</v>
      </c>
      <c r="N14" s="3">
        <v>12936.66</v>
      </c>
      <c r="O14" s="3">
        <v>12936.66</v>
      </c>
      <c r="P14" s="2" t="s">
        <v>74</v>
      </c>
      <c r="Q14" s="2" t="s">
        <v>39</v>
      </c>
      <c r="R14" s="2" t="s">
        <v>88</v>
      </c>
      <c r="S14" s="2" t="s">
        <v>41</v>
      </c>
      <c r="T14" s="3">
        <v>31</v>
      </c>
      <c r="U14" s="2" t="s">
        <v>42</v>
      </c>
      <c r="V14" s="2" t="s">
        <v>56</v>
      </c>
      <c r="W14" s="2" t="s">
        <v>57</v>
      </c>
      <c r="X14" s="2"/>
      <c r="Y14" s="2"/>
      <c r="Z14" s="3">
        <v>465</v>
      </c>
      <c r="AA14" s="2"/>
    </row>
    <row r="15" spans="1:27" ht="12.75" customHeight="1" x14ac:dyDescent="0.25">
      <c r="A15" s="5">
        <v>270367</v>
      </c>
      <c r="B15" s="2" t="s">
        <v>27</v>
      </c>
      <c r="C15" s="2" t="s">
        <v>28</v>
      </c>
      <c r="D15" s="2" t="s">
        <v>29</v>
      </c>
      <c r="E15" s="2" t="s">
        <v>30</v>
      </c>
      <c r="F15" s="2" t="s">
        <v>31</v>
      </c>
      <c r="G15" s="2" t="s">
        <v>50</v>
      </c>
      <c r="H15" s="2" t="s">
        <v>85</v>
      </c>
      <c r="I15" s="2" t="s">
        <v>86</v>
      </c>
      <c r="J15" s="5">
        <v>1677591</v>
      </c>
      <c r="K15" s="2" t="s">
        <v>87</v>
      </c>
      <c r="L15" s="2" t="s">
        <v>36</v>
      </c>
      <c r="M15" s="2" t="s">
        <v>28</v>
      </c>
      <c r="N15" s="3">
        <v>7588.39</v>
      </c>
      <c r="O15" s="3">
        <v>7588.39</v>
      </c>
      <c r="P15" s="2" t="s">
        <v>89</v>
      </c>
      <c r="Q15" s="2" t="s">
        <v>39</v>
      </c>
      <c r="R15" s="2" t="s">
        <v>88</v>
      </c>
      <c r="S15" s="2" t="s">
        <v>41</v>
      </c>
      <c r="T15" s="3">
        <v>31</v>
      </c>
      <c r="U15" s="2" t="s">
        <v>42</v>
      </c>
      <c r="V15" s="2" t="s">
        <v>56</v>
      </c>
      <c r="W15" s="2" t="s">
        <v>57</v>
      </c>
      <c r="X15" s="2"/>
      <c r="Y15" s="2"/>
      <c r="Z15" s="3">
        <v>248</v>
      </c>
      <c r="AA15" s="2"/>
    </row>
    <row r="16" spans="1:27" ht="12.75" customHeight="1" x14ac:dyDescent="0.25">
      <c r="A16" s="5">
        <v>270367</v>
      </c>
      <c r="B16" s="2" t="s">
        <v>27</v>
      </c>
      <c r="C16" s="2" t="s">
        <v>28</v>
      </c>
      <c r="D16" s="2" t="s">
        <v>29</v>
      </c>
      <c r="E16" s="2" t="s">
        <v>30</v>
      </c>
      <c r="F16" s="2" t="s">
        <v>31</v>
      </c>
      <c r="G16" s="2" t="s">
        <v>50</v>
      </c>
      <c r="H16" s="2" t="s">
        <v>64</v>
      </c>
      <c r="I16" s="2" t="s">
        <v>65</v>
      </c>
      <c r="J16" s="5">
        <v>1441727</v>
      </c>
      <c r="K16" s="2" t="s">
        <v>71</v>
      </c>
      <c r="L16" s="2" t="s">
        <v>36</v>
      </c>
      <c r="M16" s="2" t="s">
        <v>28</v>
      </c>
      <c r="N16" s="3">
        <v>-89.54</v>
      </c>
      <c r="O16" s="3">
        <v>-89.54</v>
      </c>
      <c r="P16" s="2" t="s">
        <v>67</v>
      </c>
      <c r="Q16" s="2" t="s">
        <v>39</v>
      </c>
      <c r="R16" s="2" t="s">
        <v>72</v>
      </c>
      <c r="S16" s="2" t="s">
        <v>41</v>
      </c>
      <c r="T16" s="3">
        <v>50</v>
      </c>
      <c r="U16" s="2" t="s">
        <v>42</v>
      </c>
      <c r="V16" s="2" t="s">
        <v>43</v>
      </c>
      <c r="W16" s="2" t="s">
        <v>44</v>
      </c>
      <c r="X16" s="3">
        <v>350</v>
      </c>
      <c r="Y16" s="3">
        <v>350</v>
      </c>
      <c r="Z16" s="3">
        <v>350</v>
      </c>
      <c r="AA16" s="2"/>
    </row>
    <row r="17" spans="1:27" ht="12.75" customHeight="1" x14ac:dyDescent="0.25">
      <c r="A17" s="5">
        <v>270367</v>
      </c>
      <c r="B17" s="2" t="s">
        <v>27</v>
      </c>
      <c r="C17" s="2" t="s">
        <v>28</v>
      </c>
      <c r="D17" s="2" t="s">
        <v>29</v>
      </c>
      <c r="E17" s="2" t="s">
        <v>30</v>
      </c>
      <c r="F17" s="2" t="s">
        <v>31</v>
      </c>
      <c r="G17" s="2" t="s">
        <v>32</v>
      </c>
      <c r="H17" s="2" t="s">
        <v>33</v>
      </c>
      <c r="I17" s="2" t="s">
        <v>34</v>
      </c>
      <c r="J17" s="5">
        <v>1719540</v>
      </c>
      <c r="K17" s="2" t="s">
        <v>35</v>
      </c>
      <c r="L17" s="2" t="s">
        <v>36</v>
      </c>
      <c r="M17" s="2" t="s">
        <v>37</v>
      </c>
      <c r="N17" s="3">
        <v>30.23</v>
      </c>
      <c r="O17" s="3">
        <v>30.23</v>
      </c>
      <c r="P17" s="2" t="s">
        <v>38</v>
      </c>
      <c r="Q17" s="2" t="s">
        <v>39</v>
      </c>
      <c r="R17" s="2" t="s">
        <v>40</v>
      </c>
      <c r="S17" s="2" t="s">
        <v>41</v>
      </c>
      <c r="T17" s="3">
        <v>75</v>
      </c>
      <c r="U17" s="2" t="s">
        <v>42</v>
      </c>
      <c r="V17" s="2" t="s">
        <v>43</v>
      </c>
      <c r="W17" s="2" t="s">
        <v>44</v>
      </c>
      <c r="X17" s="3">
        <v>-75</v>
      </c>
      <c r="Y17" s="3">
        <v>-75</v>
      </c>
      <c r="Z17" s="3">
        <v>-75</v>
      </c>
      <c r="AA17" s="2"/>
    </row>
    <row r="18" spans="1:27" ht="12.75" customHeight="1" x14ac:dyDescent="0.25">
      <c r="A18" s="5">
        <v>270367</v>
      </c>
      <c r="B18" s="2" t="s">
        <v>27</v>
      </c>
      <c r="C18" s="2" t="s">
        <v>28</v>
      </c>
      <c r="D18" s="2" t="s">
        <v>29</v>
      </c>
      <c r="E18" s="2" t="s">
        <v>30</v>
      </c>
      <c r="F18" s="2" t="s">
        <v>31</v>
      </c>
      <c r="G18" s="2" t="s">
        <v>32</v>
      </c>
      <c r="H18" s="2" t="s">
        <v>33</v>
      </c>
      <c r="I18" s="2" t="s">
        <v>34</v>
      </c>
      <c r="J18" s="5">
        <v>1719540</v>
      </c>
      <c r="K18" s="2" t="s">
        <v>35</v>
      </c>
      <c r="L18" s="2" t="s">
        <v>36</v>
      </c>
      <c r="M18" s="2" t="s">
        <v>45</v>
      </c>
      <c r="N18" s="3">
        <v>-10.07</v>
      </c>
      <c r="O18" s="3">
        <v>-10.07</v>
      </c>
      <c r="P18" s="2" t="s">
        <v>46</v>
      </c>
      <c r="Q18" s="2" t="s">
        <v>39</v>
      </c>
      <c r="R18" s="2" t="s">
        <v>40</v>
      </c>
      <c r="S18" s="2" t="s">
        <v>41</v>
      </c>
      <c r="T18" s="3">
        <v>75</v>
      </c>
      <c r="U18" s="2" t="s">
        <v>42</v>
      </c>
      <c r="V18" s="2" t="s">
        <v>43</v>
      </c>
      <c r="W18" s="2" t="s">
        <v>44</v>
      </c>
      <c r="X18" s="3">
        <v>-150</v>
      </c>
      <c r="Y18" s="3">
        <v>-150</v>
      </c>
      <c r="Z18" s="3">
        <v>-150</v>
      </c>
      <c r="AA18" s="2"/>
    </row>
    <row r="19" spans="1:27" ht="12.75" customHeight="1" x14ac:dyDescent="0.25">
      <c r="A19" s="5">
        <v>270367</v>
      </c>
      <c r="B19" s="2" t="s">
        <v>27</v>
      </c>
      <c r="C19" s="2" t="s">
        <v>28</v>
      </c>
      <c r="D19" s="2" t="s">
        <v>29</v>
      </c>
      <c r="E19" s="2" t="s">
        <v>30</v>
      </c>
      <c r="F19" s="2" t="s">
        <v>31</v>
      </c>
      <c r="G19" s="2" t="s">
        <v>32</v>
      </c>
      <c r="H19" s="2" t="s">
        <v>33</v>
      </c>
      <c r="I19" s="2" t="s">
        <v>34</v>
      </c>
      <c r="J19" s="5">
        <v>1719540</v>
      </c>
      <c r="K19" s="2" t="s">
        <v>35</v>
      </c>
      <c r="L19" s="2" t="s">
        <v>36</v>
      </c>
      <c r="M19" s="2" t="s">
        <v>47</v>
      </c>
      <c r="N19" s="3">
        <v>-163.22</v>
      </c>
      <c r="O19" s="3">
        <v>-163.22</v>
      </c>
      <c r="P19" s="2" t="s">
        <v>48</v>
      </c>
      <c r="Q19" s="2" t="s">
        <v>39</v>
      </c>
      <c r="R19" s="2" t="s">
        <v>40</v>
      </c>
      <c r="S19" s="2" t="s">
        <v>41</v>
      </c>
      <c r="T19" s="3">
        <v>75</v>
      </c>
      <c r="U19" s="2" t="s">
        <v>42</v>
      </c>
      <c r="V19" s="2" t="s">
        <v>43</v>
      </c>
      <c r="W19" s="2" t="s">
        <v>44</v>
      </c>
      <c r="X19" s="3">
        <v>-225</v>
      </c>
      <c r="Y19" s="3">
        <v>-225</v>
      </c>
      <c r="Z19" s="3">
        <v>-225</v>
      </c>
      <c r="AA19" s="2"/>
    </row>
    <row r="20" spans="1:27" s="9" customFormat="1" ht="12.75" customHeight="1" x14ac:dyDescent="0.25">
      <c r="A20" s="5">
        <v>270367</v>
      </c>
      <c r="B20" s="2" t="s">
        <v>27</v>
      </c>
      <c r="C20" s="2" t="s">
        <v>28</v>
      </c>
      <c r="D20" s="2" t="s">
        <v>29</v>
      </c>
      <c r="E20" s="2" t="s">
        <v>30</v>
      </c>
      <c r="F20" s="2" t="s">
        <v>31</v>
      </c>
      <c r="G20" s="2" t="s">
        <v>32</v>
      </c>
      <c r="H20" s="2" t="s">
        <v>33</v>
      </c>
      <c r="I20" s="2" t="s">
        <v>34</v>
      </c>
      <c r="J20" s="5">
        <v>1719540</v>
      </c>
      <c r="K20" s="2" t="s">
        <v>35</v>
      </c>
      <c r="L20" s="2" t="s">
        <v>36</v>
      </c>
      <c r="M20" s="2" t="s">
        <v>28</v>
      </c>
      <c r="N20" s="3">
        <v>2869.49</v>
      </c>
      <c r="O20" s="3">
        <v>2869.49</v>
      </c>
      <c r="P20" s="2" t="s">
        <v>49</v>
      </c>
      <c r="Q20" s="2" t="s">
        <v>39</v>
      </c>
      <c r="R20" s="2" t="s">
        <v>40</v>
      </c>
      <c r="S20" s="2" t="s">
        <v>41</v>
      </c>
      <c r="T20" s="3">
        <v>75</v>
      </c>
      <c r="U20" s="2" t="s">
        <v>42</v>
      </c>
      <c r="V20" s="2" t="s">
        <v>43</v>
      </c>
      <c r="W20" s="2" t="s">
        <v>44</v>
      </c>
      <c r="X20" s="3">
        <v>2400</v>
      </c>
      <c r="Y20" s="3">
        <v>2400</v>
      </c>
      <c r="Z20" s="3">
        <v>2400</v>
      </c>
      <c r="AA20" s="2"/>
    </row>
    <row r="21" spans="1:27" ht="12.75" customHeight="1" x14ac:dyDescent="0.25">
      <c r="A21" s="5">
        <v>270367</v>
      </c>
      <c r="B21" s="2" t="s">
        <v>27</v>
      </c>
      <c r="C21" s="2" t="s">
        <v>28</v>
      </c>
      <c r="D21" s="2" t="s">
        <v>29</v>
      </c>
      <c r="E21" s="2" t="s">
        <v>30</v>
      </c>
      <c r="F21" s="2" t="s">
        <v>31</v>
      </c>
      <c r="G21" s="2" t="s">
        <v>50</v>
      </c>
      <c r="H21" s="2" t="s">
        <v>64</v>
      </c>
      <c r="I21" s="2" t="s">
        <v>65</v>
      </c>
      <c r="J21" s="5">
        <v>1536206</v>
      </c>
      <c r="K21" s="2" t="s">
        <v>73</v>
      </c>
      <c r="L21" s="2" t="s">
        <v>70</v>
      </c>
      <c r="M21" s="2" t="s">
        <v>28</v>
      </c>
      <c r="N21" s="3">
        <v>1060.8699999999999</v>
      </c>
      <c r="O21" s="3">
        <v>1060.8699999999999</v>
      </c>
      <c r="P21" s="2" t="s">
        <v>74</v>
      </c>
      <c r="Q21" s="2" t="s">
        <v>39</v>
      </c>
      <c r="R21" s="2" t="s">
        <v>55</v>
      </c>
      <c r="S21" s="2" t="s">
        <v>62</v>
      </c>
      <c r="T21" s="6">
        <v>0.1</v>
      </c>
      <c r="U21" s="2" t="s">
        <v>42</v>
      </c>
      <c r="V21" s="2" t="s">
        <v>56</v>
      </c>
      <c r="W21" s="2" t="s">
        <v>57</v>
      </c>
      <c r="X21" s="2"/>
      <c r="Y21" s="2"/>
      <c r="Z21" s="3">
        <v>106.09</v>
      </c>
      <c r="AA21" s="2" t="s">
        <v>75</v>
      </c>
    </row>
    <row r="22" spans="1:27" ht="12.75" customHeight="1" x14ac:dyDescent="0.25">
      <c r="A22" s="5">
        <v>270367</v>
      </c>
      <c r="B22" s="2" t="s">
        <v>27</v>
      </c>
      <c r="C22" s="2" t="s">
        <v>28</v>
      </c>
      <c r="D22" s="2" t="s">
        <v>29</v>
      </c>
      <c r="E22" s="2" t="s">
        <v>30</v>
      </c>
      <c r="F22" s="2" t="s">
        <v>31</v>
      </c>
      <c r="G22" s="2" t="s">
        <v>50</v>
      </c>
      <c r="H22" s="2" t="s">
        <v>64</v>
      </c>
      <c r="I22" s="2" t="s">
        <v>65</v>
      </c>
      <c r="J22" s="5">
        <v>1536206</v>
      </c>
      <c r="K22" s="2" t="s">
        <v>73</v>
      </c>
      <c r="L22" s="2" t="s">
        <v>60</v>
      </c>
      <c r="M22" s="2" t="s">
        <v>28</v>
      </c>
      <c r="N22" s="3">
        <v>258.45</v>
      </c>
      <c r="O22" s="3">
        <v>258.45</v>
      </c>
      <c r="P22" s="2" t="s">
        <v>74</v>
      </c>
      <c r="Q22" s="2" t="s">
        <v>39</v>
      </c>
      <c r="R22" s="2" t="s">
        <v>55</v>
      </c>
      <c r="S22" s="2" t="s">
        <v>62</v>
      </c>
      <c r="T22" s="6">
        <v>0.1</v>
      </c>
      <c r="U22" s="2" t="s">
        <v>42</v>
      </c>
      <c r="V22" s="2" t="s">
        <v>56</v>
      </c>
      <c r="W22" s="2" t="s">
        <v>57</v>
      </c>
      <c r="X22" s="2"/>
      <c r="Y22" s="2"/>
      <c r="Z22" s="3">
        <v>25.85</v>
      </c>
      <c r="AA22" s="2" t="s">
        <v>75</v>
      </c>
    </row>
    <row r="23" spans="1:27" ht="12.75" customHeight="1" x14ac:dyDescent="0.25">
      <c r="A23" s="5">
        <v>270367</v>
      </c>
      <c r="B23" s="2" t="s">
        <v>27</v>
      </c>
      <c r="C23" s="2" t="s">
        <v>28</v>
      </c>
      <c r="D23" s="2" t="s">
        <v>29</v>
      </c>
      <c r="E23" s="2" t="s">
        <v>30</v>
      </c>
      <c r="F23" s="2" t="s">
        <v>31</v>
      </c>
      <c r="G23" s="2" t="s">
        <v>50</v>
      </c>
      <c r="H23" s="2" t="s">
        <v>64</v>
      </c>
      <c r="I23" s="2" t="s">
        <v>65</v>
      </c>
      <c r="J23" s="5">
        <v>1386751</v>
      </c>
      <c r="K23" s="2" t="s">
        <v>76</v>
      </c>
      <c r="L23" s="2" t="s">
        <v>70</v>
      </c>
      <c r="M23" s="2" t="s">
        <v>28</v>
      </c>
      <c r="N23" s="3">
        <v>145.99</v>
      </c>
      <c r="O23" s="3">
        <v>145.99</v>
      </c>
      <c r="P23" s="2" t="s">
        <v>77</v>
      </c>
      <c r="Q23" s="2" t="s">
        <v>39</v>
      </c>
      <c r="R23" s="2" t="s">
        <v>72</v>
      </c>
      <c r="S23" s="2" t="s">
        <v>62</v>
      </c>
      <c r="T23" s="6">
        <v>0.1</v>
      </c>
      <c r="U23" s="2" t="s">
        <v>42</v>
      </c>
      <c r="V23" s="2" t="s">
        <v>56</v>
      </c>
      <c r="W23" s="2" t="s">
        <v>57</v>
      </c>
      <c r="X23" s="2"/>
      <c r="Y23" s="2"/>
      <c r="Z23" s="3">
        <v>14.6</v>
      </c>
      <c r="AA23" s="2" t="s">
        <v>78</v>
      </c>
    </row>
    <row r="24" spans="1:27" ht="12.75" customHeight="1" x14ac:dyDescent="0.25">
      <c r="A24" s="5">
        <v>270367</v>
      </c>
      <c r="B24" s="2" t="s">
        <v>27</v>
      </c>
      <c r="C24" s="2" t="s">
        <v>28</v>
      </c>
      <c r="D24" s="2" t="s">
        <v>29</v>
      </c>
      <c r="E24" s="2" t="s">
        <v>30</v>
      </c>
      <c r="F24" s="2" t="s">
        <v>31</v>
      </c>
      <c r="G24" s="2" t="s">
        <v>50</v>
      </c>
      <c r="H24" s="2" t="s">
        <v>64</v>
      </c>
      <c r="I24" s="2" t="s">
        <v>65</v>
      </c>
      <c r="J24" s="5">
        <v>1386751</v>
      </c>
      <c r="K24" s="2" t="s">
        <v>76</v>
      </c>
      <c r="L24" s="2" t="s">
        <v>60</v>
      </c>
      <c r="M24" s="2" t="s">
        <v>28</v>
      </c>
      <c r="N24" s="3">
        <v>32.409999999999997</v>
      </c>
      <c r="O24" s="3">
        <v>32.409999999999997</v>
      </c>
      <c r="P24" s="2" t="s">
        <v>77</v>
      </c>
      <c r="Q24" s="2" t="s">
        <v>39</v>
      </c>
      <c r="R24" s="2" t="s">
        <v>72</v>
      </c>
      <c r="S24" s="2" t="s">
        <v>62</v>
      </c>
      <c r="T24" s="6">
        <v>0.1</v>
      </c>
      <c r="U24" s="2" t="s">
        <v>42</v>
      </c>
      <c r="V24" s="2" t="s">
        <v>56</v>
      </c>
      <c r="W24" s="2" t="s">
        <v>57</v>
      </c>
      <c r="X24" s="2"/>
      <c r="Y24" s="2"/>
      <c r="Z24" s="3">
        <v>3.24</v>
      </c>
      <c r="AA24" s="2" t="s">
        <v>78</v>
      </c>
    </row>
  </sheetData>
  <sortState xmlns:xlrd2="http://schemas.microsoft.com/office/spreadsheetml/2017/richdata2" ref="A2:AA24">
    <sortCondition ref="K2:K24"/>
  </sortState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2AE5A-04A3-4449-9778-0FBD2A6A8073}">
  <dimension ref="A1:E1"/>
  <sheetViews>
    <sheetView workbookViewId="0"/>
  </sheetViews>
  <sheetFormatPr defaultRowHeight="12.75" x14ac:dyDescent="0.2"/>
  <cols>
    <col min="1" max="1" width="25.5703125" customWidth="1"/>
    <col min="2" max="2" width="35.140625" customWidth="1"/>
    <col min="3" max="3" width="46.85546875" customWidth="1"/>
    <col min="4" max="4" width="39.140625" customWidth="1"/>
    <col min="5" max="5" width="30" customWidth="1"/>
    <col min="6" max="6" width="8" customWidth="1"/>
  </cols>
  <sheetData>
    <row r="1" spans="1:5" ht="12.75" customHeight="1" x14ac:dyDescent="0.35">
      <c r="A1" s="4" t="s">
        <v>92</v>
      </c>
      <c r="B1" s="4" t="s">
        <v>93</v>
      </c>
      <c r="C1" s="4" t="s">
        <v>94</v>
      </c>
      <c r="D1" s="4" t="s">
        <v>95</v>
      </c>
      <c r="E1" s="4" t="s">
        <v>96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9255-DA47-4C29-BF0A-3D840848CCDD}">
  <dimension ref="A1:P23"/>
  <sheetViews>
    <sheetView workbookViewId="0">
      <selection activeCell="I2" sqref="I2:I23"/>
    </sheetView>
  </sheetViews>
  <sheetFormatPr defaultRowHeight="12.75" x14ac:dyDescent="0.2"/>
  <cols>
    <col min="1" max="2" width="30.42578125" customWidth="1"/>
    <col min="3" max="4" width="18.85546875" customWidth="1"/>
    <col min="5" max="5" width="24.28515625" customWidth="1"/>
    <col min="6" max="6" width="8.5703125" customWidth="1"/>
    <col min="7" max="7" width="14.85546875" customWidth="1"/>
    <col min="8" max="8" width="14.7109375" customWidth="1"/>
    <col min="9" max="9" width="13.140625" customWidth="1"/>
    <col min="10" max="10" width="7.5703125" customWidth="1"/>
    <col min="11" max="11" width="12.28515625" customWidth="1"/>
    <col min="12" max="12" width="9" bestFit="1" customWidth="1"/>
    <col min="13" max="13" width="13.28515625" customWidth="1"/>
    <col min="14" max="14" width="17.28515625" customWidth="1"/>
    <col min="15" max="15" width="13.7109375" customWidth="1"/>
    <col min="16" max="16" width="8" customWidth="1"/>
  </cols>
  <sheetData>
    <row r="1" spans="1:16" ht="26.25" customHeight="1" x14ac:dyDescent="0.35">
      <c r="A1" s="1" t="s">
        <v>8</v>
      </c>
      <c r="B1" s="1"/>
      <c r="C1" s="1" t="s">
        <v>9</v>
      </c>
      <c r="D1" s="1"/>
      <c r="E1" s="1" t="s">
        <v>10</v>
      </c>
      <c r="F1" s="1" t="s">
        <v>11</v>
      </c>
      <c r="G1" s="1" t="s">
        <v>12</v>
      </c>
      <c r="H1" s="1" t="s">
        <v>14</v>
      </c>
      <c r="I1" s="1" t="s">
        <v>15</v>
      </c>
      <c r="J1" s="1" t="s">
        <v>17</v>
      </c>
      <c r="K1" s="1" t="s">
        <v>18</v>
      </c>
      <c r="L1" s="1" t="s">
        <v>19</v>
      </c>
      <c r="M1" s="1" t="s">
        <v>21</v>
      </c>
      <c r="N1" s="1" t="s">
        <v>22</v>
      </c>
      <c r="O1" s="1" t="s">
        <v>25</v>
      </c>
    </row>
    <row r="2" spans="1:16" ht="12.75" customHeight="1" x14ac:dyDescent="0.25">
      <c r="A2" s="2" t="s">
        <v>52</v>
      </c>
      <c r="B2" s="2" t="s">
        <v>108</v>
      </c>
      <c r="C2" s="5">
        <v>1583717</v>
      </c>
      <c r="D2" s="5" t="str">
        <f>CONCATENATE(C2,1)</f>
        <v>15837171</v>
      </c>
      <c r="E2" s="2" t="s">
        <v>53</v>
      </c>
      <c r="F2" s="2" t="s">
        <v>60</v>
      </c>
      <c r="G2" s="2" t="s">
        <v>28</v>
      </c>
      <c r="H2" s="3">
        <v>56.88</v>
      </c>
      <c r="I2" s="5"/>
      <c r="J2" s="2" t="s">
        <v>55</v>
      </c>
      <c r="K2" s="2" t="s">
        <v>62</v>
      </c>
      <c r="L2" s="6">
        <v>0.1</v>
      </c>
      <c r="M2" s="2" t="s">
        <v>56</v>
      </c>
      <c r="N2" s="2" t="s">
        <v>57</v>
      </c>
      <c r="O2" s="3">
        <v>5.69</v>
      </c>
      <c r="P2" t="s">
        <v>106</v>
      </c>
    </row>
    <row r="3" spans="1:16" ht="12.75" customHeight="1" x14ac:dyDescent="0.25">
      <c r="A3" s="2" t="s">
        <v>52</v>
      </c>
      <c r="B3" s="2" t="s">
        <v>108</v>
      </c>
      <c r="C3" s="5">
        <v>1583717</v>
      </c>
      <c r="D3" s="5" t="str">
        <f t="shared" ref="D3:D8" si="0">CONCATENATE(C3,2)</f>
        <v>15837172</v>
      </c>
      <c r="E3" s="2" t="s">
        <v>53</v>
      </c>
      <c r="F3" s="2" t="s">
        <v>36</v>
      </c>
      <c r="G3" s="2" t="s">
        <v>28</v>
      </c>
      <c r="H3" s="3">
        <v>508.81</v>
      </c>
      <c r="I3" s="5"/>
      <c r="J3" s="2" t="s">
        <v>55</v>
      </c>
      <c r="K3" s="2" t="s">
        <v>41</v>
      </c>
      <c r="L3" s="3">
        <v>41</v>
      </c>
      <c r="M3" s="2" t="s">
        <v>56</v>
      </c>
      <c r="N3" s="2" t="s">
        <v>57</v>
      </c>
      <c r="O3" s="3">
        <v>41</v>
      </c>
      <c r="P3" t="s">
        <v>105</v>
      </c>
    </row>
    <row r="4" spans="1:16" ht="12.75" customHeight="1" x14ac:dyDescent="0.25">
      <c r="A4" s="2" t="s">
        <v>52</v>
      </c>
      <c r="B4" s="2" t="s">
        <v>108</v>
      </c>
      <c r="C4" s="5">
        <v>1583717</v>
      </c>
      <c r="D4" s="5" t="str">
        <f t="shared" si="0"/>
        <v>15837172</v>
      </c>
      <c r="E4" s="2" t="s">
        <v>53</v>
      </c>
      <c r="F4" s="2" t="s">
        <v>36</v>
      </c>
      <c r="G4" s="2" t="s">
        <v>28</v>
      </c>
      <c r="H4" s="3">
        <v>872.12</v>
      </c>
      <c r="I4" s="5" t="s">
        <v>97</v>
      </c>
      <c r="J4" s="2" t="s">
        <v>55</v>
      </c>
      <c r="K4" s="2" t="s">
        <v>41</v>
      </c>
      <c r="L4" s="3">
        <v>41</v>
      </c>
      <c r="M4" s="2" t="s">
        <v>56</v>
      </c>
      <c r="N4" s="2" t="s">
        <v>57</v>
      </c>
      <c r="O4" s="3">
        <v>82</v>
      </c>
      <c r="P4" t="s">
        <v>105</v>
      </c>
    </row>
    <row r="5" spans="1:16" ht="12.75" customHeight="1" x14ac:dyDescent="0.25">
      <c r="A5" s="2" t="s">
        <v>52</v>
      </c>
      <c r="B5" s="2" t="s">
        <v>108</v>
      </c>
      <c r="C5" s="5">
        <v>1583717</v>
      </c>
      <c r="D5" s="5" t="str">
        <f t="shared" si="0"/>
        <v>15837172</v>
      </c>
      <c r="E5" s="2" t="s">
        <v>53</v>
      </c>
      <c r="F5" s="2" t="s">
        <v>36</v>
      </c>
      <c r="G5" s="2" t="s">
        <v>28</v>
      </c>
      <c r="H5" s="3">
        <v>1735.7</v>
      </c>
      <c r="I5" s="5" t="s">
        <v>97</v>
      </c>
      <c r="J5" s="2" t="s">
        <v>55</v>
      </c>
      <c r="K5" s="2" t="s">
        <v>41</v>
      </c>
      <c r="L5" s="3">
        <v>41</v>
      </c>
      <c r="M5" s="2" t="s">
        <v>56</v>
      </c>
      <c r="N5" s="2" t="s">
        <v>57</v>
      </c>
      <c r="O5" s="3">
        <v>82</v>
      </c>
      <c r="P5" t="s">
        <v>105</v>
      </c>
    </row>
    <row r="6" spans="1:16" ht="12.75" customHeight="1" x14ac:dyDescent="0.25">
      <c r="A6" s="2" t="s">
        <v>52</v>
      </c>
      <c r="B6" s="2" t="s">
        <v>108</v>
      </c>
      <c r="C6" s="5">
        <v>1500970</v>
      </c>
      <c r="D6" s="5" t="str">
        <f t="shared" si="0"/>
        <v>15009702</v>
      </c>
      <c r="E6" s="2" t="s">
        <v>63</v>
      </c>
      <c r="F6" s="2" t="s">
        <v>36</v>
      </c>
      <c r="G6" s="2" t="s">
        <v>45</v>
      </c>
      <c r="H6" s="3">
        <v>1041.3399999999999</v>
      </c>
      <c r="I6" s="5" t="s">
        <v>97</v>
      </c>
      <c r="J6" s="2" t="s">
        <v>55</v>
      </c>
      <c r="K6" s="2" t="s">
        <v>41</v>
      </c>
      <c r="L6" s="3">
        <v>41</v>
      </c>
      <c r="M6" s="2" t="s">
        <v>56</v>
      </c>
      <c r="N6" s="2" t="s">
        <v>57</v>
      </c>
      <c r="O6" s="3">
        <v>82</v>
      </c>
      <c r="P6" t="s">
        <v>105</v>
      </c>
    </row>
    <row r="7" spans="1:16" ht="12.75" customHeight="1" x14ac:dyDescent="0.25">
      <c r="A7" s="2" t="s">
        <v>52</v>
      </c>
      <c r="B7" s="2" t="s">
        <v>108</v>
      </c>
      <c r="C7" s="5">
        <v>1500970</v>
      </c>
      <c r="D7" s="5" t="str">
        <f t="shared" si="0"/>
        <v>15009702</v>
      </c>
      <c r="E7" s="2" t="s">
        <v>63</v>
      </c>
      <c r="F7" s="2" t="s">
        <v>36</v>
      </c>
      <c r="G7" s="2" t="s">
        <v>47</v>
      </c>
      <c r="H7" s="3">
        <v>1041.3399999999999</v>
      </c>
      <c r="I7" s="5" t="s">
        <v>97</v>
      </c>
      <c r="J7" s="2" t="s">
        <v>55</v>
      </c>
      <c r="K7" s="2" t="s">
        <v>41</v>
      </c>
      <c r="L7" s="3">
        <v>41</v>
      </c>
      <c r="M7" s="2" t="s">
        <v>56</v>
      </c>
      <c r="N7" s="2" t="s">
        <v>57</v>
      </c>
      <c r="O7" s="3">
        <v>82</v>
      </c>
      <c r="P7" t="s">
        <v>105</v>
      </c>
    </row>
    <row r="8" spans="1:16" ht="12.75" customHeight="1" x14ac:dyDescent="0.25">
      <c r="A8" s="2" t="s">
        <v>52</v>
      </c>
      <c r="B8" s="2" t="s">
        <v>108</v>
      </c>
      <c r="C8" s="5">
        <v>1500970</v>
      </c>
      <c r="D8" s="5" t="str">
        <f t="shared" si="0"/>
        <v>15009702</v>
      </c>
      <c r="E8" s="2" t="s">
        <v>63</v>
      </c>
      <c r="F8" s="2" t="s">
        <v>36</v>
      </c>
      <c r="G8" s="2" t="s">
        <v>28</v>
      </c>
      <c r="H8" s="3">
        <v>3140.75</v>
      </c>
      <c r="I8" s="5" t="s">
        <v>101</v>
      </c>
      <c r="J8" s="2" t="s">
        <v>55</v>
      </c>
      <c r="K8" s="2" t="s">
        <v>41</v>
      </c>
      <c r="L8" s="3">
        <v>41</v>
      </c>
      <c r="M8" s="2" t="s">
        <v>56</v>
      </c>
      <c r="N8" s="2" t="s">
        <v>57</v>
      </c>
      <c r="O8" s="3">
        <v>246</v>
      </c>
      <c r="P8" t="s">
        <v>105</v>
      </c>
    </row>
    <row r="9" spans="1:16" ht="12.75" customHeight="1" x14ac:dyDescent="0.25">
      <c r="A9" s="2" t="s">
        <v>65</v>
      </c>
      <c r="B9" s="2" t="s">
        <v>109</v>
      </c>
      <c r="C9" s="5">
        <v>1498389</v>
      </c>
      <c r="D9" s="5" t="str">
        <f t="shared" ref="D9:D14" si="1">CONCATENATE(C9,1)</f>
        <v>14983891</v>
      </c>
      <c r="E9" s="2" t="s">
        <v>66</v>
      </c>
      <c r="F9" s="2" t="s">
        <v>60</v>
      </c>
      <c r="G9" s="2" t="s">
        <v>28</v>
      </c>
      <c r="H9" s="3">
        <v>95.22</v>
      </c>
      <c r="I9" s="5"/>
      <c r="J9" s="2" t="s">
        <v>55</v>
      </c>
      <c r="K9" s="2" t="s">
        <v>62</v>
      </c>
      <c r="L9" s="6">
        <v>0.1</v>
      </c>
      <c r="M9" s="2" t="s">
        <v>56</v>
      </c>
      <c r="N9" s="2" t="s">
        <v>57</v>
      </c>
      <c r="O9" s="3">
        <v>9.52</v>
      </c>
      <c r="P9" t="s">
        <v>106</v>
      </c>
    </row>
    <row r="10" spans="1:16" ht="12.75" customHeight="1" x14ac:dyDescent="0.25">
      <c r="A10" s="2" t="s">
        <v>65</v>
      </c>
      <c r="B10" s="2" t="s">
        <v>109</v>
      </c>
      <c r="C10" s="5">
        <v>1614180</v>
      </c>
      <c r="D10" s="5" t="str">
        <f t="shared" si="1"/>
        <v>16141801</v>
      </c>
      <c r="E10" s="2" t="s">
        <v>69</v>
      </c>
      <c r="F10" s="2" t="s">
        <v>70</v>
      </c>
      <c r="G10" s="2" t="s">
        <v>28</v>
      </c>
      <c r="H10" s="3">
        <v>74.680000000000007</v>
      </c>
      <c r="I10" s="5"/>
      <c r="J10" s="2" t="s">
        <v>55</v>
      </c>
      <c r="K10" s="2" t="s">
        <v>62</v>
      </c>
      <c r="L10" s="6">
        <v>0.1</v>
      </c>
      <c r="M10" s="2" t="s">
        <v>56</v>
      </c>
      <c r="N10" s="2" t="s">
        <v>57</v>
      </c>
      <c r="O10" s="3">
        <v>7.47</v>
      </c>
      <c r="P10" t="s">
        <v>106</v>
      </c>
    </row>
    <row r="11" spans="1:16" ht="12.75" customHeight="1" x14ac:dyDescent="0.25">
      <c r="A11" s="2" t="s">
        <v>65</v>
      </c>
      <c r="B11" s="2" t="s">
        <v>109</v>
      </c>
      <c r="C11" s="5">
        <v>1536206</v>
      </c>
      <c r="D11" s="5" t="str">
        <f t="shared" si="1"/>
        <v>15362061</v>
      </c>
      <c r="E11" s="2" t="s">
        <v>73</v>
      </c>
      <c r="F11" s="2" t="s">
        <v>70</v>
      </c>
      <c r="G11" s="2" t="s">
        <v>28</v>
      </c>
      <c r="H11" s="3">
        <v>1060.8699999999999</v>
      </c>
      <c r="I11" s="5"/>
      <c r="J11" s="2" t="s">
        <v>55</v>
      </c>
      <c r="K11" s="2" t="s">
        <v>62</v>
      </c>
      <c r="L11" s="6">
        <v>0.1</v>
      </c>
      <c r="M11" s="2" t="s">
        <v>56</v>
      </c>
      <c r="N11" s="2" t="s">
        <v>57</v>
      </c>
      <c r="O11" s="3">
        <v>106.09</v>
      </c>
      <c r="P11" t="s">
        <v>106</v>
      </c>
    </row>
    <row r="12" spans="1:16" ht="12.75" customHeight="1" x14ac:dyDescent="0.25">
      <c r="A12" s="2" t="s">
        <v>65</v>
      </c>
      <c r="B12" s="2" t="s">
        <v>109</v>
      </c>
      <c r="C12" s="5">
        <v>1536206</v>
      </c>
      <c r="D12" s="5" t="str">
        <f t="shared" si="1"/>
        <v>15362061</v>
      </c>
      <c r="E12" s="2" t="s">
        <v>73</v>
      </c>
      <c r="F12" s="2" t="s">
        <v>60</v>
      </c>
      <c r="G12" s="2" t="s">
        <v>28</v>
      </c>
      <c r="H12" s="3">
        <v>258.45</v>
      </c>
      <c r="I12" s="5"/>
      <c r="J12" s="2" t="s">
        <v>55</v>
      </c>
      <c r="K12" s="2" t="s">
        <v>62</v>
      </c>
      <c r="L12" s="6">
        <v>0.1</v>
      </c>
      <c r="M12" s="2" t="s">
        <v>56</v>
      </c>
      <c r="N12" s="2" t="s">
        <v>57</v>
      </c>
      <c r="O12" s="3">
        <v>25.85</v>
      </c>
      <c r="P12" t="s">
        <v>106</v>
      </c>
    </row>
    <row r="13" spans="1:16" ht="12.75" customHeight="1" x14ac:dyDescent="0.25">
      <c r="A13" s="2" t="s">
        <v>65</v>
      </c>
      <c r="B13" s="2" t="s">
        <v>109</v>
      </c>
      <c r="C13" s="5">
        <v>1386751</v>
      </c>
      <c r="D13" s="5" t="str">
        <f t="shared" si="1"/>
        <v>13867511</v>
      </c>
      <c r="E13" s="2" t="s">
        <v>76</v>
      </c>
      <c r="F13" s="2" t="s">
        <v>70</v>
      </c>
      <c r="G13" s="2" t="s">
        <v>28</v>
      </c>
      <c r="H13" s="3">
        <v>145.99</v>
      </c>
      <c r="I13" s="5"/>
      <c r="J13" s="2" t="s">
        <v>72</v>
      </c>
      <c r="K13" s="2" t="s">
        <v>62</v>
      </c>
      <c r="L13" s="6">
        <v>0.1</v>
      </c>
      <c r="M13" s="2" t="s">
        <v>56</v>
      </c>
      <c r="N13" s="2" t="s">
        <v>57</v>
      </c>
      <c r="O13" s="3">
        <v>14.6</v>
      </c>
      <c r="P13" t="s">
        <v>106</v>
      </c>
    </row>
    <row r="14" spans="1:16" ht="12.75" customHeight="1" x14ac:dyDescent="0.25">
      <c r="A14" s="2" t="s">
        <v>65</v>
      </c>
      <c r="B14" s="2" t="s">
        <v>109</v>
      </c>
      <c r="C14" s="5">
        <v>1386751</v>
      </c>
      <c r="D14" s="5" t="str">
        <f t="shared" si="1"/>
        <v>13867511</v>
      </c>
      <c r="E14" s="2" t="s">
        <v>76</v>
      </c>
      <c r="F14" s="2" t="s">
        <v>60</v>
      </c>
      <c r="G14" s="2" t="s">
        <v>28</v>
      </c>
      <c r="H14" s="3">
        <v>32.409999999999997</v>
      </c>
      <c r="I14" s="5"/>
      <c r="J14" s="2" t="s">
        <v>72</v>
      </c>
      <c r="K14" s="2" t="s">
        <v>62</v>
      </c>
      <c r="L14" s="6">
        <v>0.1</v>
      </c>
      <c r="M14" s="2" t="s">
        <v>56</v>
      </c>
      <c r="N14" s="2" t="s">
        <v>57</v>
      </c>
      <c r="O14" s="3">
        <v>3.24</v>
      </c>
      <c r="P14" t="s">
        <v>106</v>
      </c>
    </row>
    <row r="15" spans="1:16" ht="12.75" customHeight="1" x14ac:dyDescent="0.25">
      <c r="A15" s="2" t="s">
        <v>65</v>
      </c>
      <c r="B15" s="2" t="s">
        <v>109</v>
      </c>
      <c r="C15" s="5">
        <v>1441727</v>
      </c>
      <c r="D15" s="5" t="str">
        <f>CONCATENATE(C15,3)</f>
        <v>14417273</v>
      </c>
      <c r="E15" s="2" t="s">
        <v>71</v>
      </c>
      <c r="F15" s="2" t="s">
        <v>36</v>
      </c>
      <c r="G15" s="2" t="s">
        <v>28</v>
      </c>
      <c r="H15" s="3">
        <v>-89.54</v>
      </c>
      <c r="I15" s="5" t="s">
        <v>102</v>
      </c>
      <c r="J15" s="2" t="s">
        <v>72</v>
      </c>
      <c r="K15" s="2" t="s">
        <v>41</v>
      </c>
      <c r="L15" s="3">
        <v>50</v>
      </c>
      <c r="M15" s="2" t="s">
        <v>43</v>
      </c>
      <c r="N15" s="2" t="s">
        <v>44</v>
      </c>
      <c r="O15" s="3">
        <v>350</v>
      </c>
      <c r="P15" t="s">
        <v>104</v>
      </c>
    </row>
    <row r="16" spans="1:16" ht="12.75" customHeight="1" x14ac:dyDescent="0.25">
      <c r="A16" s="2" t="s">
        <v>86</v>
      </c>
      <c r="B16" s="2" t="s">
        <v>110</v>
      </c>
      <c r="C16" s="5">
        <v>1677591</v>
      </c>
      <c r="D16" s="5" t="str">
        <f>CONCATENATE(C16,4)</f>
        <v>16775914</v>
      </c>
      <c r="E16" s="2" t="s">
        <v>87</v>
      </c>
      <c r="F16" s="2" t="s">
        <v>36</v>
      </c>
      <c r="G16" s="2" t="s">
        <v>45</v>
      </c>
      <c r="H16" s="3">
        <v>607.23</v>
      </c>
      <c r="I16" s="5"/>
      <c r="J16" s="2" t="s">
        <v>88</v>
      </c>
      <c r="K16" s="2" t="s">
        <v>41</v>
      </c>
      <c r="L16" s="3">
        <v>31</v>
      </c>
      <c r="M16" s="2" t="s">
        <v>56</v>
      </c>
      <c r="N16" s="2" t="s">
        <v>57</v>
      </c>
      <c r="O16" s="3">
        <v>31</v>
      </c>
      <c r="P16" t="s">
        <v>107</v>
      </c>
    </row>
    <row r="17" spans="1:16" ht="12.75" customHeight="1" x14ac:dyDescent="0.25">
      <c r="A17" s="2" t="s">
        <v>86</v>
      </c>
      <c r="B17" s="2" t="s">
        <v>110</v>
      </c>
      <c r="C17" s="5">
        <v>1677591</v>
      </c>
      <c r="D17" s="5" t="str">
        <f>CONCATENATE(C17,4)</f>
        <v>16775914</v>
      </c>
      <c r="E17" s="2" t="s">
        <v>87</v>
      </c>
      <c r="F17" s="2" t="s">
        <v>36</v>
      </c>
      <c r="G17" s="2" t="s">
        <v>28</v>
      </c>
      <c r="H17" s="3">
        <v>12936.66</v>
      </c>
      <c r="I17" s="5" t="s">
        <v>113</v>
      </c>
      <c r="J17" s="2" t="s">
        <v>88</v>
      </c>
      <c r="K17" s="2" t="s">
        <v>41</v>
      </c>
      <c r="L17" s="3">
        <v>31</v>
      </c>
      <c r="M17" s="2" t="s">
        <v>56</v>
      </c>
      <c r="N17" s="2" t="s">
        <v>57</v>
      </c>
      <c r="O17" s="3">
        <v>465</v>
      </c>
      <c r="P17" s="10" t="s">
        <v>107</v>
      </c>
    </row>
    <row r="18" spans="1:16" ht="12.75" customHeight="1" x14ac:dyDescent="0.25">
      <c r="A18" s="2" t="s">
        <v>86</v>
      </c>
      <c r="B18" s="2" t="s">
        <v>110</v>
      </c>
      <c r="C18" s="5">
        <v>1677591</v>
      </c>
      <c r="D18" s="5" t="str">
        <f>CONCATENATE(C18,4)</f>
        <v>16775914</v>
      </c>
      <c r="E18" s="2" t="s">
        <v>87</v>
      </c>
      <c r="F18" s="2" t="s">
        <v>36</v>
      </c>
      <c r="G18" s="2" t="s">
        <v>28</v>
      </c>
      <c r="H18" s="3">
        <v>7588.39</v>
      </c>
      <c r="I18" s="5" t="s">
        <v>100</v>
      </c>
      <c r="J18" s="2" t="s">
        <v>88</v>
      </c>
      <c r="K18" s="2" t="s">
        <v>41</v>
      </c>
      <c r="L18" s="3">
        <v>31</v>
      </c>
      <c r="M18" s="2" t="s">
        <v>56</v>
      </c>
      <c r="N18" s="2" t="s">
        <v>57</v>
      </c>
      <c r="O18" s="3">
        <v>248</v>
      </c>
      <c r="P18" t="s">
        <v>107</v>
      </c>
    </row>
    <row r="19" spans="1:16" ht="12.75" customHeight="1" x14ac:dyDescent="0.25">
      <c r="A19" s="2" t="s">
        <v>34</v>
      </c>
      <c r="B19" s="2" t="s">
        <v>111</v>
      </c>
      <c r="C19" s="5">
        <v>1719540</v>
      </c>
      <c r="D19" s="5" t="str">
        <f>CONCATENATE(C19,3)</f>
        <v>17195403</v>
      </c>
      <c r="E19" s="2" t="s">
        <v>35</v>
      </c>
      <c r="F19" s="2" t="s">
        <v>36</v>
      </c>
      <c r="G19" s="2" t="s">
        <v>37</v>
      </c>
      <c r="H19" s="3">
        <v>30.23</v>
      </c>
      <c r="I19" s="5"/>
      <c r="J19" s="2" t="s">
        <v>40</v>
      </c>
      <c r="K19" s="2" t="s">
        <v>41</v>
      </c>
      <c r="L19" s="3">
        <v>75</v>
      </c>
      <c r="M19" s="2" t="s">
        <v>43</v>
      </c>
      <c r="N19" s="2" t="s">
        <v>44</v>
      </c>
      <c r="O19" s="3">
        <v>-75</v>
      </c>
      <c r="P19" t="s">
        <v>103</v>
      </c>
    </row>
    <row r="20" spans="1:16" ht="12.75" customHeight="1" x14ac:dyDescent="0.25">
      <c r="A20" s="2" t="s">
        <v>34</v>
      </c>
      <c r="B20" s="2" t="s">
        <v>111</v>
      </c>
      <c r="C20" s="5">
        <v>1719540</v>
      </c>
      <c r="D20" s="5" t="str">
        <f>CONCATENATE(C20,3)</f>
        <v>17195403</v>
      </c>
      <c r="E20" s="2" t="s">
        <v>35</v>
      </c>
      <c r="F20" s="2" t="s">
        <v>36</v>
      </c>
      <c r="G20" s="2" t="s">
        <v>45</v>
      </c>
      <c r="H20" s="3">
        <v>-10.07</v>
      </c>
      <c r="I20" s="5" t="s">
        <v>97</v>
      </c>
      <c r="J20" s="2" t="s">
        <v>40</v>
      </c>
      <c r="K20" s="2" t="s">
        <v>41</v>
      </c>
      <c r="L20" s="3">
        <v>75</v>
      </c>
      <c r="M20" s="2" t="s">
        <v>43</v>
      </c>
      <c r="N20" s="2" t="s">
        <v>44</v>
      </c>
      <c r="O20" s="3">
        <v>-150</v>
      </c>
      <c r="P20" t="s">
        <v>103</v>
      </c>
    </row>
    <row r="21" spans="1:16" ht="12.75" customHeight="1" x14ac:dyDescent="0.25">
      <c r="A21" s="2" t="s">
        <v>34</v>
      </c>
      <c r="B21" s="2" t="s">
        <v>111</v>
      </c>
      <c r="C21" s="5">
        <v>1719540</v>
      </c>
      <c r="D21" s="5" t="str">
        <f>CONCATENATE(C21,3)</f>
        <v>17195403</v>
      </c>
      <c r="E21" s="2" t="s">
        <v>35</v>
      </c>
      <c r="F21" s="2" t="s">
        <v>36</v>
      </c>
      <c r="G21" s="2" t="s">
        <v>47</v>
      </c>
      <c r="H21" s="3">
        <v>-163.22</v>
      </c>
      <c r="I21" s="5" t="s">
        <v>98</v>
      </c>
      <c r="J21" s="2" t="s">
        <v>40</v>
      </c>
      <c r="K21" s="2" t="s">
        <v>41</v>
      </c>
      <c r="L21" s="3">
        <v>75</v>
      </c>
      <c r="M21" s="2" t="s">
        <v>43</v>
      </c>
      <c r="N21" s="2" t="s">
        <v>44</v>
      </c>
      <c r="O21" s="3">
        <v>-225</v>
      </c>
      <c r="P21" t="s">
        <v>103</v>
      </c>
    </row>
    <row r="22" spans="1:16" ht="12.75" customHeight="1" x14ac:dyDescent="0.25">
      <c r="A22" s="2" t="s">
        <v>34</v>
      </c>
      <c r="B22" s="2" t="s">
        <v>111</v>
      </c>
      <c r="C22" s="5">
        <v>1719540</v>
      </c>
      <c r="D22" s="5" t="str">
        <f>CONCATENATE(C22,3)</f>
        <v>17195403</v>
      </c>
      <c r="E22" s="2" t="s">
        <v>35</v>
      </c>
      <c r="F22" s="2" t="s">
        <v>36</v>
      </c>
      <c r="G22" s="2" t="s">
        <v>28</v>
      </c>
      <c r="H22" s="3">
        <v>2869.49</v>
      </c>
      <c r="I22" s="5" t="s">
        <v>112</v>
      </c>
      <c r="J22" s="2" t="s">
        <v>40</v>
      </c>
      <c r="K22" s="2" t="s">
        <v>41</v>
      </c>
      <c r="L22" s="3">
        <v>75</v>
      </c>
      <c r="M22" s="2" t="s">
        <v>43</v>
      </c>
      <c r="N22" s="2" t="s">
        <v>44</v>
      </c>
      <c r="O22" s="3">
        <v>2400</v>
      </c>
      <c r="P22" t="s">
        <v>103</v>
      </c>
    </row>
    <row r="23" spans="1:16" ht="12.75" customHeight="1" x14ac:dyDescent="0.25">
      <c r="A23" s="2" t="s">
        <v>34</v>
      </c>
      <c r="B23" s="2" t="s">
        <v>111</v>
      </c>
      <c r="C23" s="5">
        <v>1686981</v>
      </c>
      <c r="D23" s="5" t="str">
        <f>CONCATENATE(C23,3)</f>
        <v>16869813</v>
      </c>
      <c r="E23" s="2" t="s">
        <v>90</v>
      </c>
      <c r="F23" s="2" t="s">
        <v>36</v>
      </c>
      <c r="G23" s="2" t="s">
        <v>28</v>
      </c>
      <c r="H23" s="3">
        <v>422.17</v>
      </c>
      <c r="I23" s="5" t="s">
        <v>99</v>
      </c>
      <c r="J23" s="2" t="s">
        <v>40</v>
      </c>
      <c r="K23" s="2" t="s">
        <v>41</v>
      </c>
      <c r="L23" s="3">
        <v>75</v>
      </c>
      <c r="M23" s="2" t="s">
        <v>43</v>
      </c>
      <c r="N23" s="2" t="s">
        <v>44</v>
      </c>
      <c r="O23" s="3">
        <v>300</v>
      </c>
      <c r="P23" t="s">
        <v>103</v>
      </c>
    </row>
  </sheetData>
  <sortState xmlns:xlrd2="http://schemas.microsoft.com/office/spreadsheetml/2017/richdata2" ref="A2:P24">
    <sortCondition ref="A2:A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 Data - 1</vt:lpstr>
      <vt:lpstr>Adjustment Data - 1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Janki Patel</cp:lastModifiedBy>
  <dcterms:created xsi:type="dcterms:W3CDTF">2025-10-29T14:09:57Z</dcterms:created>
  <dcterms:modified xsi:type="dcterms:W3CDTF">2025-11-18T19:01:57Z</dcterms:modified>
</cp:coreProperties>
</file>