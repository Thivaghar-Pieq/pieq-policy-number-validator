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7-22-25\"/>
    </mc:Choice>
  </mc:AlternateContent>
  <xr:revisionPtr revIDLastSave="0" documentId="13_ncr:1_{D9089CBD-D554-4401-84C9-5A50129865D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Detail Data - 1" sheetId="1" r:id="rId1"/>
    <sheet name="Sheet1" sheetId="2" r:id="rId2"/>
    <sheet name="Adjustment Data -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1Xst9jQkO9F6N4l88MNCXoa9OBWFVJ/I/B2T0w4+UQ="/>
    </ext>
  </extLst>
</workbook>
</file>

<file path=xl/calcChain.xml><?xml version="1.0" encoding="utf-8"?>
<calcChain xmlns="http://schemas.openxmlformats.org/spreadsheetml/2006/main">
  <c r="E42" i="2" l="1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<sst xmlns="http://schemas.openxmlformats.org/spreadsheetml/2006/main" count="1280" uniqueCount="114">
  <si>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</si>
  <si>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</si>
  <si>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</si>
  <si>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</si>
  <si>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</si>
  <si>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</si>
  <si>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</si>
  <si>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</si>
  <si>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</si>
  <si>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</si>
  <si>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</si>
  <si>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</si>
  <si>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</si>
  <si>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</si>
  <si>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</si>
  <si>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</si>
  <si>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</si>
  <si>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</si>
  <si>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</si>
  <si>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</si>
  <si>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</si>
  <si>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</si>
  <si>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</si>
  <si>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</si>
  <si>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</si>
  <si>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</si>
  <si>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</si>
  <si>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</si>
  <si>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</si>
  <si>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07/09/2025</t>
  </si>
  <si>
    <t>07/22/2025</t>
  </si>
  <si>
    <t>Base Commission And Service Fee Detail</t>
  </si>
  <si>
    <t>Small Business</t>
  </si>
  <si>
    <t>New Business</t>
  </si>
  <si>
    <t>259418-02</t>
  </si>
  <si>
    <t>YALE, JACOB D</t>
  </si>
  <si>
    <t>1677591</t>
  </si>
  <si>
    <t>NC Capital Partners LLC</t>
  </si>
  <si>
    <t>Med</t>
  </si>
  <si>
    <t>06/01/2025</t>
  </si>
  <si>
    <t>2</t>
  </si>
  <si>
    <t>V</t>
  </si>
  <si>
    <t>NC</t>
  </si>
  <si>
    <t>PEPM</t>
  </si>
  <si>
    <t>100%</t>
  </si>
  <si>
    <t>COMM</t>
  </si>
  <si>
    <t>Commercial</t>
  </si>
  <si>
    <t>233839-03</t>
  </si>
  <si>
    <t>YALE, RICHARD</t>
  </si>
  <si>
    <t>1719540</t>
  </si>
  <si>
    <t>Rhyno Manufacturing Inc</t>
  </si>
  <si>
    <t>11/01/2024</t>
  </si>
  <si>
    <t>-33</t>
  </si>
  <si>
    <t>Q</t>
  </si>
  <si>
    <t>IL</t>
  </si>
  <si>
    <t>FEE</t>
  </si>
  <si>
    <t>Level Funded</t>
  </si>
  <si>
    <t>33</t>
  </si>
  <si>
    <t>12/01/2024</t>
  </si>
  <si>
    <t>01/01/2025</t>
  </si>
  <si>
    <t>02/01/2025</t>
  </si>
  <si>
    <t>-1</t>
  </si>
  <si>
    <t>1</t>
  </si>
  <si>
    <t>03/01/2025</t>
  </si>
  <si>
    <t>04/01/2025</t>
  </si>
  <si>
    <t>05/01/2025</t>
  </si>
  <si>
    <t>07/01/2025</t>
  </si>
  <si>
    <t>35</t>
  </si>
  <si>
    <t>Renewal</t>
  </si>
  <si>
    <t>214956-04</t>
  </si>
  <si>
    <t>HOFFMANN, JASON R</t>
  </si>
  <si>
    <t>1500970</t>
  </si>
  <si>
    <t>La Cabra Brewing LLC</t>
  </si>
  <si>
    <t>4</t>
  </si>
  <si>
    <t>PA</t>
  </si>
  <si>
    <t>1452681</t>
  </si>
  <si>
    <t>PC Real Estate Services</t>
  </si>
  <si>
    <t>235415-02</t>
  </si>
  <si>
    <t>RICHTER, PETER LAURENCE K</t>
  </si>
  <si>
    <t>1498389</t>
  </si>
  <si>
    <t>CONNECTION CHURCH</t>
  </si>
  <si>
    <t>Den</t>
  </si>
  <si>
    <t>7</t>
  </si>
  <si>
    <t>POP</t>
  </si>
  <si>
    <t>10.00%</t>
  </si>
  <si>
    <t>05L6214</t>
  </si>
  <si>
    <t>Vis</t>
  </si>
  <si>
    <t>1614180</t>
  </si>
  <si>
    <t>Libratum Counseling LLC</t>
  </si>
  <si>
    <t>1441727</t>
  </si>
  <si>
    <t>NEW VISTA CORPORATION</t>
  </si>
  <si>
    <t>09/01/2024</t>
  </si>
  <si>
    <t>6</t>
  </si>
  <si>
    <t>MD</t>
  </si>
  <si>
    <t>10/01/2024</t>
  </si>
  <si>
    <t>5</t>
  </si>
  <si>
    <t>10</t>
  </si>
  <si>
    <t>UHC SG Dental/Vision</t>
  </si>
  <si>
    <t>UHC SG NC</t>
  </si>
  <si>
    <t>UHC SG PA choice</t>
  </si>
  <si>
    <t>UHC SG IL</t>
  </si>
  <si>
    <t>Adjustment Date</t>
  </si>
  <si>
    <t>Adjustment Description</t>
  </si>
  <si>
    <t>Adjustment Compensation Type</t>
  </si>
  <si>
    <t>Adjustment Business Type</t>
  </si>
  <si>
    <t>Adjustment Amount</t>
  </si>
  <si>
    <t>UHC SG MD-Level Funded</t>
  </si>
  <si>
    <t>[PMPM=2]</t>
  </si>
  <si>
    <t>[PMPM=5]</t>
  </si>
  <si>
    <t>[PMPM=4]</t>
  </si>
  <si>
    <t>[PMPM=6]</t>
  </si>
  <si>
    <t>[PMPM=33]</t>
  </si>
  <si>
    <t>[PMPM=7]</t>
  </si>
  <si>
    <t>[PMPM=10]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</si>
</sst>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color rgb="FF000000"/>
      <name val="Arial"/>
      <scheme val="minor"/>
    </font>
    <font>
      <b/>
      <sz val="16"/>
      <color theme="1"/>
      <name val="Courier New"/>
      <family val="3"/>
    </font>
    <font>
      <sz val="10"/>
      <color theme="1"/>
      <name val="Courier New"/>
      <family val="3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8" fontId="2" fillId="2" borderId="0" xfId="0" applyNumberFormat="1" applyFont="1" applyFill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8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K1" workbookViewId="0"/>
  </sheetViews>
  <sheetFormatPr defaultColWidth="12.5703125" defaultRowHeight="15" customHeight="1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1096.44</v>
      </c>
      <c r="O2" s="3">
        <v>1096.44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34</v>
      </c>
      <c r="U2" s="2" t="s">
        <v>44</v>
      </c>
      <c r="V2" s="2" t="s">
        <v>45</v>
      </c>
      <c r="W2" s="2" t="s">
        <v>46</v>
      </c>
      <c r="X2" s="2"/>
      <c r="Y2" s="2"/>
      <c r="Z2" s="3">
        <v>68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38</v>
      </c>
      <c r="M3" s="2" t="s">
        <v>51</v>
      </c>
      <c r="N3" s="3">
        <v>-3135.49</v>
      </c>
      <c r="O3" s="3">
        <v>-3135.49</v>
      </c>
      <c r="P3" s="2" t="s">
        <v>52</v>
      </c>
      <c r="Q3" s="2" t="s">
        <v>53</v>
      </c>
      <c r="R3" s="2" t="s">
        <v>54</v>
      </c>
      <c r="S3" s="2" t="s">
        <v>43</v>
      </c>
      <c r="T3" s="3">
        <v>75</v>
      </c>
      <c r="U3" s="2" t="s">
        <v>44</v>
      </c>
      <c r="V3" s="2" t="s">
        <v>55</v>
      </c>
      <c r="W3" s="2" t="s">
        <v>56</v>
      </c>
      <c r="X3" s="3">
        <v>-2475</v>
      </c>
      <c r="Y3" s="3">
        <v>-2475</v>
      </c>
      <c r="Z3" s="3">
        <v>-2475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38</v>
      </c>
      <c r="M4" s="2" t="s">
        <v>51</v>
      </c>
      <c r="N4" s="3">
        <v>3135.49</v>
      </c>
      <c r="O4" s="3">
        <v>3135.49</v>
      </c>
      <c r="P4" s="2" t="s">
        <v>57</v>
      </c>
      <c r="Q4" s="2" t="s">
        <v>41</v>
      </c>
      <c r="R4" s="2" t="s">
        <v>54</v>
      </c>
      <c r="S4" s="2" t="s">
        <v>43</v>
      </c>
      <c r="T4" s="3">
        <v>75</v>
      </c>
      <c r="U4" s="2" t="s">
        <v>44</v>
      </c>
      <c r="V4" s="2" t="s">
        <v>55</v>
      </c>
      <c r="W4" s="2" t="s">
        <v>56</v>
      </c>
      <c r="X4" s="3">
        <v>2475</v>
      </c>
      <c r="Y4" s="3">
        <v>2475</v>
      </c>
      <c r="Z4" s="3">
        <v>2475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38</v>
      </c>
      <c r="M5" s="2" t="s">
        <v>58</v>
      </c>
      <c r="N5" s="3">
        <v>-3135.49</v>
      </c>
      <c r="O5" s="3">
        <v>-3135.49</v>
      </c>
      <c r="P5" s="2" t="s">
        <v>52</v>
      </c>
      <c r="Q5" s="2" t="s">
        <v>53</v>
      </c>
      <c r="R5" s="2" t="s">
        <v>54</v>
      </c>
      <c r="S5" s="2" t="s">
        <v>43</v>
      </c>
      <c r="T5" s="3">
        <v>75</v>
      </c>
      <c r="U5" s="2" t="s">
        <v>44</v>
      </c>
      <c r="V5" s="2" t="s">
        <v>55</v>
      </c>
      <c r="W5" s="2" t="s">
        <v>56</v>
      </c>
      <c r="X5" s="3">
        <v>-2475</v>
      </c>
      <c r="Y5" s="3">
        <v>-2475</v>
      </c>
      <c r="Z5" s="3">
        <v>-2475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38</v>
      </c>
      <c r="M6" s="2" t="s">
        <v>58</v>
      </c>
      <c r="N6" s="3">
        <v>3135.49</v>
      </c>
      <c r="O6" s="3">
        <v>3135.49</v>
      </c>
      <c r="P6" s="2" t="s">
        <v>57</v>
      </c>
      <c r="Q6" s="2" t="s">
        <v>41</v>
      </c>
      <c r="R6" s="2" t="s">
        <v>54</v>
      </c>
      <c r="S6" s="2" t="s">
        <v>43</v>
      </c>
      <c r="T6" s="3">
        <v>75</v>
      </c>
      <c r="U6" s="2" t="s">
        <v>44</v>
      </c>
      <c r="V6" s="2" t="s">
        <v>55</v>
      </c>
      <c r="W6" s="2" t="s">
        <v>56</v>
      </c>
      <c r="X6" s="3">
        <v>2475</v>
      </c>
      <c r="Y6" s="3">
        <v>2475</v>
      </c>
      <c r="Z6" s="3">
        <v>2475</v>
      </c>
      <c r="AA6" s="2"/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47</v>
      </c>
      <c r="I7" s="2" t="s">
        <v>48</v>
      </c>
      <c r="J7" s="2" t="s">
        <v>49</v>
      </c>
      <c r="K7" s="2" t="s">
        <v>50</v>
      </c>
      <c r="L7" s="2" t="s">
        <v>38</v>
      </c>
      <c r="M7" s="2" t="s">
        <v>59</v>
      </c>
      <c r="N7" s="3">
        <v>-3135.49</v>
      </c>
      <c r="O7" s="3">
        <v>-3135.49</v>
      </c>
      <c r="P7" s="2" t="s">
        <v>52</v>
      </c>
      <c r="Q7" s="2" t="s">
        <v>53</v>
      </c>
      <c r="R7" s="2" t="s">
        <v>54</v>
      </c>
      <c r="S7" s="2" t="s">
        <v>43</v>
      </c>
      <c r="T7" s="3">
        <v>75</v>
      </c>
      <c r="U7" s="2" t="s">
        <v>44</v>
      </c>
      <c r="V7" s="2" t="s">
        <v>55</v>
      </c>
      <c r="W7" s="2" t="s">
        <v>56</v>
      </c>
      <c r="X7" s="3">
        <v>-2475</v>
      </c>
      <c r="Y7" s="3">
        <v>-2475</v>
      </c>
      <c r="Z7" s="3">
        <v>-2475</v>
      </c>
      <c r="AA7" s="2"/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38</v>
      </c>
      <c r="M8" s="2" t="s">
        <v>59</v>
      </c>
      <c r="N8" s="3">
        <v>3135.49</v>
      </c>
      <c r="O8" s="3">
        <v>3135.49</v>
      </c>
      <c r="P8" s="2" t="s">
        <v>57</v>
      </c>
      <c r="Q8" s="2" t="s">
        <v>41</v>
      </c>
      <c r="R8" s="2" t="s">
        <v>54</v>
      </c>
      <c r="S8" s="2" t="s">
        <v>43</v>
      </c>
      <c r="T8" s="3">
        <v>75</v>
      </c>
      <c r="U8" s="2" t="s">
        <v>44</v>
      </c>
      <c r="V8" s="2" t="s">
        <v>55</v>
      </c>
      <c r="W8" s="2" t="s">
        <v>56</v>
      </c>
      <c r="X8" s="3">
        <v>2475</v>
      </c>
      <c r="Y8" s="3">
        <v>2475</v>
      </c>
      <c r="Z8" s="3">
        <v>2475</v>
      </c>
      <c r="AA8" s="2"/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47</v>
      </c>
      <c r="I9" s="2" t="s">
        <v>48</v>
      </c>
      <c r="J9" s="2" t="s">
        <v>49</v>
      </c>
      <c r="K9" s="2" t="s">
        <v>50</v>
      </c>
      <c r="L9" s="2" t="s">
        <v>38</v>
      </c>
      <c r="M9" s="2" t="s">
        <v>60</v>
      </c>
      <c r="N9" s="3">
        <v>0</v>
      </c>
      <c r="O9" s="3">
        <v>0</v>
      </c>
      <c r="P9" s="2" t="s">
        <v>61</v>
      </c>
      <c r="Q9" s="2" t="s">
        <v>41</v>
      </c>
      <c r="R9" s="2" t="s">
        <v>54</v>
      </c>
      <c r="S9" s="2" t="s">
        <v>43</v>
      </c>
      <c r="T9" s="3">
        <v>75</v>
      </c>
      <c r="U9" s="2" t="s">
        <v>44</v>
      </c>
      <c r="V9" s="2" t="s">
        <v>55</v>
      </c>
      <c r="W9" s="2" t="s">
        <v>56</v>
      </c>
      <c r="X9" s="3">
        <v>-75</v>
      </c>
      <c r="Y9" s="3">
        <v>-75</v>
      </c>
      <c r="Z9" s="3">
        <v>-75</v>
      </c>
      <c r="AA9" s="2"/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47</v>
      </c>
      <c r="I10" s="2" t="s">
        <v>48</v>
      </c>
      <c r="J10" s="2" t="s">
        <v>49</v>
      </c>
      <c r="K10" s="2" t="s">
        <v>50</v>
      </c>
      <c r="L10" s="2" t="s">
        <v>38</v>
      </c>
      <c r="M10" s="2" t="s">
        <v>60</v>
      </c>
      <c r="N10" s="3">
        <v>-3082.6</v>
      </c>
      <c r="O10" s="3">
        <v>-3082.6</v>
      </c>
      <c r="P10" s="2" t="s">
        <v>61</v>
      </c>
      <c r="Q10" s="2" t="s">
        <v>53</v>
      </c>
      <c r="R10" s="2" t="s">
        <v>54</v>
      </c>
      <c r="S10" s="2" t="s">
        <v>43</v>
      </c>
      <c r="T10" s="3">
        <v>75</v>
      </c>
      <c r="U10" s="2" t="s">
        <v>44</v>
      </c>
      <c r="V10" s="2" t="s">
        <v>55</v>
      </c>
      <c r="W10" s="2" t="s">
        <v>56</v>
      </c>
      <c r="X10" s="3">
        <v>-75</v>
      </c>
      <c r="Y10" s="3">
        <v>-75</v>
      </c>
      <c r="Z10" s="3">
        <v>-75</v>
      </c>
      <c r="AA10" s="2"/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47</v>
      </c>
      <c r="I11" s="2" t="s">
        <v>48</v>
      </c>
      <c r="J11" s="2" t="s">
        <v>49</v>
      </c>
      <c r="K11" s="2" t="s">
        <v>50</v>
      </c>
      <c r="L11" s="2" t="s">
        <v>38</v>
      </c>
      <c r="M11" s="2" t="s">
        <v>60</v>
      </c>
      <c r="N11" s="3">
        <v>-3082.6</v>
      </c>
      <c r="O11" s="3">
        <v>-3082.6</v>
      </c>
      <c r="P11" s="2" t="s">
        <v>62</v>
      </c>
      <c r="Q11" s="2" t="s">
        <v>53</v>
      </c>
      <c r="R11" s="2" t="s">
        <v>54</v>
      </c>
      <c r="S11" s="2" t="s">
        <v>43</v>
      </c>
      <c r="T11" s="3">
        <v>75</v>
      </c>
      <c r="U11" s="2" t="s">
        <v>44</v>
      </c>
      <c r="V11" s="2" t="s">
        <v>55</v>
      </c>
      <c r="W11" s="2" t="s">
        <v>56</v>
      </c>
      <c r="X11" s="3">
        <v>75</v>
      </c>
      <c r="Y11" s="3">
        <v>75</v>
      </c>
      <c r="Z11" s="3">
        <v>75</v>
      </c>
      <c r="AA11" s="2"/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47</v>
      </c>
      <c r="I12" s="2" t="s">
        <v>48</v>
      </c>
      <c r="J12" s="2" t="s">
        <v>49</v>
      </c>
      <c r="K12" s="2" t="s">
        <v>50</v>
      </c>
      <c r="L12" s="2" t="s">
        <v>38</v>
      </c>
      <c r="M12" s="2" t="s">
        <v>60</v>
      </c>
      <c r="N12" s="3">
        <v>3082.6</v>
      </c>
      <c r="O12" s="3">
        <v>3082.6</v>
      </c>
      <c r="P12" s="2" t="s">
        <v>57</v>
      </c>
      <c r="Q12" s="2" t="s">
        <v>41</v>
      </c>
      <c r="R12" s="2" t="s">
        <v>54</v>
      </c>
      <c r="S12" s="2" t="s">
        <v>43</v>
      </c>
      <c r="T12" s="3">
        <v>75</v>
      </c>
      <c r="U12" s="2" t="s">
        <v>44</v>
      </c>
      <c r="V12" s="2" t="s">
        <v>55</v>
      </c>
      <c r="W12" s="2" t="s">
        <v>56</v>
      </c>
      <c r="X12" s="3">
        <v>2475</v>
      </c>
      <c r="Y12" s="3">
        <v>2475</v>
      </c>
      <c r="Z12" s="3">
        <v>2475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47</v>
      </c>
      <c r="I13" s="2" t="s">
        <v>48</v>
      </c>
      <c r="J13" s="2" t="s">
        <v>49</v>
      </c>
      <c r="K13" s="2" t="s">
        <v>50</v>
      </c>
      <c r="L13" s="2" t="s">
        <v>38</v>
      </c>
      <c r="M13" s="2" t="s">
        <v>60</v>
      </c>
      <c r="N13" s="3">
        <v>3082.6</v>
      </c>
      <c r="O13" s="3">
        <v>3082.6</v>
      </c>
      <c r="P13" s="2" t="s">
        <v>62</v>
      </c>
      <c r="Q13" s="2" t="s">
        <v>41</v>
      </c>
      <c r="R13" s="2" t="s">
        <v>54</v>
      </c>
      <c r="S13" s="2" t="s">
        <v>43</v>
      </c>
      <c r="T13" s="3">
        <v>75</v>
      </c>
      <c r="U13" s="2" t="s">
        <v>44</v>
      </c>
      <c r="V13" s="2" t="s">
        <v>55</v>
      </c>
      <c r="W13" s="2" t="s">
        <v>56</v>
      </c>
      <c r="X13" s="3">
        <v>75</v>
      </c>
      <c r="Y13" s="3">
        <v>75</v>
      </c>
      <c r="Z13" s="3">
        <v>75</v>
      </c>
      <c r="AA13" s="2"/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47</v>
      </c>
      <c r="I14" s="2" t="s">
        <v>48</v>
      </c>
      <c r="J14" s="2" t="s">
        <v>49</v>
      </c>
      <c r="K14" s="2" t="s">
        <v>50</v>
      </c>
      <c r="L14" s="2" t="s">
        <v>38</v>
      </c>
      <c r="M14" s="2" t="s">
        <v>60</v>
      </c>
      <c r="N14" s="3">
        <v>-3082.6</v>
      </c>
      <c r="O14" s="3">
        <v>-3082.6</v>
      </c>
      <c r="P14" s="2" t="s">
        <v>52</v>
      </c>
      <c r="Q14" s="2" t="s">
        <v>53</v>
      </c>
      <c r="R14" s="2" t="s">
        <v>54</v>
      </c>
      <c r="S14" s="2" t="s">
        <v>43</v>
      </c>
      <c r="T14" s="3">
        <v>75</v>
      </c>
      <c r="U14" s="2" t="s">
        <v>44</v>
      </c>
      <c r="V14" s="2" t="s">
        <v>55</v>
      </c>
      <c r="W14" s="2" t="s">
        <v>56</v>
      </c>
      <c r="X14" s="3">
        <v>-2475</v>
      </c>
      <c r="Y14" s="3">
        <v>-2475</v>
      </c>
      <c r="Z14" s="3">
        <v>-2475</v>
      </c>
      <c r="AA14" s="2"/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47</v>
      </c>
      <c r="I15" s="2" t="s">
        <v>48</v>
      </c>
      <c r="J15" s="2" t="s">
        <v>49</v>
      </c>
      <c r="K15" s="2" t="s">
        <v>50</v>
      </c>
      <c r="L15" s="2" t="s">
        <v>38</v>
      </c>
      <c r="M15" s="2" t="s">
        <v>63</v>
      </c>
      <c r="N15" s="3">
        <v>-3064.96</v>
      </c>
      <c r="O15" s="3">
        <v>-3064.96</v>
      </c>
      <c r="P15" s="2" t="s">
        <v>52</v>
      </c>
      <c r="Q15" s="2" t="s">
        <v>53</v>
      </c>
      <c r="R15" s="2" t="s">
        <v>54</v>
      </c>
      <c r="S15" s="2" t="s">
        <v>43</v>
      </c>
      <c r="T15" s="3">
        <v>75</v>
      </c>
      <c r="U15" s="2" t="s">
        <v>44</v>
      </c>
      <c r="V15" s="2" t="s">
        <v>55</v>
      </c>
      <c r="W15" s="2" t="s">
        <v>56</v>
      </c>
      <c r="X15" s="3">
        <v>-2475</v>
      </c>
      <c r="Y15" s="3">
        <v>-2475</v>
      </c>
      <c r="Z15" s="3">
        <v>-2475</v>
      </c>
      <c r="AA15" s="2"/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47</v>
      </c>
      <c r="I16" s="2" t="s">
        <v>48</v>
      </c>
      <c r="J16" s="2" t="s">
        <v>49</v>
      </c>
      <c r="K16" s="2" t="s">
        <v>50</v>
      </c>
      <c r="L16" s="2" t="s">
        <v>38</v>
      </c>
      <c r="M16" s="2" t="s">
        <v>63</v>
      </c>
      <c r="N16" s="3">
        <v>3064.96</v>
      </c>
      <c r="O16" s="3">
        <v>3064.96</v>
      </c>
      <c r="P16" s="2" t="s">
        <v>57</v>
      </c>
      <c r="Q16" s="2" t="s">
        <v>41</v>
      </c>
      <c r="R16" s="2" t="s">
        <v>54</v>
      </c>
      <c r="S16" s="2" t="s">
        <v>43</v>
      </c>
      <c r="T16" s="3">
        <v>75</v>
      </c>
      <c r="U16" s="2" t="s">
        <v>44</v>
      </c>
      <c r="V16" s="2" t="s">
        <v>55</v>
      </c>
      <c r="W16" s="2" t="s">
        <v>56</v>
      </c>
      <c r="X16" s="3">
        <v>2475</v>
      </c>
      <c r="Y16" s="3">
        <v>2475</v>
      </c>
      <c r="Z16" s="3">
        <v>2475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47</v>
      </c>
      <c r="I17" s="2" t="s">
        <v>48</v>
      </c>
      <c r="J17" s="2" t="s">
        <v>49</v>
      </c>
      <c r="K17" s="2" t="s">
        <v>50</v>
      </c>
      <c r="L17" s="2" t="s">
        <v>38</v>
      </c>
      <c r="M17" s="2" t="s">
        <v>64</v>
      </c>
      <c r="N17" s="3">
        <v>-3064.96</v>
      </c>
      <c r="O17" s="3">
        <v>-3064.96</v>
      </c>
      <c r="P17" s="2" t="s">
        <v>52</v>
      </c>
      <c r="Q17" s="2" t="s">
        <v>53</v>
      </c>
      <c r="R17" s="2" t="s">
        <v>54</v>
      </c>
      <c r="S17" s="2" t="s">
        <v>43</v>
      </c>
      <c r="T17" s="3">
        <v>75</v>
      </c>
      <c r="U17" s="2" t="s">
        <v>44</v>
      </c>
      <c r="V17" s="2" t="s">
        <v>55</v>
      </c>
      <c r="W17" s="2" t="s">
        <v>56</v>
      </c>
      <c r="X17" s="3">
        <v>-2475</v>
      </c>
      <c r="Y17" s="3">
        <v>-2475</v>
      </c>
      <c r="Z17" s="3">
        <v>-2475</v>
      </c>
      <c r="AA17" s="2"/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47</v>
      </c>
      <c r="I18" s="2" t="s">
        <v>48</v>
      </c>
      <c r="J18" s="2" t="s">
        <v>49</v>
      </c>
      <c r="K18" s="2" t="s">
        <v>50</v>
      </c>
      <c r="L18" s="2" t="s">
        <v>38</v>
      </c>
      <c r="M18" s="2" t="s">
        <v>64</v>
      </c>
      <c r="N18" s="3">
        <v>3064.96</v>
      </c>
      <c r="O18" s="3">
        <v>3064.96</v>
      </c>
      <c r="P18" s="2" t="s">
        <v>57</v>
      </c>
      <c r="Q18" s="2" t="s">
        <v>41</v>
      </c>
      <c r="R18" s="2" t="s">
        <v>54</v>
      </c>
      <c r="S18" s="2" t="s">
        <v>43</v>
      </c>
      <c r="T18" s="3">
        <v>75</v>
      </c>
      <c r="U18" s="2" t="s">
        <v>44</v>
      </c>
      <c r="V18" s="2" t="s">
        <v>55</v>
      </c>
      <c r="W18" s="2" t="s">
        <v>56</v>
      </c>
      <c r="X18" s="3">
        <v>2475</v>
      </c>
      <c r="Y18" s="3">
        <v>2475</v>
      </c>
      <c r="Z18" s="3">
        <v>2475</v>
      </c>
      <c r="AA18" s="2"/>
    </row>
    <row r="19" spans="1:27" ht="12.75" customHeigh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47</v>
      </c>
      <c r="I19" s="2" t="s">
        <v>48</v>
      </c>
      <c r="J19" s="2" t="s">
        <v>49</v>
      </c>
      <c r="K19" s="2" t="s">
        <v>50</v>
      </c>
      <c r="L19" s="2" t="s">
        <v>38</v>
      </c>
      <c r="M19" s="2" t="s">
        <v>65</v>
      </c>
      <c r="N19" s="3">
        <v>3175.18</v>
      </c>
      <c r="O19" s="3">
        <v>3175.18</v>
      </c>
      <c r="P19" s="2" t="s">
        <v>40</v>
      </c>
      <c r="Q19" s="2" t="s">
        <v>41</v>
      </c>
      <c r="R19" s="2" t="s">
        <v>54</v>
      </c>
      <c r="S19" s="2" t="s">
        <v>43</v>
      </c>
      <c r="T19" s="3">
        <v>75</v>
      </c>
      <c r="U19" s="2" t="s">
        <v>44</v>
      </c>
      <c r="V19" s="2" t="s">
        <v>55</v>
      </c>
      <c r="W19" s="2" t="s">
        <v>56</v>
      </c>
      <c r="X19" s="3">
        <v>150</v>
      </c>
      <c r="Y19" s="3">
        <v>150</v>
      </c>
      <c r="Z19" s="3">
        <v>150</v>
      </c>
      <c r="AA19" s="2"/>
    </row>
    <row r="20" spans="1:27" ht="12.75" customHeight="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47</v>
      </c>
      <c r="I20" s="2" t="s">
        <v>48</v>
      </c>
      <c r="J20" s="2" t="s">
        <v>49</v>
      </c>
      <c r="K20" s="2" t="s">
        <v>50</v>
      </c>
      <c r="L20" s="2" t="s">
        <v>38</v>
      </c>
      <c r="M20" s="2" t="s">
        <v>65</v>
      </c>
      <c r="N20" s="3">
        <v>-3064.96</v>
      </c>
      <c r="O20" s="3">
        <v>-3064.96</v>
      </c>
      <c r="P20" s="2" t="s">
        <v>52</v>
      </c>
      <c r="Q20" s="2" t="s">
        <v>53</v>
      </c>
      <c r="R20" s="2" t="s">
        <v>54</v>
      </c>
      <c r="S20" s="2" t="s">
        <v>43</v>
      </c>
      <c r="T20" s="3">
        <v>75</v>
      </c>
      <c r="U20" s="2" t="s">
        <v>44</v>
      </c>
      <c r="V20" s="2" t="s">
        <v>55</v>
      </c>
      <c r="W20" s="2" t="s">
        <v>56</v>
      </c>
      <c r="X20" s="3">
        <v>-2475</v>
      </c>
      <c r="Y20" s="3">
        <v>-2475</v>
      </c>
      <c r="Z20" s="3">
        <v>-2475</v>
      </c>
      <c r="AA20" s="2"/>
    </row>
    <row r="21" spans="1:27" ht="12.75" customHeight="1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47</v>
      </c>
      <c r="I21" s="2" t="s">
        <v>48</v>
      </c>
      <c r="J21" s="2" t="s">
        <v>49</v>
      </c>
      <c r="K21" s="2" t="s">
        <v>50</v>
      </c>
      <c r="L21" s="2" t="s">
        <v>38</v>
      </c>
      <c r="M21" s="2" t="s">
        <v>65</v>
      </c>
      <c r="N21" s="3">
        <v>3175.18</v>
      </c>
      <c r="O21" s="3">
        <v>3175.18</v>
      </c>
      <c r="P21" s="2" t="s">
        <v>57</v>
      </c>
      <c r="Q21" s="2" t="s">
        <v>41</v>
      </c>
      <c r="R21" s="2" t="s">
        <v>54</v>
      </c>
      <c r="S21" s="2" t="s">
        <v>43</v>
      </c>
      <c r="T21" s="3">
        <v>75</v>
      </c>
      <c r="U21" s="2" t="s">
        <v>44</v>
      </c>
      <c r="V21" s="2" t="s">
        <v>55</v>
      </c>
      <c r="W21" s="2" t="s">
        <v>56</v>
      </c>
      <c r="X21" s="3">
        <v>2475</v>
      </c>
      <c r="Y21" s="3">
        <v>2475</v>
      </c>
      <c r="Z21" s="3">
        <v>2475</v>
      </c>
      <c r="AA21" s="2"/>
    </row>
    <row r="22" spans="1:27" ht="12.75" customHeight="1" x14ac:dyDescent="0.25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47</v>
      </c>
      <c r="I22" s="2" t="s">
        <v>48</v>
      </c>
      <c r="J22" s="2" t="s">
        <v>49</v>
      </c>
      <c r="K22" s="2" t="s">
        <v>50</v>
      </c>
      <c r="L22" s="2" t="s">
        <v>38</v>
      </c>
      <c r="M22" s="2" t="s">
        <v>39</v>
      </c>
      <c r="N22" s="3">
        <v>3216.09</v>
      </c>
      <c r="O22" s="3">
        <v>3216.09</v>
      </c>
      <c r="P22" s="2" t="s">
        <v>40</v>
      </c>
      <c r="Q22" s="2" t="s">
        <v>41</v>
      </c>
      <c r="R22" s="2" t="s">
        <v>54</v>
      </c>
      <c r="S22" s="2" t="s">
        <v>43</v>
      </c>
      <c r="T22" s="3">
        <v>75</v>
      </c>
      <c r="U22" s="2" t="s">
        <v>44</v>
      </c>
      <c r="V22" s="2" t="s">
        <v>55</v>
      </c>
      <c r="W22" s="2" t="s">
        <v>56</v>
      </c>
      <c r="X22" s="3">
        <v>150</v>
      </c>
      <c r="Y22" s="3">
        <v>150</v>
      </c>
      <c r="Z22" s="3">
        <v>150</v>
      </c>
      <c r="AA22" s="2"/>
    </row>
    <row r="23" spans="1:27" ht="12.75" customHeight="1" x14ac:dyDescent="0.2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47</v>
      </c>
      <c r="I23" s="2" t="s">
        <v>48</v>
      </c>
      <c r="J23" s="2" t="s">
        <v>49</v>
      </c>
      <c r="K23" s="2" t="s">
        <v>50</v>
      </c>
      <c r="L23" s="2" t="s">
        <v>38</v>
      </c>
      <c r="M23" s="2" t="s">
        <v>39</v>
      </c>
      <c r="N23" s="3">
        <v>3216.09</v>
      </c>
      <c r="O23" s="3">
        <v>3216.09</v>
      </c>
      <c r="P23" s="2" t="s">
        <v>57</v>
      </c>
      <c r="Q23" s="2" t="s">
        <v>41</v>
      </c>
      <c r="R23" s="2" t="s">
        <v>54</v>
      </c>
      <c r="S23" s="2" t="s">
        <v>43</v>
      </c>
      <c r="T23" s="3">
        <v>75</v>
      </c>
      <c r="U23" s="2" t="s">
        <v>44</v>
      </c>
      <c r="V23" s="2" t="s">
        <v>55</v>
      </c>
      <c r="W23" s="2" t="s">
        <v>56</v>
      </c>
      <c r="X23" s="3">
        <v>2475</v>
      </c>
      <c r="Y23" s="3">
        <v>2475</v>
      </c>
      <c r="Z23" s="3">
        <v>2475</v>
      </c>
      <c r="AA23" s="2"/>
    </row>
    <row r="24" spans="1:27" ht="12.75" customHeight="1" x14ac:dyDescent="0.25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47</v>
      </c>
      <c r="I24" s="2" t="s">
        <v>48</v>
      </c>
      <c r="J24" s="2" t="s">
        <v>49</v>
      </c>
      <c r="K24" s="2" t="s">
        <v>50</v>
      </c>
      <c r="L24" s="2" t="s">
        <v>38</v>
      </c>
      <c r="M24" s="2" t="s">
        <v>66</v>
      </c>
      <c r="N24" s="3">
        <v>3216.09</v>
      </c>
      <c r="O24" s="3">
        <v>3216.09</v>
      </c>
      <c r="P24" s="2" t="s">
        <v>67</v>
      </c>
      <c r="Q24" s="2" t="s">
        <v>41</v>
      </c>
      <c r="R24" s="2" t="s">
        <v>54</v>
      </c>
      <c r="S24" s="2" t="s">
        <v>43</v>
      </c>
      <c r="T24" s="3">
        <v>75</v>
      </c>
      <c r="U24" s="2" t="s">
        <v>44</v>
      </c>
      <c r="V24" s="2" t="s">
        <v>55</v>
      </c>
      <c r="W24" s="2" t="s">
        <v>56</v>
      </c>
      <c r="X24" s="3">
        <v>2625</v>
      </c>
      <c r="Y24" s="3">
        <v>2625</v>
      </c>
      <c r="Z24" s="3">
        <v>2625</v>
      </c>
      <c r="AA24" s="2"/>
    </row>
    <row r="25" spans="1:27" ht="12.75" customHeight="1" x14ac:dyDescent="0.2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68</v>
      </c>
      <c r="H25" s="2" t="s">
        <v>69</v>
      </c>
      <c r="I25" s="2" t="s">
        <v>70</v>
      </c>
      <c r="J25" s="2" t="s">
        <v>71</v>
      </c>
      <c r="K25" s="2" t="s">
        <v>72</v>
      </c>
      <c r="L25" s="2" t="s">
        <v>38</v>
      </c>
      <c r="M25" s="2" t="s">
        <v>66</v>
      </c>
      <c r="N25" s="3">
        <v>2099.41</v>
      </c>
      <c r="O25" s="3">
        <v>2099.41</v>
      </c>
      <c r="P25" s="2" t="s">
        <v>73</v>
      </c>
      <c r="Q25" s="2" t="s">
        <v>41</v>
      </c>
      <c r="R25" s="2" t="s">
        <v>74</v>
      </c>
      <c r="S25" s="2" t="s">
        <v>43</v>
      </c>
      <c r="T25" s="3">
        <v>41</v>
      </c>
      <c r="U25" s="2" t="s">
        <v>44</v>
      </c>
      <c r="V25" s="2" t="s">
        <v>45</v>
      </c>
      <c r="W25" s="2" t="s">
        <v>46</v>
      </c>
      <c r="X25" s="2"/>
      <c r="Y25" s="2"/>
      <c r="Z25" s="3">
        <v>164</v>
      </c>
      <c r="AA25" s="2"/>
    </row>
    <row r="26" spans="1:27" ht="12.75" customHeight="1" x14ac:dyDescent="0.25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68</v>
      </c>
      <c r="H26" s="2" t="s">
        <v>69</v>
      </c>
      <c r="I26" s="2" t="s">
        <v>70</v>
      </c>
      <c r="J26" s="2" t="s">
        <v>75</v>
      </c>
      <c r="K26" s="2" t="s">
        <v>76</v>
      </c>
      <c r="L26" s="2" t="s">
        <v>38</v>
      </c>
      <c r="M26" s="2" t="s">
        <v>66</v>
      </c>
      <c r="N26" s="3">
        <v>2917.09</v>
      </c>
      <c r="O26" s="3">
        <v>2917.09</v>
      </c>
      <c r="P26" s="2" t="s">
        <v>40</v>
      </c>
      <c r="Q26" s="2" t="s">
        <v>41</v>
      </c>
      <c r="R26" s="2" t="s">
        <v>74</v>
      </c>
      <c r="S26" s="2" t="s">
        <v>43</v>
      </c>
      <c r="T26" s="3">
        <v>41</v>
      </c>
      <c r="U26" s="2" t="s">
        <v>44</v>
      </c>
      <c r="V26" s="2" t="s">
        <v>45</v>
      </c>
      <c r="W26" s="2" t="s">
        <v>46</v>
      </c>
      <c r="X26" s="2"/>
      <c r="Y26" s="2"/>
      <c r="Z26" s="3">
        <v>82</v>
      </c>
      <c r="AA26" s="2"/>
    </row>
    <row r="27" spans="1:27" ht="12.75" customHeight="1" x14ac:dyDescent="0.25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68</v>
      </c>
      <c r="H27" s="2" t="s">
        <v>77</v>
      </c>
      <c r="I27" s="2" t="s">
        <v>78</v>
      </c>
      <c r="J27" s="2" t="s">
        <v>79</v>
      </c>
      <c r="K27" s="2" t="s">
        <v>80</v>
      </c>
      <c r="L27" s="2" t="s">
        <v>81</v>
      </c>
      <c r="M27" s="2" t="s">
        <v>66</v>
      </c>
      <c r="N27" s="3">
        <v>1221.94</v>
      </c>
      <c r="O27" s="3">
        <v>1221.94</v>
      </c>
      <c r="P27" s="2" t="s">
        <v>82</v>
      </c>
      <c r="Q27" s="2" t="s">
        <v>41</v>
      </c>
      <c r="R27" s="2" t="s">
        <v>74</v>
      </c>
      <c r="S27" s="2" t="s">
        <v>83</v>
      </c>
      <c r="T27" s="2" t="s">
        <v>84</v>
      </c>
      <c r="U27" s="2" t="s">
        <v>44</v>
      </c>
      <c r="V27" s="2" t="s">
        <v>45</v>
      </c>
      <c r="W27" s="2" t="s">
        <v>46</v>
      </c>
      <c r="X27" s="2"/>
      <c r="Y27" s="2"/>
      <c r="Z27" s="3">
        <v>122.19</v>
      </c>
      <c r="AA27" s="2" t="s">
        <v>85</v>
      </c>
    </row>
    <row r="28" spans="1:27" ht="12.75" customHeight="1" x14ac:dyDescent="0.25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68</v>
      </c>
      <c r="H28" s="2" t="s">
        <v>77</v>
      </c>
      <c r="I28" s="2" t="s">
        <v>78</v>
      </c>
      <c r="J28" s="2" t="s">
        <v>79</v>
      </c>
      <c r="K28" s="2" t="s">
        <v>80</v>
      </c>
      <c r="L28" s="2" t="s">
        <v>86</v>
      </c>
      <c r="M28" s="2" t="s">
        <v>66</v>
      </c>
      <c r="N28" s="3">
        <v>105.68</v>
      </c>
      <c r="O28" s="3">
        <v>105.68</v>
      </c>
      <c r="P28" s="2" t="s">
        <v>82</v>
      </c>
      <c r="Q28" s="2" t="s">
        <v>41</v>
      </c>
      <c r="R28" s="2" t="s">
        <v>74</v>
      </c>
      <c r="S28" s="2" t="s">
        <v>83</v>
      </c>
      <c r="T28" s="2" t="s">
        <v>84</v>
      </c>
      <c r="U28" s="2" t="s">
        <v>44</v>
      </c>
      <c r="V28" s="2" t="s">
        <v>45</v>
      </c>
      <c r="W28" s="2" t="s">
        <v>46</v>
      </c>
      <c r="X28" s="2"/>
      <c r="Y28" s="2"/>
      <c r="Z28" s="3">
        <v>10.57</v>
      </c>
      <c r="AA28" s="2" t="s">
        <v>85</v>
      </c>
    </row>
    <row r="29" spans="1:27" ht="12.75" customHeight="1" x14ac:dyDescent="0.2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68</v>
      </c>
      <c r="H29" s="2" t="s">
        <v>77</v>
      </c>
      <c r="I29" s="2" t="s">
        <v>78</v>
      </c>
      <c r="J29" s="2" t="s">
        <v>87</v>
      </c>
      <c r="K29" s="2" t="s">
        <v>88</v>
      </c>
      <c r="L29" s="2" t="s">
        <v>81</v>
      </c>
      <c r="M29" s="2" t="s">
        <v>66</v>
      </c>
      <c r="N29" s="3">
        <v>74.680000000000007</v>
      </c>
      <c r="O29" s="3">
        <v>74.680000000000007</v>
      </c>
      <c r="P29" s="2" t="s">
        <v>40</v>
      </c>
      <c r="Q29" s="2" t="s">
        <v>41</v>
      </c>
      <c r="R29" s="2" t="s">
        <v>74</v>
      </c>
      <c r="S29" s="2" t="s">
        <v>83</v>
      </c>
      <c r="T29" s="2" t="s">
        <v>84</v>
      </c>
      <c r="U29" s="2" t="s">
        <v>44</v>
      </c>
      <c r="V29" s="2" t="s">
        <v>45</v>
      </c>
      <c r="W29" s="2" t="s">
        <v>46</v>
      </c>
      <c r="X29" s="2"/>
      <c r="Y29" s="2"/>
      <c r="Z29" s="3">
        <v>7.47</v>
      </c>
      <c r="AA29" s="2"/>
    </row>
    <row r="30" spans="1:27" ht="12.75" customHeight="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68</v>
      </c>
      <c r="H30" s="4" t="s">
        <v>77</v>
      </c>
      <c r="I30" s="4" t="s">
        <v>78</v>
      </c>
      <c r="J30" s="4" t="s">
        <v>89</v>
      </c>
      <c r="K30" s="4" t="s">
        <v>90</v>
      </c>
      <c r="L30" s="4" t="s">
        <v>38</v>
      </c>
      <c r="M30" s="4" t="s">
        <v>91</v>
      </c>
      <c r="N30" s="5">
        <v>-300</v>
      </c>
      <c r="O30" s="5">
        <v>-300</v>
      </c>
      <c r="P30" s="4" t="s">
        <v>92</v>
      </c>
      <c r="Q30" s="4" t="s">
        <v>41</v>
      </c>
      <c r="R30" s="4" t="s">
        <v>93</v>
      </c>
      <c r="S30" s="4" t="s">
        <v>43</v>
      </c>
      <c r="T30" s="5">
        <v>50</v>
      </c>
      <c r="U30" s="4" t="s">
        <v>44</v>
      </c>
      <c r="V30" s="4" t="s">
        <v>55</v>
      </c>
      <c r="W30" s="4" t="s">
        <v>56</v>
      </c>
      <c r="X30" s="5">
        <v>300</v>
      </c>
      <c r="Y30" s="5">
        <v>300</v>
      </c>
      <c r="Z30" s="5">
        <v>300</v>
      </c>
      <c r="AA30" s="4"/>
    </row>
    <row r="31" spans="1:27" ht="12.75" customHeight="1" x14ac:dyDescent="0.25">
      <c r="A31" s="4" t="s">
        <v>27</v>
      </c>
      <c r="B31" s="4" t="s">
        <v>28</v>
      </c>
      <c r="C31" s="4" t="s">
        <v>29</v>
      </c>
      <c r="D31" s="4" t="s">
        <v>30</v>
      </c>
      <c r="E31" s="4" t="s">
        <v>31</v>
      </c>
      <c r="F31" s="4" t="s">
        <v>32</v>
      </c>
      <c r="G31" s="4" t="s">
        <v>68</v>
      </c>
      <c r="H31" s="4" t="s">
        <v>77</v>
      </c>
      <c r="I31" s="4" t="s">
        <v>78</v>
      </c>
      <c r="J31" s="4" t="s">
        <v>89</v>
      </c>
      <c r="K31" s="4" t="s">
        <v>90</v>
      </c>
      <c r="L31" s="4" t="s">
        <v>38</v>
      </c>
      <c r="M31" s="4" t="s">
        <v>94</v>
      </c>
      <c r="N31" s="5">
        <v>-300</v>
      </c>
      <c r="O31" s="5">
        <v>-300</v>
      </c>
      <c r="P31" s="4" t="s">
        <v>92</v>
      </c>
      <c r="Q31" s="4" t="s">
        <v>41</v>
      </c>
      <c r="R31" s="4" t="s">
        <v>93</v>
      </c>
      <c r="S31" s="4" t="s">
        <v>43</v>
      </c>
      <c r="T31" s="5">
        <v>50</v>
      </c>
      <c r="U31" s="4" t="s">
        <v>44</v>
      </c>
      <c r="V31" s="4" t="s">
        <v>55</v>
      </c>
      <c r="W31" s="4" t="s">
        <v>56</v>
      </c>
      <c r="X31" s="5">
        <v>300</v>
      </c>
      <c r="Y31" s="5">
        <v>300</v>
      </c>
      <c r="Z31" s="5">
        <v>300</v>
      </c>
      <c r="AA31" s="4"/>
    </row>
    <row r="32" spans="1:27" ht="12.75" customHeight="1" x14ac:dyDescent="0.25">
      <c r="A32" s="4" t="s">
        <v>27</v>
      </c>
      <c r="B32" s="4" t="s">
        <v>28</v>
      </c>
      <c r="C32" s="4" t="s">
        <v>29</v>
      </c>
      <c r="D32" s="4" t="s">
        <v>30</v>
      </c>
      <c r="E32" s="4" t="s">
        <v>31</v>
      </c>
      <c r="F32" s="4" t="s">
        <v>32</v>
      </c>
      <c r="G32" s="4" t="s">
        <v>68</v>
      </c>
      <c r="H32" s="4" t="s">
        <v>77</v>
      </c>
      <c r="I32" s="4" t="s">
        <v>78</v>
      </c>
      <c r="J32" s="4" t="s">
        <v>89</v>
      </c>
      <c r="K32" s="4" t="s">
        <v>90</v>
      </c>
      <c r="L32" s="4" t="s">
        <v>38</v>
      </c>
      <c r="M32" s="4" t="s">
        <v>51</v>
      </c>
      <c r="N32" s="5">
        <v>-300</v>
      </c>
      <c r="O32" s="5">
        <v>-300</v>
      </c>
      <c r="P32" s="4" t="s">
        <v>92</v>
      </c>
      <c r="Q32" s="4" t="s">
        <v>41</v>
      </c>
      <c r="R32" s="4" t="s">
        <v>93</v>
      </c>
      <c r="S32" s="4" t="s">
        <v>43</v>
      </c>
      <c r="T32" s="5">
        <v>50</v>
      </c>
      <c r="U32" s="4" t="s">
        <v>44</v>
      </c>
      <c r="V32" s="4" t="s">
        <v>55</v>
      </c>
      <c r="W32" s="4" t="s">
        <v>56</v>
      </c>
      <c r="X32" s="5">
        <v>300</v>
      </c>
      <c r="Y32" s="5">
        <v>300</v>
      </c>
      <c r="Z32" s="5">
        <v>300</v>
      </c>
      <c r="AA32" s="4"/>
    </row>
    <row r="33" spans="1:27" ht="12.75" customHeight="1" x14ac:dyDescent="0.25">
      <c r="A33" s="4" t="s">
        <v>27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32</v>
      </c>
      <c r="G33" s="4" t="s">
        <v>68</v>
      </c>
      <c r="H33" s="4" t="s">
        <v>77</v>
      </c>
      <c r="I33" s="4" t="s">
        <v>78</v>
      </c>
      <c r="J33" s="4" t="s">
        <v>89</v>
      </c>
      <c r="K33" s="4" t="s">
        <v>90</v>
      </c>
      <c r="L33" s="4" t="s">
        <v>38</v>
      </c>
      <c r="M33" s="4" t="s">
        <v>58</v>
      </c>
      <c r="N33" s="5">
        <v>-300</v>
      </c>
      <c r="O33" s="5">
        <v>-300</v>
      </c>
      <c r="P33" s="4" t="s">
        <v>92</v>
      </c>
      <c r="Q33" s="4" t="s">
        <v>41</v>
      </c>
      <c r="R33" s="4" t="s">
        <v>93</v>
      </c>
      <c r="S33" s="4" t="s">
        <v>43</v>
      </c>
      <c r="T33" s="5">
        <v>50</v>
      </c>
      <c r="U33" s="4" t="s">
        <v>44</v>
      </c>
      <c r="V33" s="4" t="s">
        <v>55</v>
      </c>
      <c r="W33" s="4" t="s">
        <v>56</v>
      </c>
      <c r="X33" s="5">
        <v>300</v>
      </c>
      <c r="Y33" s="5">
        <v>300</v>
      </c>
      <c r="Z33" s="5">
        <v>300</v>
      </c>
      <c r="AA33" s="4"/>
    </row>
    <row r="34" spans="1:27" ht="12.75" customHeight="1" x14ac:dyDescent="0.25">
      <c r="A34" s="4" t="s">
        <v>27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32</v>
      </c>
      <c r="G34" s="4" t="s">
        <v>68</v>
      </c>
      <c r="H34" s="4" t="s">
        <v>77</v>
      </c>
      <c r="I34" s="4" t="s">
        <v>78</v>
      </c>
      <c r="J34" s="4" t="s">
        <v>89</v>
      </c>
      <c r="K34" s="4" t="s">
        <v>90</v>
      </c>
      <c r="L34" s="4" t="s">
        <v>38</v>
      </c>
      <c r="M34" s="4" t="s">
        <v>59</v>
      </c>
      <c r="N34" s="5">
        <v>-300</v>
      </c>
      <c r="O34" s="5">
        <v>-300</v>
      </c>
      <c r="P34" s="4" t="s">
        <v>92</v>
      </c>
      <c r="Q34" s="4" t="s">
        <v>41</v>
      </c>
      <c r="R34" s="4" t="s">
        <v>93</v>
      </c>
      <c r="S34" s="4" t="s">
        <v>43</v>
      </c>
      <c r="T34" s="5">
        <v>50</v>
      </c>
      <c r="U34" s="4" t="s">
        <v>44</v>
      </c>
      <c r="V34" s="4" t="s">
        <v>55</v>
      </c>
      <c r="W34" s="4" t="s">
        <v>56</v>
      </c>
      <c r="X34" s="5">
        <v>300</v>
      </c>
      <c r="Y34" s="5">
        <v>300</v>
      </c>
      <c r="Z34" s="5">
        <v>300</v>
      </c>
      <c r="AA34" s="4"/>
    </row>
    <row r="35" spans="1:27" ht="12.75" customHeight="1" x14ac:dyDescent="0.25">
      <c r="A35" s="4" t="s">
        <v>27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68</v>
      </c>
      <c r="H35" s="4" t="s">
        <v>77</v>
      </c>
      <c r="I35" s="4" t="s">
        <v>78</v>
      </c>
      <c r="J35" s="4" t="s">
        <v>89</v>
      </c>
      <c r="K35" s="4" t="s">
        <v>90</v>
      </c>
      <c r="L35" s="4" t="s">
        <v>38</v>
      </c>
      <c r="M35" s="4" t="s">
        <v>60</v>
      </c>
      <c r="N35" s="5">
        <v>-300</v>
      </c>
      <c r="O35" s="5">
        <v>-300</v>
      </c>
      <c r="P35" s="4" t="s">
        <v>92</v>
      </c>
      <c r="Q35" s="4" t="s">
        <v>41</v>
      </c>
      <c r="R35" s="4" t="s">
        <v>93</v>
      </c>
      <c r="S35" s="4" t="s">
        <v>43</v>
      </c>
      <c r="T35" s="5">
        <v>50</v>
      </c>
      <c r="U35" s="4" t="s">
        <v>44</v>
      </c>
      <c r="V35" s="4" t="s">
        <v>55</v>
      </c>
      <c r="W35" s="4" t="s">
        <v>56</v>
      </c>
      <c r="X35" s="5">
        <v>300</v>
      </c>
      <c r="Y35" s="5">
        <v>300</v>
      </c>
      <c r="Z35" s="5">
        <v>300</v>
      </c>
      <c r="AA35" s="4"/>
    </row>
    <row r="36" spans="1:27" ht="12.75" customHeight="1" x14ac:dyDescent="0.25">
      <c r="A36" s="4" t="s">
        <v>27</v>
      </c>
      <c r="B36" s="4" t="s">
        <v>28</v>
      </c>
      <c r="C36" s="4" t="s">
        <v>29</v>
      </c>
      <c r="D36" s="4" t="s">
        <v>30</v>
      </c>
      <c r="E36" s="4" t="s">
        <v>31</v>
      </c>
      <c r="F36" s="4" t="s">
        <v>32</v>
      </c>
      <c r="G36" s="4" t="s">
        <v>68</v>
      </c>
      <c r="H36" s="4" t="s">
        <v>77</v>
      </c>
      <c r="I36" s="4" t="s">
        <v>78</v>
      </c>
      <c r="J36" s="4" t="s">
        <v>89</v>
      </c>
      <c r="K36" s="4" t="s">
        <v>90</v>
      </c>
      <c r="L36" s="4" t="s">
        <v>38</v>
      </c>
      <c r="M36" s="4" t="s">
        <v>63</v>
      </c>
      <c r="N36" s="5">
        <v>-300</v>
      </c>
      <c r="O36" s="5">
        <v>-300</v>
      </c>
      <c r="P36" s="4" t="s">
        <v>92</v>
      </c>
      <c r="Q36" s="4" t="s">
        <v>41</v>
      </c>
      <c r="R36" s="4" t="s">
        <v>93</v>
      </c>
      <c r="S36" s="4" t="s">
        <v>43</v>
      </c>
      <c r="T36" s="5">
        <v>50</v>
      </c>
      <c r="U36" s="4" t="s">
        <v>44</v>
      </c>
      <c r="V36" s="4" t="s">
        <v>55</v>
      </c>
      <c r="W36" s="4" t="s">
        <v>56</v>
      </c>
      <c r="X36" s="5">
        <v>300</v>
      </c>
      <c r="Y36" s="5">
        <v>300</v>
      </c>
      <c r="Z36" s="5">
        <v>300</v>
      </c>
      <c r="AA36" s="4"/>
    </row>
    <row r="37" spans="1:27" ht="12.75" customHeight="1" x14ac:dyDescent="0.25">
      <c r="A37" s="4" t="s">
        <v>27</v>
      </c>
      <c r="B37" s="4" t="s">
        <v>28</v>
      </c>
      <c r="C37" s="4" t="s">
        <v>29</v>
      </c>
      <c r="D37" s="4" t="s">
        <v>30</v>
      </c>
      <c r="E37" s="4" t="s">
        <v>31</v>
      </c>
      <c r="F37" s="4" t="s">
        <v>32</v>
      </c>
      <c r="G37" s="4" t="s">
        <v>68</v>
      </c>
      <c r="H37" s="4" t="s">
        <v>77</v>
      </c>
      <c r="I37" s="4" t="s">
        <v>78</v>
      </c>
      <c r="J37" s="4" t="s">
        <v>89</v>
      </c>
      <c r="K37" s="4" t="s">
        <v>90</v>
      </c>
      <c r="L37" s="4" t="s">
        <v>38</v>
      </c>
      <c r="M37" s="4" t="s">
        <v>64</v>
      </c>
      <c r="N37" s="5">
        <v>-300</v>
      </c>
      <c r="O37" s="5">
        <v>-300</v>
      </c>
      <c r="P37" s="4" t="s">
        <v>92</v>
      </c>
      <c r="Q37" s="4" t="s">
        <v>41</v>
      </c>
      <c r="R37" s="4" t="s">
        <v>93</v>
      </c>
      <c r="S37" s="4" t="s">
        <v>43</v>
      </c>
      <c r="T37" s="5">
        <v>50</v>
      </c>
      <c r="U37" s="4" t="s">
        <v>44</v>
      </c>
      <c r="V37" s="4" t="s">
        <v>55</v>
      </c>
      <c r="W37" s="4" t="s">
        <v>56</v>
      </c>
      <c r="X37" s="5">
        <v>300</v>
      </c>
      <c r="Y37" s="5">
        <v>300</v>
      </c>
      <c r="Z37" s="5">
        <v>300</v>
      </c>
      <c r="AA37" s="4"/>
    </row>
    <row r="38" spans="1:27" ht="12.75" customHeight="1" x14ac:dyDescent="0.25">
      <c r="A38" s="4" t="s">
        <v>27</v>
      </c>
      <c r="B38" s="4" t="s">
        <v>28</v>
      </c>
      <c r="C38" s="4" t="s">
        <v>29</v>
      </c>
      <c r="D38" s="4" t="s">
        <v>30</v>
      </c>
      <c r="E38" s="4" t="s">
        <v>31</v>
      </c>
      <c r="F38" s="4" t="s">
        <v>32</v>
      </c>
      <c r="G38" s="4" t="s">
        <v>68</v>
      </c>
      <c r="H38" s="4" t="s">
        <v>77</v>
      </c>
      <c r="I38" s="4" t="s">
        <v>78</v>
      </c>
      <c r="J38" s="4" t="s">
        <v>89</v>
      </c>
      <c r="K38" s="4" t="s">
        <v>90</v>
      </c>
      <c r="L38" s="4" t="s">
        <v>38</v>
      </c>
      <c r="M38" s="4" t="s">
        <v>65</v>
      </c>
      <c r="N38" s="5">
        <v>-300</v>
      </c>
      <c r="O38" s="5">
        <v>-300</v>
      </c>
      <c r="P38" s="4" t="s">
        <v>92</v>
      </c>
      <c r="Q38" s="4" t="s">
        <v>41</v>
      </c>
      <c r="R38" s="4" t="s">
        <v>93</v>
      </c>
      <c r="S38" s="4" t="s">
        <v>43</v>
      </c>
      <c r="T38" s="5">
        <v>50</v>
      </c>
      <c r="U38" s="4" t="s">
        <v>44</v>
      </c>
      <c r="V38" s="4" t="s">
        <v>55</v>
      </c>
      <c r="W38" s="4" t="s">
        <v>56</v>
      </c>
      <c r="X38" s="5">
        <v>300</v>
      </c>
      <c r="Y38" s="5">
        <v>300</v>
      </c>
      <c r="Z38" s="5">
        <v>300</v>
      </c>
      <c r="AA38" s="4"/>
    </row>
    <row r="39" spans="1:27" ht="12.75" customHeight="1" x14ac:dyDescent="0.25">
      <c r="A39" s="4" t="s">
        <v>27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32</v>
      </c>
      <c r="G39" s="4" t="s">
        <v>68</v>
      </c>
      <c r="H39" s="4" t="s">
        <v>77</v>
      </c>
      <c r="I39" s="4" t="s">
        <v>78</v>
      </c>
      <c r="J39" s="4" t="s">
        <v>89</v>
      </c>
      <c r="K39" s="4" t="s">
        <v>90</v>
      </c>
      <c r="L39" s="4" t="s">
        <v>38</v>
      </c>
      <c r="M39" s="4" t="s">
        <v>39</v>
      </c>
      <c r="N39" s="5">
        <v>-290.27</v>
      </c>
      <c r="O39" s="5">
        <v>-290.27</v>
      </c>
      <c r="P39" s="4" t="s">
        <v>82</v>
      </c>
      <c r="Q39" s="4" t="s">
        <v>41</v>
      </c>
      <c r="R39" s="4" t="s">
        <v>93</v>
      </c>
      <c r="S39" s="4" t="s">
        <v>43</v>
      </c>
      <c r="T39" s="5">
        <v>50</v>
      </c>
      <c r="U39" s="4" t="s">
        <v>44</v>
      </c>
      <c r="V39" s="4" t="s">
        <v>55</v>
      </c>
      <c r="W39" s="4" t="s">
        <v>56</v>
      </c>
      <c r="X39" s="5">
        <v>350</v>
      </c>
      <c r="Y39" s="5">
        <v>350</v>
      </c>
      <c r="Z39" s="5">
        <v>350</v>
      </c>
      <c r="AA39" s="4"/>
    </row>
    <row r="40" spans="1:27" ht="12.75" customHeight="1" x14ac:dyDescent="0.25">
      <c r="A40" s="4" t="s">
        <v>27</v>
      </c>
      <c r="B40" s="4" t="s">
        <v>28</v>
      </c>
      <c r="C40" s="4" t="s">
        <v>29</v>
      </c>
      <c r="D40" s="4" t="s">
        <v>30</v>
      </c>
      <c r="E40" s="4" t="s">
        <v>31</v>
      </c>
      <c r="F40" s="4" t="s">
        <v>32</v>
      </c>
      <c r="G40" s="4" t="s">
        <v>68</v>
      </c>
      <c r="H40" s="4" t="s">
        <v>34</v>
      </c>
      <c r="I40" s="4" t="s">
        <v>35</v>
      </c>
      <c r="J40" s="4" t="s">
        <v>36</v>
      </c>
      <c r="K40" s="4" t="s">
        <v>37</v>
      </c>
      <c r="L40" s="4" t="s">
        <v>38</v>
      </c>
      <c r="M40" s="4" t="s">
        <v>66</v>
      </c>
      <c r="N40" s="5">
        <v>3252.15</v>
      </c>
      <c r="O40" s="5">
        <v>3252.15</v>
      </c>
      <c r="P40" s="4" t="s">
        <v>92</v>
      </c>
      <c r="Q40" s="4" t="s">
        <v>41</v>
      </c>
      <c r="R40" s="4" t="s">
        <v>42</v>
      </c>
      <c r="S40" s="4" t="s">
        <v>43</v>
      </c>
      <c r="T40" s="5">
        <v>31</v>
      </c>
      <c r="U40" s="4" t="s">
        <v>44</v>
      </c>
      <c r="V40" s="4" t="s">
        <v>45</v>
      </c>
      <c r="W40" s="4" t="s">
        <v>46</v>
      </c>
      <c r="X40" s="4"/>
      <c r="Y40" s="4"/>
      <c r="Z40" s="5">
        <v>186</v>
      </c>
      <c r="AA40" s="4"/>
    </row>
    <row r="41" spans="1:27" ht="12.75" customHeight="1" x14ac:dyDescent="0.25">
      <c r="A41" s="4" t="s">
        <v>27</v>
      </c>
      <c r="B41" s="4" t="s">
        <v>28</v>
      </c>
      <c r="C41" s="4" t="s">
        <v>29</v>
      </c>
      <c r="D41" s="4" t="s">
        <v>30</v>
      </c>
      <c r="E41" s="4" t="s">
        <v>31</v>
      </c>
      <c r="F41" s="4" t="s">
        <v>32</v>
      </c>
      <c r="G41" s="4" t="s">
        <v>68</v>
      </c>
      <c r="H41" s="4" t="s">
        <v>34</v>
      </c>
      <c r="I41" s="4" t="s">
        <v>35</v>
      </c>
      <c r="J41" s="4" t="s">
        <v>36</v>
      </c>
      <c r="K41" s="4" t="s">
        <v>37</v>
      </c>
      <c r="L41" s="4" t="s">
        <v>38</v>
      </c>
      <c r="M41" s="4" t="s">
        <v>66</v>
      </c>
      <c r="N41" s="5">
        <v>4339.66</v>
      </c>
      <c r="O41" s="5">
        <v>4339.66</v>
      </c>
      <c r="P41" s="4" t="s">
        <v>95</v>
      </c>
      <c r="Q41" s="4" t="s">
        <v>41</v>
      </c>
      <c r="R41" s="4" t="s">
        <v>42</v>
      </c>
      <c r="S41" s="4" t="s">
        <v>43</v>
      </c>
      <c r="T41" s="5">
        <v>31</v>
      </c>
      <c r="U41" s="4" t="s">
        <v>44</v>
      </c>
      <c r="V41" s="4" t="s">
        <v>45</v>
      </c>
      <c r="W41" s="4" t="s">
        <v>46</v>
      </c>
      <c r="X41" s="4"/>
      <c r="Y41" s="4"/>
      <c r="Z41" s="5">
        <v>155</v>
      </c>
      <c r="AA41" s="4"/>
    </row>
    <row r="42" spans="1:27" ht="12.75" customHeight="1" x14ac:dyDescent="0.25">
      <c r="A42" s="4" t="s">
        <v>27</v>
      </c>
      <c r="B42" s="4" t="s">
        <v>28</v>
      </c>
      <c r="C42" s="4" t="s">
        <v>29</v>
      </c>
      <c r="D42" s="4" t="s">
        <v>30</v>
      </c>
      <c r="E42" s="4" t="s">
        <v>31</v>
      </c>
      <c r="F42" s="4" t="s">
        <v>32</v>
      </c>
      <c r="G42" s="4" t="s">
        <v>68</v>
      </c>
      <c r="H42" s="4" t="s">
        <v>34</v>
      </c>
      <c r="I42" s="4" t="s">
        <v>35</v>
      </c>
      <c r="J42" s="4" t="s">
        <v>36</v>
      </c>
      <c r="K42" s="4" t="s">
        <v>37</v>
      </c>
      <c r="L42" s="4" t="s">
        <v>38</v>
      </c>
      <c r="M42" s="4" t="s">
        <v>66</v>
      </c>
      <c r="N42" s="5">
        <v>8687.5499999999993</v>
      </c>
      <c r="O42" s="5">
        <v>8687.5499999999993</v>
      </c>
      <c r="P42" s="4" t="s">
        <v>96</v>
      </c>
      <c r="Q42" s="4" t="s">
        <v>41</v>
      </c>
      <c r="R42" s="4" t="s">
        <v>42</v>
      </c>
      <c r="S42" s="4" t="s">
        <v>43</v>
      </c>
      <c r="T42" s="5">
        <v>31</v>
      </c>
      <c r="U42" s="4" t="s">
        <v>44</v>
      </c>
      <c r="V42" s="4" t="s">
        <v>45</v>
      </c>
      <c r="W42" s="4" t="s">
        <v>46</v>
      </c>
      <c r="X42" s="4"/>
      <c r="Y42" s="4"/>
      <c r="Z42" s="5">
        <v>310</v>
      </c>
      <c r="AA42" s="4"/>
    </row>
    <row r="43" spans="1:27" ht="12.75" customHeight="1" x14ac:dyDescent="0.2"/>
    <row r="44" spans="1:27" ht="12.75" customHeight="1" x14ac:dyDescent="0.2"/>
    <row r="45" spans="1:27" ht="12.75" customHeight="1" x14ac:dyDescent="0.2"/>
    <row r="46" spans="1:27" ht="12.75" customHeight="1" x14ac:dyDescent="0.2"/>
    <row r="47" spans="1:27" ht="12.75" customHeight="1" x14ac:dyDescent="0.2"/>
    <row r="48" spans="1:2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topLeftCell="A8" workbookViewId="0">
      <selection activeCell="E31" sqref="E31"/>
    </sheetView>
  </sheetViews>
  <sheetFormatPr defaultColWidth="12.5703125" defaultRowHeight="15" customHeight="1" x14ac:dyDescent="0.2"/>
  <cols>
    <col min="1" max="1" width="11" customWidth="1"/>
    <col min="2" max="2" width="16.7109375" customWidth="1"/>
    <col min="3" max="3" width="30.42578125" customWidth="1"/>
    <col min="4" max="5" width="13.85546875" customWidth="1"/>
    <col min="6" max="6" width="22.42578125" bestFit="1" customWidth="1"/>
    <col min="7" max="7" width="24.28515625" customWidth="1"/>
    <col min="8" max="8" width="8.140625" customWidth="1"/>
    <col min="9" max="9" width="14.85546875" customWidth="1"/>
    <col min="10" max="10" width="28.140625" bestFit="1" customWidth="1"/>
    <col min="11" max="11" width="13.42578125" customWidth="1"/>
    <col min="12" max="12" width="14" customWidth="1"/>
    <col min="13" max="13" width="8.42578125" customWidth="1"/>
    <col min="14" max="14" width="9" customWidth="1"/>
    <col min="15" max="15" width="8.7109375" customWidth="1"/>
    <col min="16" max="16" width="11.85546875" customWidth="1"/>
    <col min="17" max="17" width="13.5703125" customWidth="1"/>
    <col min="18" max="18" width="47.42578125" bestFit="1" customWidth="1"/>
    <col min="19" max="19" width="8" customWidth="1"/>
    <col min="20" max="28" width="8.5703125" customWidth="1"/>
  </cols>
  <sheetData>
    <row r="1" spans="1:28" ht="12.75" customHeight="1" x14ac:dyDescent="0.35">
      <c r="A1" s="1" t="s">
        <v>6</v>
      </c>
      <c r="B1" s="1" t="s">
        <v>7</v>
      </c>
      <c r="C1" s="1" t="s">
        <v>8</v>
      </c>
      <c r="D1" s="1" t="s">
        <v>9</v>
      </c>
      <c r="E1" s="1"/>
      <c r="F1" s="1" t="s">
        <v>25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19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28" ht="12.75" customHeight="1" x14ac:dyDescent="0.25">
      <c r="A2" s="6" t="s">
        <v>68</v>
      </c>
      <c r="B2" s="7">
        <v>16509456</v>
      </c>
      <c r="C2" s="6" t="s">
        <v>78</v>
      </c>
      <c r="D2" s="7">
        <v>1498389</v>
      </c>
      <c r="E2" s="7" t="str">
        <f>CONCATENATE(D2,1)</f>
        <v>14983891</v>
      </c>
      <c r="F2" s="8">
        <v>122.19</v>
      </c>
      <c r="G2" s="6" t="s">
        <v>80</v>
      </c>
      <c r="H2" s="6" t="s">
        <v>81</v>
      </c>
      <c r="I2" s="6" t="s">
        <v>66</v>
      </c>
      <c r="J2" s="8">
        <v>1221.94</v>
      </c>
      <c r="K2" s="8">
        <v>1221.94</v>
      </c>
      <c r="L2" s="7"/>
      <c r="M2" s="6" t="s">
        <v>74</v>
      </c>
      <c r="N2" s="6" t="s">
        <v>84</v>
      </c>
      <c r="O2" s="6" t="s">
        <v>45</v>
      </c>
      <c r="P2" s="6" t="s">
        <v>46</v>
      </c>
      <c r="Q2" s="6"/>
      <c r="R2" s="6"/>
      <c r="S2" s="9" t="s">
        <v>97</v>
      </c>
      <c r="T2" s="9"/>
      <c r="U2" s="9"/>
      <c r="V2" s="9"/>
      <c r="W2" s="9"/>
      <c r="X2" s="9"/>
      <c r="Y2" s="9"/>
      <c r="Z2" s="9"/>
      <c r="AA2" s="9"/>
      <c r="AB2" s="9"/>
    </row>
    <row r="3" spans="1:28" ht="12.75" customHeight="1" x14ac:dyDescent="0.25">
      <c r="A3" s="6" t="s">
        <v>68</v>
      </c>
      <c r="B3" s="7">
        <v>16509456</v>
      </c>
      <c r="C3" s="6" t="s">
        <v>78</v>
      </c>
      <c r="D3" s="7">
        <v>1498389</v>
      </c>
      <c r="E3" s="7" t="str">
        <f t="shared" ref="E3:E4" si="0">CONCATENATE(D3,1)</f>
        <v>14983891</v>
      </c>
      <c r="F3" s="8">
        <v>10.57</v>
      </c>
      <c r="G3" s="6" t="s">
        <v>80</v>
      </c>
      <c r="H3" s="6" t="s">
        <v>86</v>
      </c>
      <c r="I3" s="6" t="s">
        <v>66</v>
      </c>
      <c r="J3" s="8">
        <v>105.68</v>
      </c>
      <c r="K3" s="8">
        <v>105.68</v>
      </c>
      <c r="L3" s="7"/>
      <c r="M3" s="6" t="s">
        <v>74</v>
      </c>
      <c r="N3" s="6" t="s">
        <v>84</v>
      </c>
      <c r="O3" s="6" t="s">
        <v>45</v>
      </c>
      <c r="P3" s="6" t="s">
        <v>46</v>
      </c>
      <c r="Q3" s="6"/>
      <c r="R3" s="6"/>
      <c r="S3" s="9" t="s">
        <v>97</v>
      </c>
      <c r="T3" s="9"/>
      <c r="U3" s="9"/>
      <c r="V3" s="9"/>
      <c r="W3" s="9"/>
      <c r="X3" s="9"/>
      <c r="Y3" s="9"/>
      <c r="Z3" s="9"/>
      <c r="AA3" s="9"/>
      <c r="AB3" s="9"/>
    </row>
    <row r="4" spans="1:28" ht="12.75" customHeight="1" x14ac:dyDescent="0.25">
      <c r="A4" s="6" t="s">
        <v>68</v>
      </c>
      <c r="B4" s="7">
        <v>16509456</v>
      </c>
      <c r="C4" s="6" t="s">
        <v>78</v>
      </c>
      <c r="D4" s="7">
        <v>1614180</v>
      </c>
      <c r="E4" s="7" t="str">
        <f t="shared" si="0"/>
        <v>16141801</v>
      </c>
      <c r="F4" s="8">
        <v>7.47</v>
      </c>
      <c r="G4" s="6" t="s">
        <v>88</v>
      </c>
      <c r="H4" s="6" t="s">
        <v>81</v>
      </c>
      <c r="I4" s="6" t="s">
        <v>66</v>
      </c>
      <c r="J4" s="8">
        <v>74.680000000000007</v>
      </c>
      <c r="K4" s="8">
        <v>74.680000000000007</v>
      </c>
      <c r="L4" s="7"/>
      <c r="M4" s="6" t="s">
        <v>74</v>
      </c>
      <c r="N4" s="6" t="s">
        <v>84</v>
      </c>
      <c r="O4" s="6" t="s">
        <v>45</v>
      </c>
      <c r="P4" s="6" t="s">
        <v>46</v>
      </c>
      <c r="Q4" s="6"/>
      <c r="R4" s="6"/>
      <c r="S4" s="9" t="s">
        <v>97</v>
      </c>
      <c r="T4" s="9"/>
      <c r="U4" s="9"/>
      <c r="V4" s="9"/>
      <c r="W4" s="9"/>
      <c r="X4" s="9"/>
      <c r="Y4" s="9"/>
      <c r="Z4" s="9"/>
      <c r="AA4" s="9"/>
      <c r="AB4" s="9"/>
    </row>
    <row r="5" spans="1:28" ht="12.75" customHeight="1" x14ac:dyDescent="0.25">
      <c r="A5" s="6" t="s">
        <v>68</v>
      </c>
      <c r="B5" s="7">
        <v>18754354</v>
      </c>
      <c r="C5" s="6" t="s">
        <v>35</v>
      </c>
      <c r="D5" s="7">
        <v>1677591</v>
      </c>
      <c r="E5" s="7" t="str">
        <f>CONCATENATE(D5,4)</f>
        <v>16775914</v>
      </c>
      <c r="F5" s="8">
        <v>186</v>
      </c>
      <c r="G5" s="6" t="s">
        <v>37</v>
      </c>
      <c r="H5" s="6" t="s">
        <v>38</v>
      </c>
      <c r="I5" s="6" t="s">
        <v>66</v>
      </c>
      <c r="J5" s="8">
        <v>3252.15</v>
      </c>
      <c r="K5" s="8">
        <v>1</v>
      </c>
      <c r="L5" s="7" t="s">
        <v>110</v>
      </c>
      <c r="M5" s="6" t="s">
        <v>42</v>
      </c>
      <c r="N5" s="8">
        <v>31</v>
      </c>
      <c r="O5" s="6" t="s">
        <v>45</v>
      </c>
      <c r="P5" s="6" t="s">
        <v>46</v>
      </c>
      <c r="Q5" s="6"/>
      <c r="R5" s="6"/>
      <c r="S5" s="9" t="s">
        <v>98</v>
      </c>
      <c r="T5" s="9"/>
      <c r="U5" s="9"/>
      <c r="V5" s="9"/>
      <c r="W5" s="9"/>
      <c r="X5" s="9"/>
      <c r="Y5" s="9"/>
      <c r="Z5" s="9"/>
      <c r="AA5" s="9"/>
      <c r="AB5" s="9"/>
    </row>
    <row r="6" spans="1:28" ht="12.75" customHeight="1" x14ac:dyDescent="0.25">
      <c r="A6" s="6" t="s">
        <v>68</v>
      </c>
      <c r="B6" s="7">
        <v>18754354</v>
      </c>
      <c r="C6" s="6" t="s">
        <v>35</v>
      </c>
      <c r="D6" s="7">
        <v>1677591</v>
      </c>
      <c r="E6" s="7" t="str">
        <f t="shared" ref="E6:E7" si="1">CONCATENATE(D6,4)</f>
        <v>16775914</v>
      </c>
      <c r="F6" s="8">
        <v>155</v>
      </c>
      <c r="G6" s="6" t="s">
        <v>37</v>
      </c>
      <c r="H6" s="6" t="s">
        <v>38</v>
      </c>
      <c r="I6" s="6" t="s">
        <v>66</v>
      </c>
      <c r="J6" s="8">
        <v>4339.66</v>
      </c>
      <c r="K6" s="8">
        <v>1</v>
      </c>
      <c r="L6" s="7" t="s">
        <v>108</v>
      </c>
      <c r="M6" s="6" t="s">
        <v>42</v>
      </c>
      <c r="N6" s="8">
        <v>31</v>
      </c>
      <c r="O6" s="6" t="s">
        <v>45</v>
      </c>
      <c r="P6" s="6" t="s">
        <v>46</v>
      </c>
      <c r="Q6" s="6"/>
      <c r="R6" s="6"/>
      <c r="S6" s="9" t="s">
        <v>98</v>
      </c>
      <c r="T6" s="9"/>
      <c r="U6" s="9"/>
      <c r="V6" s="9"/>
      <c r="W6" s="9"/>
      <c r="X6" s="9"/>
      <c r="Y6" s="9"/>
      <c r="Z6" s="9"/>
      <c r="AA6" s="9"/>
      <c r="AB6" s="9"/>
    </row>
    <row r="7" spans="1:28" ht="12.75" customHeight="1" x14ac:dyDescent="0.25">
      <c r="A7" s="6" t="s">
        <v>68</v>
      </c>
      <c r="B7" s="7">
        <v>18754354</v>
      </c>
      <c r="C7" s="6" t="s">
        <v>35</v>
      </c>
      <c r="D7" s="7">
        <v>1677591</v>
      </c>
      <c r="E7" s="7" t="str">
        <f t="shared" si="1"/>
        <v>16775914</v>
      </c>
      <c r="F7" s="8">
        <v>310</v>
      </c>
      <c r="G7" s="6" t="s">
        <v>37</v>
      </c>
      <c r="H7" s="6" t="s">
        <v>38</v>
      </c>
      <c r="I7" s="6" t="s">
        <v>66</v>
      </c>
      <c r="J7" s="8">
        <v>8687.5499999999993</v>
      </c>
      <c r="K7" s="8">
        <v>1</v>
      </c>
      <c r="L7" s="7" t="s">
        <v>113</v>
      </c>
      <c r="M7" s="6" t="s">
        <v>42</v>
      </c>
      <c r="N7" s="8">
        <v>31</v>
      </c>
      <c r="O7" s="6" t="s">
        <v>45</v>
      </c>
      <c r="P7" s="6" t="s">
        <v>46</v>
      </c>
      <c r="Q7" s="6"/>
      <c r="R7" s="6"/>
      <c r="S7" s="9" t="s">
        <v>98</v>
      </c>
      <c r="T7" s="9"/>
      <c r="U7" s="9"/>
      <c r="V7" s="9"/>
      <c r="W7" s="9"/>
      <c r="X7" s="9"/>
      <c r="Y7" s="9"/>
      <c r="Z7" s="9"/>
      <c r="AA7" s="9"/>
      <c r="AB7" s="9"/>
    </row>
    <row r="8" spans="1:28" ht="12.75" customHeight="1" x14ac:dyDescent="0.25">
      <c r="A8" s="2" t="s">
        <v>33</v>
      </c>
      <c r="B8" s="10">
        <v>18754354</v>
      </c>
      <c r="C8" s="2" t="s">
        <v>35</v>
      </c>
      <c r="D8" s="10">
        <v>1677591</v>
      </c>
      <c r="E8" s="7" t="str">
        <f>CONCATENATE(D8,3)</f>
        <v>16775913</v>
      </c>
      <c r="F8" s="3">
        <v>68</v>
      </c>
      <c r="G8" s="2" t="s">
        <v>37</v>
      </c>
      <c r="H8" s="2" t="s">
        <v>38</v>
      </c>
      <c r="I8" s="2" t="s">
        <v>39</v>
      </c>
      <c r="J8" s="3">
        <v>1096.44</v>
      </c>
      <c r="K8" s="8">
        <v>1</v>
      </c>
      <c r="L8" s="10" t="s">
        <v>107</v>
      </c>
      <c r="M8" s="2" t="s">
        <v>42</v>
      </c>
      <c r="N8" s="3">
        <v>34</v>
      </c>
      <c r="O8" s="2" t="s">
        <v>45</v>
      </c>
      <c r="P8" s="2" t="s">
        <v>46</v>
      </c>
      <c r="Q8" s="2"/>
      <c r="R8" s="2"/>
      <c r="S8" s="11" t="s">
        <v>98</v>
      </c>
    </row>
    <row r="9" spans="1:28" ht="12.75" customHeight="1" x14ac:dyDescent="0.25">
      <c r="A9" s="2" t="s">
        <v>68</v>
      </c>
      <c r="B9" s="10">
        <v>15278437</v>
      </c>
      <c r="C9" s="2" t="s">
        <v>70</v>
      </c>
      <c r="D9" s="10">
        <v>1500970</v>
      </c>
      <c r="E9" s="7" t="str">
        <f>CONCATENATE(D9,2)</f>
        <v>15009702</v>
      </c>
      <c r="F9" s="3">
        <v>164</v>
      </c>
      <c r="G9" s="2" t="s">
        <v>72</v>
      </c>
      <c r="H9" s="2" t="s">
        <v>38</v>
      </c>
      <c r="I9" s="2" t="s">
        <v>66</v>
      </c>
      <c r="J9" s="3">
        <v>2099.41</v>
      </c>
      <c r="K9" s="8">
        <v>1</v>
      </c>
      <c r="L9" s="10" t="s">
        <v>109</v>
      </c>
      <c r="M9" s="2" t="s">
        <v>74</v>
      </c>
      <c r="N9" s="3">
        <v>41</v>
      </c>
      <c r="O9" s="2" t="s">
        <v>45</v>
      </c>
      <c r="P9" s="2" t="s">
        <v>46</v>
      </c>
      <c r="Q9" s="2"/>
      <c r="R9" s="2"/>
      <c r="S9" s="11" t="s">
        <v>99</v>
      </c>
    </row>
    <row r="10" spans="1:28" ht="12.75" customHeight="1" x14ac:dyDescent="0.25">
      <c r="A10" s="2" t="s">
        <v>68</v>
      </c>
      <c r="B10" s="10">
        <v>15278437</v>
      </c>
      <c r="C10" s="2" t="s">
        <v>70</v>
      </c>
      <c r="D10" s="10">
        <v>1452681</v>
      </c>
      <c r="E10" s="7" t="str">
        <f>CONCATENATE(D10,2)</f>
        <v>14526812</v>
      </c>
      <c r="F10" s="3">
        <v>82</v>
      </c>
      <c r="G10" s="2" t="s">
        <v>76</v>
      </c>
      <c r="H10" s="2" t="s">
        <v>38</v>
      </c>
      <c r="I10" s="2" t="s">
        <v>66</v>
      </c>
      <c r="J10" s="3">
        <v>2917.09</v>
      </c>
      <c r="K10" s="8">
        <v>1</v>
      </c>
      <c r="L10" s="10" t="s">
        <v>107</v>
      </c>
      <c r="M10" s="2" t="s">
        <v>74</v>
      </c>
      <c r="N10" s="3">
        <v>41</v>
      </c>
      <c r="O10" s="2" t="s">
        <v>45</v>
      </c>
      <c r="P10" s="2" t="s">
        <v>46</v>
      </c>
      <c r="Q10" s="2"/>
      <c r="R10" s="2"/>
      <c r="S10" s="11" t="s">
        <v>99</v>
      </c>
    </row>
    <row r="11" spans="1:28" ht="12.75" customHeight="1" x14ac:dyDescent="0.25">
      <c r="A11" s="6" t="s">
        <v>68</v>
      </c>
      <c r="B11" s="7">
        <v>16509456</v>
      </c>
      <c r="C11" s="6" t="s">
        <v>78</v>
      </c>
      <c r="D11" s="7">
        <v>1441727</v>
      </c>
      <c r="E11" s="7" t="str">
        <f>CONCATENATE(D11,3)</f>
        <v>14417273</v>
      </c>
      <c r="F11" s="8">
        <v>300</v>
      </c>
      <c r="G11" s="6" t="s">
        <v>90</v>
      </c>
      <c r="H11" s="6" t="s">
        <v>38</v>
      </c>
      <c r="I11" s="6" t="s">
        <v>91</v>
      </c>
      <c r="J11" s="8">
        <v>-300</v>
      </c>
      <c r="K11" s="8">
        <v>-300</v>
      </c>
      <c r="L11" s="7" t="s">
        <v>110</v>
      </c>
      <c r="M11" s="6" t="s">
        <v>93</v>
      </c>
      <c r="N11" s="8">
        <v>50</v>
      </c>
      <c r="O11" s="6" t="s">
        <v>55</v>
      </c>
      <c r="P11" s="6" t="s">
        <v>56</v>
      </c>
      <c r="Q11" s="8">
        <v>300</v>
      </c>
      <c r="R11" s="8">
        <v>300</v>
      </c>
      <c r="S11" s="9" t="s">
        <v>106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ht="12.75" customHeight="1" x14ac:dyDescent="0.25">
      <c r="A12" s="6" t="s">
        <v>68</v>
      </c>
      <c r="B12" s="7">
        <v>16509456</v>
      </c>
      <c r="C12" s="6" t="s">
        <v>78</v>
      </c>
      <c r="D12" s="7">
        <v>1441727</v>
      </c>
      <c r="E12" s="7" t="str">
        <f t="shared" ref="E12:E42" si="2">CONCATENATE(D12,3)</f>
        <v>14417273</v>
      </c>
      <c r="F12" s="8">
        <v>300</v>
      </c>
      <c r="G12" s="6" t="s">
        <v>90</v>
      </c>
      <c r="H12" s="6" t="s">
        <v>38</v>
      </c>
      <c r="I12" s="6" t="s">
        <v>94</v>
      </c>
      <c r="J12" s="8">
        <v>-300</v>
      </c>
      <c r="K12" s="8">
        <v>-300</v>
      </c>
      <c r="L12" s="7" t="s">
        <v>110</v>
      </c>
      <c r="M12" s="6" t="s">
        <v>93</v>
      </c>
      <c r="N12" s="8">
        <v>50</v>
      </c>
      <c r="O12" s="6" t="s">
        <v>55</v>
      </c>
      <c r="P12" s="6" t="s">
        <v>56</v>
      </c>
      <c r="Q12" s="8">
        <v>300</v>
      </c>
      <c r="R12" s="8">
        <v>300</v>
      </c>
      <c r="S12" s="9" t="s">
        <v>106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ht="12.75" customHeight="1" x14ac:dyDescent="0.25">
      <c r="A13" s="6" t="s">
        <v>68</v>
      </c>
      <c r="B13" s="7">
        <v>16509456</v>
      </c>
      <c r="C13" s="6" t="s">
        <v>78</v>
      </c>
      <c r="D13" s="7">
        <v>1441727</v>
      </c>
      <c r="E13" s="7" t="str">
        <f t="shared" si="2"/>
        <v>14417273</v>
      </c>
      <c r="F13" s="8">
        <v>300</v>
      </c>
      <c r="G13" s="6" t="s">
        <v>90</v>
      </c>
      <c r="H13" s="6" t="s">
        <v>38</v>
      </c>
      <c r="I13" s="6" t="s">
        <v>51</v>
      </c>
      <c r="J13" s="8">
        <v>-300</v>
      </c>
      <c r="K13" s="8">
        <v>-300</v>
      </c>
      <c r="L13" s="7" t="s">
        <v>110</v>
      </c>
      <c r="M13" s="6" t="s">
        <v>93</v>
      </c>
      <c r="N13" s="8">
        <v>50</v>
      </c>
      <c r="O13" s="6" t="s">
        <v>55</v>
      </c>
      <c r="P13" s="6" t="s">
        <v>56</v>
      </c>
      <c r="Q13" s="8">
        <v>300</v>
      </c>
      <c r="R13" s="8">
        <v>300</v>
      </c>
      <c r="S13" s="9" t="s">
        <v>106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ht="12.75" customHeight="1" x14ac:dyDescent="0.25">
      <c r="A14" s="6" t="s">
        <v>68</v>
      </c>
      <c r="B14" s="7">
        <v>16509456</v>
      </c>
      <c r="C14" s="6" t="s">
        <v>78</v>
      </c>
      <c r="D14" s="7">
        <v>1441727</v>
      </c>
      <c r="E14" s="7" t="str">
        <f t="shared" si="2"/>
        <v>14417273</v>
      </c>
      <c r="F14" s="8">
        <v>300</v>
      </c>
      <c r="G14" s="6" t="s">
        <v>90</v>
      </c>
      <c r="H14" s="6" t="s">
        <v>38</v>
      </c>
      <c r="I14" s="6" t="s">
        <v>58</v>
      </c>
      <c r="J14" s="8">
        <v>-300</v>
      </c>
      <c r="K14" s="8">
        <v>-300</v>
      </c>
      <c r="L14" s="7" t="s">
        <v>110</v>
      </c>
      <c r="M14" s="6" t="s">
        <v>93</v>
      </c>
      <c r="N14" s="8">
        <v>50</v>
      </c>
      <c r="O14" s="6" t="s">
        <v>55</v>
      </c>
      <c r="P14" s="6" t="s">
        <v>56</v>
      </c>
      <c r="Q14" s="8">
        <v>300</v>
      </c>
      <c r="R14" s="8">
        <v>300</v>
      </c>
      <c r="S14" s="9" t="s">
        <v>106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ht="12.75" customHeight="1" x14ac:dyDescent="0.25">
      <c r="A15" s="6" t="s">
        <v>68</v>
      </c>
      <c r="B15" s="7">
        <v>16509456</v>
      </c>
      <c r="C15" s="6" t="s">
        <v>78</v>
      </c>
      <c r="D15" s="7">
        <v>1441727</v>
      </c>
      <c r="E15" s="7" t="str">
        <f t="shared" si="2"/>
        <v>14417273</v>
      </c>
      <c r="F15" s="8">
        <v>300</v>
      </c>
      <c r="G15" s="6" t="s">
        <v>90</v>
      </c>
      <c r="H15" s="6" t="s">
        <v>38</v>
      </c>
      <c r="I15" s="6" t="s">
        <v>59</v>
      </c>
      <c r="J15" s="8">
        <v>-300</v>
      </c>
      <c r="K15" s="8">
        <v>-300</v>
      </c>
      <c r="L15" s="7" t="s">
        <v>110</v>
      </c>
      <c r="M15" s="6" t="s">
        <v>93</v>
      </c>
      <c r="N15" s="8">
        <v>50</v>
      </c>
      <c r="O15" s="6" t="s">
        <v>55</v>
      </c>
      <c r="P15" s="6" t="s">
        <v>56</v>
      </c>
      <c r="Q15" s="8">
        <v>300</v>
      </c>
      <c r="R15" s="8">
        <v>300</v>
      </c>
      <c r="S15" s="9" t="s">
        <v>106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ht="12.75" customHeight="1" x14ac:dyDescent="0.25">
      <c r="A16" s="6" t="s">
        <v>68</v>
      </c>
      <c r="B16" s="7">
        <v>16509456</v>
      </c>
      <c r="C16" s="6" t="s">
        <v>78</v>
      </c>
      <c r="D16" s="7">
        <v>1441727</v>
      </c>
      <c r="E16" s="7" t="str">
        <f t="shared" si="2"/>
        <v>14417273</v>
      </c>
      <c r="F16" s="8">
        <v>300</v>
      </c>
      <c r="G16" s="6" t="s">
        <v>90</v>
      </c>
      <c r="H16" s="6" t="s">
        <v>38</v>
      </c>
      <c r="I16" s="6" t="s">
        <v>60</v>
      </c>
      <c r="J16" s="8">
        <v>-300</v>
      </c>
      <c r="K16" s="8">
        <v>-300</v>
      </c>
      <c r="L16" s="7" t="s">
        <v>110</v>
      </c>
      <c r="M16" s="6" t="s">
        <v>93</v>
      </c>
      <c r="N16" s="8">
        <v>50</v>
      </c>
      <c r="O16" s="6" t="s">
        <v>55</v>
      </c>
      <c r="P16" s="6" t="s">
        <v>56</v>
      </c>
      <c r="Q16" s="8">
        <v>300</v>
      </c>
      <c r="R16" s="8">
        <v>300</v>
      </c>
      <c r="S16" s="9" t="s">
        <v>106</v>
      </c>
      <c r="T16" s="9"/>
      <c r="U16" s="9"/>
      <c r="V16" s="9"/>
      <c r="W16" s="9"/>
      <c r="X16" s="9"/>
      <c r="Y16" s="9"/>
      <c r="Z16" s="9"/>
      <c r="AA16" s="9"/>
      <c r="AB16" s="9"/>
    </row>
    <row r="17" spans="1:28" ht="12.75" customHeight="1" x14ac:dyDescent="0.25">
      <c r="A17" s="6" t="s">
        <v>68</v>
      </c>
      <c r="B17" s="7">
        <v>16509456</v>
      </c>
      <c r="C17" s="6" t="s">
        <v>78</v>
      </c>
      <c r="D17" s="7">
        <v>1441727</v>
      </c>
      <c r="E17" s="7" t="str">
        <f t="shared" si="2"/>
        <v>14417273</v>
      </c>
      <c r="F17" s="8">
        <v>300</v>
      </c>
      <c r="G17" s="6" t="s">
        <v>90</v>
      </c>
      <c r="H17" s="6" t="s">
        <v>38</v>
      </c>
      <c r="I17" s="6" t="s">
        <v>63</v>
      </c>
      <c r="J17" s="8">
        <v>-300</v>
      </c>
      <c r="K17" s="8">
        <v>-300</v>
      </c>
      <c r="L17" s="7" t="s">
        <v>110</v>
      </c>
      <c r="M17" s="6" t="s">
        <v>93</v>
      </c>
      <c r="N17" s="8">
        <v>50</v>
      </c>
      <c r="O17" s="6" t="s">
        <v>55</v>
      </c>
      <c r="P17" s="6" t="s">
        <v>56</v>
      </c>
      <c r="Q17" s="8">
        <v>300</v>
      </c>
      <c r="R17" s="8">
        <v>300</v>
      </c>
      <c r="S17" s="9" t="s">
        <v>106</v>
      </c>
      <c r="T17" s="9"/>
      <c r="U17" s="9"/>
      <c r="V17" s="9"/>
      <c r="W17" s="9"/>
      <c r="X17" s="9"/>
      <c r="Y17" s="9"/>
      <c r="Z17" s="9"/>
      <c r="AA17" s="9"/>
      <c r="AB17" s="9"/>
    </row>
    <row r="18" spans="1:28" ht="12.75" customHeight="1" x14ac:dyDescent="0.25">
      <c r="A18" s="6" t="s">
        <v>68</v>
      </c>
      <c r="B18" s="7">
        <v>16509456</v>
      </c>
      <c r="C18" s="6" t="s">
        <v>78</v>
      </c>
      <c r="D18" s="7">
        <v>1441727</v>
      </c>
      <c r="E18" s="7" t="str">
        <f t="shared" si="2"/>
        <v>14417273</v>
      </c>
      <c r="F18" s="8">
        <v>300</v>
      </c>
      <c r="G18" s="6" t="s">
        <v>90</v>
      </c>
      <c r="H18" s="6" t="s">
        <v>38</v>
      </c>
      <c r="I18" s="6" t="s">
        <v>64</v>
      </c>
      <c r="J18" s="8">
        <v>-300</v>
      </c>
      <c r="K18" s="8">
        <v>-300</v>
      </c>
      <c r="L18" s="7" t="s">
        <v>110</v>
      </c>
      <c r="M18" s="6" t="s">
        <v>93</v>
      </c>
      <c r="N18" s="8">
        <v>50</v>
      </c>
      <c r="O18" s="6" t="s">
        <v>55</v>
      </c>
      <c r="P18" s="6" t="s">
        <v>56</v>
      </c>
      <c r="Q18" s="8">
        <v>300</v>
      </c>
      <c r="R18" s="8">
        <v>300</v>
      </c>
      <c r="S18" s="9" t="s">
        <v>106</v>
      </c>
      <c r="T18" s="9"/>
      <c r="U18" s="9"/>
      <c r="V18" s="9"/>
      <c r="W18" s="9"/>
      <c r="X18" s="9"/>
      <c r="Y18" s="9"/>
      <c r="Z18" s="9"/>
      <c r="AA18" s="9"/>
      <c r="AB18" s="9"/>
    </row>
    <row r="19" spans="1:28" ht="12.75" customHeight="1" x14ac:dyDescent="0.25">
      <c r="A19" s="6" t="s">
        <v>68</v>
      </c>
      <c r="B19" s="7">
        <v>16509456</v>
      </c>
      <c r="C19" s="6" t="s">
        <v>78</v>
      </c>
      <c r="D19" s="7">
        <v>1441727</v>
      </c>
      <c r="E19" s="7" t="str">
        <f t="shared" si="2"/>
        <v>14417273</v>
      </c>
      <c r="F19" s="8">
        <v>300</v>
      </c>
      <c r="G19" s="6" t="s">
        <v>90</v>
      </c>
      <c r="H19" s="6" t="s">
        <v>38</v>
      </c>
      <c r="I19" s="6" t="s">
        <v>65</v>
      </c>
      <c r="J19" s="8">
        <v>-300</v>
      </c>
      <c r="K19" s="8">
        <v>-300</v>
      </c>
      <c r="L19" s="7" t="s">
        <v>110</v>
      </c>
      <c r="M19" s="6" t="s">
        <v>93</v>
      </c>
      <c r="N19" s="8">
        <v>50</v>
      </c>
      <c r="O19" s="6" t="s">
        <v>55</v>
      </c>
      <c r="P19" s="6" t="s">
        <v>56</v>
      </c>
      <c r="Q19" s="8">
        <v>300</v>
      </c>
      <c r="R19" s="8">
        <v>300</v>
      </c>
      <c r="S19" s="9" t="s">
        <v>106</v>
      </c>
      <c r="T19" s="9"/>
      <c r="U19" s="9"/>
      <c r="V19" s="9"/>
      <c r="W19" s="9"/>
      <c r="X19" s="9"/>
      <c r="Y19" s="9"/>
      <c r="Z19" s="9"/>
      <c r="AA19" s="9"/>
      <c r="AB19" s="9"/>
    </row>
    <row r="20" spans="1:28" ht="12.75" customHeight="1" x14ac:dyDescent="0.25">
      <c r="A20" s="6" t="s">
        <v>68</v>
      </c>
      <c r="B20" s="7">
        <v>16509456</v>
      </c>
      <c r="C20" s="6" t="s">
        <v>78</v>
      </c>
      <c r="D20" s="7">
        <v>1441727</v>
      </c>
      <c r="E20" s="7" t="str">
        <f t="shared" si="2"/>
        <v>14417273</v>
      </c>
      <c r="F20" s="8">
        <v>350</v>
      </c>
      <c r="G20" s="6" t="s">
        <v>90</v>
      </c>
      <c r="H20" s="6" t="s">
        <v>38</v>
      </c>
      <c r="I20" s="6" t="s">
        <v>39</v>
      </c>
      <c r="J20" s="8">
        <v>-290.27</v>
      </c>
      <c r="K20" s="8">
        <v>-290.27</v>
      </c>
      <c r="L20" s="7" t="s">
        <v>112</v>
      </c>
      <c r="M20" s="6" t="s">
        <v>93</v>
      </c>
      <c r="N20" s="8">
        <v>50</v>
      </c>
      <c r="O20" s="6" t="s">
        <v>55</v>
      </c>
      <c r="P20" s="6" t="s">
        <v>56</v>
      </c>
      <c r="Q20" s="8">
        <v>350</v>
      </c>
      <c r="R20" s="8">
        <v>350</v>
      </c>
      <c r="S20" s="9" t="s">
        <v>106</v>
      </c>
      <c r="T20" s="9"/>
      <c r="U20" s="9"/>
      <c r="V20" s="9"/>
      <c r="W20" s="9"/>
      <c r="X20" s="9"/>
      <c r="Y20" s="9"/>
      <c r="Z20" s="9"/>
      <c r="AA20" s="9"/>
      <c r="AB20" s="9"/>
    </row>
    <row r="21" spans="1:28" ht="12.75" customHeight="1" x14ac:dyDescent="0.25">
      <c r="A21" s="2" t="s">
        <v>33</v>
      </c>
      <c r="B21" s="10">
        <v>16633294</v>
      </c>
      <c r="C21" s="2" t="s">
        <v>48</v>
      </c>
      <c r="D21" s="10">
        <v>1719540</v>
      </c>
      <c r="E21" s="7" t="str">
        <f t="shared" si="2"/>
        <v>17195403</v>
      </c>
      <c r="F21" s="3">
        <v>-2475</v>
      </c>
      <c r="G21" s="2" t="s">
        <v>50</v>
      </c>
      <c r="H21" s="2" t="s">
        <v>38</v>
      </c>
      <c r="I21" s="2" t="s">
        <v>51</v>
      </c>
      <c r="J21" s="3">
        <v>-3135.49</v>
      </c>
      <c r="K21" s="3">
        <v>-1</v>
      </c>
      <c r="L21" s="10" t="s">
        <v>111</v>
      </c>
      <c r="M21" s="2" t="s">
        <v>54</v>
      </c>
      <c r="N21" s="3">
        <v>75</v>
      </c>
      <c r="O21" s="2" t="s">
        <v>55</v>
      </c>
      <c r="P21" s="2" t="s">
        <v>56</v>
      </c>
      <c r="Q21" s="3">
        <v>-2475</v>
      </c>
      <c r="R21" s="3">
        <v>-2475</v>
      </c>
      <c r="S21" s="11" t="s">
        <v>100</v>
      </c>
    </row>
    <row r="22" spans="1:28" ht="12.75" customHeight="1" x14ac:dyDescent="0.25">
      <c r="A22" s="2" t="s">
        <v>33</v>
      </c>
      <c r="B22" s="10">
        <v>16633294</v>
      </c>
      <c r="C22" s="2" t="s">
        <v>48</v>
      </c>
      <c r="D22" s="10">
        <v>1719540</v>
      </c>
      <c r="E22" s="7" t="str">
        <f t="shared" si="2"/>
        <v>17195403</v>
      </c>
      <c r="F22" s="3">
        <v>2475</v>
      </c>
      <c r="G22" s="2" t="s">
        <v>50</v>
      </c>
      <c r="H22" s="2" t="s">
        <v>38</v>
      </c>
      <c r="I22" s="2" t="s">
        <v>51</v>
      </c>
      <c r="J22" s="3">
        <v>3135.49</v>
      </c>
      <c r="K22" s="8">
        <v>1</v>
      </c>
      <c r="L22" s="10" t="s">
        <v>111</v>
      </c>
      <c r="M22" s="2" t="s">
        <v>54</v>
      </c>
      <c r="N22" s="3">
        <v>75</v>
      </c>
      <c r="O22" s="2" t="s">
        <v>55</v>
      </c>
      <c r="P22" s="2" t="s">
        <v>56</v>
      </c>
      <c r="Q22" s="3">
        <v>2475</v>
      </c>
      <c r="R22" s="3">
        <v>2475</v>
      </c>
      <c r="S22" s="11" t="s">
        <v>100</v>
      </c>
    </row>
    <row r="23" spans="1:28" ht="12.75" customHeight="1" x14ac:dyDescent="0.25">
      <c r="A23" s="2" t="s">
        <v>33</v>
      </c>
      <c r="B23" s="10">
        <v>16633294</v>
      </c>
      <c r="C23" s="2" t="s">
        <v>48</v>
      </c>
      <c r="D23" s="10">
        <v>1719540</v>
      </c>
      <c r="E23" s="7" t="str">
        <f t="shared" si="2"/>
        <v>17195403</v>
      </c>
      <c r="F23" s="3">
        <v>-2475</v>
      </c>
      <c r="G23" s="2" t="s">
        <v>50</v>
      </c>
      <c r="H23" s="2" t="s">
        <v>38</v>
      </c>
      <c r="I23" s="2" t="s">
        <v>58</v>
      </c>
      <c r="J23" s="3">
        <v>-3135.49</v>
      </c>
      <c r="K23" s="3">
        <v>-1</v>
      </c>
      <c r="L23" s="10" t="s">
        <v>111</v>
      </c>
      <c r="M23" s="2" t="s">
        <v>54</v>
      </c>
      <c r="N23" s="3">
        <v>75</v>
      </c>
      <c r="O23" s="2" t="s">
        <v>55</v>
      </c>
      <c r="P23" s="2" t="s">
        <v>56</v>
      </c>
      <c r="Q23" s="3">
        <v>-2475</v>
      </c>
      <c r="R23" s="3">
        <v>-2475</v>
      </c>
      <c r="S23" s="11" t="s">
        <v>100</v>
      </c>
    </row>
    <row r="24" spans="1:28" ht="12.75" customHeight="1" x14ac:dyDescent="0.25">
      <c r="A24" s="2" t="s">
        <v>33</v>
      </c>
      <c r="B24" s="10">
        <v>16633294</v>
      </c>
      <c r="C24" s="2" t="s">
        <v>48</v>
      </c>
      <c r="D24" s="10">
        <v>1719540</v>
      </c>
      <c r="E24" s="7" t="str">
        <f t="shared" si="2"/>
        <v>17195403</v>
      </c>
      <c r="F24" s="3">
        <v>2475</v>
      </c>
      <c r="G24" s="2" t="s">
        <v>50</v>
      </c>
      <c r="H24" s="2" t="s">
        <v>38</v>
      </c>
      <c r="I24" s="2" t="s">
        <v>58</v>
      </c>
      <c r="J24" s="3">
        <v>3135.49</v>
      </c>
      <c r="K24" s="8">
        <v>1</v>
      </c>
      <c r="L24" s="10" t="s">
        <v>111</v>
      </c>
      <c r="M24" s="2" t="s">
        <v>54</v>
      </c>
      <c r="N24" s="3">
        <v>75</v>
      </c>
      <c r="O24" s="2" t="s">
        <v>55</v>
      </c>
      <c r="P24" s="2" t="s">
        <v>56</v>
      </c>
      <c r="Q24" s="3">
        <v>2475</v>
      </c>
      <c r="R24" s="3">
        <v>2475</v>
      </c>
      <c r="S24" s="11" t="s">
        <v>100</v>
      </c>
    </row>
    <row r="25" spans="1:28" ht="12.75" customHeight="1" x14ac:dyDescent="0.25">
      <c r="A25" s="2" t="s">
        <v>33</v>
      </c>
      <c r="B25" s="10">
        <v>16633294</v>
      </c>
      <c r="C25" s="2" t="s">
        <v>48</v>
      </c>
      <c r="D25" s="10">
        <v>1719540</v>
      </c>
      <c r="E25" s="7" t="str">
        <f t="shared" si="2"/>
        <v>17195403</v>
      </c>
      <c r="F25" s="3">
        <v>-2475</v>
      </c>
      <c r="G25" s="2" t="s">
        <v>50</v>
      </c>
      <c r="H25" s="2" t="s">
        <v>38</v>
      </c>
      <c r="I25" s="2" t="s">
        <v>59</v>
      </c>
      <c r="J25" s="3">
        <v>-3135.49</v>
      </c>
      <c r="K25" s="3">
        <v>-1</v>
      </c>
      <c r="L25" s="10" t="s">
        <v>111</v>
      </c>
      <c r="M25" s="2" t="s">
        <v>54</v>
      </c>
      <c r="N25" s="3">
        <v>75</v>
      </c>
      <c r="O25" s="2" t="s">
        <v>55</v>
      </c>
      <c r="P25" s="2" t="s">
        <v>56</v>
      </c>
      <c r="Q25" s="3">
        <v>-2475</v>
      </c>
      <c r="R25" s="3">
        <v>-2475</v>
      </c>
      <c r="S25" s="11" t="s">
        <v>100</v>
      </c>
    </row>
    <row r="26" spans="1:28" ht="12.75" customHeight="1" x14ac:dyDescent="0.25">
      <c r="A26" s="2" t="s">
        <v>33</v>
      </c>
      <c r="B26" s="10">
        <v>16633294</v>
      </c>
      <c r="C26" s="2" t="s">
        <v>48</v>
      </c>
      <c r="D26" s="10">
        <v>1719540</v>
      </c>
      <c r="E26" s="7" t="str">
        <f t="shared" si="2"/>
        <v>17195403</v>
      </c>
      <c r="F26" s="3">
        <v>2475</v>
      </c>
      <c r="G26" s="2" t="s">
        <v>50</v>
      </c>
      <c r="H26" s="2" t="s">
        <v>38</v>
      </c>
      <c r="I26" s="2" t="s">
        <v>59</v>
      </c>
      <c r="J26" s="3">
        <v>3135.49</v>
      </c>
      <c r="K26" s="3">
        <v>3135.49</v>
      </c>
      <c r="L26" s="10" t="s">
        <v>111</v>
      </c>
      <c r="M26" s="2" t="s">
        <v>54</v>
      </c>
      <c r="N26" s="3">
        <v>75</v>
      </c>
      <c r="O26" s="2" t="s">
        <v>55</v>
      </c>
      <c r="P26" s="2" t="s">
        <v>56</v>
      </c>
      <c r="Q26" s="3">
        <v>2475</v>
      </c>
      <c r="R26" s="3">
        <v>2475</v>
      </c>
      <c r="S26" s="11" t="s">
        <v>100</v>
      </c>
    </row>
    <row r="27" spans="1:28" ht="12.75" customHeight="1" x14ac:dyDescent="0.25">
      <c r="A27" s="2" t="s">
        <v>33</v>
      </c>
      <c r="B27" s="10">
        <v>16633294</v>
      </c>
      <c r="C27" s="2" t="s">
        <v>48</v>
      </c>
      <c r="D27" s="10">
        <v>1719540</v>
      </c>
      <c r="E27" s="7" t="str">
        <f t="shared" si="2"/>
        <v>17195403</v>
      </c>
      <c r="F27" s="3">
        <v>-75</v>
      </c>
      <c r="G27" s="2" t="s">
        <v>50</v>
      </c>
      <c r="H27" s="2" t="s">
        <v>38</v>
      </c>
      <c r="I27" s="2" t="s">
        <v>60</v>
      </c>
      <c r="J27" s="3">
        <v>0</v>
      </c>
      <c r="K27" s="3">
        <v>-1</v>
      </c>
      <c r="L27" s="10"/>
      <c r="M27" s="2" t="s">
        <v>54</v>
      </c>
      <c r="N27" s="3">
        <v>75</v>
      </c>
      <c r="O27" s="2" t="s">
        <v>55</v>
      </c>
      <c r="P27" s="2" t="s">
        <v>56</v>
      </c>
      <c r="Q27" s="3">
        <v>-75</v>
      </c>
      <c r="R27" s="3">
        <v>-75</v>
      </c>
      <c r="S27" s="11" t="s">
        <v>100</v>
      </c>
    </row>
    <row r="28" spans="1:28" ht="12.75" customHeight="1" x14ac:dyDescent="0.25">
      <c r="A28" s="2" t="s">
        <v>33</v>
      </c>
      <c r="B28" s="10">
        <v>16633294</v>
      </c>
      <c r="C28" s="2" t="s">
        <v>48</v>
      </c>
      <c r="D28" s="10">
        <v>1719540</v>
      </c>
      <c r="E28" s="7" t="str">
        <f t="shared" si="2"/>
        <v>17195403</v>
      </c>
      <c r="F28" s="3">
        <v>-75</v>
      </c>
      <c r="G28" s="2" t="s">
        <v>50</v>
      </c>
      <c r="H28" s="2" t="s">
        <v>38</v>
      </c>
      <c r="I28" s="2" t="s">
        <v>60</v>
      </c>
      <c r="J28" s="3">
        <v>-3082.6</v>
      </c>
      <c r="K28" s="3">
        <v>-1</v>
      </c>
      <c r="L28" s="10"/>
      <c r="M28" s="2" t="s">
        <v>54</v>
      </c>
      <c r="N28" s="3">
        <v>75</v>
      </c>
      <c r="O28" s="2" t="s">
        <v>55</v>
      </c>
      <c r="P28" s="2" t="s">
        <v>56</v>
      </c>
      <c r="Q28" s="3">
        <v>-75</v>
      </c>
      <c r="R28" s="3">
        <v>-75</v>
      </c>
      <c r="S28" s="11" t="s">
        <v>100</v>
      </c>
    </row>
    <row r="29" spans="1:28" ht="12.75" customHeight="1" x14ac:dyDescent="0.25">
      <c r="A29" s="2" t="s">
        <v>33</v>
      </c>
      <c r="B29" s="10">
        <v>16633294</v>
      </c>
      <c r="C29" s="2" t="s">
        <v>48</v>
      </c>
      <c r="D29" s="10">
        <v>1719540</v>
      </c>
      <c r="E29" s="7" t="str">
        <f t="shared" si="2"/>
        <v>17195403</v>
      </c>
      <c r="F29" s="3">
        <v>75</v>
      </c>
      <c r="G29" s="2" t="s">
        <v>50</v>
      </c>
      <c r="H29" s="2" t="s">
        <v>38</v>
      </c>
      <c r="I29" s="2" t="s">
        <v>60</v>
      </c>
      <c r="J29" s="3">
        <v>-3082.6</v>
      </c>
      <c r="K29" s="3">
        <v>-1</v>
      </c>
      <c r="L29" s="10"/>
      <c r="M29" s="2" t="s">
        <v>54</v>
      </c>
      <c r="N29" s="3">
        <v>75</v>
      </c>
      <c r="O29" s="2" t="s">
        <v>55</v>
      </c>
      <c r="P29" s="2" t="s">
        <v>56</v>
      </c>
      <c r="Q29" s="3">
        <v>75</v>
      </c>
      <c r="R29" s="3">
        <v>75</v>
      </c>
      <c r="S29" s="11" t="s">
        <v>100</v>
      </c>
    </row>
    <row r="30" spans="1:28" ht="12.75" customHeight="1" x14ac:dyDescent="0.25">
      <c r="A30" s="2" t="s">
        <v>33</v>
      </c>
      <c r="B30" s="10">
        <v>16633294</v>
      </c>
      <c r="C30" s="2" t="s">
        <v>48</v>
      </c>
      <c r="D30" s="10">
        <v>1719540</v>
      </c>
      <c r="E30" s="7" t="str">
        <f t="shared" si="2"/>
        <v>17195403</v>
      </c>
      <c r="F30" s="3">
        <v>2475</v>
      </c>
      <c r="G30" s="2" t="s">
        <v>50</v>
      </c>
      <c r="H30" s="2" t="s">
        <v>38</v>
      </c>
      <c r="I30" s="2" t="s">
        <v>60</v>
      </c>
      <c r="J30" s="3">
        <v>3082.6</v>
      </c>
      <c r="K30" s="8">
        <v>1</v>
      </c>
      <c r="L30" s="10" t="s">
        <v>111</v>
      </c>
      <c r="M30" s="2" t="s">
        <v>54</v>
      </c>
      <c r="N30" s="3">
        <v>75</v>
      </c>
      <c r="O30" s="2" t="s">
        <v>55</v>
      </c>
      <c r="P30" s="2" t="s">
        <v>56</v>
      </c>
      <c r="Q30" s="3">
        <v>2475</v>
      </c>
      <c r="R30" s="3">
        <v>2475</v>
      </c>
      <c r="S30" s="11" t="s">
        <v>100</v>
      </c>
    </row>
    <row r="31" spans="1:28" ht="12.75" customHeight="1" x14ac:dyDescent="0.25">
      <c r="A31" s="2" t="s">
        <v>33</v>
      </c>
      <c r="B31" s="10">
        <v>16633294</v>
      </c>
      <c r="C31" s="2" t="s">
        <v>48</v>
      </c>
      <c r="D31" s="10">
        <v>1719540</v>
      </c>
      <c r="E31" s="7" t="str">
        <f t="shared" si="2"/>
        <v>17195403</v>
      </c>
      <c r="F31" s="3">
        <v>75</v>
      </c>
      <c r="G31" s="2" t="s">
        <v>50</v>
      </c>
      <c r="H31" s="2" t="s">
        <v>38</v>
      </c>
      <c r="I31" s="2" t="s">
        <v>60</v>
      </c>
      <c r="J31" s="3">
        <v>3082.6</v>
      </c>
      <c r="K31" s="8">
        <v>1</v>
      </c>
      <c r="L31" s="10"/>
      <c r="M31" s="2" t="s">
        <v>54</v>
      </c>
      <c r="N31" s="3">
        <v>75</v>
      </c>
      <c r="O31" s="2" t="s">
        <v>55</v>
      </c>
      <c r="P31" s="2" t="s">
        <v>56</v>
      </c>
      <c r="Q31" s="3">
        <v>75</v>
      </c>
      <c r="R31" s="3">
        <v>75</v>
      </c>
      <c r="S31" s="11" t="s">
        <v>100</v>
      </c>
    </row>
    <row r="32" spans="1:28" ht="12.75" customHeight="1" x14ac:dyDescent="0.25">
      <c r="A32" s="2" t="s">
        <v>33</v>
      </c>
      <c r="B32" s="10">
        <v>16633294</v>
      </c>
      <c r="C32" s="2" t="s">
        <v>48</v>
      </c>
      <c r="D32" s="10">
        <v>1719540</v>
      </c>
      <c r="E32" s="7" t="str">
        <f t="shared" si="2"/>
        <v>17195403</v>
      </c>
      <c r="F32" s="3">
        <v>-2475</v>
      </c>
      <c r="G32" s="2" t="s">
        <v>50</v>
      </c>
      <c r="H32" s="2" t="s">
        <v>38</v>
      </c>
      <c r="I32" s="2" t="s">
        <v>60</v>
      </c>
      <c r="J32" s="3">
        <v>-3082.6</v>
      </c>
      <c r="K32" s="3">
        <v>-1</v>
      </c>
      <c r="L32" s="10" t="s">
        <v>111</v>
      </c>
      <c r="M32" s="2" t="s">
        <v>54</v>
      </c>
      <c r="N32" s="3">
        <v>75</v>
      </c>
      <c r="O32" s="2" t="s">
        <v>55</v>
      </c>
      <c r="P32" s="2" t="s">
        <v>56</v>
      </c>
      <c r="Q32" s="3">
        <v>-2475</v>
      </c>
      <c r="R32" s="3">
        <v>-2475</v>
      </c>
      <c r="S32" s="11" t="s">
        <v>100</v>
      </c>
    </row>
    <row r="33" spans="1:19" ht="12.75" customHeight="1" x14ac:dyDescent="0.25">
      <c r="A33" s="2" t="s">
        <v>33</v>
      </c>
      <c r="B33" s="10">
        <v>16633294</v>
      </c>
      <c r="C33" s="2" t="s">
        <v>48</v>
      </c>
      <c r="D33" s="10">
        <v>1719540</v>
      </c>
      <c r="E33" s="7" t="str">
        <f t="shared" si="2"/>
        <v>17195403</v>
      </c>
      <c r="F33" s="3">
        <v>-2475</v>
      </c>
      <c r="G33" s="2" t="s">
        <v>50</v>
      </c>
      <c r="H33" s="2" t="s">
        <v>38</v>
      </c>
      <c r="I33" s="2" t="s">
        <v>63</v>
      </c>
      <c r="J33" s="3">
        <v>-3064.96</v>
      </c>
      <c r="K33" s="3">
        <v>-1</v>
      </c>
      <c r="L33" s="10" t="s">
        <v>111</v>
      </c>
      <c r="M33" s="2" t="s">
        <v>54</v>
      </c>
      <c r="N33" s="3">
        <v>75</v>
      </c>
      <c r="O33" s="2" t="s">
        <v>55</v>
      </c>
      <c r="P33" s="2" t="s">
        <v>56</v>
      </c>
      <c r="Q33" s="3">
        <v>-2475</v>
      </c>
      <c r="R33" s="3">
        <v>-2475</v>
      </c>
      <c r="S33" s="11" t="s">
        <v>100</v>
      </c>
    </row>
    <row r="34" spans="1:19" ht="12.75" customHeight="1" x14ac:dyDescent="0.25">
      <c r="A34" s="2" t="s">
        <v>33</v>
      </c>
      <c r="B34" s="10">
        <v>16633294</v>
      </c>
      <c r="C34" s="2" t="s">
        <v>48</v>
      </c>
      <c r="D34" s="10">
        <v>1719540</v>
      </c>
      <c r="E34" s="7" t="str">
        <f t="shared" si="2"/>
        <v>17195403</v>
      </c>
      <c r="F34" s="3">
        <v>2475</v>
      </c>
      <c r="G34" s="2" t="s">
        <v>50</v>
      </c>
      <c r="H34" s="2" t="s">
        <v>38</v>
      </c>
      <c r="I34" s="2" t="s">
        <v>63</v>
      </c>
      <c r="J34" s="3">
        <v>3064.96</v>
      </c>
      <c r="K34" s="8">
        <v>1</v>
      </c>
      <c r="L34" s="10" t="s">
        <v>111</v>
      </c>
      <c r="M34" s="2" t="s">
        <v>54</v>
      </c>
      <c r="N34" s="3">
        <v>75</v>
      </c>
      <c r="O34" s="2" t="s">
        <v>55</v>
      </c>
      <c r="P34" s="2" t="s">
        <v>56</v>
      </c>
      <c r="Q34" s="3">
        <v>2475</v>
      </c>
      <c r="R34" s="3">
        <v>2475</v>
      </c>
      <c r="S34" s="11" t="s">
        <v>100</v>
      </c>
    </row>
    <row r="35" spans="1:19" ht="12.75" customHeight="1" x14ac:dyDescent="0.25">
      <c r="A35" s="2" t="s">
        <v>33</v>
      </c>
      <c r="B35" s="10">
        <v>16633294</v>
      </c>
      <c r="C35" s="2" t="s">
        <v>48</v>
      </c>
      <c r="D35" s="10">
        <v>1719540</v>
      </c>
      <c r="E35" s="7" t="str">
        <f t="shared" si="2"/>
        <v>17195403</v>
      </c>
      <c r="F35" s="3">
        <v>-2475</v>
      </c>
      <c r="G35" s="2" t="s">
        <v>50</v>
      </c>
      <c r="H35" s="2" t="s">
        <v>38</v>
      </c>
      <c r="I35" s="2" t="s">
        <v>64</v>
      </c>
      <c r="J35" s="3">
        <v>-3064.96</v>
      </c>
      <c r="K35" s="3">
        <v>-1</v>
      </c>
      <c r="L35" s="10" t="s">
        <v>111</v>
      </c>
      <c r="M35" s="2" t="s">
        <v>54</v>
      </c>
      <c r="N35" s="3">
        <v>75</v>
      </c>
      <c r="O35" s="2" t="s">
        <v>55</v>
      </c>
      <c r="P35" s="2" t="s">
        <v>56</v>
      </c>
      <c r="Q35" s="3">
        <v>-2475</v>
      </c>
      <c r="R35" s="3">
        <v>-2475</v>
      </c>
      <c r="S35" s="11" t="s">
        <v>100</v>
      </c>
    </row>
    <row r="36" spans="1:19" ht="12.75" customHeight="1" x14ac:dyDescent="0.25">
      <c r="A36" s="2" t="s">
        <v>33</v>
      </c>
      <c r="B36" s="10">
        <v>16633294</v>
      </c>
      <c r="C36" s="2" t="s">
        <v>48</v>
      </c>
      <c r="D36" s="10">
        <v>1719540</v>
      </c>
      <c r="E36" s="7" t="str">
        <f t="shared" si="2"/>
        <v>17195403</v>
      </c>
      <c r="F36" s="3">
        <v>2475</v>
      </c>
      <c r="G36" s="2" t="s">
        <v>50</v>
      </c>
      <c r="H36" s="2" t="s">
        <v>38</v>
      </c>
      <c r="I36" s="2" t="s">
        <v>64</v>
      </c>
      <c r="J36" s="3">
        <v>3064.96</v>
      </c>
      <c r="K36" s="8">
        <v>1</v>
      </c>
      <c r="L36" s="10" t="s">
        <v>111</v>
      </c>
      <c r="M36" s="2" t="s">
        <v>54</v>
      </c>
      <c r="N36" s="3">
        <v>75</v>
      </c>
      <c r="O36" s="2" t="s">
        <v>55</v>
      </c>
      <c r="P36" s="2" t="s">
        <v>56</v>
      </c>
      <c r="Q36" s="3">
        <v>2475</v>
      </c>
      <c r="R36" s="3">
        <v>2475</v>
      </c>
      <c r="S36" s="11" t="s">
        <v>100</v>
      </c>
    </row>
    <row r="37" spans="1:19" ht="12.75" customHeight="1" x14ac:dyDescent="0.25">
      <c r="A37" s="2" t="s">
        <v>33</v>
      </c>
      <c r="B37" s="10">
        <v>16633294</v>
      </c>
      <c r="C37" s="2" t="s">
        <v>48</v>
      </c>
      <c r="D37" s="10">
        <v>1719540</v>
      </c>
      <c r="E37" s="7" t="str">
        <f t="shared" si="2"/>
        <v>17195403</v>
      </c>
      <c r="F37" s="3">
        <v>150</v>
      </c>
      <c r="G37" s="2" t="s">
        <v>50</v>
      </c>
      <c r="H37" s="2" t="s">
        <v>38</v>
      </c>
      <c r="I37" s="2" t="s">
        <v>65</v>
      </c>
      <c r="J37" s="3">
        <v>3175.18</v>
      </c>
      <c r="K37" s="8">
        <v>1</v>
      </c>
      <c r="L37" s="10" t="s">
        <v>107</v>
      </c>
      <c r="M37" s="2" t="s">
        <v>54</v>
      </c>
      <c r="N37" s="3">
        <v>75</v>
      </c>
      <c r="O37" s="2" t="s">
        <v>55</v>
      </c>
      <c r="P37" s="2" t="s">
        <v>56</v>
      </c>
      <c r="Q37" s="3">
        <v>150</v>
      </c>
      <c r="R37" s="3">
        <v>150</v>
      </c>
      <c r="S37" s="11" t="s">
        <v>100</v>
      </c>
    </row>
    <row r="38" spans="1:19" ht="12.75" customHeight="1" x14ac:dyDescent="0.25">
      <c r="A38" s="2" t="s">
        <v>33</v>
      </c>
      <c r="B38" s="10">
        <v>16633294</v>
      </c>
      <c r="C38" s="2" t="s">
        <v>48</v>
      </c>
      <c r="D38" s="10">
        <v>1719540</v>
      </c>
      <c r="E38" s="7" t="str">
        <f t="shared" si="2"/>
        <v>17195403</v>
      </c>
      <c r="F38" s="3">
        <v>-2475</v>
      </c>
      <c r="G38" s="2" t="s">
        <v>50</v>
      </c>
      <c r="H38" s="2" t="s">
        <v>38</v>
      </c>
      <c r="I38" s="2" t="s">
        <v>65</v>
      </c>
      <c r="J38" s="3">
        <v>-3064.96</v>
      </c>
      <c r="K38" s="3">
        <v>-1</v>
      </c>
      <c r="L38" s="10" t="s">
        <v>111</v>
      </c>
      <c r="M38" s="2" t="s">
        <v>54</v>
      </c>
      <c r="N38" s="3">
        <v>75</v>
      </c>
      <c r="O38" s="2" t="s">
        <v>55</v>
      </c>
      <c r="P38" s="2" t="s">
        <v>56</v>
      </c>
      <c r="Q38" s="3">
        <v>-2475</v>
      </c>
      <c r="R38" s="3">
        <v>-2475</v>
      </c>
      <c r="S38" s="11" t="s">
        <v>100</v>
      </c>
    </row>
    <row r="39" spans="1:19" ht="12.75" customHeight="1" x14ac:dyDescent="0.25">
      <c r="A39" s="2" t="s">
        <v>33</v>
      </c>
      <c r="B39" s="10">
        <v>16633294</v>
      </c>
      <c r="C39" s="2" t="s">
        <v>48</v>
      </c>
      <c r="D39" s="10">
        <v>1719540</v>
      </c>
      <c r="E39" s="7" t="str">
        <f t="shared" si="2"/>
        <v>17195403</v>
      </c>
      <c r="F39" s="3">
        <v>2475</v>
      </c>
      <c r="G39" s="2" t="s">
        <v>50</v>
      </c>
      <c r="H39" s="2" t="s">
        <v>38</v>
      </c>
      <c r="I39" s="2" t="s">
        <v>65</v>
      </c>
      <c r="J39" s="3">
        <v>3175.18</v>
      </c>
      <c r="K39" s="8">
        <v>1</v>
      </c>
      <c r="L39" s="10" t="s">
        <v>111</v>
      </c>
      <c r="M39" s="2" t="s">
        <v>54</v>
      </c>
      <c r="N39" s="3">
        <v>75</v>
      </c>
      <c r="O39" s="2" t="s">
        <v>55</v>
      </c>
      <c r="P39" s="2" t="s">
        <v>56</v>
      </c>
      <c r="Q39" s="3">
        <v>2475</v>
      </c>
      <c r="R39" s="3">
        <v>2475</v>
      </c>
      <c r="S39" s="11" t="s">
        <v>100</v>
      </c>
    </row>
    <row r="40" spans="1:19" ht="12.75" customHeight="1" x14ac:dyDescent="0.25">
      <c r="A40" s="2" t="s">
        <v>33</v>
      </c>
      <c r="B40" s="10">
        <v>16633294</v>
      </c>
      <c r="C40" s="2" t="s">
        <v>48</v>
      </c>
      <c r="D40" s="10">
        <v>1719540</v>
      </c>
      <c r="E40" s="7" t="str">
        <f t="shared" si="2"/>
        <v>17195403</v>
      </c>
      <c r="F40" s="3">
        <v>150</v>
      </c>
      <c r="G40" s="2" t="s">
        <v>50</v>
      </c>
      <c r="H40" s="2" t="s">
        <v>38</v>
      </c>
      <c r="I40" s="2" t="s">
        <v>39</v>
      </c>
      <c r="J40" s="3">
        <v>3216.09</v>
      </c>
      <c r="K40" s="8">
        <v>1</v>
      </c>
      <c r="L40" s="10" t="s">
        <v>107</v>
      </c>
      <c r="M40" s="2" t="s">
        <v>54</v>
      </c>
      <c r="N40" s="3">
        <v>75</v>
      </c>
      <c r="O40" s="2" t="s">
        <v>55</v>
      </c>
      <c r="P40" s="2" t="s">
        <v>56</v>
      </c>
      <c r="Q40" s="3">
        <v>150</v>
      </c>
      <c r="R40" s="3">
        <v>150</v>
      </c>
      <c r="S40" s="11" t="s">
        <v>100</v>
      </c>
    </row>
    <row r="41" spans="1:19" ht="12.75" customHeight="1" x14ac:dyDescent="0.25">
      <c r="A41" s="2" t="s">
        <v>33</v>
      </c>
      <c r="B41" s="10">
        <v>16633294</v>
      </c>
      <c r="C41" s="2" t="s">
        <v>48</v>
      </c>
      <c r="D41" s="10">
        <v>1719540</v>
      </c>
      <c r="E41" s="7" t="str">
        <f t="shared" si="2"/>
        <v>17195403</v>
      </c>
      <c r="F41" s="3">
        <v>2475</v>
      </c>
      <c r="G41" s="2" t="s">
        <v>50</v>
      </c>
      <c r="H41" s="2" t="s">
        <v>38</v>
      </c>
      <c r="I41" s="2" t="s">
        <v>39</v>
      </c>
      <c r="J41" s="3">
        <v>3216.09</v>
      </c>
      <c r="K41" s="8">
        <v>1</v>
      </c>
      <c r="L41" s="10" t="s">
        <v>111</v>
      </c>
      <c r="M41" s="2" t="s">
        <v>54</v>
      </c>
      <c r="N41" s="3">
        <v>75</v>
      </c>
      <c r="O41" s="2" t="s">
        <v>55</v>
      </c>
      <c r="P41" s="2" t="s">
        <v>56</v>
      </c>
      <c r="Q41" s="3">
        <v>2475</v>
      </c>
      <c r="R41" s="3">
        <v>2475</v>
      </c>
      <c r="S41" s="11" t="s">
        <v>100</v>
      </c>
    </row>
    <row r="42" spans="1:19" ht="12.75" customHeight="1" x14ac:dyDescent="0.25">
      <c r="A42" s="2" t="s">
        <v>33</v>
      </c>
      <c r="B42" s="10">
        <v>16633294</v>
      </c>
      <c r="C42" s="2" t="s">
        <v>48</v>
      </c>
      <c r="D42" s="10">
        <v>1719540</v>
      </c>
      <c r="E42" s="7" t="str">
        <f t="shared" si="2"/>
        <v>17195403</v>
      </c>
      <c r="F42" s="3">
        <v>2625</v>
      </c>
      <c r="G42" s="2" t="s">
        <v>50</v>
      </c>
      <c r="H42" s="2" t="s">
        <v>38</v>
      </c>
      <c r="I42" s="2" t="s">
        <v>66</v>
      </c>
      <c r="J42" s="3">
        <v>3216.09</v>
      </c>
      <c r="K42" s="8">
        <v>1</v>
      </c>
      <c r="L42" s="10" t="s">
        <v>111</v>
      </c>
      <c r="M42" s="2" t="s">
        <v>54</v>
      </c>
      <c r="N42" s="3">
        <v>75</v>
      </c>
      <c r="O42" s="2" t="s">
        <v>55</v>
      </c>
      <c r="P42" s="2" t="s">
        <v>56</v>
      </c>
      <c r="Q42" s="3">
        <v>2625</v>
      </c>
      <c r="R42" s="3">
        <v>2625</v>
      </c>
      <c r="S42" s="11" t="s">
        <v>100</v>
      </c>
    </row>
    <row r="43" spans="1:19" ht="12.75" customHeight="1" x14ac:dyDescent="0.2"/>
    <row r="44" spans="1:19" ht="12.75" customHeight="1" x14ac:dyDescent="0.2"/>
    <row r="45" spans="1:19" ht="12.75" customHeight="1" x14ac:dyDescent="0.2"/>
    <row r="46" spans="1:19" ht="12.75" customHeight="1" x14ac:dyDescent="0.2"/>
    <row r="47" spans="1:19" ht="12.75" customHeight="1" x14ac:dyDescent="0.2"/>
    <row r="48" spans="1:19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5703125" defaultRowHeight="15" customHeight="1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  <col min="7" max="26" width="8.5703125" customWidth="1"/>
  </cols>
  <sheetData>
    <row r="1" spans="1:5" ht="12.75" customHeight="1" x14ac:dyDescent="0.3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 ht="12.75" customHeight="1" x14ac:dyDescent="0.2"/>
    <row r="3" spans="1:5" ht="12.75" customHeight="1" x14ac:dyDescent="0.2"/>
    <row r="4" spans="1:5" ht="12.75" customHeight="1" x14ac:dyDescent="0.2"/>
    <row r="5" spans="1:5" ht="12.75" customHeight="1" x14ac:dyDescent="0.2"/>
    <row r="6" spans="1:5" ht="12.75" customHeight="1" x14ac:dyDescent="0.2"/>
    <row r="7" spans="1:5" ht="12.75" customHeight="1" x14ac:dyDescent="0.2"/>
    <row r="8" spans="1:5" ht="12.75" customHeight="1" x14ac:dyDescent="0.2"/>
    <row r="9" spans="1:5" ht="12.75" customHeight="1" x14ac:dyDescent="0.2"/>
    <row r="10" spans="1:5" ht="12.75" customHeight="1" x14ac:dyDescent="0.2"/>
    <row r="11" spans="1:5" ht="12.75" customHeight="1" x14ac:dyDescent="0.2"/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Sheet1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2025-08-07T14:51:22Z</dcterms:created>
  <dcterms:modified xsi:type="dcterms:W3CDTF">2025-08-13T01:11:11Z</dcterms:modified>
</cp:coreProperties>
</file>