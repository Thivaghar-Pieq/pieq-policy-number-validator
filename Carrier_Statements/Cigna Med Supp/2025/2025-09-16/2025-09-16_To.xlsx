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9-16-25 to 9-22-25\"/>
    </mc:Choice>
  </mc:AlternateContent>
  <xr:revisionPtr revIDLastSave="0" documentId="13_ncr:1_{C85E75C0-92B1-4021-89FB-CD478FDB94CA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2" i="6"/>
</calcChain>
</file>

<file path=xl/sharedStrings.xml><?xml version="1.0" encoding="utf-8"?>
<sst xmlns="http://schemas.openxmlformats.org/spreadsheetml/2006/main" count="545" uniqueCount="142">
  <si>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</si>
  <si>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</si>
  <si>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</si>
  <si>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</si>
  <si>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</si>
  <si>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</si>
  <si>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09/16/2025 to 09/22/2025</t>
  </si>
  <si>
    <t>Page 1 of 4</t>
  </si>
  <si>
    <t>Run Date:  9/22/2025 2:39:06 PM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</si>
  <si>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</si>
  <si>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</si>
  <si>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</si>
  <si>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</si>
  <si>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</si>
  <si>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</si>
  <si>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</si>
  <si>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</si>
  <si>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</si>
  <si>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</si>
  <si>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</si>
  <si>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</si>
  <si>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</si>
  <si>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</si>
  <si>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</si>
  <si>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</si>
  <si>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</si>
  <si>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</si>
  <si>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</si>
  <si>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</si>
  <si>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</si>
  <si>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</si>
  <si>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</si>
  <si>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</si>
  <si>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</si>
  <si>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</si>
  <si>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</si>
  <si>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</si>
  <si>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</si>
  <si>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</si>
  <si>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</si>
  <si>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</si>
  <si>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</si>
  <si>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</si>
  <si>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</si>
  <si>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</si>
  <si>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</si>
  <si>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</si>
  <si>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</si>
  <si>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</si>
  <si>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</si>
  <si>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</si>
  <si>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63Y0025249</t>
  </si>
  <si>
    <t>ADAMSON, MICHAEL L</t>
  </si>
  <si>
    <t>09/01/2025</t>
  </si>
  <si>
    <t>01/01/2025</t>
  </si>
  <si>
    <t>MSM23BM63F</t>
  </si>
  <si>
    <t xml:space="preserve">CIC MEDSUP STD PLAN F                   </t>
  </si>
  <si>
    <t>1</t>
  </si>
  <si>
    <t>Earnings Paid</t>
  </si>
  <si>
    <t>09/20/2025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</si>
  <si>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</si>
  <si>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</si>
  <si>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</si>
  <si>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</si>
  <si>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</si>
  <si>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</si>
  <si>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</si>
  <si>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</si>
  <si>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</si>
  <si>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</si>
  <si>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CIC MEDSUP STD PLAN G                   </t>
  </si>
  <si>
    <t>63Y0032883</t>
  </si>
  <si>
    <t>CARBONARA, MELINDA M</t>
  </si>
  <si>
    <t>MSM23BM63N</t>
  </si>
  <si>
    <t xml:space="preserve">CIC MEDSUP STD PLAN N                   </t>
  </si>
  <si>
    <t>OE</t>
  </si>
  <si>
    <t>63Y0036528</t>
  </si>
  <si>
    <t>KEEFE, BARBARA J</t>
  </si>
  <si>
    <t>03/01/2025</t>
  </si>
  <si>
    <t>63Y0058217</t>
  </si>
  <si>
    <t>GALBREATH, JOHN L</t>
  </si>
  <si>
    <t>08/01/2025</t>
  </si>
  <si>
    <t>63Y0058400</t>
  </si>
  <si>
    <t>CASELLA, PENELOPE A</t>
  </si>
  <si>
    <t>63Y0049047</t>
  </si>
  <si>
    <t>BLOOM, SUSAN S</t>
  </si>
  <si>
    <t>06/01/2025</t>
  </si>
  <si>
    <t>3</t>
  </si>
  <si>
    <t>CB149532</t>
  </si>
  <si>
    <t>FOLEY,CAROL</t>
  </si>
  <si>
    <t>63Y0052446</t>
  </si>
  <si>
    <t>STERLING, MARCELLA M</t>
  </si>
  <si>
    <t>07/01/2025</t>
  </si>
  <si>
    <t>Earnings Reversal</t>
  </si>
  <si>
    <t xml:space="preserve">Auto Reverse </t>
  </si>
  <si>
    <t>63Y0064140</t>
  </si>
  <si>
    <t>GREENLAW, PETER</t>
  </si>
  <si>
    <t>09/07/2025</t>
  </si>
  <si>
    <t>08/07/2025</t>
  </si>
  <si>
    <t>CB149611</t>
  </si>
  <si>
    <t>YALE,JACOB</t>
  </si>
  <si>
    <t>CO</t>
  </si>
  <si>
    <t>63Y0064143</t>
  </si>
  <si>
    <t>GREENLAW, SARAH</t>
  </si>
  <si>
    <t>63Y0024893</t>
  </si>
  <si>
    <t>LOVE, GARY</t>
  </si>
  <si>
    <t>CB149613</t>
  </si>
  <si>
    <t>MCCORKLE,MICHELLE</t>
  </si>
  <si>
    <t>ST</t>
  </si>
  <si>
    <t>63Y0054497</t>
  </si>
  <si>
    <t>SEIFREID, DIANE</t>
  </si>
  <si>
    <t>63Y0073326</t>
  </si>
  <si>
    <t>IMHOFF, CHARLES</t>
  </si>
  <si>
    <t>10/01/2025</t>
  </si>
  <si>
    <t>CB150197</t>
  </si>
  <si>
    <t xml:space="preserve">GESKE,HEATHER,M         </t>
  </si>
  <si>
    <t>63Y0066594</t>
  </si>
  <si>
    <t>FASKE, KEITH</t>
  </si>
  <si>
    <t>08/21/2025</t>
  </si>
  <si>
    <t>CB151246</t>
  </si>
  <si>
    <t>YALE,RICHARD</t>
  </si>
  <si>
    <t>TX</t>
  </si>
  <si>
    <t>Total Commission Paid</t>
  </si>
  <si>
    <t>ADAMSON, MICHAEL</t>
  </si>
  <si>
    <t>ADAMSON, NANCY</t>
  </si>
  <si>
    <t>CARBONARA, MELINDA</t>
  </si>
  <si>
    <t>KEEFE, BARBARA</t>
  </si>
  <si>
    <t>GALBREATH, JOHN</t>
  </si>
  <si>
    <t>CASELLA, PENELOPE</t>
  </si>
  <si>
    <t>BLOOM, SUSAN</t>
  </si>
  <si>
    <t>STERLING, MARCELLA</t>
  </si>
  <si>
    <t>17528908N</t>
  </si>
  <si>
    <t>18710070N</t>
  </si>
  <si>
    <t>CIC MEDSUP STD PLAN N*</t>
  </si>
  <si>
    <t>CIC MEDSUP STD PLAN G, F</t>
  </si>
  <si>
    <t>CIC MEDSUP STD PLAN N</t>
  </si>
  <si>
    <t>16865615AV6</t>
  </si>
  <si>
    <t>16633294AV6</t>
  </si>
  <si>
    <t>RN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</si>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</sst>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424.21</v>
      </c>
      <c r="H9" s="5">
        <v>0</v>
      </c>
    </row>
    <row r="10" spans="1:13" x14ac:dyDescent="0.25">
      <c r="A10" s="3" t="s">
        <v>42</v>
      </c>
      <c r="B10" s="13" t="s">
        <v>34</v>
      </c>
      <c r="C10" s="14"/>
      <c r="D10" s="14"/>
      <c r="E10" s="14"/>
      <c r="F10" s="14"/>
      <c r="G10" s="6">
        <v>424.21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43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4"/>
  <sheetViews>
    <sheetView showGridLines="0" topLeftCell="D1" workbookViewId="0">
      <pane ySplit="5" topLeftCell="A6" activePane="bottomLeft" state="frozen"/>
      <selection pane="bottomLeft" activeCell="D1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45</v>
      </c>
      <c r="J8" s="3" t="s">
        <v>46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23</v>
      </c>
      <c r="Q9" s="23">
        <v>115.87</v>
      </c>
      <c r="R9" s="11"/>
      <c r="S9" s="5">
        <v>26.65</v>
      </c>
      <c r="T9" s="20" t="s">
        <v>58</v>
      </c>
      <c r="U9" s="11"/>
      <c r="V9" s="5">
        <v>26.65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1</v>
      </c>
      <c r="K10" s="4" t="s">
        <v>54</v>
      </c>
      <c r="L10" s="4" t="s">
        <v>69</v>
      </c>
      <c r="M10" s="20" t="s">
        <v>70</v>
      </c>
      <c r="N10" s="11"/>
      <c r="O10" s="4" t="s">
        <v>57</v>
      </c>
      <c r="P10" s="4">
        <v>23</v>
      </c>
      <c r="Q10" s="23">
        <v>99.06</v>
      </c>
      <c r="R10" s="11"/>
      <c r="S10" s="5">
        <v>22.78</v>
      </c>
      <c r="T10" s="20" t="s">
        <v>58</v>
      </c>
      <c r="U10" s="11"/>
      <c r="V10" s="5">
        <v>22.78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20" t="s">
        <v>71</v>
      </c>
      <c r="D11" s="11"/>
      <c r="E11" s="11"/>
      <c r="F11" s="20" t="s">
        <v>72</v>
      </c>
      <c r="G11" s="11"/>
      <c r="H11" s="11"/>
      <c r="I11" s="4" t="s">
        <v>53</v>
      </c>
      <c r="J11" s="4">
        <v>1</v>
      </c>
      <c r="K11" s="4" t="s">
        <v>54</v>
      </c>
      <c r="L11" s="4" t="s">
        <v>73</v>
      </c>
      <c r="M11" s="20" t="s">
        <v>74</v>
      </c>
      <c r="N11" s="11"/>
      <c r="O11" s="4" t="s">
        <v>57</v>
      </c>
      <c r="P11" s="4">
        <v>27</v>
      </c>
      <c r="Q11" s="23">
        <v>65.66</v>
      </c>
      <c r="R11" s="11"/>
      <c r="S11" s="5">
        <v>17.73</v>
      </c>
      <c r="T11" s="20" t="s">
        <v>58</v>
      </c>
      <c r="U11" s="11"/>
      <c r="V11" s="5">
        <v>17.73</v>
      </c>
      <c r="W11" s="4" t="s">
        <v>59</v>
      </c>
      <c r="X11" s="4" t="s">
        <v>60</v>
      </c>
      <c r="Y11" s="4" t="s">
        <v>61</v>
      </c>
      <c r="Z11" s="4" t="s">
        <v>75</v>
      </c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20" t="s">
        <v>76</v>
      </c>
      <c r="D12" s="11"/>
      <c r="E12" s="11"/>
      <c r="F12" s="20" t="s">
        <v>77</v>
      </c>
      <c r="G12" s="11"/>
      <c r="H12" s="11"/>
      <c r="I12" s="4" t="s">
        <v>53</v>
      </c>
      <c r="J12" s="4">
        <v>1</v>
      </c>
      <c r="K12" s="4" t="s">
        <v>78</v>
      </c>
      <c r="L12" s="4" t="s">
        <v>69</v>
      </c>
      <c r="M12" s="20" t="s">
        <v>70</v>
      </c>
      <c r="N12" s="11"/>
      <c r="O12" s="4" t="s">
        <v>57</v>
      </c>
      <c r="P12" s="4">
        <v>23</v>
      </c>
      <c r="Q12" s="23">
        <v>123.83</v>
      </c>
      <c r="R12" s="11"/>
      <c r="S12" s="5">
        <v>28.48</v>
      </c>
      <c r="T12" s="20" t="s">
        <v>58</v>
      </c>
      <c r="U12" s="11"/>
      <c r="V12" s="5">
        <v>28.48</v>
      </c>
      <c r="W12" s="4" t="s">
        <v>59</v>
      </c>
      <c r="X12" s="4" t="s">
        <v>60</v>
      </c>
      <c r="Y12" s="4" t="s">
        <v>61</v>
      </c>
      <c r="Z12" s="4" t="s">
        <v>75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20" t="s">
        <v>79</v>
      </c>
      <c r="D13" s="11"/>
      <c r="E13" s="11"/>
      <c r="F13" s="20" t="s">
        <v>80</v>
      </c>
      <c r="G13" s="11"/>
      <c r="H13" s="11"/>
      <c r="I13" s="4" t="s">
        <v>53</v>
      </c>
      <c r="J13" s="4">
        <v>1</v>
      </c>
      <c r="K13" s="4" t="s">
        <v>81</v>
      </c>
      <c r="L13" s="4" t="s">
        <v>69</v>
      </c>
      <c r="M13" s="20" t="s">
        <v>70</v>
      </c>
      <c r="N13" s="11"/>
      <c r="O13" s="4" t="s">
        <v>57</v>
      </c>
      <c r="P13" s="4">
        <v>23</v>
      </c>
      <c r="Q13" s="23">
        <v>147.07</v>
      </c>
      <c r="R13" s="11"/>
      <c r="S13" s="5">
        <v>33.83</v>
      </c>
      <c r="T13" s="20" t="s">
        <v>58</v>
      </c>
      <c r="U13" s="11"/>
      <c r="V13" s="5">
        <v>33.83</v>
      </c>
      <c r="W13" s="4" t="s">
        <v>59</v>
      </c>
      <c r="X13" s="4" t="s">
        <v>60</v>
      </c>
      <c r="Y13" s="4" t="s">
        <v>61</v>
      </c>
      <c r="Z13" s="4" t="s">
        <v>62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20" t="s">
        <v>82</v>
      </c>
      <c r="D14" s="11"/>
      <c r="E14" s="11"/>
      <c r="F14" s="20" t="s">
        <v>83</v>
      </c>
      <c r="G14" s="11"/>
      <c r="H14" s="11"/>
      <c r="I14" s="4" t="s">
        <v>53</v>
      </c>
      <c r="J14" s="4">
        <v>1</v>
      </c>
      <c r="K14" s="4" t="s">
        <v>81</v>
      </c>
      <c r="L14" s="4" t="s">
        <v>69</v>
      </c>
      <c r="M14" s="20" t="s">
        <v>70</v>
      </c>
      <c r="N14" s="11"/>
      <c r="O14" s="4" t="s">
        <v>57</v>
      </c>
      <c r="P14" s="4">
        <v>23</v>
      </c>
      <c r="Q14" s="23">
        <v>108.47</v>
      </c>
      <c r="R14" s="11"/>
      <c r="S14" s="5">
        <v>24.95</v>
      </c>
      <c r="T14" s="20" t="s">
        <v>58</v>
      </c>
      <c r="U14" s="11"/>
      <c r="V14" s="5">
        <v>24.95</v>
      </c>
      <c r="W14" s="4" t="s">
        <v>59</v>
      </c>
      <c r="X14" s="4" t="s">
        <v>60</v>
      </c>
      <c r="Y14" s="4" t="s">
        <v>61</v>
      </c>
      <c r="Z14" s="4" t="s">
        <v>75</v>
      </c>
      <c r="AA14" s="4" t="s">
        <v>63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20" t="s">
        <v>84</v>
      </c>
      <c r="D15" s="11"/>
      <c r="E15" s="11"/>
      <c r="F15" s="20" t="s">
        <v>85</v>
      </c>
      <c r="G15" s="11"/>
      <c r="H15" s="11"/>
      <c r="I15" s="4" t="s">
        <v>53</v>
      </c>
      <c r="J15" s="4">
        <v>1</v>
      </c>
      <c r="K15" s="4" t="s">
        <v>86</v>
      </c>
      <c r="L15" s="4" t="s">
        <v>69</v>
      </c>
      <c r="M15" s="20" t="s">
        <v>70</v>
      </c>
      <c r="N15" s="11"/>
      <c r="O15" s="4" t="s">
        <v>87</v>
      </c>
      <c r="P15" s="4">
        <v>23</v>
      </c>
      <c r="Q15" s="23">
        <v>469.69</v>
      </c>
      <c r="R15" s="11"/>
      <c r="S15" s="5">
        <v>108.03</v>
      </c>
      <c r="T15" s="20" t="s">
        <v>58</v>
      </c>
      <c r="U15" s="11"/>
      <c r="V15" s="5">
        <v>108.03</v>
      </c>
      <c r="W15" s="4" t="s">
        <v>59</v>
      </c>
      <c r="X15" s="4" t="s">
        <v>88</v>
      </c>
      <c r="Y15" s="4" t="s">
        <v>89</v>
      </c>
      <c r="Z15" s="4" t="s">
        <v>62</v>
      </c>
      <c r="AA15" s="4" t="s">
        <v>63</v>
      </c>
      <c r="AB15" s="4" t="s">
        <v>64</v>
      </c>
      <c r="AC15" s="4" t="s">
        <v>65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20" t="s">
        <v>90</v>
      </c>
      <c r="D16" s="11"/>
      <c r="E16" s="11"/>
      <c r="F16" s="20" t="s">
        <v>91</v>
      </c>
      <c r="G16" s="11"/>
      <c r="H16" s="11"/>
      <c r="I16" s="4" t="s">
        <v>53</v>
      </c>
      <c r="J16" s="4">
        <v>1</v>
      </c>
      <c r="K16" s="4" t="s">
        <v>92</v>
      </c>
      <c r="L16" s="4" t="s">
        <v>73</v>
      </c>
      <c r="M16" s="20" t="s">
        <v>74</v>
      </c>
      <c r="N16" s="11"/>
      <c r="O16" s="4" t="s">
        <v>87</v>
      </c>
      <c r="P16" s="4">
        <v>27</v>
      </c>
      <c r="Q16" s="23">
        <v>-97.86</v>
      </c>
      <c r="R16" s="11"/>
      <c r="S16" s="5">
        <v>-26.42</v>
      </c>
      <c r="T16" s="20" t="s">
        <v>93</v>
      </c>
      <c r="U16" s="11"/>
      <c r="V16" s="5">
        <v>-26.42</v>
      </c>
      <c r="W16" s="4" t="s">
        <v>59</v>
      </c>
      <c r="X16" s="4" t="s">
        <v>88</v>
      </c>
      <c r="Y16" s="4" t="s">
        <v>89</v>
      </c>
      <c r="Z16" s="4" t="s">
        <v>75</v>
      </c>
      <c r="AA16" s="4" t="s">
        <v>63</v>
      </c>
      <c r="AB16" s="4" t="s">
        <v>64</v>
      </c>
      <c r="AC16" s="4" t="s">
        <v>65</v>
      </c>
      <c r="AD16" s="4">
        <v>0</v>
      </c>
      <c r="AE16" s="4"/>
      <c r="AF16" s="4" t="s">
        <v>94</v>
      </c>
    </row>
    <row r="17" spans="1:32" x14ac:dyDescent="0.25">
      <c r="A17" s="4" t="s">
        <v>50</v>
      </c>
      <c r="B17" s="4" t="s">
        <v>40</v>
      </c>
      <c r="C17" s="20" t="s">
        <v>95</v>
      </c>
      <c r="D17" s="11"/>
      <c r="E17" s="11"/>
      <c r="F17" s="20" t="s">
        <v>96</v>
      </c>
      <c r="G17" s="11"/>
      <c r="H17" s="11"/>
      <c r="I17" s="4" t="s">
        <v>97</v>
      </c>
      <c r="J17" s="4">
        <v>1</v>
      </c>
      <c r="K17" s="4" t="s">
        <v>98</v>
      </c>
      <c r="L17" s="4" t="s">
        <v>69</v>
      </c>
      <c r="M17" s="20" t="s">
        <v>70</v>
      </c>
      <c r="N17" s="11"/>
      <c r="O17" s="4" t="s">
        <v>57</v>
      </c>
      <c r="P17" s="4">
        <v>23</v>
      </c>
      <c r="Q17" s="23">
        <v>195.86</v>
      </c>
      <c r="R17" s="11"/>
      <c r="S17" s="5">
        <v>45.05</v>
      </c>
      <c r="T17" s="20" t="s">
        <v>58</v>
      </c>
      <c r="U17" s="11"/>
      <c r="V17" s="5">
        <v>45.05</v>
      </c>
      <c r="W17" s="4" t="s">
        <v>59</v>
      </c>
      <c r="X17" s="4" t="s">
        <v>99</v>
      </c>
      <c r="Y17" s="4" t="s">
        <v>100</v>
      </c>
      <c r="Z17" s="4" t="s">
        <v>62</v>
      </c>
      <c r="AA17" s="4" t="s">
        <v>63</v>
      </c>
      <c r="AB17" s="4" t="s">
        <v>64</v>
      </c>
      <c r="AC17" s="4" t="s">
        <v>101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40</v>
      </c>
      <c r="C18" s="20" t="s">
        <v>102</v>
      </c>
      <c r="D18" s="11"/>
      <c r="E18" s="11"/>
      <c r="F18" s="20" t="s">
        <v>103</v>
      </c>
      <c r="G18" s="11"/>
      <c r="H18" s="11"/>
      <c r="I18" s="4" t="s">
        <v>97</v>
      </c>
      <c r="J18" s="4">
        <v>1</v>
      </c>
      <c r="K18" s="4" t="s">
        <v>98</v>
      </c>
      <c r="L18" s="4" t="s">
        <v>69</v>
      </c>
      <c r="M18" s="20" t="s">
        <v>70</v>
      </c>
      <c r="N18" s="11"/>
      <c r="O18" s="4" t="s">
        <v>57</v>
      </c>
      <c r="P18" s="4">
        <v>23</v>
      </c>
      <c r="Q18" s="23">
        <v>141.47</v>
      </c>
      <c r="R18" s="11"/>
      <c r="S18" s="5">
        <v>32.54</v>
      </c>
      <c r="T18" s="20" t="s">
        <v>58</v>
      </c>
      <c r="U18" s="11"/>
      <c r="V18" s="5">
        <v>32.54</v>
      </c>
      <c r="W18" s="4" t="s">
        <v>59</v>
      </c>
      <c r="X18" s="4" t="s">
        <v>99</v>
      </c>
      <c r="Y18" s="4" t="s">
        <v>100</v>
      </c>
      <c r="Z18" s="4" t="s">
        <v>62</v>
      </c>
      <c r="AA18" s="4" t="s">
        <v>63</v>
      </c>
      <c r="AB18" s="4" t="s">
        <v>64</v>
      </c>
      <c r="AC18" s="4" t="s">
        <v>101</v>
      </c>
      <c r="AD18" s="4">
        <v>0</v>
      </c>
      <c r="AE18" s="4"/>
      <c r="AF18" s="4" t="s">
        <v>66</v>
      </c>
    </row>
    <row r="19" spans="1:32" x14ac:dyDescent="0.25">
      <c r="A19" s="4" t="s">
        <v>50</v>
      </c>
      <c r="B19" s="4" t="s">
        <v>40</v>
      </c>
      <c r="C19" s="20" t="s">
        <v>104</v>
      </c>
      <c r="D19" s="11"/>
      <c r="E19" s="11"/>
      <c r="F19" s="20" t="s">
        <v>105</v>
      </c>
      <c r="G19" s="11"/>
      <c r="H19" s="11"/>
      <c r="I19" s="4" t="s">
        <v>53</v>
      </c>
      <c r="J19" s="4">
        <v>1</v>
      </c>
      <c r="K19" s="4" t="s">
        <v>54</v>
      </c>
      <c r="L19" s="4" t="s">
        <v>73</v>
      </c>
      <c r="M19" s="20" t="s">
        <v>74</v>
      </c>
      <c r="N19" s="11"/>
      <c r="O19" s="4" t="s">
        <v>57</v>
      </c>
      <c r="P19" s="4">
        <v>11</v>
      </c>
      <c r="Q19" s="23">
        <v>142.03</v>
      </c>
      <c r="R19" s="11"/>
      <c r="S19" s="5">
        <v>15.62</v>
      </c>
      <c r="T19" s="20" t="s">
        <v>58</v>
      </c>
      <c r="U19" s="11"/>
      <c r="V19" s="5">
        <v>15.62</v>
      </c>
      <c r="W19" s="4" t="s">
        <v>59</v>
      </c>
      <c r="X19" s="4" t="s">
        <v>106</v>
      </c>
      <c r="Y19" s="4" t="s">
        <v>107</v>
      </c>
      <c r="Z19" s="4" t="s">
        <v>62</v>
      </c>
      <c r="AA19" s="4" t="s">
        <v>108</v>
      </c>
      <c r="AB19" s="4" t="s">
        <v>64</v>
      </c>
      <c r="AC19" s="4" t="s">
        <v>65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40</v>
      </c>
      <c r="C20" s="20" t="s">
        <v>109</v>
      </c>
      <c r="D20" s="11"/>
      <c r="E20" s="11"/>
      <c r="F20" s="20" t="s">
        <v>110</v>
      </c>
      <c r="G20" s="11"/>
      <c r="H20" s="11"/>
      <c r="I20" s="4" t="s">
        <v>53</v>
      </c>
      <c r="J20" s="4">
        <v>1</v>
      </c>
      <c r="K20" s="4" t="s">
        <v>92</v>
      </c>
      <c r="L20" s="4" t="s">
        <v>73</v>
      </c>
      <c r="M20" s="20" t="s">
        <v>74</v>
      </c>
      <c r="N20" s="11"/>
      <c r="O20" s="4" t="s">
        <v>57</v>
      </c>
      <c r="P20" s="4">
        <v>27</v>
      </c>
      <c r="Q20" s="23">
        <v>84.48</v>
      </c>
      <c r="R20" s="11"/>
      <c r="S20" s="5">
        <v>22.81</v>
      </c>
      <c r="T20" s="20" t="s">
        <v>58</v>
      </c>
      <c r="U20" s="11"/>
      <c r="V20" s="5">
        <v>22.81</v>
      </c>
      <c r="W20" s="4" t="s">
        <v>59</v>
      </c>
      <c r="X20" s="4" t="s">
        <v>106</v>
      </c>
      <c r="Y20" s="4" t="s">
        <v>107</v>
      </c>
      <c r="Z20" s="4" t="s">
        <v>75</v>
      </c>
      <c r="AA20" s="4" t="s">
        <v>63</v>
      </c>
      <c r="AB20" s="4" t="s">
        <v>64</v>
      </c>
      <c r="AC20" s="4" t="s">
        <v>65</v>
      </c>
      <c r="AD20" s="4">
        <v>0</v>
      </c>
      <c r="AE20" s="4"/>
      <c r="AF20" s="4" t="s">
        <v>66</v>
      </c>
    </row>
    <row r="21" spans="1:32" x14ac:dyDescent="0.25">
      <c r="A21" s="4" t="s">
        <v>50</v>
      </c>
      <c r="B21" s="4" t="s">
        <v>40</v>
      </c>
      <c r="C21" s="20" t="s">
        <v>111</v>
      </c>
      <c r="D21" s="11"/>
      <c r="E21" s="11"/>
      <c r="F21" s="20" t="s">
        <v>112</v>
      </c>
      <c r="G21" s="11"/>
      <c r="H21" s="11"/>
      <c r="I21" s="4" t="s">
        <v>113</v>
      </c>
      <c r="J21" s="4">
        <v>1</v>
      </c>
      <c r="K21" s="4" t="s">
        <v>113</v>
      </c>
      <c r="L21" s="4" t="s">
        <v>69</v>
      </c>
      <c r="M21" s="20" t="s">
        <v>70</v>
      </c>
      <c r="N21" s="11"/>
      <c r="O21" s="4" t="s">
        <v>57</v>
      </c>
      <c r="P21" s="4">
        <v>23</v>
      </c>
      <c r="Q21" s="23">
        <v>156.51</v>
      </c>
      <c r="R21" s="11"/>
      <c r="S21" s="5">
        <v>36</v>
      </c>
      <c r="T21" s="20" t="s">
        <v>58</v>
      </c>
      <c r="U21" s="11"/>
      <c r="V21" s="5">
        <v>36</v>
      </c>
      <c r="W21" s="4" t="s">
        <v>59</v>
      </c>
      <c r="X21" s="4" t="s">
        <v>114</v>
      </c>
      <c r="Y21" s="4" t="s">
        <v>115</v>
      </c>
      <c r="Z21" s="4" t="s">
        <v>75</v>
      </c>
      <c r="AA21" s="4" t="s">
        <v>63</v>
      </c>
      <c r="AB21" s="4" t="s">
        <v>64</v>
      </c>
      <c r="AC21" s="4" t="s">
        <v>101</v>
      </c>
      <c r="AD21" s="4">
        <v>0</v>
      </c>
      <c r="AE21" s="4"/>
      <c r="AF21" s="4" t="s">
        <v>66</v>
      </c>
    </row>
    <row r="22" spans="1:32" x14ac:dyDescent="0.25">
      <c r="A22" s="4" t="s">
        <v>50</v>
      </c>
      <c r="B22" s="4" t="s">
        <v>40</v>
      </c>
      <c r="C22" s="20" t="s">
        <v>116</v>
      </c>
      <c r="D22" s="11"/>
      <c r="E22" s="11"/>
      <c r="F22" s="20" t="s">
        <v>117</v>
      </c>
      <c r="G22" s="11"/>
      <c r="H22" s="11"/>
      <c r="I22" s="4" t="s">
        <v>118</v>
      </c>
      <c r="J22" s="4">
        <v>1</v>
      </c>
      <c r="K22" s="4" t="s">
        <v>118</v>
      </c>
      <c r="L22" s="4" t="s">
        <v>69</v>
      </c>
      <c r="M22" s="20" t="s">
        <v>70</v>
      </c>
      <c r="N22" s="11"/>
      <c r="O22" s="4" t="s">
        <v>57</v>
      </c>
      <c r="P22" s="4">
        <v>23</v>
      </c>
      <c r="Q22" s="23">
        <v>157.22</v>
      </c>
      <c r="R22" s="11"/>
      <c r="S22" s="5">
        <v>36.159999999999997</v>
      </c>
      <c r="T22" s="20" t="s">
        <v>58</v>
      </c>
      <c r="U22" s="11"/>
      <c r="V22" s="5">
        <v>36.159999999999997</v>
      </c>
      <c r="W22" s="4" t="s">
        <v>59</v>
      </c>
      <c r="X22" s="4" t="s">
        <v>119</v>
      </c>
      <c r="Y22" s="4" t="s">
        <v>120</v>
      </c>
      <c r="Z22" s="4" t="s">
        <v>75</v>
      </c>
      <c r="AA22" s="4" t="s">
        <v>63</v>
      </c>
      <c r="AB22" s="4" t="s">
        <v>64</v>
      </c>
      <c r="AC22" s="4" t="s">
        <v>121</v>
      </c>
      <c r="AD22" s="4">
        <v>0</v>
      </c>
      <c r="AE22" s="4"/>
      <c r="AF22" s="4" t="s">
        <v>66</v>
      </c>
    </row>
    <row r="23" spans="1:32" x14ac:dyDescent="0.25">
      <c r="A23" s="7" t="s">
        <v>34</v>
      </c>
      <c r="B23" s="7" t="s">
        <v>34</v>
      </c>
      <c r="C23" s="21" t="s">
        <v>34</v>
      </c>
      <c r="D23" s="22"/>
      <c r="E23" s="22"/>
      <c r="F23" s="21" t="s">
        <v>34</v>
      </c>
      <c r="G23" s="22"/>
      <c r="H23" s="22"/>
      <c r="I23" s="7" t="s">
        <v>34</v>
      </c>
      <c r="J23" s="7" t="s">
        <v>34</v>
      </c>
      <c r="K23" s="7" t="s">
        <v>34</v>
      </c>
      <c r="L23" s="7" t="s">
        <v>34</v>
      </c>
      <c r="M23" s="21" t="s">
        <v>34</v>
      </c>
      <c r="N23" s="22"/>
      <c r="O23" s="7" t="s">
        <v>34</v>
      </c>
      <c r="P23" s="7" t="s">
        <v>34</v>
      </c>
      <c r="Q23" s="21" t="s">
        <v>34</v>
      </c>
      <c r="R23" s="22"/>
      <c r="S23" s="8" t="s">
        <v>34</v>
      </c>
      <c r="T23" s="21" t="s">
        <v>122</v>
      </c>
      <c r="U23" s="22"/>
      <c r="V23" s="9">
        <v>424.21</v>
      </c>
      <c r="W23" s="7" t="s">
        <v>34</v>
      </c>
      <c r="X23" s="7" t="s">
        <v>34</v>
      </c>
      <c r="Y23" s="7" t="s">
        <v>34</v>
      </c>
      <c r="Z23" s="7" t="s">
        <v>34</v>
      </c>
      <c r="AA23" s="7" t="s">
        <v>34</v>
      </c>
      <c r="AB23" s="7" t="s">
        <v>34</v>
      </c>
      <c r="AC23" s="7" t="s">
        <v>34</v>
      </c>
      <c r="AD23" s="7">
        <v>0</v>
      </c>
      <c r="AE23" s="7" t="s">
        <v>34</v>
      </c>
      <c r="AF23" s="7" t="s">
        <v>34</v>
      </c>
    </row>
    <row r="24" spans="1:32" ht="0" hidden="1" customHeight="1" x14ac:dyDescent="0.25"/>
  </sheetData>
  <mergeCells count="8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2633-F277-43FF-A2AA-64B000D894FB}">
  <dimension ref="A1:AJ16"/>
  <sheetViews>
    <sheetView tabSelected="1" workbookViewId="0">
      <selection activeCell="N2" sqref="N2:N15"/>
    </sheetView>
  </sheetViews>
  <sheetFormatPr defaultRowHeight="15" x14ac:dyDescent="0.25"/>
  <cols>
    <col min="1" max="1" width="17.140625" style="25" customWidth="1"/>
    <col min="2" max="2" width="19.5703125" style="25" bestFit="1" customWidth="1"/>
    <col min="3" max="3" width="13.7109375" style="25" customWidth="1"/>
    <col min="4" max="7" width="10.28515625" style="25" customWidth="1"/>
    <col min="8" max="8" width="19" style="25" bestFit="1" customWidth="1"/>
    <col min="9" max="9" width="12" style="25" customWidth="1"/>
    <col min="10" max="10" width="7.140625" style="25" bestFit="1" customWidth="1"/>
    <col min="11" max="11" width="10.28515625" style="25" customWidth="1"/>
    <col min="12" max="12" width="13.7109375" style="25" customWidth="1"/>
    <col min="13" max="13" width="13.7109375" style="25" bestFit="1" customWidth="1"/>
    <col min="14" max="14" width="12" style="25" customWidth="1"/>
    <col min="15" max="15" width="17.7109375" style="25" customWidth="1"/>
    <col min="16" max="16" width="17" style="25" customWidth="1"/>
    <col min="17" max="16384" width="9.140625" style="25"/>
  </cols>
  <sheetData>
    <row r="1" spans="1:36" ht="33.75" customHeight="1" x14ac:dyDescent="0.25">
      <c r="A1" s="3" t="s">
        <v>13</v>
      </c>
      <c r="B1" s="3" t="s">
        <v>14</v>
      </c>
      <c r="C1" s="3" t="s">
        <v>45</v>
      </c>
      <c r="D1" s="3" t="s">
        <v>15</v>
      </c>
      <c r="E1" s="3"/>
      <c r="F1" s="3"/>
      <c r="G1" s="3"/>
      <c r="H1" s="3" t="s">
        <v>17</v>
      </c>
      <c r="I1" s="3" t="s">
        <v>19</v>
      </c>
      <c r="J1" s="3" t="s">
        <v>47</v>
      </c>
      <c r="K1" s="24"/>
      <c r="L1" s="3" t="s">
        <v>3</v>
      </c>
      <c r="M1" s="3" t="s">
        <v>22</v>
      </c>
      <c r="N1" s="3" t="s">
        <v>23</v>
      </c>
      <c r="O1" s="3" t="s">
        <v>48</v>
      </c>
      <c r="P1" s="3" t="s">
        <v>49</v>
      </c>
    </row>
    <row r="2" spans="1:36" ht="15" customHeight="1" x14ac:dyDescent="0.25">
      <c r="A2" s="4" t="s">
        <v>104</v>
      </c>
      <c r="B2" s="4" t="s">
        <v>105</v>
      </c>
      <c r="C2" s="4" t="s">
        <v>53</v>
      </c>
      <c r="D2" s="4" t="s">
        <v>54</v>
      </c>
      <c r="E2" s="4">
        <f>DATEDIF(D2,C2,"M")</f>
        <v>8</v>
      </c>
      <c r="F2" s="4" t="s">
        <v>138</v>
      </c>
      <c r="G2" s="4" t="s">
        <v>139</v>
      </c>
      <c r="H2" s="4" t="s">
        <v>74</v>
      </c>
      <c r="I2" s="4">
        <v>11</v>
      </c>
      <c r="J2" s="5">
        <v>142.03</v>
      </c>
      <c r="L2" s="5">
        <v>15.62</v>
      </c>
      <c r="M2" s="4" t="s">
        <v>58</v>
      </c>
      <c r="N2" s="5">
        <v>15.62</v>
      </c>
      <c r="O2" s="4">
        <v>18710070</v>
      </c>
      <c r="P2" s="4" t="s">
        <v>107</v>
      </c>
      <c r="Q2" s="25" t="s">
        <v>133</v>
      </c>
    </row>
    <row r="3" spans="1:36" ht="15" customHeight="1" x14ac:dyDescent="0.25">
      <c r="A3" s="4" t="s">
        <v>51</v>
      </c>
      <c r="B3" s="4" t="s">
        <v>123</v>
      </c>
      <c r="C3" s="4" t="s">
        <v>53</v>
      </c>
      <c r="D3" s="4" t="s">
        <v>54</v>
      </c>
      <c r="E3" s="4">
        <f t="shared" ref="E3:E15" si="0">DATEDIF(D3,C3,"M")</f>
        <v>8</v>
      </c>
      <c r="F3" s="4" t="s">
        <v>138</v>
      </c>
      <c r="G3" s="4" t="s">
        <v>139</v>
      </c>
      <c r="H3" s="4" t="s">
        <v>56</v>
      </c>
      <c r="I3" s="4">
        <v>23</v>
      </c>
      <c r="J3" s="5">
        <v>115.87</v>
      </c>
      <c r="L3" s="5">
        <v>26.65</v>
      </c>
      <c r="M3" s="4" t="s">
        <v>58</v>
      </c>
      <c r="N3" s="5">
        <v>26.65</v>
      </c>
      <c r="O3" s="4">
        <v>17528908</v>
      </c>
      <c r="P3" s="4" t="s">
        <v>61</v>
      </c>
      <c r="Q3" s="25" t="s">
        <v>134</v>
      </c>
    </row>
    <row r="4" spans="1:36" ht="15" customHeight="1" x14ac:dyDescent="0.25">
      <c r="A4" s="4" t="s">
        <v>67</v>
      </c>
      <c r="B4" s="4" t="s">
        <v>124</v>
      </c>
      <c r="C4" s="4" t="s">
        <v>53</v>
      </c>
      <c r="D4" s="4" t="s">
        <v>54</v>
      </c>
      <c r="E4" s="4">
        <f t="shared" si="0"/>
        <v>8</v>
      </c>
      <c r="F4" s="4" t="s">
        <v>138</v>
      </c>
      <c r="G4" s="4" t="s">
        <v>139</v>
      </c>
      <c r="H4" s="4" t="s">
        <v>70</v>
      </c>
      <c r="I4" s="4">
        <v>23</v>
      </c>
      <c r="J4" s="5">
        <v>99.06</v>
      </c>
      <c r="L4" s="5">
        <v>22.78</v>
      </c>
      <c r="M4" s="4" t="s">
        <v>58</v>
      </c>
      <c r="N4" s="5">
        <v>22.78</v>
      </c>
      <c r="O4" s="4">
        <v>17528908</v>
      </c>
      <c r="P4" s="4" t="s">
        <v>61</v>
      </c>
      <c r="Q4" s="25" t="s">
        <v>134</v>
      </c>
    </row>
    <row r="5" spans="1:36" ht="15" customHeight="1" x14ac:dyDescent="0.25">
      <c r="A5" s="4" t="s">
        <v>76</v>
      </c>
      <c r="B5" s="4" t="s">
        <v>126</v>
      </c>
      <c r="C5" s="4" t="s">
        <v>53</v>
      </c>
      <c r="D5" s="4" t="s">
        <v>78</v>
      </c>
      <c r="E5" s="4">
        <f t="shared" si="0"/>
        <v>6</v>
      </c>
      <c r="F5" s="4" t="s">
        <v>138</v>
      </c>
      <c r="G5" s="4" t="s">
        <v>139</v>
      </c>
      <c r="H5" s="4" t="s">
        <v>70</v>
      </c>
      <c r="I5" s="4">
        <v>23</v>
      </c>
      <c r="J5" s="5">
        <v>123.83</v>
      </c>
      <c r="L5" s="5">
        <v>28.48</v>
      </c>
      <c r="M5" s="4" t="s">
        <v>58</v>
      </c>
      <c r="N5" s="5">
        <v>28.48</v>
      </c>
      <c r="O5" s="4" t="s">
        <v>131</v>
      </c>
      <c r="P5" s="4" t="s">
        <v>61</v>
      </c>
      <c r="Q5" s="25" t="s">
        <v>134</v>
      </c>
    </row>
    <row r="6" spans="1:36" ht="15" customHeight="1" x14ac:dyDescent="0.25">
      <c r="A6" s="4" t="s">
        <v>79</v>
      </c>
      <c r="B6" s="4" t="s">
        <v>127</v>
      </c>
      <c r="C6" s="4" t="s">
        <v>53</v>
      </c>
      <c r="D6" s="4" t="s">
        <v>81</v>
      </c>
      <c r="E6" s="4">
        <f t="shared" si="0"/>
        <v>1</v>
      </c>
      <c r="F6" s="4" t="s">
        <v>138</v>
      </c>
      <c r="G6" s="4" t="s">
        <v>139</v>
      </c>
      <c r="H6" s="4" t="s">
        <v>70</v>
      </c>
      <c r="I6" s="4">
        <v>23</v>
      </c>
      <c r="J6" s="5">
        <v>147.07</v>
      </c>
      <c r="L6" s="5">
        <v>33.83</v>
      </c>
      <c r="M6" s="4" t="s">
        <v>58</v>
      </c>
      <c r="N6" s="5">
        <v>33.83</v>
      </c>
      <c r="O6" s="4" t="s">
        <v>131</v>
      </c>
      <c r="P6" s="4" t="s">
        <v>61</v>
      </c>
      <c r="Q6" s="25" t="s">
        <v>134</v>
      </c>
    </row>
    <row r="7" spans="1:36" ht="15" customHeight="1" x14ac:dyDescent="0.25">
      <c r="A7" s="4" t="s">
        <v>82</v>
      </c>
      <c r="B7" s="4" t="s">
        <v>128</v>
      </c>
      <c r="C7" s="4" t="s">
        <v>53</v>
      </c>
      <c r="D7" s="4" t="s">
        <v>81</v>
      </c>
      <c r="E7" s="4">
        <f t="shared" si="0"/>
        <v>1</v>
      </c>
      <c r="F7" s="4" t="s">
        <v>138</v>
      </c>
      <c r="G7" s="4" t="s">
        <v>139</v>
      </c>
      <c r="H7" s="4" t="s">
        <v>70</v>
      </c>
      <c r="I7" s="4">
        <v>23</v>
      </c>
      <c r="J7" s="5">
        <v>108.47</v>
      </c>
      <c r="L7" s="5">
        <v>24.95</v>
      </c>
      <c r="M7" s="4" t="s">
        <v>58</v>
      </c>
      <c r="N7" s="5">
        <v>24.95</v>
      </c>
      <c r="O7" s="4" t="s">
        <v>131</v>
      </c>
      <c r="P7" s="4" t="s">
        <v>61</v>
      </c>
      <c r="Q7" s="25" t="s">
        <v>134</v>
      </c>
    </row>
    <row r="8" spans="1:36" ht="15" customHeight="1" x14ac:dyDescent="0.25">
      <c r="A8" s="4" t="s">
        <v>84</v>
      </c>
      <c r="B8" s="4" t="s">
        <v>129</v>
      </c>
      <c r="C8" s="4" t="s">
        <v>53</v>
      </c>
      <c r="D8" s="4" t="s">
        <v>86</v>
      </c>
      <c r="E8" s="4">
        <f t="shared" si="0"/>
        <v>3</v>
      </c>
      <c r="F8" s="4" t="s">
        <v>138</v>
      </c>
      <c r="G8" s="4" t="s">
        <v>139</v>
      </c>
      <c r="H8" s="4" t="s">
        <v>70</v>
      </c>
      <c r="I8" s="4">
        <v>23</v>
      </c>
      <c r="J8" s="5">
        <v>469.69</v>
      </c>
      <c r="L8" s="5">
        <v>108.03</v>
      </c>
      <c r="M8" s="4" t="s">
        <v>58</v>
      </c>
      <c r="N8" s="5">
        <v>108.03</v>
      </c>
      <c r="O8" s="4">
        <v>17425766</v>
      </c>
      <c r="P8" s="4" t="s">
        <v>89</v>
      </c>
      <c r="Q8" s="25" t="s">
        <v>134</v>
      </c>
    </row>
    <row r="9" spans="1:36" ht="15" customHeight="1" x14ac:dyDescent="0.25">
      <c r="A9" s="4" t="s">
        <v>95</v>
      </c>
      <c r="B9" s="4" t="s">
        <v>96</v>
      </c>
      <c r="C9" s="4" t="s">
        <v>97</v>
      </c>
      <c r="D9" s="4" t="s">
        <v>98</v>
      </c>
      <c r="E9" s="4">
        <f t="shared" si="0"/>
        <v>1</v>
      </c>
      <c r="F9" s="4" t="s">
        <v>138</v>
      </c>
      <c r="G9" s="4" t="s">
        <v>139</v>
      </c>
      <c r="H9" s="4" t="s">
        <v>70</v>
      </c>
      <c r="I9" s="4">
        <v>23</v>
      </c>
      <c r="J9" s="5">
        <v>195.86</v>
      </c>
      <c r="L9" s="5">
        <v>45.05</v>
      </c>
      <c r="M9" s="4" t="s">
        <v>58</v>
      </c>
      <c r="N9" s="5">
        <v>45.05</v>
      </c>
      <c r="O9" s="4">
        <v>18754354</v>
      </c>
      <c r="P9" s="4" t="s">
        <v>100</v>
      </c>
      <c r="Q9" s="25" t="s">
        <v>134</v>
      </c>
    </row>
    <row r="10" spans="1:36" ht="15" customHeight="1" x14ac:dyDescent="0.25">
      <c r="A10" s="4" t="s">
        <v>102</v>
      </c>
      <c r="B10" s="4" t="s">
        <v>103</v>
      </c>
      <c r="C10" s="4" t="s">
        <v>97</v>
      </c>
      <c r="D10" s="4" t="s">
        <v>98</v>
      </c>
      <c r="E10" s="4">
        <f t="shared" si="0"/>
        <v>1</v>
      </c>
      <c r="F10" s="4" t="s">
        <v>138</v>
      </c>
      <c r="G10" s="4" t="s">
        <v>139</v>
      </c>
      <c r="H10" s="4" t="s">
        <v>70</v>
      </c>
      <c r="I10" s="4">
        <v>23</v>
      </c>
      <c r="J10" s="5">
        <v>141.47</v>
      </c>
      <c r="L10" s="5">
        <v>32.54</v>
      </c>
      <c r="M10" s="4" t="s">
        <v>58</v>
      </c>
      <c r="N10" s="5">
        <v>32.54</v>
      </c>
      <c r="O10" s="4">
        <v>18754354</v>
      </c>
      <c r="P10" s="4" t="s">
        <v>100</v>
      </c>
      <c r="Q10" s="25" t="s">
        <v>134</v>
      </c>
    </row>
    <row r="11" spans="1:36" ht="15" customHeight="1" x14ac:dyDescent="0.25">
      <c r="A11" s="26" t="s">
        <v>111</v>
      </c>
      <c r="B11" s="26" t="s">
        <v>112</v>
      </c>
      <c r="C11" s="26" t="s">
        <v>113</v>
      </c>
      <c r="D11" s="26" t="s">
        <v>113</v>
      </c>
      <c r="E11" s="4">
        <f t="shared" si="0"/>
        <v>0</v>
      </c>
      <c r="F11" s="4" t="s">
        <v>140</v>
      </c>
      <c r="G11" s="26" t="s">
        <v>141</v>
      </c>
      <c r="H11" s="26" t="s">
        <v>70</v>
      </c>
      <c r="I11" s="26">
        <v>23</v>
      </c>
      <c r="J11" s="27">
        <v>156.51</v>
      </c>
      <c r="K11" s="28"/>
      <c r="L11" s="27">
        <v>36</v>
      </c>
      <c r="M11" s="26" t="s">
        <v>58</v>
      </c>
      <c r="N11" s="27">
        <v>36</v>
      </c>
      <c r="O11" s="26" t="s">
        <v>136</v>
      </c>
      <c r="P11" s="26" t="s">
        <v>115</v>
      </c>
      <c r="Q11" s="25" t="s">
        <v>134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spans="1:36" ht="15" customHeight="1" x14ac:dyDescent="0.25">
      <c r="A12" s="26" t="s">
        <v>116</v>
      </c>
      <c r="B12" s="26" t="s">
        <v>117</v>
      </c>
      <c r="C12" s="26" t="s">
        <v>118</v>
      </c>
      <c r="D12" s="26" t="s">
        <v>118</v>
      </c>
      <c r="E12" s="4">
        <f t="shared" si="0"/>
        <v>0</v>
      </c>
      <c r="F12" s="4" t="s">
        <v>140</v>
      </c>
      <c r="G12" s="26" t="s">
        <v>141</v>
      </c>
      <c r="H12" s="26" t="s">
        <v>70</v>
      </c>
      <c r="I12" s="26">
        <v>23</v>
      </c>
      <c r="J12" s="27">
        <v>157.22</v>
      </c>
      <c r="K12" s="28"/>
      <c r="L12" s="27">
        <v>36.159999999999997</v>
      </c>
      <c r="M12" s="26" t="s">
        <v>58</v>
      </c>
      <c r="N12" s="27">
        <v>36.159999999999997</v>
      </c>
      <c r="O12" s="26" t="s">
        <v>137</v>
      </c>
      <c r="P12" s="26" t="s">
        <v>120</v>
      </c>
      <c r="Q12" s="25" t="s">
        <v>134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spans="1:36" ht="15" customHeight="1" x14ac:dyDescent="0.25">
      <c r="A13" s="4" t="s">
        <v>71</v>
      </c>
      <c r="B13" s="4" t="s">
        <v>125</v>
      </c>
      <c r="C13" s="4" t="s">
        <v>53</v>
      </c>
      <c r="D13" s="4" t="s">
        <v>54</v>
      </c>
      <c r="E13" s="4">
        <f t="shared" si="0"/>
        <v>8</v>
      </c>
      <c r="F13" s="4" t="s">
        <v>138</v>
      </c>
      <c r="G13" s="4" t="s">
        <v>139</v>
      </c>
      <c r="H13" s="4" t="s">
        <v>74</v>
      </c>
      <c r="I13" s="4">
        <v>27</v>
      </c>
      <c r="J13" s="5">
        <v>65.66</v>
      </c>
      <c r="L13" s="5">
        <v>17.73</v>
      </c>
      <c r="M13" s="4" t="s">
        <v>58</v>
      </c>
      <c r="N13" s="5">
        <v>17.73</v>
      </c>
      <c r="O13" s="4">
        <v>17528908</v>
      </c>
      <c r="P13" s="4" t="s">
        <v>61</v>
      </c>
      <c r="Q13" s="25" t="s">
        <v>135</v>
      </c>
    </row>
    <row r="14" spans="1:36" s="28" customFormat="1" ht="15" customHeight="1" x14ac:dyDescent="0.25">
      <c r="A14" s="4" t="s">
        <v>90</v>
      </c>
      <c r="B14" s="4" t="s">
        <v>130</v>
      </c>
      <c r="C14" s="4" t="s">
        <v>53</v>
      </c>
      <c r="D14" s="4" t="s">
        <v>92</v>
      </c>
      <c r="E14" s="4">
        <f t="shared" si="0"/>
        <v>2</v>
      </c>
      <c r="F14" s="4" t="s">
        <v>138</v>
      </c>
      <c r="G14" s="4" t="s">
        <v>139</v>
      </c>
      <c r="H14" s="4" t="s">
        <v>74</v>
      </c>
      <c r="I14" s="4">
        <v>27</v>
      </c>
      <c r="J14" s="5">
        <v>-97.86</v>
      </c>
      <c r="K14" s="25"/>
      <c r="L14" s="5">
        <v>-26.42</v>
      </c>
      <c r="M14" s="4" t="s">
        <v>93</v>
      </c>
      <c r="N14" s="5">
        <v>-26.42</v>
      </c>
      <c r="O14" s="4">
        <v>17425766</v>
      </c>
      <c r="P14" s="4" t="s">
        <v>89</v>
      </c>
      <c r="Q14" s="25" t="s">
        <v>135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s="28" customFormat="1" ht="15" customHeight="1" x14ac:dyDescent="0.25">
      <c r="A15" s="4" t="s">
        <v>109</v>
      </c>
      <c r="B15" s="4" t="s">
        <v>110</v>
      </c>
      <c r="C15" s="4" t="s">
        <v>53</v>
      </c>
      <c r="D15" s="4" t="s">
        <v>92</v>
      </c>
      <c r="E15" s="4">
        <f t="shared" si="0"/>
        <v>2</v>
      </c>
      <c r="F15" s="4" t="s">
        <v>138</v>
      </c>
      <c r="G15" s="4" t="s">
        <v>139</v>
      </c>
      <c r="H15" s="4" t="s">
        <v>74</v>
      </c>
      <c r="I15" s="4">
        <v>27</v>
      </c>
      <c r="J15" s="5">
        <v>84.48</v>
      </c>
      <c r="K15" s="25"/>
      <c r="L15" s="5">
        <v>22.81</v>
      </c>
      <c r="M15" s="4" t="s">
        <v>58</v>
      </c>
      <c r="N15" s="5">
        <v>22.81</v>
      </c>
      <c r="O15" s="4" t="s">
        <v>132</v>
      </c>
      <c r="P15" s="4" t="s">
        <v>107</v>
      </c>
      <c r="Q15" s="25" t="s">
        <v>135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0" hidden="1" customHeight="1" x14ac:dyDescent="0.25"/>
  </sheetData>
  <sortState xmlns:xlrd2="http://schemas.microsoft.com/office/spreadsheetml/2017/richdata2" ref="A2:AJ15">
    <sortCondition ref="I2:I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2025-09-22T19:42:20Z</dcterms:created>
  <dcterms:modified xsi:type="dcterms:W3CDTF">2025-09-23T14:03:32Z</dcterms:modified>
</cp:coreProperties>
</file>