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igna Med Supp\2025\8-2-25 to 8-8-25\"/>
    </mc:Choice>
  </mc:AlternateContent>
  <xr:revisionPtr revIDLastSave="0" documentId="13_ncr:1_{F747FC33-9BB0-4E5D-B415-C251CF04BCAC}" xr6:coauthVersionLast="47" xr6:coauthVersionMax="47" xr10:uidLastSave="{00000000-0000-0000-0000-000000000000}"/>
  <bookViews>
    <workbookView xWindow="-57720" yWindow="-45" windowWidth="29040" windowHeight="15720" activeTab="1" xr2:uid="{00000000-000D-0000-FFFF-FFFF00000000}"/>
  </bookViews>
  <sheets>
    <sheet name="Document map" sheetId="1" r:id="rId1"/>
    <sheet name="Sheet2" sheetId="2" r:id="rId2"/>
    <sheet name="Sheet3" sheetId="3" r:id="rId3"/>
    <sheet name="Sheet4" sheetId="4" r:id="rId4"/>
    <sheet name="Sheet5" sheetId="5" r:id="rId5"/>
    <sheet name="Sheet1" sheetId="6" r:id="rId6"/>
    <sheet name="on hold" sheetId="7" r:id="rId7"/>
  </sheets>
  <definedNames>
    <definedName name="_xlnm.Print_Titles" localSheetId="1">Sheet2!$1:$5</definedName>
    <definedName name="_xlnm.Print_Titles" localSheetId="2">Sheet3!$1:$5</definedName>
    <definedName name="_xlnm.Print_Titles" localSheetId="3">Sheet4!$1:$5</definedName>
    <definedName name="_xlnm.Print_Titles" localSheetId="4">Sheet5!$1:$5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6" l="1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2" i="6"/>
  <c r="G2" i="7"/>
  <c r="I12" i="6"/>
  <c r="I13" i="6"/>
  <c r="I14" i="6"/>
  <c r="I15" i="6"/>
  <c r="I16" i="6"/>
  <c r="I17" i="6"/>
  <c r="I18" i="6"/>
  <c r="I33" i="6"/>
  <c r="I34" i="6"/>
  <c r="I2" i="6"/>
  <c r="I19" i="6"/>
  <c r="I20" i="6"/>
  <c r="I21" i="6"/>
  <c r="I22" i="6"/>
  <c r="I37" i="6"/>
  <c r="I38" i="6"/>
  <c r="I39" i="6"/>
  <c r="I40" i="6"/>
  <c r="I41" i="6"/>
  <c r="I42" i="6"/>
  <c r="I43" i="6"/>
  <c r="I44" i="6"/>
  <c r="I45" i="6"/>
  <c r="I4" i="6"/>
  <c r="I5" i="6"/>
  <c r="I6" i="6"/>
  <c r="I23" i="6"/>
  <c r="I35" i="6"/>
  <c r="I3" i="6"/>
  <c r="I7" i="6"/>
  <c r="I8" i="6"/>
  <c r="I36" i="6"/>
  <c r="I46" i="6"/>
  <c r="I24" i="6"/>
  <c r="I25" i="6"/>
  <c r="I26" i="6"/>
  <c r="I27" i="6"/>
  <c r="I28" i="6"/>
  <c r="I47" i="6"/>
  <c r="I48" i="6"/>
  <c r="I9" i="6"/>
  <c r="I10" i="6"/>
  <c r="I29" i="6"/>
  <c r="I30" i="6"/>
  <c r="I31" i="6"/>
  <c r="I32" i="6"/>
  <c r="I11" i="6"/>
</calcChain>
</file>

<file path=xl/sharedStrings.xml><?xml version="1.0" encoding="utf-8"?>
<sst xmlns="http://schemas.openxmlformats.org/spreadsheetml/2006/main" count="1669" uniqueCount="334">
  <si>
    <t>AgentCommissionReport</t>
  </si>
  <si>
    <t>Advances</t>
  </si>
  <si>
    <t>Earnings Summary</t>
  </si>
  <si>
    <t>Earnings</t>
  </si>
  <si>
    <t>AgentView Commission Report</t>
  </si>
  <si>
    <t xml:space="preserve">Agent Name:  MAIN LINE BENEFITS LLC                                                </t>
  </si>
  <si>
    <t>Report Period:  08/02/2025 to 08/08/2025</t>
  </si>
  <si>
    <t>Page 1 of 4</t>
  </si>
  <si>
    <t>Run Date:  8/8/2025 7:49:05 AM</t>
  </si>
  <si>
    <t>Agent ID(s): CB148613,CNHIC;</t>
  </si>
  <si>
    <t>Description:  Shows all advance and commission transactions for selected agent ID(s) during specified report period</t>
  </si>
  <si>
    <t>Agent ID</t>
  </si>
  <si>
    <t>Company</t>
  </si>
  <si>
    <t>Policy Number</t>
  </si>
  <si>
    <t>Insured Name</t>
  </si>
  <si>
    <t>Eff Date</t>
  </si>
  <si>
    <t>Plan</t>
  </si>
  <si>
    <r>
      <rPr>
        <b/>
        <sz val="8"/>
        <color rgb="FF000000"/>
        <rFont val="Arial"/>
        <family val="2"/>
      </rPr>
      <t xml:space="preserve">Marketing 
</t>
    </r>
    <r>
      <rPr>
        <b/>
        <sz val="8"/>
        <color rgb="FF000000"/>
        <rFont val="Arial"/>
        <family val="2"/>
      </rPr>
      <t>Name</t>
    </r>
  </si>
  <si>
    <t>Mode</t>
  </si>
  <si>
    <t>Rate</t>
  </si>
  <si>
    <t>Comm Premium</t>
  </si>
  <si>
    <t>Adv Amt</t>
  </si>
  <si>
    <t>Desc</t>
  </si>
  <si>
    <t>Comm Paid</t>
  </si>
  <si>
    <t>Cycle Date</t>
  </si>
  <si>
    <t>Writing Agent</t>
  </si>
  <si>
    <t>Writing Agent Name</t>
  </si>
  <si>
    <t>Under Writing Class</t>
  </si>
  <si>
    <t>Commission Option Code</t>
  </si>
  <si>
    <t>Internal Replacement Indicator</t>
  </si>
  <si>
    <t>Issue State</t>
  </si>
  <si>
    <t>Policy Advance Balance</t>
  </si>
  <si>
    <t>Group Name</t>
  </si>
  <si>
    <t>Transaction Desc</t>
  </si>
  <si>
    <t>CB148613</t>
  </si>
  <si>
    <t>CNHIC</t>
  </si>
  <si>
    <t>777777777777</t>
  </si>
  <si>
    <t/>
  </si>
  <si>
    <t>Recvr Exp / Appt Fee</t>
  </si>
  <si>
    <t>08/05/2025</t>
  </si>
  <si>
    <t xml:space="preserve">  </t>
  </si>
  <si>
    <t xml:space="preserve">NFNJCB148613 </t>
  </si>
  <si>
    <t xml:space="preserve">NFNJCB149532 </t>
  </si>
  <si>
    <t>Total Comm Paid</t>
  </si>
  <si>
    <t>Page 2 of 4</t>
  </si>
  <si>
    <t>Agt Id</t>
  </si>
  <si>
    <t>First Year</t>
  </si>
  <si>
    <t>Renewals</t>
  </si>
  <si>
    <t xml:space="preserve">CB148613                </t>
  </si>
  <si>
    <t>Totals</t>
  </si>
  <si>
    <t>Page 3 of 4</t>
  </si>
  <si>
    <t>Page 4 of 4</t>
  </si>
  <si>
    <t>Prem Due Date</t>
  </si>
  <si>
    <t>Dur Yr</t>
  </si>
  <si>
    <t xml:space="preserve"> Comm Premium</t>
  </si>
  <si>
    <t>Writing Agt</t>
  </si>
  <si>
    <t>Writing Agt Name</t>
  </si>
  <si>
    <t>60Y0188499</t>
  </si>
  <si>
    <t>TALCOTT LUTY, NANCY</t>
  </si>
  <si>
    <t>08/01/2025</t>
  </si>
  <si>
    <t>01/01/2025</t>
  </si>
  <si>
    <t>MSM21BM60N</t>
  </si>
  <si>
    <t xml:space="preserve">CNHIC MEDSUP STD PLAN N                 </t>
  </si>
  <si>
    <t>1</t>
  </si>
  <si>
    <t>Earnings Paid</t>
  </si>
  <si>
    <t>08/02/2025</t>
  </si>
  <si>
    <t>CB149532</t>
  </si>
  <si>
    <t>FOLEY,CAROL</t>
  </si>
  <si>
    <t>OE</t>
  </si>
  <si>
    <t>01</t>
  </si>
  <si>
    <t>NO</t>
  </si>
  <si>
    <t>UT</t>
  </si>
  <si>
    <t xml:space="preserve">             </t>
  </si>
  <si>
    <t>60Y0214173</t>
  </si>
  <si>
    <t>MYHRE, KEVEN</t>
  </si>
  <si>
    <t>05/01/2025</t>
  </si>
  <si>
    <t>3</t>
  </si>
  <si>
    <t>60Y0249377</t>
  </si>
  <si>
    <t>STOVER, EDWARD P</t>
  </si>
  <si>
    <t>09/01/2025</t>
  </si>
  <si>
    <t>MSM21BM60G</t>
  </si>
  <si>
    <t xml:space="preserve">CNHIC MEDSUP STD PLAN G                 </t>
  </si>
  <si>
    <t>MS</t>
  </si>
  <si>
    <t>60Y0250760</t>
  </si>
  <si>
    <t>KORB, RICHARD W</t>
  </si>
  <si>
    <t>07/04/2025</t>
  </si>
  <si>
    <t>NJ</t>
  </si>
  <si>
    <t>60Y0163682</t>
  </si>
  <si>
    <t>MAZOLA, THEODORE C</t>
  </si>
  <si>
    <t>CB149611</t>
  </si>
  <si>
    <t>YALE,JACOB</t>
  </si>
  <si>
    <t>UW</t>
  </si>
  <si>
    <t>IL</t>
  </si>
  <si>
    <t>60Y0163884</t>
  </si>
  <si>
    <t>MAZOLA, CLAUDIA J</t>
  </si>
  <si>
    <t>60Y0189045</t>
  </si>
  <si>
    <t>RICHARDSON, FELECIA</t>
  </si>
  <si>
    <t>03/01/2025</t>
  </si>
  <si>
    <t>MIM20BM60G</t>
  </si>
  <si>
    <t xml:space="preserve">CNHIC MEDSUP STD PLAN G (ISSUE AGE)     </t>
  </si>
  <si>
    <t>FL</t>
  </si>
  <si>
    <t>60Y0201255</t>
  </si>
  <si>
    <t>PARTAIN, CHARLES</t>
  </si>
  <si>
    <t>07/13/2025</t>
  </si>
  <si>
    <t>02/13/2025</t>
  </si>
  <si>
    <t>60Y0210358</t>
  </si>
  <si>
    <t>HOWE, REGINA</t>
  </si>
  <si>
    <t>60Y0219480</t>
  </si>
  <si>
    <t>HACK, JOSEPH</t>
  </si>
  <si>
    <t>AZ</t>
  </si>
  <si>
    <t>60Y0179103</t>
  </si>
  <si>
    <t>WALLS, BERNICE</t>
  </si>
  <si>
    <t>CB149612</t>
  </si>
  <si>
    <t>DEATON,PAMELA</t>
  </si>
  <si>
    <t>60Y0187364</t>
  </si>
  <si>
    <t>VANDORN, KATHERINE</t>
  </si>
  <si>
    <t>60Y0214224</t>
  </si>
  <si>
    <t>BREUER, SHARON</t>
  </si>
  <si>
    <t>60Y0231117</t>
  </si>
  <si>
    <t>COOPER, MARY</t>
  </si>
  <si>
    <t>06/01/2025</t>
  </si>
  <si>
    <t>60Y0256880</t>
  </si>
  <si>
    <t>BUTLER, ELIZABETH</t>
  </si>
  <si>
    <t>MSM21BM6HG</t>
  </si>
  <si>
    <t xml:space="preserve">PLAN HIGH DEDUCTIBLE G                  </t>
  </si>
  <si>
    <t>60Y0256847</t>
  </si>
  <si>
    <t>PYKA, WAYNE A</t>
  </si>
  <si>
    <t>CB149624</t>
  </si>
  <si>
    <t xml:space="preserve">PORTUGAL,STACEY,A         </t>
  </si>
  <si>
    <t>60Y0210387</t>
  </si>
  <si>
    <t>JOHNSON, MICHAEL</t>
  </si>
  <si>
    <t>07/01/2025</t>
  </si>
  <si>
    <t>04/01/2025</t>
  </si>
  <si>
    <t>CB149660</t>
  </si>
  <si>
    <t>DUNAVANT,MICHAEL</t>
  </si>
  <si>
    <t>60Y0235279</t>
  </si>
  <si>
    <t>LANCASTER, WARD</t>
  </si>
  <si>
    <t>60Y0168245</t>
  </si>
  <si>
    <t>LEVIN, MARY JANE</t>
  </si>
  <si>
    <t>12/01/2024</t>
  </si>
  <si>
    <t>CB149667</t>
  </si>
  <si>
    <t>HANSFORD,GREGORY</t>
  </si>
  <si>
    <t>60Y0190982</t>
  </si>
  <si>
    <t>DUNN, SARAH A</t>
  </si>
  <si>
    <t>MSM21BM60F</t>
  </si>
  <si>
    <t xml:space="preserve">CNHIC MEDSUP STD PLAN F                 </t>
  </si>
  <si>
    <t>GI</t>
  </si>
  <si>
    <t>02</t>
  </si>
  <si>
    <t>60Y0232619</t>
  </si>
  <si>
    <t>VEATH, ANDREW</t>
  </si>
  <si>
    <t>CB149668</t>
  </si>
  <si>
    <t>WALENGA,DALE</t>
  </si>
  <si>
    <t>60Y0241309</t>
  </si>
  <si>
    <t>ALTAMURA, ANNAMARIA</t>
  </si>
  <si>
    <t>60Y0241963</t>
  </si>
  <si>
    <t>OHAGAN, MEDALIT R</t>
  </si>
  <si>
    <t>60Y0257425</t>
  </si>
  <si>
    <t>ZITRON, ERIC A</t>
  </si>
  <si>
    <t>60Y0257429</t>
  </si>
  <si>
    <t>ZITRON, RANDI</t>
  </si>
  <si>
    <t>999999999999</t>
  </si>
  <si>
    <t>Applied to Neg Adv</t>
  </si>
  <si>
    <t>60Y0232660</t>
  </si>
  <si>
    <t>GOTTUNG, NANCY</t>
  </si>
  <si>
    <t>CB149763</t>
  </si>
  <si>
    <t>TAUGNER,CHRISTIAN</t>
  </si>
  <si>
    <t>60Y0233466</t>
  </si>
  <si>
    <t>GOTTUNG, ERIC</t>
  </si>
  <si>
    <t>60Y0239968</t>
  </si>
  <si>
    <t>THORNE, DANA</t>
  </si>
  <si>
    <t>60Y0239979</t>
  </si>
  <si>
    <t>THORNE, MARY</t>
  </si>
  <si>
    <t>60Y0243842</t>
  </si>
  <si>
    <t>CUELLAR, VICTOR M</t>
  </si>
  <si>
    <t>CB150640</t>
  </si>
  <si>
    <t xml:space="preserve">HERRERA-LARSEN,ESTHER,M         </t>
  </si>
  <si>
    <t>60Y0243844</t>
  </si>
  <si>
    <t>CUELLAR, ESTEFANIA</t>
  </si>
  <si>
    <t>60F0022662</t>
  </si>
  <si>
    <t>GABOURY, SANDRA L</t>
  </si>
  <si>
    <t>CB150846</t>
  </si>
  <si>
    <t>PETRUNGARO,ANDREA</t>
  </si>
  <si>
    <t>60F0022663</t>
  </si>
  <si>
    <t>GABOURY, ERNEST P</t>
  </si>
  <si>
    <t>60Y0191536</t>
  </si>
  <si>
    <t>FISHER, JEFFREY</t>
  </si>
  <si>
    <t>02/01/2025</t>
  </si>
  <si>
    <t>60Y0191537</t>
  </si>
  <si>
    <t>FISHER, AVIS</t>
  </si>
  <si>
    <t>60Y0243812</t>
  </si>
  <si>
    <t>RUTKOWSKI, JAMES J</t>
  </si>
  <si>
    <t>MSM20BM6WI</t>
  </si>
  <si>
    <t xml:space="preserve">CNHIC MEDSUP STD WISCONSIN              </t>
  </si>
  <si>
    <t>CB152470</t>
  </si>
  <si>
    <t>HODGMAN,TIMOTHY</t>
  </si>
  <si>
    <t>WI</t>
  </si>
  <si>
    <t>Total Commission Paid</t>
  </si>
  <si>
    <t>HE</t>
  </si>
  <si>
    <t xml:space="preserve">FLEXIBLE CHOICE DENTAL, VISION, HEARING </t>
  </si>
  <si>
    <t>DVH21BV600</t>
  </si>
  <si>
    <t>12Y0840803</t>
  </si>
  <si>
    <t>LOYAL-H&amp;L</t>
  </si>
  <si>
    <t>MANN, KHUSHDEEP</t>
  </si>
  <si>
    <t>12Y0811815</t>
  </si>
  <si>
    <t xml:space="preserve">LUMP SUM CANCER                         </t>
  </si>
  <si>
    <t>FDC14BS600</t>
  </si>
  <si>
    <t>03/24/2025</t>
  </si>
  <si>
    <t>06/24/2025</t>
  </si>
  <si>
    <t>RAPP, KEN</t>
  </si>
  <si>
    <t>12Y0807790</t>
  </si>
  <si>
    <t>PA</t>
  </si>
  <si>
    <t>CB149613</t>
  </si>
  <si>
    <t>DVH25BV600</t>
  </si>
  <si>
    <t>MCCORKLE,MICHELLE</t>
  </si>
  <si>
    <t>FLEX CHOICE DENTAL, VISION, HEARING PLUS</t>
  </si>
  <si>
    <t>MARCUSSEN, MARANDA</t>
  </si>
  <si>
    <t>12Y0872758</t>
  </si>
  <si>
    <t>OKAFOR, MARY</t>
  </si>
  <si>
    <t>12Y0753325</t>
  </si>
  <si>
    <t>INSKIPT,DEBORAH</t>
  </si>
  <si>
    <t>CB149530</t>
  </si>
  <si>
    <t>SAUERS REHN, PAULA</t>
  </si>
  <si>
    <t>12Y0841860</t>
  </si>
  <si>
    <t>PALERMO, SEAN</t>
  </si>
  <si>
    <t>12Y0837814</t>
  </si>
  <si>
    <t>FISCHER, MATTHEW</t>
  </si>
  <si>
    <t>12Y0789792</t>
  </si>
  <si>
    <t>SALLA, VALERIE</t>
  </si>
  <si>
    <t>12Y0763234</t>
  </si>
  <si>
    <t>STRAHLER, CARA</t>
  </si>
  <si>
    <t>12Y0742018</t>
  </si>
  <si>
    <t>11/01/2024</t>
  </si>
  <si>
    <t>FERNAU, SHEILA</t>
  </si>
  <si>
    <t>12Y0729071</t>
  </si>
  <si>
    <t>10/01/2024</t>
  </si>
  <si>
    <t>HEALEY, JOSEPH</t>
  </si>
  <si>
    <t>12Y0708440</t>
  </si>
  <si>
    <t>JASON - HOFFMANN - SYSCB148613</t>
  </si>
  <si>
    <t>CAROL - FOLEY - CB149532</t>
  </si>
  <si>
    <t>17528908N</t>
  </si>
  <si>
    <t>18710070N</t>
  </si>
  <si>
    <t>AV1</t>
  </si>
  <si>
    <t>CIC MEDSUP STD PLAN G, F</t>
  </si>
  <si>
    <t>CIC MedSup F&amp;G Under 65</t>
  </si>
  <si>
    <t>CIC MEDSUP STD PLAN G, F*</t>
  </si>
  <si>
    <t>CIC MEDSUP STD PLAN N</t>
  </si>
  <si>
    <t>Cigna Ancillary DVH Ages 18-89</t>
  </si>
  <si>
    <t>LY-LSHR-RD Flex Choice Heart Stroke Rider</t>
  </si>
  <si>
    <t>AE</t>
  </si>
  <si>
    <t>RN</t>
  </si>
  <si>
    <t>AV</t>
  </si>
  <si>
    <t>NB</t>
  </si>
  <si>
    <t>8325282AV6</t>
  </si>
  <si>
    <t>19645587AV6</t>
  </si>
  <si>
    <t>DUNN,</t>
  </si>
  <si>
    <t>SARAH</t>
  </si>
  <si>
    <t>GOTTUNG,</t>
  </si>
  <si>
    <t>NANCY</t>
  </si>
  <si>
    <t>GABOURY,</t>
  </si>
  <si>
    <t>SANDRA</t>
  </si>
  <si>
    <t>FISHER,</t>
  </si>
  <si>
    <t>AVIS</t>
  </si>
  <si>
    <t>ERNEST</t>
  </si>
  <si>
    <t>THORNE,</t>
  </si>
  <si>
    <t>DANA</t>
  </si>
  <si>
    <t>MARY</t>
  </si>
  <si>
    <t>RICHARDSON,</t>
  </si>
  <si>
    <t>FELECIA</t>
  </si>
  <si>
    <t>PARTAIN,</t>
  </si>
  <si>
    <t>CHARLES</t>
  </si>
  <si>
    <t>WALLS,</t>
  </si>
  <si>
    <t>BERNICE</t>
  </si>
  <si>
    <t>VANDORN,</t>
  </si>
  <si>
    <t>KATHERINE</t>
  </si>
  <si>
    <t>BREUER,</t>
  </si>
  <si>
    <t>SHARON</t>
  </si>
  <si>
    <t>COOPER,</t>
  </si>
  <si>
    <t>JOHNSON,</t>
  </si>
  <si>
    <t>MICHAEL</t>
  </si>
  <si>
    <t>LANCASTER,</t>
  </si>
  <si>
    <t>WARD</t>
  </si>
  <si>
    <t>STOVER,</t>
  </si>
  <si>
    <t>EDWARD</t>
  </si>
  <si>
    <t>KORB,</t>
  </si>
  <si>
    <t>RICHARD</t>
  </si>
  <si>
    <t>LEVIN,</t>
  </si>
  <si>
    <t>CUELLAR,</t>
  </si>
  <si>
    <t>VICTOR</t>
  </si>
  <si>
    <t>ESTEFANIA</t>
  </si>
  <si>
    <t>RUTKOWSKI,</t>
  </si>
  <si>
    <t>JAMES</t>
  </si>
  <si>
    <t>JEFFREY</t>
  </si>
  <si>
    <t>VEATH,</t>
  </si>
  <si>
    <t>ANDREW</t>
  </si>
  <si>
    <t>ALTAMURA,</t>
  </si>
  <si>
    <t>ANNAMARIA</t>
  </si>
  <si>
    <t>OHAGAN,</t>
  </si>
  <si>
    <t>MEDALIT</t>
  </si>
  <si>
    <t>ZITRON,</t>
  </si>
  <si>
    <t>ERIC</t>
  </si>
  <si>
    <t>RANDI</t>
  </si>
  <si>
    <t>MAZOLA,</t>
  </si>
  <si>
    <t>THEODORE</t>
  </si>
  <si>
    <t>CLAUDIA</t>
  </si>
  <si>
    <t>HOWE,</t>
  </si>
  <si>
    <t>REGINA</t>
  </si>
  <si>
    <t>HACK,</t>
  </si>
  <si>
    <t>JOSEPH</t>
  </si>
  <si>
    <t>TALCOTT</t>
  </si>
  <si>
    <t>LUTY,</t>
  </si>
  <si>
    <t>MYHRE,</t>
  </si>
  <si>
    <t>KEVEN</t>
  </si>
  <si>
    <t>PYKA,</t>
  </si>
  <si>
    <t>WAYNE</t>
  </si>
  <si>
    <t>HEALEY,</t>
  </si>
  <si>
    <t>FERNAU,</t>
  </si>
  <si>
    <t>SHEILA</t>
  </si>
  <si>
    <t>STRAHLER,</t>
  </si>
  <si>
    <t>CARA</t>
  </si>
  <si>
    <t>SALLA,</t>
  </si>
  <si>
    <t>VALERIE</t>
  </si>
  <si>
    <t>FISCHER,</t>
  </si>
  <si>
    <t>MATTHEW</t>
  </si>
  <si>
    <t>PALERMO,</t>
  </si>
  <si>
    <t>SEAN</t>
  </si>
  <si>
    <t>SAUERS</t>
  </si>
  <si>
    <t>REHN,</t>
  </si>
  <si>
    <t>OKAFOR,</t>
  </si>
  <si>
    <t>MARCUSSEN,</t>
  </si>
  <si>
    <t>MARANDA</t>
  </si>
  <si>
    <t>MANN,</t>
  </si>
  <si>
    <t>KHUSHDEEP</t>
  </si>
  <si>
    <t>RAPP,</t>
  </si>
  <si>
    <t>KEN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</si>
</sst>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&quot;$&quot;#,##0.00;\(&quot;$&quot;#,##0.00\)"/>
  </numFmts>
  <fonts count="11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0"/>
      <color rgb="FF000000"/>
      <name val="Arial"/>
      <family val="2"/>
    </font>
    <font>
      <u/>
      <sz val="10"/>
      <color rgb="FF0000FF"/>
      <name val="Arial"/>
      <family val="2"/>
    </font>
    <font>
      <b/>
      <sz val="16"/>
      <color rgb="FF000000"/>
      <name val="Arial Black"/>
      <family val="2"/>
    </font>
    <font>
      <b/>
      <sz val="8"/>
      <color rgb="FF000000"/>
      <name val="Arial"/>
      <family val="2"/>
    </font>
    <font>
      <b/>
      <u/>
      <sz val="12"/>
      <color rgb="FF000000"/>
      <name val="Arial"/>
      <family val="2"/>
    </font>
    <font>
      <sz val="8"/>
      <color rgb="FF000000"/>
      <name val="Arial"/>
      <family val="2"/>
    </font>
    <font>
      <b/>
      <sz val="10"/>
      <color rgb="FF000000"/>
      <name val="Arial"/>
      <family val="2"/>
    </font>
    <font>
      <sz val="8"/>
      <color rgb="FFFF0000"/>
      <name val="Arial"/>
      <family val="2"/>
    </font>
    <font>
      <sz val="11"/>
      <color rgb="FFFF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9">
    <xf numFmtId="0" fontId="1" fillId="0" borderId="0" xfId="0" applyFont="1"/>
    <xf numFmtId="0" fontId="5" fillId="0" borderId="0" xfId="0" applyFont="1" applyAlignment="1">
      <alignment vertical="top" wrapText="1" readingOrder="1"/>
    </xf>
    <xf numFmtId="0" fontId="1" fillId="0" borderId="1" xfId="0" applyFont="1" applyBorder="1" applyAlignment="1">
      <alignment vertical="top" wrapText="1"/>
    </xf>
    <xf numFmtId="0" fontId="5" fillId="0" borderId="2" xfId="0" applyFont="1" applyBorder="1" applyAlignment="1">
      <alignment horizontal="left" vertical="top" wrapText="1" readingOrder="1"/>
    </xf>
    <xf numFmtId="0" fontId="7" fillId="0" borderId="0" xfId="0" applyFont="1" applyAlignment="1">
      <alignment horizontal="left" vertical="top" wrapText="1" readingOrder="1"/>
    </xf>
    <xf numFmtId="164" fontId="7" fillId="0" borderId="0" xfId="0" applyNumberFormat="1" applyFont="1" applyAlignment="1">
      <alignment horizontal="left" vertical="top" wrapText="1" readingOrder="1"/>
    </xf>
    <xf numFmtId="0" fontId="7" fillId="0" borderId="0" xfId="0" applyFont="1" applyAlignment="1">
      <alignment vertical="top" wrapText="1" readingOrder="1"/>
    </xf>
    <xf numFmtId="164" fontId="5" fillId="0" borderId="2" xfId="0" applyNumberFormat="1" applyFont="1" applyBorder="1" applyAlignment="1">
      <alignment horizontal="left" vertical="top" wrapText="1" readingOrder="1"/>
    </xf>
    <xf numFmtId="0" fontId="8" fillId="0" borderId="3" xfId="0" applyFont="1" applyBorder="1" applyAlignment="1">
      <alignment horizontal="left" vertical="top" wrapText="1" readingOrder="1"/>
    </xf>
    <xf numFmtId="0" fontId="8" fillId="0" borderId="3" xfId="0" applyFont="1" applyBorder="1" applyAlignment="1">
      <alignment horizontal="right" vertical="top" textRotation="180" wrapText="1" readingOrder="2"/>
    </xf>
    <xf numFmtId="164" fontId="8" fillId="0" borderId="3" xfId="0" applyNumberFormat="1" applyFont="1" applyBorder="1" applyAlignment="1">
      <alignment horizontal="left" vertical="top" wrapText="1" readingOrder="1"/>
    </xf>
    <xf numFmtId="0" fontId="0" fillId="0" borderId="0" xfId="0"/>
    <xf numFmtId="0" fontId="1" fillId="0" borderId="0" xfId="0" applyFont="1" applyAlignment="1">
      <alignment horizontal="left"/>
    </xf>
    <xf numFmtId="0" fontId="7" fillId="2" borderId="0" xfId="0" applyFont="1" applyFill="1" applyAlignment="1">
      <alignment horizontal="left" vertical="top" wrapText="1" readingOrder="1"/>
    </xf>
    <xf numFmtId="164" fontId="7" fillId="2" borderId="0" xfId="0" applyNumberFormat="1" applyFont="1" applyFill="1" applyAlignment="1">
      <alignment horizontal="left" vertical="top" wrapText="1" readingOrder="1"/>
    </xf>
    <xf numFmtId="0" fontId="1" fillId="2" borderId="0" xfId="0" applyFont="1" applyFill="1" applyAlignment="1">
      <alignment horizontal="left"/>
    </xf>
    <xf numFmtId="0" fontId="9" fillId="2" borderId="0" xfId="0" applyFont="1" applyFill="1" applyAlignment="1">
      <alignment horizontal="left" vertical="top" wrapText="1" readingOrder="1"/>
    </xf>
    <xf numFmtId="164" fontId="9" fillId="2" borderId="0" xfId="0" applyNumberFormat="1" applyFont="1" applyFill="1" applyAlignment="1">
      <alignment horizontal="left" vertical="top" wrapText="1" readingOrder="1"/>
    </xf>
    <xf numFmtId="0" fontId="10" fillId="2" borderId="0" xfId="0" applyFont="1" applyFill="1" applyAlignment="1">
      <alignment horizontal="left"/>
    </xf>
    <xf numFmtId="0" fontId="1" fillId="2" borderId="0" xfId="0" applyFont="1" applyFill="1"/>
    <xf numFmtId="0" fontId="2" fillId="0" borderId="0" xfId="0" applyFont="1" applyAlignment="1">
      <alignment vertical="top" wrapText="1"/>
    </xf>
    <xf numFmtId="0" fontId="1" fillId="0" borderId="0" xfId="0" applyFont="1"/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left" vertical="top" wrapText="1" readingOrder="1"/>
    </xf>
    <xf numFmtId="0" fontId="5" fillId="0" borderId="2" xfId="0" applyFont="1" applyBorder="1" applyAlignment="1">
      <alignment horizontal="left" vertical="top" wrapText="1" readingOrder="1"/>
    </xf>
    <xf numFmtId="0" fontId="1" fillId="0" borderId="2" xfId="0" applyFont="1" applyBorder="1" applyAlignment="1">
      <alignment vertical="top" wrapText="1"/>
    </xf>
    <xf numFmtId="0" fontId="7" fillId="0" borderId="5" xfId="0" applyFont="1" applyBorder="1" applyAlignment="1">
      <alignment horizontal="left" vertical="top" wrapText="1" readingOrder="1"/>
    </xf>
    <xf numFmtId="164" fontId="7" fillId="0" borderId="0" xfId="0" applyNumberFormat="1" applyFont="1" applyAlignment="1">
      <alignment horizontal="left" vertical="top" wrapText="1" readingOrder="1"/>
    </xf>
    <xf numFmtId="0" fontId="7" fillId="0" borderId="4" xfId="0" applyFont="1" applyBorder="1" applyAlignment="1">
      <alignment horizontal="left" vertical="top" wrapText="1" readingOrder="1"/>
    </xf>
    <xf numFmtId="0" fontId="6" fillId="0" borderId="0" xfId="0" applyFont="1" applyAlignment="1">
      <alignment vertical="top" wrapText="1" readingOrder="1"/>
    </xf>
    <xf numFmtId="0" fontId="4" fillId="0" borderId="0" xfId="0" applyFont="1" applyAlignment="1">
      <alignment horizontal="center" vertical="top" wrapText="1" readingOrder="1"/>
    </xf>
    <xf numFmtId="0" fontId="5" fillId="0" borderId="0" xfId="0" applyFont="1" applyAlignment="1">
      <alignment vertical="top" wrapText="1" readingOrder="1"/>
    </xf>
    <xf numFmtId="0" fontId="5" fillId="0" borderId="0" xfId="0" applyFont="1" applyAlignment="1">
      <alignment horizontal="center" vertical="top" wrapText="1" readingOrder="1"/>
    </xf>
    <xf numFmtId="0" fontId="1" fillId="0" borderId="1" xfId="0" applyFont="1" applyBorder="1" applyAlignment="1">
      <alignment vertical="top" wrapText="1"/>
    </xf>
    <xf numFmtId="0" fontId="8" fillId="0" borderId="3" xfId="0" applyFont="1" applyBorder="1" applyAlignment="1">
      <alignment horizontal="left" vertical="top" wrapText="1" readingOrder="1"/>
    </xf>
    <xf numFmtId="0" fontId="1" fillId="0" borderId="3" xfId="0" applyFont="1" applyBorder="1" applyAlignment="1">
      <alignment vertical="top" wrapText="1"/>
    </xf>
    <xf numFmtId="0" fontId="7" fillId="2" borderId="0" xfId="0" applyFont="1" applyFill="1" applyAlignment="1">
      <alignment horizontal="left" vertical="top" wrapText="1" readingOrder="1"/>
    </xf>
    <xf numFmtId="0" fontId="1" fillId="2" borderId="0" xfId="0" applyFont="1" applyFill="1"/>
    <xf numFmtId="164" fontId="7" fillId="2" borderId="0" xfId="0" applyNumberFormat="1" applyFont="1" applyFill="1" applyAlignment="1">
      <alignment horizontal="left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FF"/>
      <rgbColor rgb="00000000"/>
      <rgbColor rgb="00FF0000"/>
      <rgbColor rgb="0000FF00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G32"/>
  <sheetViews>
    <sheetView showGridLines="0" workbookViewId="0">
      <selection sqref="A1:AG1"/>
    </sheetView>
  </sheetViews>
  <sheetFormatPr defaultRowHeight="15" outlineLevelRow="1" x14ac:dyDescent="0.25"/>
  <cols>
    <col min="1" max="16383" width="3.85546875" customWidth="1"/>
  </cols>
  <sheetData>
    <row r="1" spans="1:33" ht="12" customHeight="1" x14ac:dyDescent="0.25">
      <c r="A1" s="20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</row>
    <row r="2" spans="1:33" ht="12" customHeight="1" outlineLevel="1" x14ac:dyDescent="0.25">
      <c r="B2" s="22" t="s">
        <v>1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</row>
    <row r="3" spans="1:33" ht="12" customHeight="1" outlineLevel="1" x14ac:dyDescent="0.25">
      <c r="B3" s="22" t="s">
        <v>2</v>
      </c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</row>
    <row r="4" spans="1:33" ht="12" customHeight="1" outlineLevel="1" x14ac:dyDescent="0.25">
      <c r="B4" s="22" t="s">
        <v>3</v>
      </c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</row>
    <row r="5" spans="1:33" ht="0" hidden="1" customHeight="1" x14ac:dyDescent="0.25"/>
    <row r="6" spans="1:33" ht="0" hidden="1" customHeight="1" x14ac:dyDescent="0.25"/>
    <row r="7" spans="1:33" ht="0" hidden="1" customHeight="1" x14ac:dyDescent="0.25"/>
    <row r="8" spans="1:33" ht="0" hidden="1" customHeight="1" x14ac:dyDescent="0.25"/>
    <row r="9" spans="1:33" ht="0" hidden="1" customHeight="1" x14ac:dyDescent="0.25"/>
    <row r="10" spans="1:33" ht="0" hidden="1" customHeight="1" x14ac:dyDescent="0.25"/>
    <row r="11" spans="1:33" ht="0" hidden="1" customHeight="1" x14ac:dyDescent="0.25"/>
    <row r="12" spans="1:33" ht="0" hidden="1" customHeight="1" x14ac:dyDescent="0.25"/>
    <row r="13" spans="1:33" ht="0" hidden="1" customHeight="1" x14ac:dyDescent="0.25"/>
    <row r="14" spans="1:33" ht="0" hidden="1" customHeight="1" x14ac:dyDescent="0.25"/>
    <row r="15" spans="1:33" ht="0" hidden="1" customHeight="1" x14ac:dyDescent="0.25"/>
    <row r="16" spans="1:33" ht="0" hidden="1" customHeight="1" x14ac:dyDescent="0.25"/>
    <row r="17" ht="0" hidden="1" customHeight="1" x14ac:dyDescent="0.25"/>
    <row r="18" ht="0" hidden="1" customHeight="1" x14ac:dyDescent="0.25"/>
    <row r="19" ht="0" hidden="1" customHeight="1" x14ac:dyDescent="0.25"/>
    <row r="20" ht="0" hidden="1" customHeight="1" x14ac:dyDescent="0.25"/>
    <row r="21" ht="0" hidden="1" customHeight="1" x14ac:dyDescent="0.25"/>
    <row r="22" ht="0" hidden="1" customHeight="1" x14ac:dyDescent="0.25"/>
    <row r="23" ht="0" hidden="1" customHeight="1" x14ac:dyDescent="0.25"/>
    <row r="24" ht="0" hidden="1" customHeight="1" x14ac:dyDescent="0.25"/>
    <row r="25" ht="0" hidden="1" customHeight="1" x14ac:dyDescent="0.25"/>
    <row r="26" ht="0" hidden="1" customHeight="1" x14ac:dyDescent="0.25"/>
    <row r="27" ht="0" hidden="1" customHeight="1" x14ac:dyDescent="0.25"/>
    <row r="28" ht="0" hidden="1" customHeight="1" x14ac:dyDescent="0.25"/>
    <row r="29" ht="0" hidden="1" customHeight="1" x14ac:dyDescent="0.25"/>
    <row r="30" ht="0" hidden="1" customHeight="1" x14ac:dyDescent="0.25"/>
    <row r="31" ht="0" hidden="1" customHeight="1" x14ac:dyDescent="0.25"/>
    <row r="32" ht="0" hidden="1" customHeight="1" x14ac:dyDescent="0.25"/>
  </sheetData>
  <mergeCells count="4">
    <mergeCell ref="A1:AG1"/>
    <mergeCell ref="B2:AG2"/>
    <mergeCell ref="B3:AG3"/>
    <mergeCell ref="B4:AG4"/>
  </mergeCells>
  <hyperlinks>
    <hyperlink ref="B2" location="'Sheet2'!A6" display="Advances" xr:uid="{00000000-0004-0000-0000-000000000000}"/>
    <hyperlink ref="B3" location="'Sheet3'!A6" display="Earnings Summary" xr:uid="{00000000-0004-0000-0000-000001000000}"/>
    <hyperlink ref="B4" location="'Sheet5'!A6" display="Earnings" xr:uid="{00000000-0004-0000-0000-000002000000}"/>
  </hyperlinks>
  <pageMargins left="0.7" right="0.7" top="0.75" bottom="0.75" header="0.3" footer="0.3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2"/>
  <sheetViews>
    <sheetView showGridLines="0" tabSelected="1" workbookViewId="0">
      <pane ySplit="5" topLeftCell="A6" activePane="bottomLeft" state="frozen"/>
      <selection pane="bottomLeft" activeCell="A18" sqref="A18"/>
    </sheetView>
  </sheetViews>
  <sheetFormatPr defaultRowHeight="15" x14ac:dyDescent="0.25"/>
  <cols>
    <col min="1" max="1" width="25.42578125" customWidth="1"/>
    <col min="2" max="2" width="17.140625" customWidth="1"/>
    <col min="3" max="3" width="13.7109375" customWidth="1"/>
    <col min="4" max="4" width="5.140625" customWidth="1"/>
    <col min="5" max="5" width="3.42578125" customWidth="1"/>
    <col min="6" max="6" width="0.140625" customWidth="1"/>
    <col min="7" max="7" width="2" customWidth="1"/>
    <col min="8" max="8" width="33.85546875" customWidth="1"/>
    <col min="9" max="9" width="10.28515625" customWidth="1"/>
    <col min="10" max="10" width="18.85546875" customWidth="1"/>
    <col min="11" max="11" width="13.7109375" customWidth="1"/>
    <col min="12" max="12" width="6.85546875" customWidth="1"/>
    <col min="13" max="13" width="4.7109375" customWidth="1"/>
    <col min="14" max="14" width="7.28515625" customWidth="1"/>
    <col min="15" max="15" width="1.7109375" customWidth="1"/>
    <col min="16" max="16" width="15.42578125" customWidth="1"/>
    <col min="17" max="17" width="1.7109375" customWidth="1"/>
    <col min="18" max="18" width="12" customWidth="1"/>
    <col min="19" max="19" width="18.85546875" customWidth="1"/>
    <col min="20" max="20" width="6.85546875" customWidth="1"/>
    <col min="21" max="22" width="13.7109375" customWidth="1"/>
    <col min="23" max="23" width="20.42578125" customWidth="1"/>
    <col min="24" max="32" width="13.7109375" customWidth="1"/>
  </cols>
  <sheetData>
    <row r="1" spans="1:32" ht="27" customHeight="1" x14ac:dyDescent="0.25">
      <c r="A1" s="30" t="s">
        <v>4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</row>
    <row r="2" spans="1:32" x14ac:dyDescent="0.25">
      <c r="A2" s="31" t="s">
        <v>5</v>
      </c>
      <c r="B2" s="21"/>
      <c r="C2" s="21"/>
      <c r="H2" s="32" t="s">
        <v>6</v>
      </c>
      <c r="I2" s="21"/>
      <c r="J2" s="21"/>
      <c r="K2" s="21"/>
      <c r="L2" s="21"/>
      <c r="M2" s="21"/>
      <c r="R2" s="31" t="s">
        <v>7</v>
      </c>
      <c r="S2" s="21"/>
    </row>
    <row r="3" spans="1:32" x14ac:dyDescent="0.25">
      <c r="A3" s="21"/>
      <c r="B3" s="21"/>
      <c r="C3" s="21"/>
      <c r="H3" s="21"/>
      <c r="I3" s="21"/>
      <c r="J3" s="21"/>
      <c r="K3" s="21"/>
      <c r="L3" s="21"/>
      <c r="M3" s="21"/>
      <c r="R3" s="31" t="s">
        <v>8</v>
      </c>
      <c r="S3" s="21"/>
    </row>
    <row r="4" spans="1:32" x14ac:dyDescent="0.25">
      <c r="A4" s="31" t="s">
        <v>9</v>
      </c>
      <c r="B4" s="21"/>
      <c r="C4" s="21"/>
      <c r="D4" s="21"/>
      <c r="E4" s="32" t="s">
        <v>10</v>
      </c>
      <c r="F4" s="21"/>
      <c r="G4" s="21"/>
      <c r="H4" s="21"/>
      <c r="I4" s="21"/>
      <c r="J4" s="21"/>
      <c r="K4" s="21"/>
      <c r="L4" s="21"/>
      <c r="M4" s="21"/>
      <c r="N4" s="21"/>
      <c r="O4" s="21"/>
      <c r="R4" s="21"/>
      <c r="S4" s="21"/>
    </row>
    <row r="5" spans="1:32" x14ac:dyDescent="0.25">
      <c r="A5" s="33"/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</row>
    <row r="6" spans="1:32" ht="18" customHeight="1" x14ac:dyDescent="0.25">
      <c r="A6" s="29" t="s">
        <v>1</v>
      </c>
      <c r="B6" s="21"/>
      <c r="C6" s="21"/>
      <c r="D6" s="21"/>
      <c r="E6" s="21"/>
    </row>
    <row r="7" spans="1:32" ht="9" customHeight="1" x14ac:dyDescent="0.25"/>
    <row r="8" spans="1:32" ht="33.75" x14ac:dyDescent="0.25">
      <c r="A8" s="3" t="s">
        <v>11</v>
      </c>
      <c r="B8" s="3" t="s">
        <v>12</v>
      </c>
      <c r="C8" s="24" t="s">
        <v>13</v>
      </c>
      <c r="D8" s="25"/>
      <c r="E8" s="25"/>
      <c r="F8" s="25"/>
      <c r="G8" s="24" t="s">
        <v>14</v>
      </c>
      <c r="H8" s="25"/>
      <c r="I8" s="3" t="s">
        <v>15</v>
      </c>
      <c r="J8" s="3" t="s">
        <v>16</v>
      </c>
      <c r="K8" s="3" t="s">
        <v>17</v>
      </c>
      <c r="L8" s="3" t="s">
        <v>18</v>
      </c>
      <c r="M8" s="24" t="s">
        <v>19</v>
      </c>
      <c r="N8" s="25"/>
      <c r="O8" s="24" t="s">
        <v>20</v>
      </c>
      <c r="P8" s="25"/>
      <c r="Q8" s="24" t="s">
        <v>21</v>
      </c>
      <c r="R8" s="25"/>
      <c r="S8" s="24" t="s">
        <v>22</v>
      </c>
      <c r="T8" s="25"/>
      <c r="U8" s="3" t="s">
        <v>23</v>
      </c>
      <c r="V8" s="3" t="s">
        <v>24</v>
      </c>
      <c r="W8" s="3" t="s">
        <v>25</v>
      </c>
      <c r="X8" s="3" t="s">
        <v>26</v>
      </c>
      <c r="Y8" s="3" t="s">
        <v>27</v>
      </c>
      <c r="Z8" s="3" t="s">
        <v>28</v>
      </c>
      <c r="AA8" s="3" t="s">
        <v>29</v>
      </c>
      <c r="AB8" s="3" t="s">
        <v>30</v>
      </c>
      <c r="AC8" s="3" t="s">
        <v>31</v>
      </c>
      <c r="AD8" s="3" t="s">
        <v>32</v>
      </c>
      <c r="AE8" s="3" t="s">
        <v>33</v>
      </c>
    </row>
    <row r="9" spans="1:32" x14ac:dyDescent="0.25">
      <c r="A9" s="11" t="s">
        <v>237</v>
      </c>
      <c r="B9" s="4" t="s">
        <v>35</v>
      </c>
      <c r="C9" s="23" t="s">
        <v>36</v>
      </c>
      <c r="D9" s="21"/>
      <c r="E9" s="21"/>
      <c r="F9" s="21"/>
      <c r="G9" s="28" t="s">
        <v>37</v>
      </c>
      <c r="H9" s="28"/>
      <c r="I9" s="4"/>
      <c r="J9" s="6" t="s">
        <v>41</v>
      </c>
      <c r="K9" s="4"/>
      <c r="L9" s="4" t="s">
        <v>37</v>
      </c>
      <c r="M9" s="23">
        <v>0</v>
      </c>
      <c r="N9" s="21"/>
      <c r="O9" s="27">
        <v>0</v>
      </c>
      <c r="P9" s="21"/>
      <c r="Q9" s="27">
        <v>0</v>
      </c>
      <c r="R9" s="21"/>
      <c r="S9" s="23" t="s">
        <v>38</v>
      </c>
      <c r="T9" s="21"/>
      <c r="U9" s="5">
        <v>-25</v>
      </c>
      <c r="V9" s="4" t="s">
        <v>39</v>
      </c>
      <c r="W9" s="6" t="s">
        <v>34</v>
      </c>
      <c r="X9" s="6" t="s">
        <v>37</v>
      </c>
      <c r="Y9" s="6"/>
      <c r="Z9" s="6"/>
      <c r="AA9" s="6"/>
      <c r="AB9" s="6" t="s">
        <v>40</v>
      </c>
      <c r="AC9" s="6">
        <v>0</v>
      </c>
      <c r="AD9" s="6"/>
      <c r="AE9" s="6" t="s">
        <v>41</v>
      </c>
    </row>
    <row r="10" spans="1:32" x14ac:dyDescent="0.25">
      <c r="A10" s="11" t="s">
        <v>238</v>
      </c>
      <c r="B10" s="4" t="s">
        <v>35</v>
      </c>
      <c r="C10" s="23" t="s">
        <v>36</v>
      </c>
      <c r="D10" s="21"/>
      <c r="E10" s="21"/>
      <c r="F10" s="21"/>
      <c r="G10" s="26" t="s">
        <v>37</v>
      </c>
      <c r="H10" s="26"/>
      <c r="I10" s="4"/>
      <c r="J10" s="6" t="s">
        <v>42</v>
      </c>
      <c r="K10" s="4"/>
      <c r="L10" s="4" t="s">
        <v>37</v>
      </c>
      <c r="M10" s="23">
        <v>0</v>
      </c>
      <c r="N10" s="21"/>
      <c r="O10" s="27">
        <v>0</v>
      </c>
      <c r="P10" s="21"/>
      <c r="Q10" s="27">
        <v>0</v>
      </c>
      <c r="R10" s="21"/>
      <c r="S10" s="23" t="s">
        <v>38</v>
      </c>
      <c r="T10" s="21"/>
      <c r="U10" s="5">
        <v>-25</v>
      </c>
      <c r="V10" s="4" t="s">
        <v>39</v>
      </c>
      <c r="W10" s="6" t="s">
        <v>34</v>
      </c>
      <c r="X10" s="6" t="s">
        <v>37</v>
      </c>
      <c r="Y10" s="6"/>
      <c r="Z10" s="6"/>
      <c r="AA10" s="6"/>
      <c r="AB10" s="6" t="s">
        <v>40</v>
      </c>
      <c r="AC10" s="6">
        <v>0</v>
      </c>
      <c r="AD10" s="6"/>
      <c r="AE10" s="6" t="s">
        <v>42</v>
      </c>
    </row>
    <row r="11" spans="1:32" x14ac:dyDescent="0.25">
      <c r="A11" s="3" t="s">
        <v>37</v>
      </c>
      <c r="B11" s="3" t="s">
        <v>37</v>
      </c>
      <c r="C11" s="24" t="s">
        <v>37</v>
      </c>
      <c r="D11" s="25"/>
      <c r="E11" s="25"/>
      <c r="F11" s="25"/>
      <c r="G11" s="24" t="s">
        <v>37</v>
      </c>
      <c r="H11" s="25"/>
      <c r="I11" s="3" t="s">
        <v>37</v>
      </c>
      <c r="J11" s="3" t="s">
        <v>37</v>
      </c>
      <c r="K11" s="3" t="s">
        <v>37</v>
      </c>
      <c r="L11" s="3" t="s">
        <v>37</v>
      </c>
      <c r="M11" s="24" t="s">
        <v>37</v>
      </c>
      <c r="N11" s="25"/>
      <c r="O11" s="24" t="s">
        <v>37</v>
      </c>
      <c r="P11" s="25"/>
      <c r="Q11" s="24" t="s">
        <v>37</v>
      </c>
      <c r="R11" s="25"/>
      <c r="S11" s="24" t="s">
        <v>43</v>
      </c>
      <c r="T11" s="25"/>
      <c r="U11" s="7">
        <v>-50</v>
      </c>
      <c r="V11" s="3" t="s">
        <v>37</v>
      </c>
      <c r="W11" s="3" t="s">
        <v>37</v>
      </c>
      <c r="X11" s="3" t="s">
        <v>37</v>
      </c>
      <c r="Y11" s="3" t="s">
        <v>37</v>
      </c>
      <c r="Z11" s="3" t="s">
        <v>37</v>
      </c>
      <c r="AA11" s="3" t="s">
        <v>37</v>
      </c>
      <c r="AB11" s="3" t="s">
        <v>37</v>
      </c>
      <c r="AC11" s="3">
        <v>0</v>
      </c>
      <c r="AD11" s="3" t="s">
        <v>37</v>
      </c>
      <c r="AE11" s="3" t="s">
        <v>37</v>
      </c>
    </row>
    <row r="12" spans="1:32" ht="0" hidden="1" customHeight="1" x14ac:dyDescent="0.25"/>
  </sheetData>
  <mergeCells count="32">
    <mergeCell ref="A1:S1"/>
    <mergeCell ref="A2:C3"/>
    <mergeCell ref="H2:M3"/>
    <mergeCell ref="R2:S2"/>
    <mergeCell ref="R3:S4"/>
    <mergeCell ref="A4:D5"/>
    <mergeCell ref="E4:O5"/>
    <mergeCell ref="A6:E6"/>
    <mergeCell ref="C8:F8"/>
    <mergeCell ref="G8:H8"/>
    <mergeCell ref="M8:N8"/>
    <mergeCell ref="O8:P8"/>
    <mergeCell ref="Q8:R8"/>
    <mergeCell ref="S8:T8"/>
    <mergeCell ref="C9:F9"/>
    <mergeCell ref="G9:H9"/>
    <mergeCell ref="M9:N9"/>
    <mergeCell ref="O9:P9"/>
    <mergeCell ref="Q9:R9"/>
    <mergeCell ref="S9:T9"/>
    <mergeCell ref="S10:T10"/>
    <mergeCell ref="C11:F11"/>
    <mergeCell ref="G11:H11"/>
    <mergeCell ref="M11:N11"/>
    <mergeCell ref="O11:P11"/>
    <mergeCell ref="Q11:R11"/>
    <mergeCell ref="S11:T11"/>
    <mergeCell ref="C10:F10"/>
    <mergeCell ref="G10:H10"/>
    <mergeCell ref="M10:N10"/>
    <mergeCell ref="O10:P10"/>
    <mergeCell ref="Q10:R10"/>
  </mergeCells>
  <pageMargins left="1" right="1" top="1" bottom="1" header="1" footer="1"/>
  <pageSetup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2"/>
  <sheetViews>
    <sheetView showGridLines="0" workbookViewId="0">
      <pane ySplit="5" topLeftCell="A6" activePane="bottomLeft" state="frozen"/>
      <selection pane="bottomLeft" sqref="A1:L1"/>
    </sheetView>
  </sheetViews>
  <sheetFormatPr defaultRowHeight="15" x14ac:dyDescent="0.25"/>
  <cols>
    <col min="1" max="1" width="26.7109375" customWidth="1"/>
    <col min="2" max="2" width="19.5703125" customWidth="1"/>
    <col min="3" max="3" width="5.140625" customWidth="1"/>
    <col min="4" max="4" width="3.42578125" customWidth="1"/>
    <col min="5" max="5" width="2.140625" customWidth="1"/>
    <col min="6" max="6" width="5.42578125" customWidth="1"/>
    <col min="7" max="7" width="20.85546875" customWidth="1"/>
    <col min="8" max="8" width="17.85546875" customWidth="1"/>
    <col min="9" max="9" width="44.140625" customWidth="1"/>
    <col min="10" max="10" width="9" customWidth="1"/>
    <col min="11" max="11" width="17.140625" customWidth="1"/>
    <col min="12" max="12" width="30.85546875" customWidth="1"/>
    <col min="13" max="13" width="178.140625" customWidth="1"/>
  </cols>
  <sheetData>
    <row r="1" spans="1:13" ht="27" customHeight="1" x14ac:dyDescent="0.25">
      <c r="A1" s="30" t="s">
        <v>4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</row>
    <row r="2" spans="1:13" x14ac:dyDescent="0.25">
      <c r="A2" s="31" t="s">
        <v>5</v>
      </c>
      <c r="B2" s="21"/>
      <c r="F2" s="32" t="s">
        <v>6</v>
      </c>
      <c r="G2" s="21"/>
      <c r="H2" s="21"/>
      <c r="I2" s="21"/>
      <c r="L2" s="1" t="s">
        <v>44</v>
      </c>
    </row>
    <row r="3" spans="1:13" x14ac:dyDescent="0.25">
      <c r="A3" s="21"/>
      <c r="B3" s="21"/>
      <c r="F3" s="21"/>
      <c r="G3" s="21"/>
      <c r="H3" s="21"/>
      <c r="I3" s="21"/>
      <c r="L3" s="31" t="s">
        <v>8</v>
      </c>
    </row>
    <row r="4" spans="1:13" x14ac:dyDescent="0.25">
      <c r="A4" s="31" t="s">
        <v>9</v>
      </c>
      <c r="B4" s="21"/>
      <c r="C4" s="21"/>
      <c r="D4" s="32" t="s">
        <v>10</v>
      </c>
      <c r="E4" s="21"/>
      <c r="F4" s="21"/>
      <c r="G4" s="21"/>
      <c r="H4" s="21"/>
      <c r="I4" s="21"/>
      <c r="J4" s="21"/>
      <c r="L4" s="21"/>
    </row>
    <row r="5" spans="1:13" x14ac:dyDescent="0.25">
      <c r="A5" s="33"/>
      <c r="B5" s="33"/>
      <c r="C5" s="33"/>
      <c r="D5" s="33"/>
      <c r="E5" s="33"/>
      <c r="F5" s="33"/>
      <c r="G5" s="33"/>
      <c r="H5" s="33"/>
      <c r="I5" s="33"/>
      <c r="J5" s="33"/>
      <c r="K5" s="2"/>
      <c r="L5" s="2"/>
      <c r="M5" s="2"/>
    </row>
    <row r="6" spans="1:13" ht="18" customHeight="1" x14ac:dyDescent="0.25">
      <c r="A6" s="29" t="s">
        <v>2</v>
      </c>
      <c r="B6" s="21"/>
      <c r="C6" s="21"/>
      <c r="D6" s="21"/>
    </row>
    <row r="7" spans="1:13" ht="9" customHeight="1" x14ac:dyDescent="0.25"/>
    <row r="8" spans="1:13" x14ac:dyDescent="0.25">
      <c r="A8" s="3" t="s">
        <v>12</v>
      </c>
      <c r="B8" s="24" t="s">
        <v>45</v>
      </c>
      <c r="C8" s="25"/>
      <c r="D8" s="25"/>
      <c r="E8" s="25"/>
      <c r="F8" s="25"/>
      <c r="G8" s="3" t="s">
        <v>46</v>
      </c>
      <c r="H8" s="3" t="s">
        <v>47</v>
      </c>
    </row>
    <row r="9" spans="1:13" x14ac:dyDescent="0.25">
      <c r="A9" s="4" t="s">
        <v>35</v>
      </c>
      <c r="B9" s="23" t="s">
        <v>48</v>
      </c>
      <c r="C9" s="21"/>
      <c r="D9" s="21"/>
      <c r="E9" s="21"/>
      <c r="F9" s="21"/>
      <c r="G9" s="5">
        <v>1189.33</v>
      </c>
      <c r="H9" s="5">
        <v>0</v>
      </c>
    </row>
    <row r="10" spans="1:13" x14ac:dyDescent="0.25">
      <c r="A10" s="3" t="s">
        <v>49</v>
      </c>
      <c r="B10" s="24" t="s">
        <v>37</v>
      </c>
      <c r="C10" s="25"/>
      <c r="D10" s="25"/>
      <c r="E10" s="25"/>
      <c r="F10" s="25"/>
      <c r="G10" s="7">
        <v>1189.33</v>
      </c>
      <c r="H10" s="7">
        <v>0</v>
      </c>
    </row>
    <row r="11" spans="1:13" ht="0" hidden="1" customHeight="1" x14ac:dyDescent="0.25"/>
    <row r="12" spans="1:13" ht="1.7" customHeight="1" x14ac:dyDescent="0.25"/>
  </sheetData>
  <mergeCells count="10">
    <mergeCell ref="A6:D6"/>
    <mergeCell ref="B8:F8"/>
    <mergeCell ref="B9:F9"/>
    <mergeCell ref="B10:F10"/>
    <mergeCell ref="A1:L1"/>
    <mergeCell ref="A2:B3"/>
    <mergeCell ref="F2:I3"/>
    <mergeCell ref="L3:L4"/>
    <mergeCell ref="A4:C5"/>
    <mergeCell ref="D4:J5"/>
  </mergeCells>
  <pageMargins left="1" right="1" top="1" bottom="1" header="1" footer="1"/>
  <pageSetup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"/>
  <sheetViews>
    <sheetView showGridLines="0" workbookViewId="0">
      <pane ySplit="5" topLeftCell="A6" activePane="bottomLeft" state="frozen"/>
      <selection pane="bottomLeft" sqref="A1:G1"/>
    </sheetView>
  </sheetViews>
  <sheetFormatPr defaultRowHeight="15" x14ac:dyDescent="0.25"/>
  <cols>
    <col min="1" max="1" width="46.28515625" customWidth="1"/>
    <col min="2" max="2" width="5.140625" customWidth="1"/>
    <col min="3" max="3" width="5.5703125" customWidth="1"/>
    <col min="4" max="4" width="88.28515625" customWidth="1"/>
    <col min="5" max="5" width="9" customWidth="1"/>
    <col min="6" max="6" width="17.140625" customWidth="1"/>
    <col min="7" max="7" width="30.85546875" customWidth="1"/>
    <col min="8" max="8" width="178.140625" customWidth="1"/>
  </cols>
  <sheetData>
    <row r="1" spans="1:8" ht="27" customHeight="1" x14ac:dyDescent="0.25">
      <c r="A1" s="30" t="s">
        <v>4</v>
      </c>
      <c r="B1" s="21"/>
      <c r="C1" s="21"/>
      <c r="D1" s="21"/>
      <c r="E1" s="21"/>
      <c r="F1" s="21"/>
      <c r="G1" s="21"/>
    </row>
    <row r="2" spans="1:8" x14ac:dyDescent="0.25">
      <c r="A2" s="31" t="s">
        <v>5</v>
      </c>
      <c r="D2" s="32" t="s">
        <v>6</v>
      </c>
      <c r="G2" s="1" t="s">
        <v>50</v>
      </c>
    </row>
    <row r="3" spans="1:8" x14ac:dyDescent="0.25">
      <c r="A3" s="21"/>
      <c r="D3" s="21"/>
      <c r="G3" s="31" t="s">
        <v>8</v>
      </c>
    </row>
    <row r="4" spans="1:8" x14ac:dyDescent="0.25">
      <c r="A4" s="31" t="s">
        <v>9</v>
      </c>
      <c r="B4" s="21"/>
      <c r="C4" s="32" t="s">
        <v>10</v>
      </c>
      <c r="D4" s="21"/>
      <c r="E4" s="21"/>
      <c r="G4" s="21"/>
    </row>
    <row r="5" spans="1:8" x14ac:dyDescent="0.25">
      <c r="A5" s="33"/>
      <c r="B5" s="33"/>
      <c r="C5" s="33"/>
      <c r="D5" s="33"/>
      <c r="E5" s="33"/>
      <c r="F5" s="2"/>
      <c r="G5" s="2"/>
      <c r="H5" s="2"/>
    </row>
  </sheetData>
  <mergeCells count="6">
    <mergeCell ref="A1:G1"/>
    <mergeCell ref="A2:A3"/>
    <mergeCell ref="D2:D3"/>
    <mergeCell ref="G3:G4"/>
    <mergeCell ref="A4:B5"/>
    <mergeCell ref="C4:E5"/>
  </mergeCells>
  <pageMargins left="1" right="1" top="1" bottom="1" header="1" footer="1"/>
  <pageSetup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G60"/>
  <sheetViews>
    <sheetView showGridLines="0" workbookViewId="0">
      <pane ySplit="5" topLeftCell="A34" activePane="bottomLeft" state="frozen"/>
      <selection pane="bottomLeft" activeCell="C28" sqref="C28:E28"/>
    </sheetView>
  </sheetViews>
  <sheetFormatPr defaultRowHeight="15" x14ac:dyDescent="0.25"/>
  <cols>
    <col min="1" max="1" width="15.42578125" customWidth="1"/>
    <col min="2" max="2" width="13.7109375" customWidth="1"/>
    <col min="3" max="3" width="17.140625" customWidth="1"/>
    <col min="4" max="4" width="5.140625" customWidth="1"/>
    <col min="5" max="5" width="0.140625" customWidth="1"/>
    <col min="6" max="6" width="3.28515625" customWidth="1"/>
    <col min="7" max="7" width="2.140625" customWidth="1"/>
    <col min="8" max="8" width="30.42578125" customWidth="1"/>
    <col min="9" max="9" width="13.7109375" customWidth="1"/>
    <col min="10" max="10" width="6.85546875" customWidth="1"/>
    <col min="11" max="11" width="10.28515625" customWidth="1"/>
    <col min="12" max="12" width="15.42578125" customWidth="1"/>
    <col min="13" max="13" width="11.5703125" customWidth="1"/>
    <col min="14" max="14" width="2.140625" customWidth="1"/>
    <col min="15" max="15" width="6.85546875" customWidth="1"/>
    <col min="16" max="16" width="12" customWidth="1"/>
    <col min="17" max="17" width="5.140625" customWidth="1"/>
    <col min="18" max="18" width="10.28515625" customWidth="1"/>
    <col min="19" max="19" width="13.7109375" customWidth="1"/>
    <col min="20" max="20" width="6.85546875" customWidth="1"/>
    <col min="21" max="21" width="18.85546875" customWidth="1"/>
    <col min="22" max="22" width="12" customWidth="1"/>
    <col min="23" max="23" width="13.7109375" customWidth="1"/>
    <col min="24" max="24" width="17.7109375" customWidth="1"/>
    <col min="25" max="25" width="17" customWidth="1"/>
    <col min="26" max="32" width="13.7109375" customWidth="1"/>
    <col min="33" max="33" width="3" customWidth="1"/>
  </cols>
  <sheetData>
    <row r="1" spans="1:33" ht="27" customHeight="1" x14ac:dyDescent="0.25">
      <c r="A1" s="30" t="s">
        <v>4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</row>
    <row r="2" spans="1:33" x14ac:dyDescent="0.25">
      <c r="A2" s="31" t="s">
        <v>5</v>
      </c>
      <c r="B2" s="21"/>
      <c r="C2" s="21"/>
      <c r="H2" s="32" t="s">
        <v>6</v>
      </c>
      <c r="I2" s="21"/>
      <c r="J2" s="21"/>
      <c r="K2" s="21"/>
      <c r="L2" s="21"/>
      <c r="M2" s="21"/>
      <c r="R2" s="31" t="s">
        <v>51</v>
      </c>
      <c r="S2" s="21"/>
      <c r="T2" s="21"/>
    </row>
    <row r="3" spans="1:33" x14ac:dyDescent="0.25">
      <c r="A3" s="21"/>
      <c r="B3" s="21"/>
      <c r="C3" s="21"/>
      <c r="H3" s="21"/>
      <c r="I3" s="21"/>
      <c r="J3" s="21"/>
      <c r="K3" s="21"/>
      <c r="L3" s="21"/>
      <c r="M3" s="21"/>
      <c r="R3" s="31" t="s">
        <v>8</v>
      </c>
      <c r="S3" s="21"/>
      <c r="T3" s="21"/>
    </row>
    <row r="4" spans="1:33" x14ac:dyDescent="0.25">
      <c r="A4" s="31" t="s">
        <v>9</v>
      </c>
      <c r="B4" s="21"/>
      <c r="C4" s="21"/>
      <c r="D4" s="21"/>
      <c r="E4" s="32" t="s">
        <v>10</v>
      </c>
      <c r="F4" s="21"/>
      <c r="G4" s="21"/>
      <c r="H4" s="21"/>
      <c r="I4" s="21"/>
      <c r="J4" s="21"/>
      <c r="K4" s="21"/>
      <c r="L4" s="21"/>
      <c r="M4" s="21"/>
      <c r="N4" s="21"/>
      <c r="O4" s="21"/>
      <c r="R4" s="21"/>
      <c r="S4" s="21"/>
      <c r="T4" s="21"/>
    </row>
    <row r="5" spans="1:33" x14ac:dyDescent="0.25">
      <c r="A5" s="33"/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</row>
    <row r="6" spans="1:33" ht="18" customHeight="1" x14ac:dyDescent="0.25">
      <c r="A6" s="29" t="s">
        <v>3</v>
      </c>
      <c r="B6" s="21"/>
      <c r="C6" s="21"/>
      <c r="D6" s="21"/>
      <c r="E6" s="21"/>
      <c r="F6" s="21"/>
    </row>
    <row r="7" spans="1:33" ht="9" customHeight="1" x14ac:dyDescent="0.25"/>
    <row r="8" spans="1:33" ht="33.75" x14ac:dyDescent="0.25">
      <c r="A8" s="3" t="s">
        <v>11</v>
      </c>
      <c r="B8" s="3" t="s">
        <v>12</v>
      </c>
      <c r="C8" s="24" t="s">
        <v>13</v>
      </c>
      <c r="D8" s="25"/>
      <c r="E8" s="25"/>
      <c r="F8" s="24" t="s">
        <v>14</v>
      </c>
      <c r="G8" s="25"/>
      <c r="H8" s="25"/>
      <c r="I8" s="3" t="s">
        <v>52</v>
      </c>
      <c r="J8" s="3" t="s">
        <v>53</v>
      </c>
      <c r="K8" s="3" t="s">
        <v>15</v>
      </c>
      <c r="L8" s="3" t="s">
        <v>16</v>
      </c>
      <c r="M8" s="24" t="s">
        <v>17</v>
      </c>
      <c r="N8" s="25"/>
      <c r="O8" s="3" t="s">
        <v>18</v>
      </c>
      <c r="P8" s="3" t="s">
        <v>19</v>
      </c>
      <c r="Q8" s="24" t="s">
        <v>54</v>
      </c>
      <c r="R8" s="25"/>
      <c r="S8" s="3" t="s">
        <v>3</v>
      </c>
      <c r="T8" s="24" t="s">
        <v>22</v>
      </c>
      <c r="U8" s="25"/>
      <c r="V8" s="3" t="s">
        <v>23</v>
      </c>
      <c r="W8" s="3" t="s">
        <v>24</v>
      </c>
      <c r="X8" s="3" t="s">
        <v>55</v>
      </c>
      <c r="Y8" s="3" t="s">
        <v>56</v>
      </c>
      <c r="Z8" s="3" t="s">
        <v>27</v>
      </c>
      <c r="AA8" s="3" t="s">
        <v>28</v>
      </c>
      <c r="AB8" s="3" t="s">
        <v>29</v>
      </c>
      <c r="AC8" s="3" t="s">
        <v>30</v>
      </c>
      <c r="AD8" s="3" t="s">
        <v>31</v>
      </c>
      <c r="AE8" s="3" t="s">
        <v>32</v>
      </c>
      <c r="AF8" s="3" t="s">
        <v>33</v>
      </c>
    </row>
    <row r="9" spans="1:33" x14ac:dyDescent="0.25">
      <c r="A9" s="4" t="s">
        <v>34</v>
      </c>
      <c r="B9" s="4" t="s">
        <v>35</v>
      </c>
      <c r="C9" s="23" t="s">
        <v>57</v>
      </c>
      <c r="D9" s="21"/>
      <c r="E9" s="21"/>
      <c r="F9" s="23" t="s">
        <v>58</v>
      </c>
      <c r="G9" s="21"/>
      <c r="H9" s="21"/>
      <c r="I9" s="4" t="s">
        <v>59</v>
      </c>
      <c r="J9" s="4">
        <v>1</v>
      </c>
      <c r="K9" s="4" t="s">
        <v>60</v>
      </c>
      <c r="L9" s="4" t="s">
        <v>61</v>
      </c>
      <c r="M9" s="23" t="s">
        <v>62</v>
      </c>
      <c r="N9" s="21"/>
      <c r="O9" s="4" t="s">
        <v>63</v>
      </c>
      <c r="P9" s="4">
        <v>27</v>
      </c>
      <c r="Q9" s="27">
        <v>96.28</v>
      </c>
      <c r="R9" s="21"/>
      <c r="S9" s="5">
        <v>26</v>
      </c>
      <c r="T9" s="23" t="s">
        <v>64</v>
      </c>
      <c r="U9" s="21"/>
      <c r="V9" s="5">
        <v>26</v>
      </c>
      <c r="W9" s="4" t="s">
        <v>65</v>
      </c>
      <c r="X9" s="4" t="s">
        <v>66</v>
      </c>
      <c r="Y9" s="4" t="s">
        <v>67</v>
      </c>
      <c r="Z9" s="4" t="s">
        <v>68</v>
      </c>
      <c r="AA9" s="4" t="s">
        <v>69</v>
      </c>
      <c r="AB9" s="4" t="s">
        <v>70</v>
      </c>
      <c r="AC9" s="4" t="s">
        <v>71</v>
      </c>
      <c r="AD9" s="4">
        <v>0</v>
      </c>
      <c r="AE9" s="4"/>
      <c r="AF9" s="4" t="s">
        <v>72</v>
      </c>
    </row>
    <row r="10" spans="1:33" x14ac:dyDescent="0.25">
      <c r="A10" s="4" t="s">
        <v>34</v>
      </c>
      <c r="B10" s="4" t="s">
        <v>35</v>
      </c>
      <c r="C10" s="23" t="s">
        <v>73</v>
      </c>
      <c r="D10" s="21"/>
      <c r="E10" s="21"/>
      <c r="F10" s="23" t="s">
        <v>74</v>
      </c>
      <c r="G10" s="21"/>
      <c r="H10" s="21"/>
      <c r="I10" s="4" t="s">
        <v>59</v>
      </c>
      <c r="J10" s="4">
        <v>1</v>
      </c>
      <c r="K10" s="4" t="s">
        <v>75</v>
      </c>
      <c r="L10" s="4" t="s">
        <v>61</v>
      </c>
      <c r="M10" s="23" t="s">
        <v>62</v>
      </c>
      <c r="N10" s="21"/>
      <c r="O10" s="4" t="s">
        <v>76</v>
      </c>
      <c r="P10" s="4">
        <v>27</v>
      </c>
      <c r="Q10" s="27">
        <v>319.57</v>
      </c>
      <c r="R10" s="21"/>
      <c r="S10" s="5">
        <v>86.28</v>
      </c>
      <c r="T10" s="23" t="s">
        <v>64</v>
      </c>
      <c r="U10" s="21"/>
      <c r="V10" s="5">
        <v>86.28</v>
      </c>
      <c r="W10" s="4" t="s">
        <v>65</v>
      </c>
      <c r="X10" s="4" t="s">
        <v>66</v>
      </c>
      <c r="Y10" s="4" t="s">
        <v>67</v>
      </c>
      <c r="Z10" s="4" t="s">
        <v>68</v>
      </c>
      <c r="AA10" s="4" t="s">
        <v>69</v>
      </c>
      <c r="AB10" s="4" t="s">
        <v>70</v>
      </c>
      <c r="AC10" s="4" t="s">
        <v>71</v>
      </c>
      <c r="AD10" s="4">
        <v>0</v>
      </c>
      <c r="AE10" s="4"/>
      <c r="AF10" s="4" t="s">
        <v>72</v>
      </c>
    </row>
    <row r="11" spans="1:33" x14ac:dyDescent="0.25">
      <c r="A11" s="4" t="s">
        <v>34</v>
      </c>
      <c r="B11" s="4" t="s">
        <v>35</v>
      </c>
      <c r="C11" s="23" t="s">
        <v>77</v>
      </c>
      <c r="D11" s="21"/>
      <c r="E11" s="21"/>
      <c r="F11" s="23" t="s">
        <v>78</v>
      </c>
      <c r="G11" s="21"/>
      <c r="H11" s="21"/>
      <c r="I11" s="4" t="s">
        <v>79</v>
      </c>
      <c r="J11" s="4">
        <v>1</v>
      </c>
      <c r="K11" s="4" t="s">
        <v>79</v>
      </c>
      <c r="L11" s="4" t="s">
        <v>80</v>
      </c>
      <c r="M11" s="23" t="s">
        <v>81</v>
      </c>
      <c r="N11" s="21"/>
      <c r="O11" s="4" t="s">
        <v>63</v>
      </c>
      <c r="P11" s="4">
        <v>23</v>
      </c>
      <c r="Q11" s="27">
        <v>168.97</v>
      </c>
      <c r="R11" s="21"/>
      <c r="S11" s="5">
        <v>38.86</v>
      </c>
      <c r="T11" s="23" t="s">
        <v>64</v>
      </c>
      <c r="U11" s="21"/>
      <c r="V11" s="5">
        <v>38.86</v>
      </c>
      <c r="W11" s="4" t="s">
        <v>65</v>
      </c>
      <c r="X11" s="4" t="s">
        <v>66</v>
      </c>
      <c r="Y11" s="4" t="s">
        <v>67</v>
      </c>
      <c r="Z11" s="4" t="s">
        <v>68</v>
      </c>
      <c r="AA11" s="4" t="s">
        <v>69</v>
      </c>
      <c r="AB11" s="4" t="s">
        <v>70</v>
      </c>
      <c r="AC11" s="4" t="s">
        <v>82</v>
      </c>
      <c r="AD11" s="4">
        <v>0</v>
      </c>
      <c r="AE11" s="4"/>
      <c r="AF11" s="4" t="s">
        <v>72</v>
      </c>
    </row>
    <row r="12" spans="1:33" x14ac:dyDescent="0.25">
      <c r="A12" s="4" t="s">
        <v>34</v>
      </c>
      <c r="B12" s="4" t="s">
        <v>35</v>
      </c>
      <c r="C12" s="23" t="s">
        <v>83</v>
      </c>
      <c r="D12" s="21"/>
      <c r="E12" s="21"/>
      <c r="F12" s="23" t="s">
        <v>84</v>
      </c>
      <c r="G12" s="21"/>
      <c r="H12" s="21"/>
      <c r="I12" s="4" t="s">
        <v>85</v>
      </c>
      <c r="J12" s="4">
        <v>1</v>
      </c>
      <c r="K12" s="4" t="s">
        <v>85</v>
      </c>
      <c r="L12" s="4" t="s">
        <v>80</v>
      </c>
      <c r="M12" s="23" t="s">
        <v>81</v>
      </c>
      <c r="N12" s="21"/>
      <c r="O12" s="4" t="s">
        <v>63</v>
      </c>
      <c r="P12" s="4">
        <v>23</v>
      </c>
      <c r="Q12" s="27">
        <v>169.76</v>
      </c>
      <c r="R12" s="21"/>
      <c r="S12" s="5">
        <v>39.04</v>
      </c>
      <c r="T12" s="23" t="s">
        <v>64</v>
      </c>
      <c r="U12" s="21"/>
      <c r="V12" s="5">
        <v>39.04</v>
      </c>
      <c r="W12" s="4" t="s">
        <v>65</v>
      </c>
      <c r="X12" s="4" t="s">
        <v>66</v>
      </c>
      <c r="Y12" s="4" t="s">
        <v>67</v>
      </c>
      <c r="Z12" s="4" t="s">
        <v>68</v>
      </c>
      <c r="AA12" s="4" t="s">
        <v>69</v>
      </c>
      <c r="AB12" s="4" t="s">
        <v>70</v>
      </c>
      <c r="AC12" s="4" t="s">
        <v>86</v>
      </c>
      <c r="AD12" s="4">
        <v>0</v>
      </c>
      <c r="AE12" s="4"/>
      <c r="AF12" s="4" t="s">
        <v>72</v>
      </c>
    </row>
    <row r="13" spans="1:33" x14ac:dyDescent="0.25">
      <c r="A13" s="4" t="s">
        <v>34</v>
      </c>
      <c r="B13" s="4" t="s">
        <v>35</v>
      </c>
      <c r="C13" s="23" t="s">
        <v>87</v>
      </c>
      <c r="D13" s="21"/>
      <c r="E13" s="21"/>
      <c r="F13" s="23" t="s">
        <v>88</v>
      </c>
      <c r="G13" s="21"/>
      <c r="H13" s="21"/>
      <c r="I13" s="4" t="s">
        <v>59</v>
      </c>
      <c r="J13" s="4">
        <v>1</v>
      </c>
      <c r="K13" s="4" t="s">
        <v>60</v>
      </c>
      <c r="L13" s="4" t="s">
        <v>80</v>
      </c>
      <c r="M13" s="23" t="s">
        <v>81</v>
      </c>
      <c r="N13" s="21"/>
      <c r="O13" s="4" t="s">
        <v>63</v>
      </c>
      <c r="P13" s="4">
        <v>23</v>
      </c>
      <c r="Q13" s="27">
        <v>150.62</v>
      </c>
      <c r="R13" s="21"/>
      <c r="S13" s="5">
        <v>34.64</v>
      </c>
      <c r="T13" s="23" t="s">
        <v>64</v>
      </c>
      <c r="U13" s="21"/>
      <c r="V13" s="5">
        <v>34.64</v>
      </c>
      <c r="W13" s="4" t="s">
        <v>65</v>
      </c>
      <c r="X13" s="4" t="s">
        <v>89</v>
      </c>
      <c r="Y13" s="4" t="s">
        <v>90</v>
      </c>
      <c r="Z13" s="4" t="s">
        <v>91</v>
      </c>
      <c r="AA13" s="4" t="s">
        <v>69</v>
      </c>
      <c r="AB13" s="4" t="s">
        <v>70</v>
      </c>
      <c r="AC13" s="4" t="s">
        <v>92</v>
      </c>
      <c r="AD13" s="4">
        <v>0</v>
      </c>
      <c r="AE13" s="4"/>
      <c r="AF13" s="4" t="s">
        <v>72</v>
      </c>
    </row>
    <row r="14" spans="1:33" x14ac:dyDescent="0.25">
      <c r="A14" s="4" t="s">
        <v>34</v>
      </c>
      <c r="B14" s="4" t="s">
        <v>35</v>
      </c>
      <c r="C14" s="23" t="s">
        <v>93</v>
      </c>
      <c r="D14" s="21"/>
      <c r="E14" s="21"/>
      <c r="F14" s="23" t="s">
        <v>94</v>
      </c>
      <c r="G14" s="21"/>
      <c r="H14" s="21"/>
      <c r="I14" s="4" t="s">
        <v>59</v>
      </c>
      <c r="J14" s="4">
        <v>1</v>
      </c>
      <c r="K14" s="4" t="s">
        <v>60</v>
      </c>
      <c r="L14" s="4" t="s">
        <v>80</v>
      </c>
      <c r="M14" s="23" t="s">
        <v>81</v>
      </c>
      <c r="N14" s="21"/>
      <c r="O14" s="4" t="s">
        <v>63</v>
      </c>
      <c r="P14" s="4">
        <v>23</v>
      </c>
      <c r="Q14" s="27">
        <v>126.55</v>
      </c>
      <c r="R14" s="21"/>
      <c r="S14" s="5">
        <v>29.11</v>
      </c>
      <c r="T14" s="23" t="s">
        <v>64</v>
      </c>
      <c r="U14" s="21"/>
      <c r="V14" s="5">
        <v>29.11</v>
      </c>
      <c r="W14" s="4" t="s">
        <v>65</v>
      </c>
      <c r="X14" s="4" t="s">
        <v>89</v>
      </c>
      <c r="Y14" s="4" t="s">
        <v>90</v>
      </c>
      <c r="Z14" s="4" t="s">
        <v>91</v>
      </c>
      <c r="AA14" s="4" t="s">
        <v>69</v>
      </c>
      <c r="AB14" s="4" t="s">
        <v>70</v>
      </c>
      <c r="AC14" s="4" t="s">
        <v>92</v>
      </c>
      <c r="AD14" s="4">
        <v>0</v>
      </c>
      <c r="AE14" s="4"/>
      <c r="AF14" s="4" t="s">
        <v>72</v>
      </c>
    </row>
    <row r="15" spans="1:33" x14ac:dyDescent="0.25">
      <c r="A15" s="4" t="s">
        <v>34</v>
      </c>
      <c r="B15" s="4" t="s">
        <v>35</v>
      </c>
      <c r="C15" s="23" t="s">
        <v>95</v>
      </c>
      <c r="D15" s="21"/>
      <c r="E15" s="21"/>
      <c r="F15" s="23" t="s">
        <v>96</v>
      </c>
      <c r="G15" s="21"/>
      <c r="H15" s="21"/>
      <c r="I15" s="4" t="s">
        <v>59</v>
      </c>
      <c r="J15" s="4">
        <v>1</v>
      </c>
      <c r="K15" s="4" t="s">
        <v>97</v>
      </c>
      <c r="L15" s="4" t="s">
        <v>98</v>
      </c>
      <c r="M15" s="23" t="s">
        <v>99</v>
      </c>
      <c r="N15" s="21"/>
      <c r="O15" s="4" t="s">
        <v>63</v>
      </c>
      <c r="P15" s="4">
        <v>22</v>
      </c>
      <c r="Q15" s="27">
        <v>169.76</v>
      </c>
      <c r="R15" s="21"/>
      <c r="S15" s="5">
        <v>37.35</v>
      </c>
      <c r="T15" s="23" t="s">
        <v>64</v>
      </c>
      <c r="U15" s="21"/>
      <c r="V15" s="5">
        <v>37.35</v>
      </c>
      <c r="W15" s="4" t="s">
        <v>65</v>
      </c>
      <c r="X15" s="4" t="s">
        <v>89</v>
      </c>
      <c r="Y15" s="4" t="s">
        <v>90</v>
      </c>
      <c r="Z15" s="4" t="s">
        <v>68</v>
      </c>
      <c r="AA15" s="4" t="s">
        <v>69</v>
      </c>
      <c r="AB15" s="4" t="s">
        <v>70</v>
      </c>
      <c r="AC15" s="4" t="s">
        <v>100</v>
      </c>
      <c r="AD15" s="4">
        <v>0</v>
      </c>
      <c r="AE15" s="4"/>
      <c r="AF15" s="4" t="s">
        <v>72</v>
      </c>
    </row>
    <row r="16" spans="1:33" x14ac:dyDescent="0.25">
      <c r="A16" s="4" t="s">
        <v>34</v>
      </c>
      <c r="B16" s="4" t="s">
        <v>35</v>
      </c>
      <c r="C16" s="23" t="s">
        <v>101</v>
      </c>
      <c r="D16" s="21"/>
      <c r="E16" s="21"/>
      <c r="F16" s="23" t="s">
        <v>102</v>
      </c>
      <c r="G16" s="21"/>
      <c r="H16" s="21"/>
      <c r="I16" s="4" t="s">
        <v>103</v>
      </c>
      <c r="J16" s="4">
        <v>1</v>
      </c>
      <c r="K16" s="4" t="s">
        <v>104</v>
      </c>
      <c r="L16" s="4" t="s">
        <v>98</v>
      </c>
      <c r="M16" s="23" t="s">
        <v>99</v>
      </c>
      <c r="N16" s="21"/>
      <c r="O16" s="4" t="s">
        <v>63</v>
      </c>
      <c r="P16" s="4">
        <v>22</v>
      </c>
      <c r="Q16" s="27">
        <v>190.13</v>
      </c>
      <c r="R16" s="21"/>
      <c r="S16" s="5">
        <v>41.83</v>
      </c>
      <c r="T16" s="23" t="s">
        <v>64</v>
      </c>
      <c r="U16" s="21"/>
      <c r="V16" s="5">
        <v>41.83</v>
      </c>
      <c r="W16" s="4" t="s">
        <v>65</v>
      </c>
      <c r="X16" s="4" t="s">
        <v>89</v>
      </c>
      <c r="Y16" s="4" t="s">
        <v>90</v>
      </c>
      <c r="Z16" s="4" t="s">
        <v>68</v>
      </c>
      <c r="AA16" s="4" t="s">
        <v>69</v>
      </c>
      <c r="AB16" s="4" t="s">
        <v>70</v>
      </c>
      <c r="AC16" s="4" t="s">
        <v>100</v>
      </c>
      <c r="AD16" s="4">
        <v>0</v>
      </c>
      <c r="AE16" s="4"/>
      <c r="AF16" s="4" t="s">
        <v>72</v>
      </c>
    </row>
    <row r="17" spans="1:32" x14ac:dyDescent="0.25">
      <c r="A17" s="4" t="s">
        <v>34</v>
      </c>
      <c r="B17" s="4" t="s">
        <v>35</v>
      </c>
      <c r="C17" s="23" t="s">
        <v>105</v>
      </c>
      <c r="D17" s="21"/>
      <c r="E17" s="21"/>
      <c r="F17" s="23" t="s">
        <v>106</v>
      </c>
      <c r="G17" s="21"/>
      <c r="H17" s="21"/>
      <c r="I17" s="4" t="s">
        <v>59</v>
      </c>
      <c r="J17" s="4">
        <v>1</v>
      </c>
      <c r="K17" s="4" t="s">
        <v>75</v>
      </c>
      <c r="L17" s="4" t="s">
        <v>80</v>
      </c>
      <c r="M17" s="23" t="s">
        <v>81</v>
      </c>
      <c r="N17" s="21"/>
      <c r="O17" s="4" t="s">
        <v>63</v>
      </c>
      <c r="P17" s="4">
        <v>23</v>
      </c>
      <c r="Q17" s="27">
        <v>128.9</v>
      </c>
      <c r="R17" s="21"/>
      <c r="S17" s="5">
        <v>29.65</v>
      </c>
      <c r="T17" s="23" t="s">
        <v>64</v>
      </c>
      <c r="U17" s="21"/>
      <c r="V17" s="5">
        <v>29.65</v>
      </c>
      <c r="W17" s="4" t="s">
        <v>65</v>
      </c>
      <c r="X17" s="4" t="s">
        <v>89</v>
      </c>
      <c r="Y17" s="4" t="s">
        <v>90</v>
      </c>
      <c r="Z17" s="4" t="s">
        <v>68</v>
      </c>
      <c r="AA17" s="4" t="s">
        <v>69</v>
      </c>
      <c r="AB17" s="4" t="s">
        <v>70</v>
      </c>
      <c r="AC17" s="4" t="s">
        <v>92</v>
      </c>
      <c r="AD17" s="4">
        <v>0</v>
      </c>
      <c r="AE17" s="4"/>
      <c r="AF17" s="4" t="s">
        <v>72</v>
      </c>
    </row>
    <row r="18" spans="1:32" x14ac:dyDescent="0.25">
      <c r="A18" s="4" t="s">
        <v>34</v>
      </c>
      <c r="B18" s="4" t="s">
        <v>35</v>
      </c>
      <c r="C18" s="23" t="s">
        <v>107</v>
      </c>
      <c r="D18" s="21"/>
      <c r="E18" s="21"/>
      <c r="F18" s="23" t="s">
        <v>108</v>
      </c>
      <c r="G18" s="21"/>
      <c r="H18" s="21"/>
      <c r="I18" s="4" t="s">
        <v>59</v>
      </c>
      <c r="J18" s="4">
        <v>1</v>
      </c>
      <c r="K18" s="4" t="s">
        <v>75</v>
      </c>
      <c r="L18" s="4" t="s">
        <v>98</v>
      </c>
      <c r="M18" s="23" t="s">
        <v>99</v>
      </c>
      <c r="N18" s="21"/>
      <c r="O18" s="4" t="s">
        <v>63</v>
      </c>
      <c r="P18" s="4">
        <v>23</v>
      </c>
      <c r="Q18" s="27">
        <v>139.6</v>
      </c>
      <c r="R18" s="21"/>
      <c r="S18" s="5">
        <v>32.11</v>
      </c>
      <c r="T18" s="23" t="s">
        <v>64</v>
      </c>
      <c r="U18" s="21"/>
      <c r="V18" s="5">
        <v>32.11</v>
      </c>
      <c r="W18" s="4" t="s">
        <v>65</v>
      </c>
      <c r="X18" s="4" t="s">
        <v>89</v>
      </c>
      <c r="Y18" s="4" t="s">
        <v>90</v>
      </c>
      <c r="Z18" s="4" t="s">
        <v>68</v>
      </c>
      <c r="AA18" s="4" t="s">
        <v>69</v>
      </c>
      <c r="AB18" s="4" t="s">
        <v>70</v>
      </c>
      <c r="AC18" s="4" t="s">
        <v>109</v>
      </c>
      <c r="AD18" s="4">
        <v>0</v>
      </c>
      <c r="AE18" s="4"/>
      <c r="AF18" s="4" t="s">
        <v>72</v>
      </c>
    </row>
    <row r="19" spans="1:32" x14ac:dyDescent="0.25">
      <c r="A19" s="4" t="s">
        <v>34</v>
      </c>
      <c r="B19" s="4" t="s">
        <v>35</v>
      </c>
      <c r="C19" s="23" t="s">
        <v>110</v>
      </c>
      <c r="D19" s="21"/>
      <c r="E19" s="21"/>
      <c r="F19" s="23" t="s">
        <v>111</v>
      </c>
      <c r="G19" s="21"/>
      <c r="H19" s="21"/>
      <c r="I19" s="4" t="s">
        <v>59</v>
      </c>
      <c r="J19" s="4">
        <v>1</v>
      </c>
      <c r="K19" s="4" t="s">
        <v>60</v>
      </c>
      <c r="L19" s="4" t="s">
        <v>80</v>
      </c>
      <c r="M19" s="23" t="s">
        <v>81</v>
      </c>
      <c r="N19" s="21"/>
      <c r="O19" s="4" t="s">
        <v>63</v>
      </c>
      <c r="P19" s="4">
        <v>23</v>
      </c>
      <c r="Q19" s="27">
        <v>159.99</v>
      </c>
      <c r="R19" s="21"/>
      <c r="S19" s="5">
        <v>36.799999999999997</v>
      </c>
      <c r="T19" s="23" t="s">
        <v>64</v>
      </c>
      <c r="U19" s="21"/>
      <c r="V19" s="5">
        <v>36.799999999999997</v>
      </c>
      <c r="W19" s="4" t="s">
        <v>65</v>
      </c>
      <c r="X19" s="4" t="s">
        <v>112</v>
      </c>
      <c r="Y19" s="4" t="s">
        <v>113</v>
      </c>
      <c r="Z19" s="4" t="s">
        <v>91</v>
      </c>
      <c r="AA19" s="4" t="s">
        <v>69</v>
      </c>
      <c r="AB19" s="4" t="s">
        <v>70</v>
      </c>
      <c r="AC19" s="4" t="s">
        <v>92</v>
      </c>
      <c r="AD19" s="4">
        <v>0</v>
      </c>
      <c r="AE19" s="4"/>
      <c r="AF19" s="4" t="s">
        <v>72</v>
      </c>
    </row>
    <row r="20" spans="1:32" x14ac:dyDescent="0.25">
      <c r="A20" s="4" t="s">
        <v>34</v>
      </c>
      <c r="B20" s="4" t="s">
        <v>35</v>
      </c>
      <c r="C20" s="23" t="s">
        <v>114</v>
      </c>
      <c r="D20" s="21"/>
      <c r="E20" s="21"/>
      <c r="F20" s="23" t="s">
        <v>115</v>
      </c>
      <c r="G20" s="21"/>
      <c r="H20" s="21"/>
      <c r="I20" s="4" t="s">
        <v>59</v>
      </c>
      <c r="J20" s="4">
        <v>1</v>
      </c>
      <c r="K20" s="4" t="s">
        <v>60</v>
      </c>
      <c r="L20" s="4" t="s">
        <v>80</v>
      </c>
      <c r="M20" s="23" t="s">
        <v>81</v>
      </c>
      <c r="N20" s="21"/>
      <c r="O20" s="4" t="s">
        <v>63</v>
      </c>
      <c r="P20" s="4">
        <v>23</v>
      </c>
      <c r="Q20" s="27">
        <v>94.19</v>
      </c>
      <c r="R20" s="21"/>
      <c r="S20" s="5">
        <v>21.66</v>
      </c>
      <c r="T20" s="23" t="s">
        <v>64</v>
      </c>
      <c r="U20" s="21"/>
      <c r="V20" s="5">
        <v>21.66</v>
      </c>
      <c r="W20" s="4" t="s">
        <v>65</v>
      </c>
      <c r="X20" s="4" t="s">
        <v>112</v>
      </c>
      <c r="Y20" s="4" t="s">
        <v>113</v>
      </c>
      <c r="Z20" s="4" t="s">
        <v>68</v>
      </c>
      <c r="AA20" s="4" t="s">
        <v>69</v>
      </c>
      <c r="AB20" s="4" t="s">
        <v>70</v>
      </c>
      <c r="AC20" s="4" t="s">
        <v>92</v>
      </c>
      <c r="AD20" s="4">
        <v>0</v>
      </c>
      <c r="AE20" s="4"/>
      <c r="AF20" s="4" t="s">
        <v>72</v>
      </c>
    </row>
    <row r="21" spans="1:32" x14ac:dyDescent="0.25">
      <c r="A21" s="4" t="s">
        <v>34</v>
      </c>
      <c r="B21" s="4" t="s">
        <v>35</v>
      </c>
      <c r="C21" s="23" t="s">
        <v>116</v>
      </c>
      <c r="D21" s="21"/>
      <c r="E21" s="21"/>
      <c r="F21" s="23" t="s">
        <v>117</v>
      </c>
      <c r="G21" s="21"/>
      <c r="H21" s="21"/>
      <c r="I21" s="4" t="s">
        <v>59</v>
      </c>
      <c r="J21" s="4">
        <v>1</v>
      </c>
      <c r="K21" s="4" t="s">
        <v>75</v>
      </c>
      <c r="L21" s="4" t="s">
        <v>80</v>
      </c>
      <c r="M21" s="23" t="s">
        <v>81</v>
      </c>
      <c r="N21" s="21"/>
      <c r="O21" s="4" t="s">
        <v>63</v>
      </c>
      <c r="P21" s="4">
        <v>23</v>
      </c>
      <c r="Q21" s="27">
        <v>117.74</v>
      </c>
      <c r="R21" s="21"/>
      <c r="S21" s="5">
        <v>27.08</v>
      </c>
      <c r="T21" s="23" t="s">
        <v>64</v>
      </c>
      <c r="U21" s="21"/>
      <c r="V21" s="5">
        <v>27.08</v>
      </c>
      <c r="W21" s="4" t="s">
        <v>65</v>
      </c>
      <c r="X21" s="4" t="s">
        <v>112</v>
      </c>
      <c r="Y21" s="4" t="s">
        <v>113</v>
      </c>
      <c r="Z21" s="4" t="s">
        <v>68</v>
      </c>
      <c r="AA21" s="4" t="s">
        <v>69</v>
      </c>
      <c r="AB21" s="4" t="s">
        <v>70</v>
      </c>
      <c r="AC21" s="4" t="s">
        <v>92</v>
      </c>
      <c r="AD21" s="4">
        <v>0</v>
      </c>
      <c r="AE21" s="4"/>
      <c r="AF21" s="4" t="s">
        <v>72</v>
      </c>
    </row>
    <row r="22" spans="1:32" x14ac:dyDescent="0.25">
      <c r="A22" s="4" t="s">
        <v>34</v>
      </c>
      <c r="B22" s="4" t="s">
        <v>35</v>
      </c>
      <c r="C22" s="23" t="s">
        <v>118</v>
      </c>
      <c r="D22" s="21"/>
      <c r="E22" s="21"/>
      <c r="F22" s="23" t="s">
        <v>119</v>
      </c>
      <c r="G22" s="21"/>
      <c r="H22" s="21"/>
      <c r="I22" s="4" t="s">
        <v>59</v>
      </c>
      <c r="J22" s="4">
        <v>1</v>
      </c>
      <c r="K22" s="4" t="s">
        <v>120</v>
      </c>
      <c r="L22" s="4" t="s">
        <v>80</v>
      </c>
      <c r="M22" s="23" t="s">
        <v>81</v>
      </c>
      <c r="N22" s="21"/>
      <c r="O22" s="4" t="s">
        <v>63</v>
      </c>
      <c r="P22" s="4">
        <v>23</v>
      </c>
      <c r="Q22" s="27">
        <v>126.78</v>
      </c>
      <c r="R22" s="21"/>
      <c r="S22" s="5">
        <v>29.16</v>
      </c>
      <c r="T22" s="23" t="s">
        <v>64</v>
      </c>
      <c r="U22" s="21"/>
      <c r="V22" s="5">
        <v>29.16</v>
      </c>
      <c r="W22" s="4" t="s">
        <v>65</v>
      </c>
      <c r="X22" s="4" t="s">
        <v>112</v>
      </c>
      <c r="Y22" s="4" t="s">
        <v>113</v>
      </c>
      <c r="Z22" s="4" t="s">
        <v>91</v>
      </c>
      <c r="AA22" s="4" t="s">
        <v>69</v>
      </c>
      <c r="AB22" s="4" t="s">
        <v>70</v>
      </c>
      <c r="AC22" s="4" t="s">
        <v>92</v>
      </c>
      <c r="AD22" s="4">
        <v>0</v>
      </c>
      <c r="AE22" s="4"/>
      <c r="AF22" s="4" t="s">
        <v>72</v>
      </c>
    </row>
    <row r="23" spans="1:32" s="19" customFormat="1" x14ac:dyDescent="0.25">
      <c r="A23" s="13" t="s">
        <v>34</v>
      </c>
      <c r="B23" s="13" t="s">
        <v>35</v>
      </c>
      <c r="C23" s="36" t="s">
        <v>121</v>
      </c>
      <c r="D23" s="37"/>
      <c r="E23" s="37"/>
      <c r="F23" s="36" t="s">
        <v>122</v>
      </c>
      <c r="G23" s="37"/>
      <c r="H23" s="37"/>
      <c r="I23" s="13" t="s">
        <v>79</v>
      </c>
      <c r="J23" s="13">
        <v>1</v>
      </c>
      <c r="K23" s="13" t="s">
        <v>79</v>
      </c>
      <c r="L23" s="13" t="s">
        <v>123</v>
      </c>
      <c r="M23" s="36" t="s">
        <v>124</v>
      </c>
      <c r="N23" s="37"/>
      <c r="O23" s="13" t="s">
        <v>63</v>
      </c>
      <c r="P23" s="13">
        <v>28</v>
      </c>
      <c r="Q23" s="38">
        <v>47.06</v>
      </c>
      <c r="R23" s="37"/>
      <c r="S23" s="14">
        <v>13.18</v>
      </c>
      <c r="T23" s="36" t="s">
        <v>64</v>
      </c>
      <c r="U23" s="37"/>
      <c r="V23" s="14">
        <v>13.18</v>
      </c>
      <c r="W23" s="13" t="s">
        <v>65</v>
      </c>
      <c r="X23" s="13" t="s">
        <v>112</v>
      </c>
      <c r="Y23" s="13" t="s">
        <v>113</v>
      </c>
      <c r="Z23" s="13" t="s">
        <v>68</v>
      </c>
      <c r="AA23" s="13" t="s">
        <v>69</v>
      </c>
      <c r="AB23" s="13" t="s">
        <v>70</v>
      </c>
      <c r="AC23" s="13" t="s">
        <v>92</v>
      </c>
      <c r="AD23" s="13">
        <v>0</v>
      </c>
      <c r="AE23" s="13"/>
      <c r="AF23" s="13" t="s">
        <v>72</v>
      </c>
    </row>
    <row r="24" spans="1:32" ht="22.5" x14ac:dyDescent="0.25">
      <c r="A24" s="4" t="s">
        <v>34</v>
      </c>
      <c r="B24" s="4" t="s">
        <v>35</v>
      </c>
      <c r="C24" s="23" t="s">
        <v>125</v>
      </c>
      <c r="D24" s="21"/>
      <c r="E24" s="21"/>
      <c r="F24" s="23" t="s">
        <v>126</v>
      </c>
      <c r="G24" s="21"/>
      <c r="H24" s="21"/>
      <c r="I24" s="4" t="s">
        <v>59</v>
      </c>
      <c r="J24" s="4">
        <v>1</v>
      </c>
      <c r="K24" s="4" t="s">
        <v>59</v>
      </c>
      <c r="L24" s="4" t="s">
        <v>61</v>
      </c>
      <c r="M24" s="23" t="s">
        <v>62</v>
      </c>
      <c r="N24" s="21"/>
      <c r="O24" s="4" t="s">
        <v>63</v>
      </c>
      <c r="P24" s="4">
        <v>27</v>
      </c>
      <c r="Q24" s="27">
        <v>112.24</v>
      </c>
      <c r="R24" s="21"/>
      <c r="S24" s="5">
        <v>30.3</v>
      </c>
      <c r="T24" s="23" t="s">
        <v>64</v>
      </c>
      <c r="U24" s="21"/>
      <c r="V24" s="5">
        <v>30.3</v>
      </c>
      <c r="W24" s="4" t="s">
        <v>65</v>
      </c>
      <c r="X24" s="4" t="s">
        <v>127</v>
      </c>
      <c r="Y24" s="4" t="s">
        <v>128</v>
      </c>
      <c r="Z24" s="4" t="s">
        <v>68</v>
      </c>
      <c r="AA24" s="4" t="s">
        <v>69</v>
      </c>
      <c r="AB24" s="4" t="s">
        <v>70</v>
      </c>
      <c r="AC24" s="4" t="s">
        <v>92</v>
      </c>
      <c r="AD24" s="4">
        <v>0</v>
      </c>
      <c r="AE24" s="4"/>
      <c r="AF24" s="4" t="s">
        <v>72</v>
      </c>
    </row>
    <row r="25" spans="1:32" x14ac:dyDescent="0.25">
      <c r="A25" s="4" t="s">
        <v>34</v>
      </c>
      <c r="B25" s="4" t="s">
        <v>35</v>
      </c>
      <c r="C25" s="23" t="s">
        <v>129</v>
      </c>
      <c r="D25" s="21"/>
      <c r="E25" s="21"/>
      <c r="F25" s="23" t="s">
        <v>130</v>
      </c>
      <c r="G25" s="21"/>
      <c r="H25" s="21"/>
      <c r="I25" s="4" t="s">
        <v>131</v>
      </c>
      <c r="J25" s="4">
        <v>1</v>
      </c>
      <c r="K25" s="4" t="s">
        <v>132</v>
      </c>
      <c r="L25" s="4" t="s">
        <v>80</v>
      </c>
      <c r="M25" s="23" t="s">
        <v>81</v>
      </c>
      <c r="N25" s="21"/>
      <c r="O25" s="4" t="s">
        <v>63</v>
      </c>
      <c r="P25" s="4">
        <v>23</v>
      </c>
      <c r="Q25" s="27">
        <v>135.4</v>
      </c>
      <c r="R25" s="21"/>
      <c r="S25" s="5">
        <v>31.14</v>
      </c>
      <c r="T25" s="23" t="s">
        <v>64</v>
      </c>
      <c r="U25" s="21"/>
      <c r="V25" s="5">
        <v>31.14</v>
      </c>
      <c r="W25" s="4" t="s">
        <v>65</v>
      </c>
      <c r="X25" s="4" t="s">
        <v>133</v>
      </c>
      <c r="Y25" s="4" t="s">
        <v>134</v>
      </c>
      <c r="Z25" s="4" t="s">
        <v>68</v>
      </c>
      <c r="AA25" s="4" t="s">
        <v>69</v>
      </c>
      <c r="AB25" s="4" t="s">
        <v>70</v>
      </c>
      <c r="AC25" s="4" t="s">
        <v>92</v>
      </c>
      <c r="AD25" s="4">
        <v>0</v>
      </c>
      <c r="AE25" s="4"/>
      <c r="AF25" s="4" t="s">
        <v>72</v>
      </c>
    </row>
    <row r="26" spans="1:32" x14ac:dyDescent="0.25">
      <c r="A26" s="4" t="s">
        <v>34</v>
      </c>
      <c r="B26" s="4" t="s">
        <v>35</v>
      </c>
      <c r="C26" s="23" t="s">
        <v>135</v>
      </c>
      <c r="D26" s="21"/>
      <c r="E26" s="21"/>
      <c r="F26" s="23" t="s">
        <v>136</v>
      </c>
      <c r="G26" s="21"/>
      <c r="H26" s="21"/>
      <c r="I26" s="4" t="s">
        <v>59</v>
      </c>
      <c r="J26" s="4">
        <v>1</v>
      </c>
      <c r="K26" s="4" t="s">
        <v>131</v>
      </c>
      <c r="L26" s="4" t="s">
        <v>80</v>
      </c>
      <c r="M26" s="23" t="s">
        <v>81</v>
      </c>
      <c r="N26" s="21"/>
      <c r="O26" s="4" t="s">
        <v>63</v>
      </c>
      <c r="P26" s="4">
        <v>23</v>
      </c>
      <c r="Q26" s="27">
        <v>145.80000000000001</v>
      </c>
      <c r="R26" s="21"/>
      <c r="S26" s="5">
        <v>33.53</v>
      </c>
      <c r="T26" s="23" t="s">
        <v>64</v>
      </c>
      <c r="U26" s="21"/>
      <c r="V26" s="5">
        <v>33.53</v>
      </c>
      <c r="W26" s="4" t="s">
        <v>65</v>
      </c>
      <c r="X26" s="4" t="s">
        <v>133</v>
      </c>
      <c r="Y26" s="4" t="s">
        <v>134</v>
      </c>
      <c r="Z26" s="4" t="s">
        <v>91</v>
      </c>
      <c r="AA26" s="4" t="s">
        <v>69</v>
      </c>
      <c r="AB26" s="4" t="s">
        <v>70</v>
      </c>
      <c r="AC26" s="4" t="s">
        <v>92</v>
      </c>
      <c r="AD26" s="4">
        <v>0</v>
      </c>
      <c r="AE26" s="4"/>
      <c r="AF26" s="4" t="s">
        <v>72</v>
      </c>
    </row>
    <row r="27" spans="1:32" ht="22.5" x14ac:dyDescent="0.25">
      <c r="A27" s="4" t="s">
        <v>34</v>
      </c>
      <c r="B27" s="4" t="s">
        <v>35</v>
      </c>
      <c r="C27" s="23" t="s">
        <v>137</v>
      </c>
      <c r="D27" s="21"/>
      <c r="E27" s="21"/>
      <c r="F27" s="23" t="s">
        <v>138</v>
      </c>
      <c r="G27" s="21"/>
      <c r="H27" s="21"/>
      <c r="I27" s="4" t="s">
        <v>59</v>
      </c>
      <c r="J27" s="4">
        <v>1</v>
      </c>
      <c r="K27" s="4" t="s">
        <v>139</v>
      </c>
      <c r="L27" s="4" t="s">
        <v>80</v>
      </c>
      <c r="M27" s="23" t="s">
        <v>81</v>
      </c>
      <c r="N27" s="21"/>
      <c r="O27" s="4" t="s">
        <v>63</v>
      </c>
      <c r="P27" s="4">
        <v>23</v>
      </c>
      <c r="Q27" s="27">
        <v>128.9</v>
      </c>
      <c r="R27" s="21"/>
      <c r="S27" s="5">
        <v>29.65</v>
      </c>
      <c r="T27" s="23" t="s">
        <v>64</v>
      </c>
      <c r="U27" s="21"/>
      <c r="V27" s="5">
        <v>29.65</v>
      </c>
      <c r="W27" s="4" t="s">
        <v>65</v>
      </c>
      <c r="X27" s="4" t="s">
        <v>140</v>
      </c>
      <c r="Y27" s="4" t="s">
        <v>141</v>
      </c>
      <c r="Z27" s="4" t="s">
        <v>68</v>
      </c>
      <c r="AA27" s="4" t="s">
        <v>69</v>
      </c>
      <c r="AB27" s="4" t="s">
        <v>70</v>
      </c>
      <c r="AC27" s="4" t="s">
        <v>92</v>
      </c>
      <c r="AD27" s="4">
        <v>0</v>
      </c>
      <c r="AE27" s="4"/>
      <c r="AF27" s="4" t="s">
        <v>72</v>
      </c>
    </row>
    <row r="28" spans="1:32" ht="22.5" x14ac:dyDescent="0.25">
      <c r="A28" s="4" t="s">
        <v>34</v>
      </c>
      <c r="B28" s="4" t="s">
        <v>35</v>
      </c>
      <c r="C28" s="23" t="s">
        <v>142</v>
      </c>
      <c r="D28" s="21"/>
      <c r="E28" s="21"/>
      <c r="F28" s="23" t="s">
        <v>143</v>
      </c>
      <c r="G28" s="21"/>
      <c r="H28" s="21"/>
      <c r="I28" s="4" t="s">
        <v>59</v>
      </c>
      <c r="J28" s="4">
        <v>1</v>
      </c>
      <c r="K28" s="4" t="s">
        <v>60</v>
      </c>
      <c r="L28" s="4" t="s">
        <v>144</v>
      </c>
      <c r="M28" s="23" t="s">
        <v>145</v>
      </c>
      <c r="N28" s="21"/>
      <c r="O28" s="4" t="s">
        <v>63</v>
      </c>
      <c r="P28" s="4">
        <v>1</v>
      </c>
      <c r="Q28" s="27">
        <v>179.21</v>
      </c>
      <c r="R28" s="21"/>
      <c r="S28" s="5">
        <v>1.79</v>
      </c>
      <c r="T28" s="23" t="s">
        <v>64</v>
      </c>
      <c r="U28" s="21"/>
      <c r="V28" s="5">
        <v>1.79</v>
      </c>
      <c r="W28" s="4" t="s">
        <v>65</v>
      </c>
      <c r="X28" s="4" t="s">
        <v>140</v>
      </c>
      <c r="Y28" s="4" t="s">
        <v>141</v>
      </c>
      <c r="Z28" s="4" t="s">
        <v>146</v>
      </c>
      <c r="AA28" s="4" t="s">
        <v>147</v>
      </c>
      <c r="AB28" s="4" t="s">
        <v>70</v>
      </c>
      <c r="AC28" s="4" t="s">
        <v>92</v>
      </c>
      <c r="AD28" s="4">
        <v>0</v>
      </c>
      <c r="AE28" s="4"/>
      <c r="AF28" s="4" t="s">
        <v>72</v>
      </c>
    </row>
    <row r="29" spans="1:32" x14ac:dyDescent="0.25">
      <c r="A29" s="4" t="s">
        <v>34</v>
      </c>
      <c r="B29" s="4" t="s">
        <v>35</v>
      </c>
      <c r="C29" s="23" t="s">
        <v>148</v>
      </c>
      <c r="D29" s="21"/>
      <c r="E29" s="21"/>
      <c r="F29" s="23" t="s">
        <v>149</v>
      </c>
      <c r="G29" s="21"/>
      <c r="H29" s="21"/>
      <c r="I29" s="4" t="s">
        <v>59</v>
      </c>
      <c r="J29" s="4">
        <v>1</v>
      </c>
      <c r="K29" s="4" t="s">
        <v>131</v>
      </c>
      <c r="L29" s="4" t="s">
        <v>80</v>
      </c>
      <c r="M29" s="23" t="s">
        <v>81</v>
      </c>
      <c r="N29" s="21"/>
      <c r="O29" s="4" t="s">
        <v>63</v>
      </c>
      <c r="P29" s="4">
        <v>23</v>
      </c>
      <c r="Q29" s="27">
        <v>148.24</v>
      </c>
      <c r="R29" s="21"/>
      <c r="S29" s="5">
        <v>34.1</v>
      </c>
      <c r="T29" s="23" t="s">
        <v>64</v>
      </c>
      <c r="U29" s="21"/>
      <c r="V29" s="5">
        <v>34.1</v>
      </c>
      <c r="W29" s="4" t="s">
        <v>65</v>
      </c>
      <c r="X29" s="4" t="s">
        <v>150</v>
      </c>
      <c r="Y29" s="4" t="s">
        <v>151</v>
      </c>
      <c r="Z29" s="4" t="s">
        <v>68</v>
      </c>
      <c r="AA29" s="4" t="s">
        <v>69</v>
      </c>
      <c r="AB29" s="4" t="s">
        <v>70</v>
      </c>
      <c r="AC29" s="4" t="s">
        <v>92</v>
      </c>
      <c r="AD29" s="4">
        <v>0</v>
      </c>
      <c r="AE29" s="4"/>
      <c r="AF29" s="4" t="s">
        <v>72</v>
      </c>
    </row>
    <row r="30" spans="1:32" x14ac:dyDescent="0.25">
      <c r="A30" s="4" t="s">
        <v>34</v>
      </c>
      <c r="B30" s="4" t="s">
        <v>35</v>
      </c>
      <c r="C30" s="23" t="s">
        <v>152</v>
      </c>
      <c r="D30" s="21"/>
      <c r="E30" s="21"/>
      <c r="F30" s="23" t="s">
        <v>153</v>
      </c>
      <c r="G30" s="21"/>
      <c r="H30" s="21"/>
      <c r="I30" s="4" t="s">
        <v>59</v>
      </c>
      <c r="J30" s="4">
        <v>1</v>
      </c>
      <c r="K30" s="4" t="s">
        <v>131</v>
      </c>
      <c r="L30" s="4" t="s">
        <v>80</v>
      </c>
      <c r="M30" s="23" t="s">
        <v>81</v>
      </c>
      <c r="N30" s="21"/>
      <c r="O30" s="4" t="s">
        <v>63</v>
      </c>
      <c r="P30" s="4">
        <v>23</v>
      </c>
      <c r="Q30" s="27">
        <v>137.13</v>
      </c>
      <c r="R30" s="21"/>
      <c r="S30" s="5">
        <v>31.54</v>
      </c>
      <c r="T30" s="23" t="s">
        <v>64</v>
      </c>
      <c r="U30" s="21"/>
      <c r="V30" s="5">
        <v>31.54</v>
      </c>
      <c r="W30" s="4" t="s">
        <v>65</v>
      </c>
      <c r="X30" s="4" t="s">
        <v>150</v>
      </c>
      <c r="Y30" s="4" t="s">
        <v>151</v>
      </c>
      <c r="Z30" s="4" t="s">
        <v>68</v>
      </c>
      <c r="AA30" s="4" t="s">
        <v>69</v>
      </c>
      <c r="AB30" s="4" t="s">
        <v>70</v>
      </c>
      <c r="AC30" s="4" t="s">
        <v>92</v>
      </c>
      <c r="AD30" s="4">
        <v>0</v>
      </c>
      <c r="AE30" s="4"/>
      <c r="AF30" s="4" t="s">
        <v>72</v>
      </c>
    </row>
    <row r="31" spans="1:32" x14ac:dyDescent="0.25">
      <c r="A31" s="4" t="s">
        <v>34</v>
      </c>
      <c r="B31" s="4" t="s">
        <v>35</v>
      </c>
      <c r="C31" s="23" t="s">
        <v>154</v>
      </c>
      <c r="D31" s="21"/>
      <c r="E31" s="21"/>
      <c r="F31" s="23" t="s">
        <v>155</v>
      </c>
      <c r="G31" s="21"/>
      <c r="H31" s="21"/>
      <c r="I31" s="4" t="s">
        <v>131</v>
      </c>
      <c r="J31" s="4">
        <v>1</v>
      </c>
      <c r="K31" s="4" t="s">
        <v>131</v>
      </c>
      <c r="L31" s="4" t="s">
        <v>80</v>
      </c>
      <c r="M31" s="23" t="s">
        <v>81</v>
      </c>
      <c r="N31" s="21"/>
      <c r="O31" s="4" t="s">
        <v>63</v>
      </c>
      <c r="P31" s="4">
        <v>23</v>
      </c>
      <c r="Q31" s="27">
        <v>128.9</v>
      </c>
      <c r="R31" s="21"/>
      <c r="S31" s="5">
        <v>29.65</v>
      </c>
      <c r="T31" s="23" t="s">
        <v>64</v>
      </c>
      <c r="U31" s="21"/>
      <c r="V31" s="5">
        <v>29.65</v>
      </c>
      <c r="W31" s="4" t="s">
        <v>65</v>
      </c>
      <c r="X31" s="4" t="s">
        <v>150</v>
      </c>
      <c r="Y31" s="4" t="s">
        <v>151</v>
      </c>
      <c r="Z31" s="4" t="s">
        <v>68</v>
      </c>
      <c r="AA31" s="4" t="s">
        <v>69</v>
      </c>
      <c r="AB31" s="4" t="s">
        <v>70</v>
      </c>
      <c r="AC31" s="4" t="s">
        <v>92</v>
      </c>
      <c r="AD31" s="4">
        <v>0</v>
      </c>
      <c r="AE31" s="4"/>
      <c r="AF31" s="4" t="s">
        <v>72</v>
      </c>
    </row>
    <row r="32" spans="1:32" x14ac:dyDescent="0.25">
      <c r="A32" s="4" t="s">
        <v>34</v>
      </c>
      <c r="B32" s="4" t="s">
        <v>35</v>
      </c>
      <c r="C32" s="23" t="s">
        <v>156</v>
      </c>
      <c r="D32" s="21"/>
      <c r="E32" s="21"/>
      <c r="F32" s="23" t="s">
        <v>157</v>
      </c>
      <c r="G32" s="21"/>
      <c r="H32" s="21"/>
      <c r="I32" s="4" t="s">
        <v>59</v>
      </c>
      <c r="J32" s="4">
        <v>1</v>
      </c>
      <c r="K32" s="4" t="s">
        <v>59</v>
      </c>
      <c r="L32" s="4" t="s">
        <v>80</v>
      </c>
      <c r="M32" s="23" t="s">
        <v>81</v>
      </c>
      <c r="N32" s="21"/>
      <c r="O32" s="4" t="s">
        <v>63</v>
      </c>
      <c r="P32" s="4">
        <v>23</v>
      </c>
      <c r="Q32" s="27">
        <v>174.61</v>
      </c>
      <c r="R32" s="21"/>
      <c r="S32" s="5">
        <v>40.159999999999997</v>
      </c>
      <c r="T32" s="23" t="s">
        <v>64</v>
      </c>
      <c r="U32" s="21"/>
      <c r="V32" s="5">
        <v>40.159999999999997</v>
      </c>
      <c r="W32" s="4" t="s">
        <v>65</v>
      </c>
      <c r="X32" s="4" t="s">
        <v>150</v>
      </c>
      <c r="Y32" s="4" t="s">
        <v>151</v>
      </c>
      <c r="Z32" s="4" t="s">
        <v>68</v>
      </c>
      <c r="AA32" s="4" t="s">
        <v>69</v>
      </c>
      <c r="AB32" s="4" t="s">
        <v>70</v>
      </c>
      <c r="AC32" s="4" t="s">
        <v>92</v>
      </c>
      <c r="AD32" s="4">
        <v>0</v>
      </c>
      <c r="AE32" s="4"/>
      <c r="AF32" s="4" t="s">
        <v>72</v>
      </c>
    </row>
    <row r="33" spans="1:32" x14ac:dyDescent="0.25">
      <c r="A33" s="4" t="s">
        <v>34</v>
      </c>
      <c r="B33" s="4" t="s">
        <v>35</v>
      </c>
      <c r="C33" s="23" t="s">
        <v>158</v>
      </c>
      <c r="D33" s="21"/>
      <c r="E33" s="21"/>
      <c r="F33" s="23" t="s">
        <v>159</v>
      </c>
      <c r="G33" s="21"/>
      <c r="H33" s="21"/>
      <c r="I33" s="4" t="s">
        <v>59</v>
      </c>
      <c r="J33" s="4">
        <v>1</v>
      </c>
      <c r="K33" s="4" t="s">
        <v>59</v>
      </c>
      <c r="L33" s="4" t="s">
        <v>80</v>
      </c>
      <c r="M33" s="23" t="s">
        <v>81</v>
      </c>
      <c r="N33" s="21"/>
      <c r="O33" s="4" t="s">
        <v>63</v>
      </c>
      <c r="P33" s="4">
        <v>23</v>
      </c>
      <c r="Q33" s="27">
        <v>118.15</v>
      </c>
      <c r="R33" s="21"/>
      <c r="S33" s="5">
        <v>27.17</v>
      </c>
      <c r="T33" s="23" t="s">
        <v>64</v>
      </c>
      <c r="U33" s="21"/>
      <c r="V33" s="5">
        <v>27.17</v>
      </c>
      <c r="W33" s="4" t="s">
        <v>65</v>
      </c>
      <c r="X33" s="4" t="s">
        <v>150</v>
      </c>
      <c r="Y33" s="4" t="s">
        <v>151</v>
      </c>
      <c r="Z33" s="4" t="s">
        <v>68</v>
      </c>
      <c r="AA33" s="4" t="s">
        <v>69</v>
      </c>
      <c r="AB33" s="4" t="s">
        <v>70</v>
      </c>
      <c r="AC33" s="4" t="s">
        <v>92</v>
      </c>
      <c r="AD33" s="4">
        <v>0</v>
      </c>
      <c r="AE33" s="4"/>
      <c r="AF33" s="4" t="s">
        <v>72</v>
      </c>
    </row>
    <row r="34" spans="1:32" x14ac:dyDescent="0.25">
      <c r="A34" s="4" t="s">
        <v>34</v>
      </c>
      <c r="B34" s="4" t="s">
        <v>35</v>
      </c>
      <c r="C34" s="23" t="s">
        <v>160</v>
      </c>
      <c r="D34" s="21"/>
      <c r="E34" s="21"/>
      <c r="F34" s="23" t="s">
        <v>37</v>
      </c>
      <c r="G34" s="21"/>
      <c r="H34" s="21"/>
      <c r="I34" s="4" t="s">
        <v>59</v>
      </c>
      <c r="J34" s="4">
        <v>1</v>
      </c>
      <c r="K34" s="4"/>
      <c r="L34" s="4" t="s">
        <v>80</v>
      </c>
      <c r="M34" s="23"/>
      <c r="N34" s="21"/>
      <c r="O34" s="4" t="s">
        <v>37</v>
      </c>
      <c r="P34" s="4">
        <v>0</v>
      </c>
      <c r="Q34" s="27">
        <v>0</v>
      </c>
      <c r="R34" s="21"/>
      <c r="S34" s="5">
        <v>0</v>
      </c>
      <c r="T34" s="23" t="s">
        <v>161</v>
      </c>
      <c r="U34" s="21"/>
      <c r="V34" s="5">
        <v>-142.18</v>
      </c>
      <c r="W34" s="4" t="s">
        <v>65</v>
      </c>
      <c r="X34" s="4" t="s">
        <v>150</v>
      </c>
      <c r="Y34" s="4" t="s">
        <v>37</v>
      </c>
      <c r="Z34" s="4"/>
      <c r="AA34" s="4"/>
      <c r="AB34" s="4"/>
      <c r="AC34" s="4" t="s">
        <v>92</v>
      </c>
      <c r="AD34" s="4">
        <v>0</v>
      </c>
      <c r="AE34" s="4"/>
      <c r="AF34" s="4" t="s">
        <v>72</v>
      </c>
    </row>
    <row r="35" spans="1:32" x14ac:dyDescent="0.25">
      <c r="A35" s="4" t="s">
        <v>34</v>
      </c>
      <c r="B35" s="4" t="s">
        <v>35</v>
      </c>
      <c r="C35" s="23" t="s">
        <v>162</v>
      </c>
      <c r="D35" s="21"/>
      <c r="E35" s="21"/>
      <c r="F35" s="23" t="s">
        <v>163</v>
      </c>
      <c r="G35" s="21"/>
      <c r="H35" s="21"/>
      <c r="I35" s="4" t="s">
        <v>131</v>
      </c>
      <c r="J35" s="4">
        <v>1</v>
      </c>
      <c r="K35" s="4" t="s">
        <v>120</v>
      </c>
      <c r="L35" s="4" t="s">
        <v>80</v>
      </c>
      <c r="M35" s="23" t="s">
        <v>81</v>
      </c>
      <c r="N35" s="21"/>
      <c r="O35" s="4" t="s">
        <v>63</v>
      </c>
      <c r="P35" s="4">
        <v>1</v>
      </c>
      <c r="Q35" s="27">
        <v>109.71</v>
      </c>
      <c r="R35" s="21"/>
      <c r="S35" s="5">
        <v>1.1000000000000001</v>
      </c>
      <c r="T35" s="23" t="s">
        <v>64</v>
      </c>
      <c r="U35" s="21"/>
      <c r="V35" s="5">
        <v>1.1000000000000001</v>
      </c>
      <c r="W35" s="4" t="s">
        <v>65</v>
      </c>
      <c r="X35" s="4" t="s">
        <v>164</v>
      </c>
      <c r="Y35" s="4" t="s">
        <v>165</v>
      </c>
      <c r="Z35" s="4" t="s">
        <v>146</v>
      </c>
      <c r="AA35" s="4" t="s">
        <v>147</v>
      </c>
      <c r="AB35" s="4" t="s">
        <v>70</v>
      </c>
      <c r="AC35" s="4" t="s">
        <v>92</v>
      </c>
      <c r="AD35" s="4">
        <v>0</v>
      </c>
      <c r="AE35" s="4"/>
      <c r="AF35" s="4" t="s">
        <v>72</v>
      </c>
    </row>
    <row r="36" spans="1:32" x14ac:dyDescent="0.25">
      <c r="A36" s="4" t="s">
        <v>34</v>
      </c>
      <c r="B36" s="4" t="s">
        <v>35</v>
      </c>
      <c r="C36" s="23" t="s">
        <v>166</v>
      </c>
      <c r="D36" s="21"/>
      <c r="E36" s="21"/>
      <c r="F36" s="23" t="s">
        <v>167</v>
      </c>
      <c r="G36" s="21"/>
      <c r="H36" s="21"/>
      <c r="I36" s="4" t="s">
        <v>131</v>
      </c>
      <c r="J36" s="4">
        <v>1</v>
      </c>
      <c r="K36" s="4" t="s">
        <v>120</v>
      </c>
      <c r="L36" s="4" t="s">
        <v>61</v>
      </c>
      <c r="M36" s="23" t="s">
        <v>62</v>
      </c>
      <c r="N36" s="21"/>
      <c r="O36" s="4" t="s">
        <v>63</v>
      </c>
      <c r="P36" s="4">
        <v>27</v>
      </c>
      <c r="Q36" s="27">
        <v>88.47</v>
      </c>
      <c r="R36" s="21"/>
      <c r="S36" s="5">
        <v>23.89</v>
      </c>
      <c r="T36" s="23" t="s">
        <v>64</v>
      </c>
      <c r="U36" s="21"/>
      <c r="V36" s="5">
        <v>23.89</v>
      </c>
      <c r="W36" s="4" t="s">
        <v>65</v>
      </c>
      <c r="X36" s="4" t="s">
        <v>164</v>
      </c>
      <c r="Y36" s="4" t="s">
        <v>165</v>
      </c>
      <c r="Z36" s="4" t="s">
        <v>91</v>
      </c>
      <c r="AA36" s="4" t="s">
        <v>69</v>
      </c>
      <c r="AB36" s="4" t="s">
        <v>70</v>
      </c>
      <c r="AC36" s="4" t="s">
        <v>92</v>
      </c>
      <c r="AD36" s="4">
        <v>0</v>
      </c>
      <c r="AE36" s="4"/>
      <c r="AF36" s="4" t="s">
        <v>72</v>
      </c>
    </row>
    <row r="37" spans="1:32" x14ac:dyDescent="0.25">
      <c r="A37" s="4" t="s">
        <v>34</v>
      </c>
      <c r="B37" s="4" t="s">
        <v>35</v>
      </c>
      <c r="C37" s="23" t="s">
        <v>168</v>
      </c>
      <c r="D37" s="21"/>
      <c r="E37" s="21"/>
      <c r="F37" s="23" t="s">
        <v>169</v>
      </c>
      <c r="G37" s="21"/>
      <c r="H37" s="21"/>
      <c r="I37" s="4" t="s">
        <v>59</v>
      </c>
      <c r="J37" s="4">
        <v>1</v>
      </c>
      <c r="K37" s="4" t="s">
        <v>131</v>
      </c>
      <c r="L37" s="4" t="s">
        <v>98</v>
      </c>
      <c r="M37" s="23" t="s">
        <v>99</v>
      </c>
      <c r="N37" s="21"/>
      <c r="O37" s="4" t="s">
        <v>63</v>
      </c>
      <c r="P37" s="4">
        <v>22</v>
      </c>
      <c r="Q37" s="27">
        <v>256.79000000000002</v>
      </c>
      <c r="R37" s="21"/>
      <c r="S37" s="5">
        <v>56.49</v>
      </c>
      <c r="T37" s="23" t="s">
        <v>64</v>
      </c>
      <c r="U37" s="21"/>
      <c r="V37" s="5">
        <v>56.49</v>
      </c>
      <c r="W37" s="4" t="s">
        <v>65</v>
      </c>
      <c r="X37" s="4" t="s">
        <v>164</v>
      </c>
      <c r="Y37" s="4" t="s">
        <v>165</v>
      </c>
      <c r="Z37" s="4" t="s">
        <v>68</v>
      </c>
      <c r="AA37" s="4" t="s">
        <v>69</v>
      </c>
      <c r="AB37" s="4" t="s">
        <v>70</v>
      </c>
      <c r="AC37" s="4" t="s">
        <v>100</v>
      </c>
      <c r="AD37" s="4">
        <v>0</v>
      </c>
      <c r="AE37" s="4"/>
      <c r="AF37" s="4" t="s">
        <v>72</v>
      </c>
    </row>
    <row r="38" spans="1:32" x14ac:dyDescent="0.25">
      <c r="A38" s="4" t="s">
        <v>34</v>
      </c>
      <c r="B38" s="4" t="s">
        <v>35</v>
      </c>
      <c r="C38" s="23" t="s">
        <v>170</v>
      </c>
      <c r="D38" s="21"/>
      <c r="E38" s="21"/>
      <c r="F38" s="23" t="s">
        <v>171</v>
      </c>
      <c r="G38" s="21"/>
      <c r="H38" s="21"/>
      <c r="I38" s="4" t="s">
        <v>59</v>
      </c>
      <c r="J38" s="4">
        <v>1</v>
      </c>
      <c r="K38" s="4" t="s">
        <v>131</v>
      </c>
      <c r="L38" s="4" t="s">
        <v>98</v>
      </c>
      <c r="M38" s="23" t="s">
        <v>99</v>
      </c>
      <c r="N38" s="21"/>
      <c r="O38" s="4" t="s">
        <v>63</v>
      </c>
      <c r="P38" s="4">
        <v>22</v>
      </c>
      <c r="Q38" s="27">
        <v>209.32</v>
      </c>
      <c r="R38" s="21"/>
      <c r="S38" s="5">
        <v>46.05</v>
      </c>
      <c r="T38" s="23" t="s">
        <v>64</v>
      </c>
      <c r="U38" s="21"/>
      <c r="V38" s="5">
        <v>46.05</v>
      </c>
      <c r="W38" s="4" t="s">
        <v>65</v>
      </c>
      <c r="X38" s="4" t="s">
        <v>164</v>
      </c>
      <c r="Y38" s="4" t="s">
        <v>165</v>
      </c>
      <c r="Z38" s="4" t="s">
        <v>68</v>
      </c>
      <c r="AA38" s="4" t="s">
        <v>69</v>
      </c>
      <c r="AB38" s="4" t="s">
        <v>70</v>
      </c>
      <c r="AC38" s="4" t="s">
        <v>100</v>
      </c>
      <c r="AD38" s="4">
        <v>0</v>
      </c>
      <c r="AE38" s="4"/>
      <c r="AF38" s="4" t="s">
        <v>72</v>
      </c>
    </row>
    <row r="39" spans="1:32" ht="22.5" x14ac:dyDescent="0.25">
      <c r="A39" s="4" t="s">
        <v>34</v>
      </c>
      <c r="B39" s="4" t="s">
        <v>35</v>
      </c>
      <c r="C39" s="23" t="s">
        <v>172</v>
      </c>
      <c r="D39" s="21"/>
      <c r="E39" s="21"/>
      <c r="F39" s="23" t="s">
        <v>173</v>
      </c>
      <c r="G39" s="21"/>
      <c r="H39" s="21"/>
      <c r="I39" s="4" t="s">
        <v>59</v>
      </c>
      <c r="J39" s="4">
        <v>1</v>
      </c>
      <c r="K39" s="4" t="s">
        <v>131</v>
      </c>
      <c r="L39" s="4" t="s">
        <v>80</v>
      </c>
      <c r="M39" s="23" t="s">
        <v>81</v>
      </c>
      <c r="N39" s="21"/>
      <c r="O39" s="4" t="s">
        <v>63</v>
      </c>
      <c r="P39" s="4">
        <v>23</v>
      </c>
      <c r="Q39" s="27">
        <v>145.53</v>
      </c>
      <c r="R39" s="21"/>
      <c r="S39" s="5">
        <v>33.47</v>
      </c>
      <c r="T39" s="23" t="s">
        <v>64</v>
      </c>
      <c r="U39" s="21"/>
      <c r="V39" s="5">
        <v>33.47</v>
      </c>
      <c r="W39" s="4" t="s">
        <v>65</v>
      </c>
      <c r="X39" s="4" t="s">
        <v>174</v>
      </c>
      <c r="Y39" s="4" t="s">
        <v>175</v>
      </c>
      <c r="Z39" s="4" t="s">
        <v>91</v>
      </c>
      <c r="AA39" s="4" t="s">
        <v>69</v>
      </c>
      <c r="AB39" s="4" t="s">
        <v>70</v>
      </c>
      <c r="AC39" s="4" t="s">
        <v>92</v>
      </c>
      <c r="AD39" s="4">
        <v>0</v>
      </c>
      <c r="AE39" s="4"/>
      <c r="AF39" s="4" t="s">
        <v>72</v>
      </c>
    </row>
    <row r="40" spans="1:32" ht="22.5" x14ac:dyDescent="0.25">
      <c r="A40" s="4" t="s">
        <v>34</v>
      </c>
      <c r="B40" s="4" t="s">
        <v>35</v>
      </c>
      <c r="C40" s="23" t="s">
        <v>176</v>
      </c>
      <c r="D40" s="21"/>
      <c r="E40" s="21"/>
      <c r="F40" s="23" t="s">
        <v>177</v>
      </c>
      <c r="G40" s="21"/>
      <c r="H40" s="21"/>
      <c r="I40" s="4" t="s">
        <v>59</v>
      </c>
      <c r="J40" s="4">
        <v>1</v>
      </c>
      <c r="K40" s="4" t="s">
        <v>131</v>
      </c>
      <c r="L40" s="4" t="s">
        <v>80</v>
      </c>
      <c r="M40" s="23" t="s">
        <v>81</v>
      </c>
      <c r="N40" s="21"/>
      <c r="O40" s="4" t="s">
        <v>63</v>
      </c>
      <c r="P40" s="4">
        <v>23</v>
      </c>
      <c r="Q40" s="27">
        <v>109.71</v>
      </c>
      <c r="R40" s="21"/>
      <c r="S40" s="5">
        <v>25.23</v>
      </c>
      <c r="T40" s="23" t="s">
        <v>64</v>
      </c>
      <c r="U40" s="21"/>
      <c r="V40" s="5">
        <v>25.23</v>
      </c>
      <c r="W40" s="4" t="s">
        <v>65</v>
      </c>
      <c r="X40" s="4" t="s">
        <v>174</v>
      </c>
      <c r="Y40" s="4" t="s">
        <v>175</v>
      </c>
      <c r="Z40" s="4" t="s">
        <v>91</v>
      </c>
      <c r="AA40" s="4" t="s">
        <v>69</v>
      </c>
      <c r="AB40" s="4" t="s">
        <v>70</v>
      </c>
      <c r="AC40" s="4" t="s">
        <v>92</v>
      </c>
      <c r="AD40" s="4">
        <v>0</v>
      </c>
      <c r="AE40" s="4"/>
      <c r="AF40" s="4" t="s">
        <v>72</v>
      </c>
    </row>
    <row r="41" spans="1:32" ht="22.5" x14ac:dyDescent="0.25">
      <c r="A41" s="4" t="s">
        <v>34</v>
      </c>
      <c r="B41" s="4" t="s">
        <v>35</v>
      </c>
      <c r="C41" s="23" t="s">
        <v>178</v>
      </c>
      <c r="D41" s="21"/>
      <c r="E41" s="21"/>
      <c r="F41" s="23" t="s">
        <v>179</v>
      </c>
      <c r="G41" s="21"/>
      <c r="H41" s="21"/>
      <c r="I41" s="4" t="s">
        <v>59</v>
      </c>
      <c r="J41" s="4">
        <v>1</v>
      </c>
      <c r="K41" s="4" t="s">
        <v>120</v>
      </c>
      <c r="L41" s="4" t="s">
        <v>98</v>
      </c>
      <c r="M41" s="23" t="s">
        <v>99</v>
      </c>
      <c r="N41" s="21"/>
      <c r="O41" s="4" t="s">
        <v>63</v>
      </c>
      <c r="P41" s="4">
        <v>6.5</v>
      </c>
      <c r="Q41" s="27">
        <v>823.32</v>
      </c>
      <c r="R41" s="21"/>
      <c r="S41" s="5">
        <v>53.52</v>
      </c>
      <c r="T41" s="23" t="s">
        <v>64</v>
      </c>
      <c r="U41" s="21"/>
      <c r="V41" s="5">
        <v>53.52</v>
      </c>
      <c r="W41" s="4" t="s">
        <v>65</v>
      </c>
      <c r="X41" s="4" t="s">
        <v>180</v>
      </c>
      <c r="Y41" s="4" t="s">
        <v>181</v>
      </c>
      <c r="Z41" s="4" t="s">
        <v>146</v>
      </c>
      <c r="AA41" s="4" t="s">
        <v>147</v>
      </c>
      <c r="AB41" s="4" t="s">
        <v>70</v>
      </c>
      <c r="AC41" s="4" t="s">
        <v>100</v>
      </c>
      <c r="AD41" s="4">
        <v>0</v>
      </c>
      <c r="AE41" s="4"/>
      <c r="AF41" s="4" t="s">
        <v>72</v>
      </c>
    </row>
    <row r="42" spans="1:32" ht="22.5" x14ac:dyDescent="0.25">
      <c r="A42" s="4" t="s">
        <v>34</v>
      </c>
      <c r="B42" s="4" t="s">
        <v>35</v>
      </c>
      <c r="C42" s="23" t="s">
        <v>182</v>
      </c>
      <c r="D42" s="21"/>
      <c r="E42" s="21"/>
      <c r="F42" s="23" t="s">
        <v>183</v>
      </c>
      <c r="G42" s="21"/>
      <c r="H42" s="21"/>
      <c r="I42" s="4" t="s">
        <v>59</v>
      </c>
      <c r="J42" s="4">
        <v>1</v>
      </c>
      <c r="K42" s="4" t="s">
        <v>120</v>
      </c>
      <c r="L42" s="4" t="s">
        <v>98</v>
      </c>
      <c r="M42" s="23" t="s">
        <v>99</v>
      </c>
      <c r="N42" s="21"/>
      <c r="O42" s="4" t="s">
        <v>63</v>
      </c>
      <c r="P42" s="4">
        <v>22</v>
      </c>
      <c r="Q42" s="27">
        <v>184.42</v>
      </c>
      <c r="R42" s="21"/>
      <c r="S42" s="5">
        <v>40.57</v>
      </c>
      <c r="T42" s="23" t="s">
        <v>64</v>
      </c>
      <c r="U42" s="21"/>
      <c r="V42" s="5">
        <v>40.57</v>
      </c>
      <c r="W42" s="4" t="s">
        <v>65</v>
      </c>
      <c r="X42" s="4" t="s">
        <v>180</v>
      </c>
      <c r="Y42" s="4" t="s">
        <v>181</v>
      </c>
      <c r="Z42" s="4" t="s">
        <v>68</v>
      </c>
      <c r="AA42" s="4" t="s">
        <v>69</v>
      </c>
      <c r="AB42" s="4" t="s">
        <v>70</v>
      </c>
      <c r="AC42" s="4" t="s">
        <v>100</v>
      </c>
      <c r="AD42" s="4">
        <v>0</v>
      </c>
      <c r="AE42" s="4"/>
      <c r="AF42" s="4" t="s">
        <v>72</v>
      </c>
    </row>
    <row r="43" spans="1:32" ht="22.5" x14ac:dyDescent="0.25">
      <c r="A43" s="4" t="s">
        <v>34</v>
      </c>
      <c r="B43" s="4" t="s">
        <v>35</v>
      </c>
      <c r="C43" s="23" t="s">
        <v>184</v>
      </c>
      <c r="D43" s="21"/>
      <c r="E43" s="21"/>
      <c r="F43" s="23" t="s">
        <v>185</v>
      </c>
      <c r="G43" s="21"/>
      <c r="H43" s="21"/>
      <c r="I43" s="4" t="s">
        <v>59</v>
      </c>
      <c r="J43" s="4">
        <v>1</v>
      </c>
      <c r="K43" s="4" t="s">
        <v>186</v>
      </c>
      <c r="L43" s="4" t="s">
        <v>80</v>
      </c>
      <c r="M43" s="23" t="s">
        <v>81</v>
      </c>
      <c r="N43" s="21"/>
      <c r="O43" s="4" t="s">
        <v>63</v>
      </c>
      <c r="P43" s="4">
        <v>23</v>
      </c>
      <c r="Q43" s="27">
        <v>145.53</v>
      </c>
      <c r="R43" s="21"/>
      <c r="S43" s="5">
        <v>33.47</v>
      </c>
      <c r="T43" s="23" t="s">
        <v>64</v>
      </c>
      <c r="U43" s="21"/>
      <c r="V43" s="5">
        <v>33.47</v>
      </c>
      <c r="W43" s="4" t="s">
        <v>65</v>
      </c>
      <c r="X43" s="4" t="s">
        <v>180</v>
      </c>
      <c r="Y43" s="4" t="s">
        <v>181</v>
      </c>
      <c r="Z43" s="4" t="s">
        <v>91</v>
      </c>
      <c r="AA43" s="4" t="s">
        <v>69</v>
      </c>
      <c r="AB43" s="4" t="s">
        <v>70</v>
      </c>
      <c r="AC43" s="4" t="s">
        <v>92</v>
      </c>
      <c r="AD43" s="4">
        <v>0</v>
      </c>
      <c r="AE43" s="4"/>
      <c r="AF43" s="4" t="s">
        <v>72</v>
      </c>
    </row>
    <row r="44" spans="1:32" x14ac:dyDescent="0.25">
      <c r="A44" s="4" t="s">
        <v>34</v>
      </c>
      <c r="B44" s="4" t="s">
        <v>201</v>
      </c>
      <c r="C44" s="23" t="s">
        <v>236</v>
      </c>
      <c r="D44" s="21"/>
      <c r="E44" s="21"/>
      <c r="F44" s="23" t="s">
        <v>235</v>
      </c>
      <c r="G44" s="21"/>
      <c r="H44" s="21"/>
      <c r="I44" s="4" t="s">
        <v>59</v>
      </c>
      <c r="J44" s="4">
        <v>1</v>
      </c>
      <c r="K44" s="4" t="s">
        <v>234</v>
      </c>
      <c r="L44" s="4" t="s">
        <v>199</v>
      </c>
      <c r="M44" s="23" t="s">
        <v>198</v>
      </c>
      <c r="N44" s="21"/>
      <c r="O44" s="4" t="s">
        <v>63</v>
      </c>
      <c r="P44" s="4">
        <v>57</v>
      </c>
      <c r="Q44" s="27">
        <v>57.33</v>
      </c>
      <c r="R44" s="21"/>
      <c r="S44" s="5">
        <v>32.68</v>
      </c>
      <c r="T44" s="23" t="s">
        <v>64</v>
      </c>
      <c r="U44" s="21"/>
      <c r="V44" s="5">
        <v>32.68</v>
      </c>
      <c r="W44" s="4" t="s">
        <v>65</v>
      </c>
      <c r="X44" s="4" t="s">
        <v>220</v>
      </c>
      <c r="Y44" s="4" t="s">
        <v>219</v>
      </c>
      <c r="Z44" s="4"/>
      <c r="AA44" s="4" t="s">
        <v>197</v>
      </c>
      <c r="AB44" s="4" t="s">
        <v>70</v>
      </c>
      <c r="AC44" s="4" t="s">
        <v>210</v>
      </c>
      <c r="AD44" s="4">
        <v>0</v>
      </c>
      <c r="AE44" s="4"/>
      <c r="AF44" s="4" t="s">
        <v>72</v>
      </c>
    </row>
    <row r="45" spans="1:32" x14ac:dyDescent="0.25">
      <c r="A45" s="4" t="s">
        <v>34</v>
      </c>
      <c r="B45" s="4" t="s">
        <v>201</v>
      </c>
      <c r="C45" s="23" t="s">
        <v>233</v>
      </c>
      <c r="D45" s="21"/>
      <c r="E45" s="21"/>
      <c r="F45" s="23" t="s">
        <v>232</v>
      </c>
      <c r="G45" s="21"/>
      <c r="H45" s="21"/>
      <c r="I45" s="4" t="s">
        <v>59</v>
      </c>
      <c r="J45" s="4">
        <v>1</v>
      </c>
      <c r="K45" s="4" t="s">
        <v>231</v>
      </c>
      <c r="L45" s="4" t="s">
        <v>199</v>
      </c>
      <c r="M45" s="23" t="s">
        <v>198</v>
      </c>
      <c r="N45" s="21"/>
      <c r="O45" s="4" t="s">
        <v>63</v>
      </c>
      <c r="P45" s="4">
        <v>57</v>
      </c>
      <c r="Q45" s="27">
        <v>57.33</v>
      </c>
      <c r="R45" s="21"/>
      <c r="S45" s="5">
        <v>32.68</v>
      </c>
      <c r="T45" s="23" t="s">
        <v>64</v>
      </c>
      <c r="U45" s="21"/>
      <c r="V45" s="5">
        <v>32.68</v>
      </c>
      <c r="W45" s="4" t="s">
        <v>65</v>
      </c>
      <c r="X45" s="4" t="s">
        <v>220</v>
      </c>
      <c r="Y45" s="4" t="s">
        <v>219</v>
      </c>
      <c r="Z45" s="4"/>
      <c r="AA45" s="4" t="s">
        <v>197</v>
      </c>
      <c r="AB45" s="4" t="s">
        <v>70</v>
      </c>
      <c r="AC45" s="4" t="s">
        <v>210</v>
      </c>
      <c r="AD45" s="4">
        <v>0</v>
      </c>
      <c r="AE45" s="4"/>
      <c r="AF45" s="4" t="s">
        <v>72</v>
      </c>
    </row>
    <row r="46" spans="1:32" x14ac:dyDescent="0.25">
      <c r="A46" s="4" t="s">
        <v>34</v>
      </c>
      <c r="B46" s="4" t="s">
        <v>201</v>
      </c>
      <c r="C46" s="23" t="s">
        <v>230</v>
      </c>
      <c r="D46" s="21"/>
      <c r="E46" s="21"/>
      <c r="F46" s="23" t="s">
        <v>229</v>
      </c>
      <c r="G46" s="21"/>
      <c r="H46" s="21"/>
      <c r="I46" s="4" t="s">
        <v>59</v>
      </c>
      <c r="J46" s="4">
        <v>1</v>
      </c>
      <c r="K46" s="4" t="s">
        <v>139</v>
      </c>
      <c r="L46" s="4" t="s">
        <v>199</v>
      </c>
      <c r="M46" s="23" t="s">
        <v>198</v>
      </c>
      <c r="N46" s="21"/>
      <c r="O46" s="4" t="s">
        <v>63</v>
      </c>
      <c r="P46" s="4">
        <v>57</v>
      </c>
      <c r="Q46" s="27">
        <v>54.3</v>
      </c>
      <c r="R46" s="21"/>
      <c r="S46" s="5">
        <v>30.95</v>
      </c>
      <c r="T46" s="23" t="s">
        <v>64</v>
      </c>
      <c r="U46" s="21"/>
      <c r="V46" s="5">
        <v>30.95</v>
      </c>
      <c r="W46" s="4" t="s">
        <v>65</v>
      </c>
      <c r="X46" s="4" t="s">
        <v>220</v>
      </c>
      <c r="Y46" s="4" t="s">
        <v>219</v>
      </c>
      <c r="Z46" s="4"/>
      <c r="AA46" s="4" t="s">
        <v>197</v>
      </c>
      <c r="AB46" s="4" t="s">
        <v>70</v>
      </c>
      <c r="AC46" s="4" t="s">
        <v>210</v>
      </c>
      <c r="AD46" s="4">
        <v>0</v>
      </c>
      <c r="AE46" s="4"/>
      <c r="AF46" s="4" t="s">
        <v>72</v>
      </c>
    </row>
    <row r="47" spans="1:32" x14ac:dyDescent="0.25">
      <c r="A47" s="4" t="s">
        <v>34</v>
      </c>
      <c r="B47" s="4" t="s">
        <v>201</v>
      </c>
      <c r="C47" s="23" t="s">
        <v>228</v>
      </c>
      <c r="D47" s="21"/>
      <c r="E47" s="21"/>
      <c r="F47" s="23" t="s">
        <v>227</v>
      </c>
      <c r="G47" s="21"/>
      <c r="H47" s="21"/>
      <c r="I47" s="4" t="s">
        <v>59</v>
      </c>
      <c r="J47" s="4">
        <v>1</v>
      </c>
      <c r="K47" s="4" t="s">
        <v>60</v>
      </c>
      <c r="L47" s="4" t="s">
        <v>199</v>
      </c>
      <c r="M47" s="23" t="s">
        <v>198</v>
      </c>
      <c r="N47" s="21"/>
      <c r="O47" s="4" t="s">
        <v>63</v>
      </c>
      <c r="P47" s="4">
        <v>57</v>
      </c>
      <c r="Q47" s="27">
        <v>99.82</v>
      </c>
      <c r="R47" s="21"/>
      <c r="S47" s="5">
        <v>56.9</v>
      </c>
      <c r="T47" s="23" t="s">
        <v>64</v>
      </c>
      <c r="U47" s="21"/>
      <c r="V47" s="5">
        <v>56.9</v>
      </c>
      <c r="W47" s="4" t="s">
        <v>65</v>
      </c>
      <c r="X47" s="4" t="s">
        <v>220</v>
      </c>
      <c r="Y47" s="4" t="s">
        <v>219</v>
      </c>
      <c r="Z47" s="4"/>
      <c r="AA47" s="4" t="s">
        <v>197</v>
      </c>
      <c r="AB47" s="4" t="s">
        <v>70</v>
      </c>
      <c r="AC47" s="4" t="s">
        <v>210</v>
      </c>
      <c r="AD47" s="4">
        <v>0</v>
      </c>
      <c r="AE47" s="4"/>
      <c r="AF47" s="4" t="s">
        <v>72</v>
      </c>
    </row>
    <row r="48" spans="1:32" x14ac:dyDescent="0.25">
      <c r="A48" s="4" t="s">
        <v>34</v>
      </c>
      <c r="B48" s="4" t="s">
        <v>201</v>
      </c>
      <c r="C48" s="23" t="s">
        <v>226</v>
      </c>
      <c r="D48" s="21"/>
      <c r="E48" s="21"/>
      <c r="F48" s="23" t="s">
        <v>225</v>
      </c>
      <c r="G48" s="21"/>
      <c r="H48" s="21"/>
      <c r="I48" s="4" t="s">
        <v>59</v>
      </c>
      <c r="J48" s="4">
        <v>1</v>
      </c>
      <c r="K48" s="4" t="s">
        <v>97</v>
      </c>
      <c r="L48" s="4" t="s">
        <v>199</v>
      </c>
      <c r="M48" s="23" t="s">
        <v>198</v>
      </c>
      <c r="N48" s="21"/>
      <c r="O48" s="4" t="s">
        <v>63</v>
      </c>
      <c r="P48" s="4">
        <v>57</v>
      </c>
      <c r="Q48" s="27">
        <v>97.6</v>
      </c>
      <c r="R48" s="21"/>
      <c r="S48" s="5">
        <v>55.63</v>
      </c>
      <c r="T48" s="23" t="s">
        <v>64</v>
      </c>
      <c r="U48" s="21"/>
      <c r="V48" s="5">
        <v>55.63</v>
      </c>
      <c r="W48" s="4" t="s">
        <v>65</v>
      </c>
      <c r="X48" s="4" t="s">
        <v>220</v>
      </c>
      <c r="Y48" s="4" t="s">
        <v>219</v>
      </c>
      <c r="Z48" s="4"/>
      <c r="AA48" s="4" t="s">
        <v>197</v>
      </c>
      <c r="AB48" s="4" t="s">
        <v>70</v>
      </c>
      <c r="AC48" s="4" t="s">
        <v>210</v>
      </c>
      <c r="AD48" s="4">
        <v>0</v>
      </c>
      <c r="AE48" s="4"/>
      <c r="AF48" s="4" t="s">
        <v>72</v>
      </c>
    </row>
    <row r="49" spans="1:32" x14ac:dyDescent="0.25">
      <c r="A49" s="4" t="s">
        <v>34</v>
      </c>
      <c r="B49" s="4" t="s">
        <v>201</v>
      </c>
      <c r="C49" s="23" t="s">
        <v>224</v>
      </c>
      <c r="D49" s="21"/>
      <c r="E49" s="21"/>
      <c r="F49" s="23" t="s">
        <v>223</v>
      </c>
      <c r="G49" s="21"/>
      <c r="H49" s="21"/>
      <c r="I49" s="4" t="s">
        <v>59</v>
      </c>
      <c r="J49" s="4">
        <v>1</v>
      </c>
      <c r="K49" s="4" t="s">
        <v>120</v>
      </c>
      <c r="L49" s="4" t="s">
        <v>199</v>
      </c>
      <c r="M49" s="23" t="s">
        <v>198</v>
      </c>
      <c r="N49" s="21"/>
      <c r="O49" s="4" t="s">
        <v>63</v>
      </c>
      <c r="P49" s="4">
        <v>57</v>
      </c>
      <c r="Q49" s="27">
        <v>49.51</v>
      </c>
      <c r="R49" s="21"/>
      <c r="S49" s="5">
        <v>28.22</v>
      </c>
      <c r="T49" s="23" t="s">
        <v>64</v>
      </c>
      <c r="U49" s="21"/>
      <c r="V49" s="5">
        <v>28.22</v>
      </c>
      <c r="W49" s="4" t="s">
        <v>65</v>
      </c>
      <c r="X49" s="4" t="s">
        <v>220</v>
      </c>
      <c r="Y49" s="4" t="s">
        <v>219</v>
      </c>
      <c r="Z49" s="4"/>
      <c r="AA49" s="4" t="s">
        <v>197</v>
      </c>
      <c r="AB49" s="4" t="s">
        <v>70</v>
      </c>
      <c r="AC49" s="4" t="s">
        <v>210</v>
      </c>
      <c r="AD49" s="4">
        <v>0</v>
      </c>
      <c r="AE49" s="4"/>
      <c r="AF49" s="4" t="s">
        <v>72</v>
      </c>
    </row>
    <row r="50" spans="1:32" x14ac:dyDescent="0.25">
      <c r="A50" s="4" t="s">
        <v>34</v>
      </c>
      <c r="B50" s="4" t="s">
        <v>201</v>
      </c>
      <c r="C50" s="23" t="s">
        <v>222</v>
      </c>
      <c r="D50" s="21"/>
      <c r="E50" s="21"/>
      <c r="F50" s="23" t="s">
        <v>221</v>
      </c>
      <c r="G50" s="21"/>
      <c r="H50" s="21"/>
      <c r="I50" s="4" t="s">
        <v>59</v>
      </c>
      <c r="J50" s="4">
        <v>1</v>
      </c>
      <c r="K50" s="4" t="s">
        <v>131</v>
      </c>
      <c r="L50" s="4" t="s">
        <v>199</v>
      </c>
      <c r="M50" s="23" t="s">
        <v>198</v>
      </c>
      <c r="N50" s="21"/>
      <c r="O50" s="4" t="s">
        <v>63</v>
      </c>
      <c r="P50" s="4">
        <v>57</v>
      </c>
      <c r="Q50" s="27">
        <v>67</v>
      </c>
      <c r="R50" s="21"/>
      <c r="S50" s="5">
        <v>38.19</v>
      </c>
      <c r="T50" s="23" t="s">
        <v>64</v>
      </c>
      <c r="U50" s="21"/>
      <c r="V50" s="5">
        <v>38.19</v>
      </c>
      <c r="W50" s="4" t="s">
        <v>65</v>
      </c>
      <c r="X50" s="4" t="s">
        <v>220</v>
      </c>
      <c r="Y50" s="4" t="s">
        <v>219</v>
      </c>
      <c r="Z50" s="4"/>
      <c r="AA50" s="4" t="s">
        <v>197</v>
      </c>
      <c r="AB50" s="4" t="s">
        <v>70</v>
      </c>
      <c r="AC50" s="4" t="s">
        <v>210</v>
      </c>
      <c r="AD50" s="4">
        <v>0</v>
      </c>
      <c r="AE50" s="4"/>
      <c r="AF50" s="4" t="s">
        <v>72</v>
      </c>
    </row>
    <row r="51" spans="1:32" x14ac:dyDescent="0.25">
      <c r="A51" s="4" t="s">
        <v>34</v>
      </c>
      <c r="B51" s="4" t="s">
        <v>201</v>
      </c>
      <c r="C51" s="23" t="s">
        <v>218</v>
      </c>
      <c r="D51" s="21"/>
      <c r="E51" s="21"/>
      <c r="F51" s="23" t="s">
        <v>217</v>
      </c>
      <c r="G51" s="21"/>
      <c r="H51" s="21"/>
      <c r="I51" s="4" t="s">
        <v>59</v>
      </c>
      <c r="J51" s="4">
        <v>1</v>
      </c>
      <c r="K51" s="4" t="s">
        <v>139</v>
      </c>
      <c r="L51" s="4" t="s">
        <v>199</v>
      </c>
      <c r="M51" s="23" t="s">
        <v>198</v>
      </c>
      <c r="N51" s="21"/>
      <c r="O51" s="4" t="s">
        <v>63</v>
      </c>
      <c r="P51" s="4">
        <v>57</v>
      </c>
      <c r="Q51" s="27">
        <v>40.1</v>
      </c>
      <c r="R51" s="21"/>
      <c r="S51" s="5">
        <v>22.86</v>
      </c>
      <c r="T51" s="23" t="s">
        <v>64</v>
      </c>
      <c r="U51" s="21"/>
      <c r="V51" s="5">
        <v>22.86</v>
      </c>
      <c r="W51" s="4" t="s">
        <v>65</v>
      </c>
      <c r="X51" s="4" t="s">
        <v>211</v>
      </c>
      <c r="Y51" s="4" t="s">
        <v>213</v>
      </c>
      <c r="Z51" s="4"/>
      <c r="AA51" s="4" t="s">
        <v>197</v>
      </c>
      <c r="AB51" s="4" t="s">
        <v>70</v>
      </c>
      <c r="AC51" s="4" t="s">
        <v>210</v>
      </c>
      <c r="AD51" s="4">
        <v>0</v>
      </c>
      <c r="AE51" s="4"/>
      <c r="AF51" s="4" t="s">
        <v>72</v>
      </c>
    </row>
    <row r="52" spans="1:32" x14ac:dyDescent="0.25">
      <c r="A52" s="4" t="s">
        <v>34</v>
      </c>
      <c r="B52" s="4" t="s">
        <v>201</v>
      </c>
      <c r="C52" s="23" t="s">
        <v>216</v>
      </c>
      <c r="D52" s="21"/>
      <c r="E52" s="21"/>
      <c r="F52" s="23" t="s">
        <v>215</v>
      </c>
      <c r="G52" s="21"/>
      <c r="H52" s="21"/>
      <c r="I52" s="4" t="s">
        <v>59</v>
      </c>
      <c r="J52" s="4">
        <v>1</v>
      </c>
      <c r="K52" s="4" t="s">
        <v>59</v>
      </c>
      <c r="L52" s="4" t="s">
        <v>212</v>
      </c>
      <c r="M52" s="23" t="s">
        <v>214</v>
      </c>
      <c r="N52" s="21"/>
      <c r="O52" s="4" t="s">
        <v>63</v>
      </c>
      <c r="P52" s="4">
        <v>57</v>
      </c>
      <c r="Q52" s="27">
        <v>27.75</v>
      </c>
      <c r="R52" s="21"/>
      <c r="S52" s="5">
        <v>15.82</v>
      </c>
      <c r="T52" s="23" t="s">
        <v>64</v>
      </c>
      <c r="U52" s="21"/>
      <c r="V52" s="5">
        <v>15.82</v>
      </c>
      <c r="W52" s="4" t="s">
        <v>65</v>
      </c>
      <c r="X52" s="4" t="s">
        <v>211</v>
      </c>
      <c r="Y52" s="4" t="s">
        <v>213</v>
      </c>
      <c r="Z52" s="4"/>
      <c r="AA52" s="4" t="s">
        <v>197</v>
      </c>
      <c r="AB52" s="4" t="s">
        <v>70</v>
      </c>
      <c r="AC52" s="4" t="s">
        <v>210</v>
      </c>
      <c r="AD52" s="4">
        <v>0</v>
      </c>
      <c r="AE52" s="4"/>
      <c r="AF52" s="4" t="s">
        <v>72</v>
      </c>
    </row>
    <row r="53" spans="1:32" x14ac:dyDescent="0.25">
      <c r="A53" s="4" t="s">
        <v>34</v>
      </c>
      <c r="B53" s="4" t="s">
        <v>201</v>
      </c>
      <c r="C53" s="23" t="s">
        <v>160</v>
      </c>
      <c r="D53" s="21"/>
      <c r="E53" s="21"/>
      <c r="F53" s="23" t="s">
        <v>37</v>
      </c>
      <c r="G53" s="21"/>
      <c r="H53" s="21"/>
      <c r="I53" s="4" t="s">
        <v>59</v>
      </c>
      <c r="J53" s="4">
        <v>1</v>
      </c>
      <c r="K53" s="4"/>
      <c r="L53" s="4" t="s">
        <v>212</v>
      </c>
      <c r="M53" s="23"/>
      <c r="N53" s="21"/>
      <c r="O53" s="4" t="s">
        <v>37</v>
      </c>
      <c r="P53" s="4">
        <v>0</v>
      </c>
      <c r="Q53" s="27">
        <v>0</v>
      </c>
      <c r="R53" s="21"/>
      <c r="S53" s="5">
        <v>0</v>
      </c>
      <c r="T53" s="23" t="s">
        <v>161</v>
      </c>
      <c r="U53" s="21"/>
      <c r="V53" s="5">
        <v>-161.33000000000001</v>
      </c>
      <c r="W53" s="4" t="s">
        <v>65</v>
      </c>
      <c r="X53" s="4" t="s">
        <v>211</v>
      </c>
      <c r="Y53" s="4" t="s">
        <v>37</v>
      </c>
      <c r="Z53" s="4"/>
      <c r="AA53" s="4"/>
      <c r="AB53" s="4"/>
      <c r="AC53" s="4" t="s">
        <v>210</v>
      </c>
      <c r="AD53" s="4">
        <v>0</v>
      </c>
      <c r="AE53" s="4"/>
      <c r="AF53" s="4" t="s">
        <v>72</v>
      </c>
    </row>
    <row r="54" spans="1:32" x14ac:dyDescent="0.25">
      <c r="A54" s="4" t="s">
        <v>34</v>
      </c>
      <c r="B54" s="4" t="s">
        <v>201</v>
      </c>
      <c r="C54" s="23" t="s">
        <v>209</v>
      </c>
      <c r="D54" s="21"/>
      <c r="E54" s="21"/>
      <c r="F54" s="23" t="s">
        <v>208</v>
      </c>
      <c r="G54" s="21"/>
      <c r="H54" s="21"/>
      <c r="I54" s="4" t="s">
        <v>207</v>
      </c>
      <c r="J54" s="4">
        <v>1</v>
      </c>
      <c r="K54" s="4" t="s">
        <v>206</v>
      </c>
      <c r="L54" s="4" t="s">
        <v>205</v>
      </c>
      <c r="M54" s="23" t="s">
        <v>204</v>
      </c>
      <c r="N54" s="21"/>
      <c r="O54" s="4" t="s">
        <v>63</v>
      </c>
      <c r="P54" s="4">
        <v>65</v>
      </c>
      <c r="Q54" s="27">
        <v>34.049999999999997</v>
      </c>
      <c r="R54" s="21"/>
      <c r="S54" s="5">
        <v>22.13</v>
      </c>
      <c r="T54" s="23" t="s">
        <v>64</v>
      </c>
      <c r="U54" s="21"/>
      <c r="V54" s="5">
        <v>22.13</v>
      </c>
      <c r="W54" s="4" t="s">
        <v>65</v>
      </c>
      <c r="X54" s="4" t="s">
        <v>150</v>
      </c>
      <c r="Y54" s="4" t="s">
        <v>151</v>
      </c>
      <c r="Z54" s="4"/>
      <c r="AA54" s="4" t="s">
        <v>69</v>
      </c>
      <c r="AB54" s="4" t="s">
        <v>70</v>
      </c>
      <c r="AC54" s="4" t="s">
        <v>92</v>
      </c>
      <c r="AD54" s="4">
        <v>0</v>
      </c>
      <c r="AE54" s="4"/>
      <c r="AF54" s="4" t="s">
        <v>72</v>
      </c>
    </row>
    <row r="55" spans="1:32" x14ac:dyDescent="0.25">
      <c r="A55" s="4" t="s">
        <v>34</v>
      </c>
      <c r="B55" s="4" t="s">
        <v>201</v>
      </c>
      <c r="C55" s="23" t="s">
        <v>203</v>
      </c>
      <c r="D55" s="21"/>
      <c r="E55" s="21"/>
      <c r="F55" s="23" t="s">
        <v>202</v>
      </c>
      <c r="G55" s="21"/>
      <c r="H55" s="21"/>
      <c r="I55" s="4" t="s">
        <v>131</v>
      </c>
      <c r="J55" s="4">
        <v>1</v>
      </c>
      <c r="K55" s="4" t="s">
        <v>132</v>
      </c>
      <c r="L55" s="4" t="s">
        <v>199</v>
      </c>
      <c r="M55" s="23" t="s">
        <v>198</v>
      </c>
      <c r="N55" s="21"/>
      <c r="O55" s="4" t="s">
        <v>63</v>
      </c>
      <c r="P55" s="4">
        <v>57</v>
      </c>
      <c r="Q55" s="27">
        <v>138.61000000000001</v>
      </c>
      <c r="R55" s="21"/>
      <c r="S55" s="5">
        <v>79.010000000000005</v>
      </c>
      <c r="T55" s="23" t="s">
        <v>64</v>
      </c>
      <c r="U55" s="21"/>
      <c r="V55" s="5">
        <v>79.010000000000005</v>
      </c>
      <c r="W55" s="4" t="s">
        <v>65</v>
      </c>
      <c r="X55" s="4" t="s">
        <v>150</v>
      </c>
      <c r="Y55" s="4" t="s">
        <v>151</v>
      </c>
      <c r="Z55" s="4"/>
      <c r="AA55" s="4" t="s">
        <v>197</v>
      </c>
      <c r="AB55" s="4" t="s">
        <v>70</v>
      </c>
      <c r="AC55" s="4" t="s">
        <v>92</v>
      </c>
      <c r="AD55" s="4">
        <v>0</v>
      </c>
      <c r="AE55" s="4"/>
      <c r="AF55" s="4" t="s">
        <v>72</v>
      </c>
    </row>
    <row r="56" spans="1:32" x14ac:dyDescent="0.25">
      <c r="A56" s="4" t="s">
        <v>34</v>
      </c>
      <c r="B56" s="4" t="s">
        <v>201</v>
      </c>
      <c r="C56" s="23" t="s">
        <v>200</v>
      </c>
      <c r="D56" s="21"/>
      <c r="E56" s="21"/>
      <c r="F56" s="23" t="s">
        <v>163</v>
      </c>
      <c r="G56" s="21"/>
      <c r="H56" s="21"/>
      <c r="I56" s="4" t="s">
        <v>131</v>
      </c>
      <c r="J56" s="4">
        <v>1</v>
      </c>
      <c r="K56" s="4" t="s">
        <v>120</v>
      </c>
      <c r="L56" s="4" t="s">
        <v>199</v>
      </c>
      <c r="M56" s="23" t="s">
        <v>198</v>
      </c>
      <c r="N56" s="21"/>
      <c r="O56" s="4" t="s">
        <v>63</v>
      </c>
      <c r="P56" s="4">
        <v>57</v>
      </c>
      <c r="Q56" s="27">
        <v>71.989999999999995</v>
      </c>
      <c r="R56" s="21"/>
      <c r="S56" s="5">
        <v>41.03</v>
      </c>
      <c r="T56" s="23" t="s">
        <v>64</v>
      </c>
      <c r="U56" s="21"/>
      <c r="V56" s="5">
        <v>41.03</v>
      </c>
      <c r="W56" s="4" t="s">
        <v>65</v>
      </c>
      <c r="X56" s="4" t="s">
        <v>164</v>
      </c>
      <c r="Y56" s="4" t="s">
        <v>165</v>
      </c>
      <c r="Z56" s="4"/>
      <c r="AA56" s="4" t="s">
        <v>197</v>
      </c>
      <c r="AB56" s="4" t="s">
        <v>70</v>
      </c>
      <c r="AC56" s="4" t="s">
        <v>92</v>
      </c>
      <c r="AD56" s="4">
        <v>0</v>
      </c>
      <c r="AE56" s="4"/>
      <c r="AF56" s="4" t="s">
        <v>72</v>
      </c>
    </row>
    <row r="57" spans="1:32" ht="22.5" x14ac:dyDescent="0.25">
      <c r="A57" s="4" t="s">
        <v>34</v>
      </c>
      <c r="B57" s="4" t="s">
        <v>35</v>
      </c>
      <c r="C57" s="23" t="s">
        <v>187</v>
      </c>
      <c r="D57" s="21"/>
      <c r="E57" s="21"/>
      <c r="F57" s="23" t="s">
        <v>188</v>
      </c>
      <c r="G57" s="21"/>
      <c r="H57" s="21"/>
      <c r="I57" s="4" t="s">
        <v>59</v>
      </c>
      <c r="J57" s="4">
        <v>1</v>
      </c>
      <c r="K57" s="4" t="s">
        <v>186</v>
      </c>
      <c r="L57" s="4" t="s">
        <v>80</v>
      </c>
      <c r="M57" s="23" t="s">
        <v>81</v>
      </c>
      <c r="N57" s="21"/>
      <c r="O57" s="4" t="s">
        <v>63</v>
      </c>
      <c r="P57" s="4">
        <v>11.5</v>
      </c>
      <c r="Q57" s="27">
        <v>169.88</v>
      </c>
      <c r="R57" s="21"/>
      <c r="S57" s="5">
        <v>19.54</v>
      </c>
      <c r="T57" s="23" t="s">
        <v>64</v>
      </c>
      <c r="U57" s="21"/>
      <c r="V57" s="5">
        <v>19.54</v>
      </c>
      <c r="W57" s="4" t="s">
        <v>65</v>
      </c>
      <c r="X57" s="4" t="s">
        <v>180</v>
      </c>
      <c r="Y57" s="4" t="s">
        <v>181</v>
      </c>
      <c r="Z57" s="4" t="s">
        <v>91</v>
      </c>
      <c r="AA57" s="4" t="s">
        <v>69</v>
      </c>
      <c r="AB57" s="4" t="s">
        <v>70</v>
      </c>
      <c r="AC57" s="4" t="s">
        <v>92</v>
      </c>
      <c r="AD57" s="4">
        <v>0</v>
      </c>
      <c r="AE57" s="4"/>
      <c r="AF57" s="4" t="s">
        <v>72</v>
      </c>
    </row>
    <row r="58" spans="1:32" x14ac:dyDescent="0.25">
      <c r="A58" s="4" t="s">
        <v>34</v>
      </c>
      <c r="B58" s="4" t="s">
        <v>35</v>
      </c>
      <c r="C58" s="23" t="s">
        <v>189</v>
      </c>
      <c r="D58" s="21"/>
      <c r="E58" s="21"/>
      <c r="F58" s="23" t="s">
        <v>190</v>
      </c>
      <c r="G58" s="21"/>
      <c r="H58" s="21"/>
      <c r="I58" s="4" t="s">
        <v>59</v>
      </c>
      <c r="J58" s="4">
        <v>1</v>
      </c>
      <c r="K58" s="4" t="s">
        <v>131</v>
      </c>
      <c r="L58" s="4" t="s">
        <v>191</v>
      </c>
      <c r="M58" s="23" t="s">
        <v>192</v>
      </c>
      <c r="N58" s="21"/>
      <c r="O58" s="4" t="s">
        <v>63</v>
      </c>
      <c r="P58" s="4">
        <v>23</v>
      </c>
      <c r="Q58" s="27">
        <v>162.07</v>
      </c>
      <c r="R58" s="21"/>
      <c r="S58" s="5">
        <v>37.28</v>
      </c>
      <c r="T58" s="23" t="s">
        <v>64</v>
      </c>
      <c r="U58" s="21"/>
      <c r="V58" s="5">
        <v>37.28</v>
      </c>
      <c r="W58" s="4" t="s">
        <v>65</v>
      </c>
      <c r="X58" s="4" t="s">
        <v>193</v>
      </c>
      <c r="Y58" s="4" t="s">
        <v>194</v>
      </c>
      <c r="Z58" s="4" t="s">
        <v>68</v>
      </c>
      <c r="AA58" s="4" t="s">
        <v>69</v>
      </c>
      <c r="AB58" s="4" t="s">
        <v>70</v>
      </c>
      <c r="AC58" s="4" t="s">
        <v>195</v>
      </c>
      <c r="AD58" s="4">
        <v>0</v>
      </c>
      <c r="AE58" s="4"/>
      <c r="AF58" s="4" t="s">
        <v>72</v>
      </c>
    </row>
    <row r="59" spans="1:32" x14ac:dyDescent="0.25">
      <c r="A59" s="8" t="s">
        <v>37</v>
      </c>
      <c r="B59" s="8" t="s">
        <v>37</v>
      </c>
      <c r="C59" s="34" t="s">
        <v>37</v>
      </c>
      <c r="D59" s="35"/>
      <c r="E59" s="35"/>
      <c r="F59" s="34" t="s">
        <v>37</v>
      </c>
      <c r="G59" s="35"/>
      <c r="H59" s="35"/>
      <c r="I59" s="8" t="s">
        <v>37</v>
      </c>
      <c r="J59" s="8" t="s">
        <v>37</v>
      </c>
      <c r="K59" s="8" t="s">
        <v>37</v>
      </c>
      <c r="L59" s="8" t="s">
        <v>37</v>
      </c>
      <c r="M59" s="34" t="s">
        <v>37</v>
      </c>
      <c r="N59" s="35"/>
      <c r="O59" s="8" t="s">
        <v>37</v>
      </c>
      <c r="P59" s="8" t="s">
        <v>37</v>
      </c>
      <c r="Q59" s="34" t="s">
        <v>37</v>
      </c>
      <c r="R59" s="35"/>
      <c r="S59" s="9" t="s">
        <v>37</v>
      </c>
      <c r="T59" s="34" t="s">
        <v>196</v>
      </c>
      <c r="U59" s="35"/>
      <c r="V59" s="10"/>
      <c r="W59" s="8" t="s">
        <v>37</v>
      </c>
      <c r="X59" s="8" t="s">
        <v>37</v>
      </c>
      <c r="Y59" s="8" t="s">
        <v>37</v>
      </c>
      <c r="Z59" s="8" t="s">
        <v>37</v>
      </c>
      <c r="AA59" s="8" t="s">
        <v>37</v>
      </c>
      <c r="AB59" s="8" t="s">
        <v>37</v>
      </c>
      <c r="AC59" s="8" t="s">
        <v>37</v>
      </c>
      <c r="AD59" s="8">
        <v>0</v>
      </c>
      <c r="AE59" s="8" t="s">
        <v>37</v>
      </c>
      <c r="AF59" s="8" t="s">
        <v>37</v>
      </c>
    </row>
    <row r="60" spans="1:32" ht="0" hidden="1" customHeight="1" x14ac:dyDescent="0.25"/>
  </sheetData>
  <mergeCells count="268">
    <mergeCell ref="A1:T1"/>
    <mergeCell ref="A2:C3"/>
    <mergeCell ref="H2:M3"/>
    <mergeCell ref="R2:T2"/>
    <mergeCell ref="R3:T4"/>
    <mergeCell ref="A4:D5"/>
    <mergeCell ref="E4:O5"/>
    <mergeCell ref="T8:U8"/>
    <mergeCell ref="C9:E9"/>
    <mergeCell ref="F9:H9"/>
    <mergeCell ref="M9:N9"/>
    <mergeCell ref="Q9:R9"/>
    <mergeCell ref="T9:U9"/>
    <mergeCell ref="A6:F6"/>
    <mergeCell ref="C8:E8"/>
    <mergeCell ref="F8:H8"/>
    <mergeCell ref="M8:N8"/>
    <mergeCell ref="Q8:R8"/>
    <mergeCell ref="C11:E11"/>
    <mergeCell ref="F11:H11"/>
    <mergeCell ref="M11:N11"/>
    <mergeCell ref="Q11:R11"/>
    <mergeCell ref="T11:U11"/>
    <mergeCell ref="C10:E10"/>
    <mergeCell ref="F10:H10"/>
    <mergeCell ref="M10:N10"/>
    <mergeCell ref="Q10:R10"/>
    <mergeCell ref="T10:U10"/>
    <mergeCell ref="C13:E13"/>
    <mergeCell ref="F13:H13"/>
    <mergeCell ref="M13:N13"/>
    <mergeCell ref="Q13:R13"/>
    <mergeCell ref="T13:U13"/>
    <mergeCell ref="C12:E12"/>
    <mergeCell ref="F12:H12"/>
    <mergeCell ref="M12:N12"/>
    <mergeCell ref="Q12:R12"/>
    <mergeCell ref="T12:U12"/>
    <mergeCell ref="C15:E15"/>
    <mergeCell ref="F15:H15"/>
    <mergeCell ref="M15:N15"/>
    <mergeCell ref="Q15:R15"/>
    <mergeCell ref="T15:U15"/>
    <mergeCell ref="C14:E14"/>
    <mergeCell ref="F14:H14"/>
    <mergeCell ref="M14:N14"/>
    <mergeCell ref="Q14:R14"/>
    <mergeCell ref="T14:U14"/>
    <mergeCell ref="C17:E17"/>
    <mergeCell ref="F17:H17"/>
    <mergeCell ref="M17:N17"/>
    <mergeCell ref="Q17:R17"/>
    <mergeCell ref="T17:U17"/>
    <mergeCell ref="C16:E16"/>
    <mergeCell ref="F16:H16"/>
    <mergeCell ref="M16:N16"/>
    <mergeCell ref="Q16:R16"/>
    <mergeCell ref="T16:U16"/>
    <mergeCell ref="C19:E19"/>
    <mergeCell ref="F19:H19"/>
    <mergeCell ref="M19:N19"/>
    <mergeCell ref="Q19:R19"/>
    <mergeCell ref="T19:U19"/>
    <mergeCell ref="C18:E18"/>
    <mergeCell ref="F18:H18"/>
    <mergeCell ref="M18:N18"/>
    <mergeCell ref="Q18:R18"/>
    <mergeCell ref="T18:U18"/>
    <mergeCell ref="C21:E21"/>
    <mergeCell ref="F21:H21"/>
    <mergeCell ref="M21:N21"/>
    <mergeCell ref="Q21:R21"/>
    <mergeCell ref="T21:U21"/>
    <mergeCell ref="C20:E20"/>
    <mergeCell ref="F20:H20"/>
    <mergeCell ref="M20:N20"/>
    <mergeCell ref="Q20:R20"/>
    <mergeCell ref="T20:U20"/>
    <mergeCell ref="C23:E23"/>
    <mergeCell ref="F23:H23"/>
    <mergeCell ref="M23:N23"/>
    <mergeCell ref="Q23:R23"/>
    <mergeCell ref="T23:U23"/>
    <mergeCell ref="C22:E22"/>
    <mergeCell ref="F22:H22"/>
    <mergeCell ref="M22:N22"/>
    <mergeCell ref="Q22:R22"/>
    <mergeCell ref="T22:U22"/>
    <mergeCell ref="C25:E25"/>
    <mergeCell ref="F25:H25"/>
    <mergeCell ref="M25:N25"/>
    <mergeCell ref="Q25:R25"/>
    <mergeCell ref="T25:U25"/>
    <mergeCell ref="C24:E24"/>
    <mergeCell ref="F24:H24"/>
    <mergeCell ref="M24:N24"/>
    <mergeCell ref="Q24:R24"/>
    <mergeCell ref="T24:U24"/>
    <mergeCell ref="C27:E27"/>
    <mergeCell ref="F27:H27"/>
    <mergeCell ref="M27:N27"/>
    <mergeCell ref="Q27:R27"/>
    <mergeCell ref="T27:U27"/>
    <mergeCell ref="C26:E26"/>
    <mergeCell ref="F26:H26"/>
    <mergeCell ref="M26:N26"/>
    <mergeCell ref="Q26:R26"/>
    <mergeCell ref="T26:U26"/>
    <mergeCell ref="C29:E29"/>
    <mergeCell ref="F29:H29"/>
    <mergeCell ref="M29:N29"/>
    <mergeCell ref="Q29:R29"/>
    <mergeCell ref="T29:U29"/>
    <mergeCell ref="C28:E28"/>
    <mergeCell ref="F28:H28"/>
    <mergeCell ref="M28:N28"/>
    <mergeCell ref="Q28:R28"/>
    <mergeCell ref="T28:U28"/>
    <mergeCell ref="C31:E31"/>
    <mergeCell ref="F31:H31"/>
    <mergeCell ref="M31:N31"/>
    <mergeCell ref="Q31:R31"/>
    <mergeCell ref="T31:U31"/>
    <mergeCell ref="C30:E30"/>
    <mergeCell ref="F30:H30"/>
    <mergeCell ref="M30:N30"/>
    <mergeCell ref="Q30:R30"/>
    <mergeCell ref="T30:U30"/>
    <mergeCell ref="C33:E33"/>
    <mergeCell ref="F33:H33"/>
    <mergeCell ref="M33:N33"/>
    <mergeCell ref="Q33:R33"/>
    <mergeCell ref="T33:U33"/>
    <mergeCell ref="C32:E32"/>
    <mergeCell ref="F32:H32"/>
    <mergeCell ref="M32:N32"/>
    <mergeCell ref="Q32:R32"/>
    <mergeCell ref="T32:U32"/>
    <mergeCell ref="C35:E35"/>
    <mergeCell ref="F35:H35"/>
    <mergeCell ref="M35:N35"/>
    <mergeCell ref="Q35:R35"/>
    <mergeCell ref="T35:U35"/>
    <mergeCell ref="C34:E34"/>
    <mergeCell ref="F34:H34"/>
    <mergeCell ref="M34:N34"/>
    <mergeCell ref="Q34:R34"/>
    <mergeCell ref="T34:U34"/>
    <mergeCell ref="C37:E37"/>
    <mergeCell ref="F37:H37"/>
    <mergeCell ref="M37:N37"/>
    <mergeCell ref="Q37:R37"/>
    <mergeCell ref="T37:U37"/>
    <mergeCell ref="C36:E36"/>
    <mergeCell ref="F36:H36"/>
    <mergeCell ref="M36:N36"/>
    <mergeCell ref="Q36:R36"/>
    <mergeCell ref="T36:U36"/>
    <mergeCell ref="C39:E39"/>
    <mergeCell ref="F39:H39"/>
    <mergeCell ref="M39:N39"/>
    <mergeCell ref="Q39:R39"/>
    <mergeCell ref="T39:U39"/>
    <mergeCell ref="C38:E38"/>
    <mergeCell ref="F38:H38"/>
    <mergeCell ref="M38:N38"/>
    <mergeCell ref="Q38:R38"/>
    <mergeCell ref="T38:U38"/>
    <mergeCell ref="C41:E41"/>
    <mergeCell ref="F41:H41"/>
    <mergeCell ref="M41:N41"/>
    <mergeCell ref="Q41:R41"/>
    <mergeCell ref="T41:U41"/>
    <mergeCell ref="C40:E40"/>
    <mergeCell ref="F40:H40"/>
    <mergeCell ref="M40:N40"/>
    <mergeCell ref="Q40:R40"/>
    <mergeCell ref="T40:U40"/>
    <mergeCell ref="C43:E43"/>
    <mergeCell ref="F43:H43"/>
    <mergeCell ref="M43:N43"/>
    <mergeCell ref="Q43:R43"/>
    <mergeCell ref="T43:U43"/>
    <mergeCell ref="C42:E42"/>
    <mergeCell ref="F42:H42"/>
    <mergeCell ref="M42:N42"/>
    <mergeCell ref="Q42:R42"/>
    <mergeCell ref="T42:U42"/>
    <mergeCell ref="C56:E56"/>
    <mergeCell ref="F56:H56"/>
    <mergeCell ref="M56:N56"/>
    <mergeCell ref="Q56:R56"/>
    <mergeCell ref="T56:U56"/>
    <mergeCell ref="C59:E59"/>
    <mergeCell ref="F59:H59"/>
    <mergeCell ref="M59:N59"/>
    <mergeCell ref="Q59:R59"/>
    <mergeCell ref="T59:U59"/>
    <mergeCell ref="C58:E58"/>
    <mergeCell ref="F58:H58"/>
    <mergeCell ref="M58:N58"/>
    <mergeCell ref="Q58:R58"/>
    <mergeCell ref="T58:U58"/>
    <mergeCell ref="C57:E57"/>
    <mergeCell ref="F57:H57"/>
    <mergeCell ref="M57:N57"/>
    <mergeCell ref="Q57:R57"/>
    <mergeCell ref="T57:U57"/>
    <mergeCell ref="C54:E54"/>
    <mergeCell ref="F54:H54"/>
    <mergeCell ref="M54:N54"/>
    <mergeCell ref="Q54:R54"/>
    <mergeCell ref="T54:U54"/>
    <mergeCell ref="C55:E55"/>
    <mergeCell ref="F55:H55"/>
    <mergeCell ref="M55:N55"/>
    <mergeCell ref="Q55:R55"/>
    <mergeCell ref="T55:U55"/>
    <mergeCell ref="C52:E52"/>
    <mergeCell ref="F52:H52"/>
    <mergeCell ref="M52:N52"/>
    <mergeCell ref="Q52:R52"/>
    <mergeCell ref="T52:U52"/>
    <mergeCell ref="C53:E53"/>
    <mergeCell ref="F53:H53"/>
    <mergeCell ref="M53:N53"/>
    <mergeCell ref="Q53:R53"/>
    <mergeCell ref="T53:U53"/>
    <mergeCell ref="C50:E50"/>
    <mergeCell ref="F50:H50"/>
    <mergeCell ref="M50:N50"/>
    <mergeCell ref="Q50:R50"/>
    <mergeCell ref="T50:U50"/>
    <mergeCell ref="C51:E51"/>
    <mergeCell ref="F51:H51"/>
    <mergeCell ref="M51:N51"/>
    <mergeCell ref="Q51:R51"/>
    <mergeCell ref="T51:U51"/>
    <mergeCell ref="C48:E48"/>
    <mergeCell ref="F48:H48"/>
    <mergeCell ref="M48:N48"/>
    <mergeCell ref="Q48:R48"/>
    <mergeCell ref="T48:U48"/>
    <mergeCell ref="C49:E49"/>
    <mergeCell ref="F49:H49"/>
    <mergeCell ref="M49:N49"/>
    <mergeCell ref="Q49:R49"/>
    <mergeCell ref="T49:U49"/>
    <mergeCell ref="C46:E46"/>
    <mergeCell ref="F46:H46"/>
    <mergeCell ref="M46:N46"/>
    <mergeCell ref="Q46:R46"/>
    <mergeCell ref="T46:U46"/>
    <mergeCell ref="C47:E47"/>
    <mergeCell ref="F47:H47"/>
    <mergeCell ref="M47:N47"/>
    <mergeCell ref="Q47:R47"/>
    <mergeCell ref="T47:U47"/>
    <mergeCell ref="C44:E44"/>
    <mergeCell ref="F44:H44"/>
    <mergeCell ref="M44:N44"/>
    <mergeCell ref="Q44:R44"/>
    <mergeCell ref="T44:U44"/>
    <mergeCell ref="C45:E45"/>
    <mergeCell ref="F45:H45"/>
    <mergeCell ref="M45:N45"/>
    <mergeCell ref="Q45:R45"/>
    <mergeCell ref="T45:U45"/>
  </mergeCells>
  <pageMargins left="1" right="1" top="1" bottom="1" header="1" footer="1"/>
  <pageSetup orientation="portrait" horizontalDpi="300" verticalDpi="30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B4E25-3317-4E9B-86B4-354C4346AD26}">
  <dimension ref="A1:AK49"/>
  <sheetViews>
    <sheetView topLeftCell="A10" workbookViewId="0">
      <selection activeCell="M2" sqref="M2:M48"/>
    </sheetView>
  </sheetViews>
  <sheetFormatPr defaultRowHeight="15" x14ac:dyDescent="0.25"/>
  <cols>
    <col min="1" max="1" width="17.140625" style="12" customWidth="1"/>
    <col min="2" max="2" width="19.42578125" style="12" bestFit="1" customWidth="1"/>
    <col min="3" max="4" width="19.42578125" style="12" customWidth="1"/>
    <col min="5" max="5" width="13.7109375" style="12" customWidth="1"/>
    <col min="6" max="6" width="10.28515625" style="12" customWidth="1"/>
    <col min="7" max="7" width="34.42578125" style="12" bestFit="1" customWidth="1"/>
    <col min="8" max="11" width="12" style="12" customWidth="1"/>
    <col min="12" max="12" width="7.140625" style="12" bestFit="1" customWidth="1"/>
    <col min="13" max="13" width="13.7109375" style="12" customWidth="1"/>
    <col min="14" max="14" width="14.42578125" style="12" bestFit="1" customWidth="1"/>
    <col min="15" max="15" width="12" style="12" customWidth="1"/>
    <col min="16" max="16" width="17.7109375" style="12" customWidth="1"/>
    <col min="17" max="17" width="23.28515625" style="12" customWidth="1"/>
    <col min="18" max="18" width="13.7109375" style="12" customWidth="1"/>
    <col min="19" max="16384" width="9.140625" style="12"/>
  </cols>
  <sheetData>
    <row r="1" spans="1:19" ht="33.75" customHeight="1" x14ac:dyDescent="0.25">
      <c r="A1" s="3" t="s">
        <v>13</v>
      </c>
      <c r="B1" s="3" t="s">
        <v>14</v>
      </c>
      <c r="C1" s="3"/>
      <c r="D1" s="3"/>
      <c r="E1" s="3" t="s">
        <v>52</v>
      </c>
      <c r="F1" s="3" t="s">
        <v>15</v>
      </c>
      <c r="G1" s="3" t="s">
        <v>17</v>
      </c>
      <c r="H1" s="3" t="s">
        <v>19</v>
      </c>
      <c r="I1" s="3"/>
      <c r="J1" s="3"/>
      <c r="K1" s="3"/>
      <c r="L1" s="3" t="s">
        <v>54</v>
      </c>
      <c r="M1" s="3" t="s">
        <v>3</v>
      </c>
      <c r="N1" s="3" t="s">
        <v>22</v>
      </c>
      <c r="O1" s="3" t="s">
        <v>23</v>
      </c>
      <c r="P1" s="3" t="s">
        <v>55</v>
      </c>
      <c r="Q1" s="3" t="s">
        <v>56</v>
      </c>
      <c r="R1" s="3" t="s">
        <v>30</v>
      </c>
    </row>
    <row r="2" spans="1:19" ht="15" customHeight="1" x14ac:dyDescent="0.25">
      <c r="A2" s="4" t="s">
        <v>142</v>
      </c>
      <c r="B2" s="4" t="s">
        <v>254</v>
      </c>
      <c r="C2" s="4" t="s">
        <v>255</v>
      </c>
      <c r="D2" s="4" t="str">
        <f>CONCATENATE(B2, " ",C2)</f>
        <v>DUNN, SARAH</v>
      </c>
      <c r="E2" s="4" t="s">
        <v>59</v>
      </c>
      <c r="F2" s="4" t="s">
        <v>60</v>
      </c>
      <c r="G2" s="4" t="s">
        <v>145</v>
      </c>
      <c r="H2" s="4">
        <v>1</v>
      </c>
      <c r="I2" s="4">
        <f t="shared" ref="I2:I48" si="0">MONTH(E2-F2)</f>
        <v>7</v>
      </c>
      <c r="J2" s="4" t="s">
        <v>248</v>
      </c>
      <c r="K2" s="4" t="s">
        <v>249</v>
      </c>
      <c r="L2" s="5">
        <v>179.21</v>
      </c>
      <c r="M2" s="5">
        <v>1.79</v>
      </c>
      <c r="N2" s="4" t="s">
        <v>64</v>
      </c>
      <c r="O2" s="5">
        <v>1.79</v>
      </c>
      <c r="P2" s="4">
        <v>17094718</v>
      </c>
      <c r="Q2" s="4" t="s">
        <v>141</v>
      </c>
      <c r="R2" s="4" t="s">
        <v>92</v>
      </c>
      <c r="S2" s="15" t="s">
        <v>242</v>
      </c>
    </row>
    <row r="3" spans="1:19" s="15" customFormat="1" ht="15" customHeight="1" x14ac:dyDescent="0.25">
      <c r="A3" s="13" t="s">
        <v>162</v>
      </c>
      <c r="B3" s="13" t="s">
        <v>256</v>
      </c>
      <c r="C3" s="13" t="s">
        <v>257</v>
      </c>
      <c r="D3" s="4" t="str">
        <f t="shared" ref="D3:D48" si="1">CONCATENATE(B3, " ",C3)</f>
        <v>GOTTUNG, NANCY</v>
      </c>
      <c r="E3" s="13" t="s">
        <v>131</v>
      </c>
      <c r="F3" s="13" t="s">
        <v>120</v>
      </c>
      <c r="G3" s="13" t="s">
        <v>81</v>
      </c>
      <c r="H3" s="13">
        <v>1</v>
      </c>
      <c r="I3" s="13">
        <f t="shared" si="0"/>
        <v>1</v>
      </c>
      <c r="J3" s="13" t="s">
        <v>241</v>
      </c>
      <c r="K3" s="13" t="s">
        <v>249</v>
      </c>
      <c r="L3" s="14">
        <v>109.71</v>
      </c>
      <c r="M3" s="14">
        <v>1.1000000000000001</v>
      </c>
      <c r="N3" s="13" t="s">
        <v>64</v>
      </c>
      <c r="O3" s="14">
        <v>1.1000000000000001</v>
      </c>
      <c r="P3" s="13">
        <v>19681796</v>
      </c>
      <c r="Q3" s="13" t="s">
        <v>165</v>
      </c>
      <c r="R3" s="13" t="s">
        <v>92</v>
      </c>
      <c r="S3" s="15" t="s">
        <v>242</v>
      </c>
    </row>
    <row r="4" spans="1:19" s="15" customFormat="1" ht="15" customHeight="1" x14ac:dyDescent="0.25">
      <c r="A4" s="13" t="s">
        <v>178</v>
      </c>
      <c r="B4" s="13" t="s">
        <v>258</v>
      </c>
      <c r="C4" s="13" t="s">
        <v>259</v>
      </c>
      <c r="D4" s="4" t="str">
        <f t="shared" si="1"/>
        <v>GABOURY, SANDRA</v>
      </c>
      <c r="E4" s="13" t="s">
        <v>59</v>
      </c>
      <c r="F4" s="13" t="s">
        <v>120</v>
      </c>
      <c r="G4" s="13" t="s">
        <v>99</v>
      </c>
      <c r="H4" s="13">
        <v>6.5</v>
      </c>
      <c r="I4" s="13">
        <f t="shared" si="0"/>
        <v>3</v>
      </c>
      <c r="J4" s="13" t="s">
        <v>241</v>
      </c>
      <c r="K4" s="13" t="s">
        <v>249</v>
      </c>
      <c r="L4" s="14">
        <v>823.32</v>
      </c>
      <c r="M4" s="14">
        <v>53.52</v>
      </c>
      <c r="N4" s="13" t="s">
        <v>64</v>
      </c>
      <c r="O4" s="14">
        <v>53.52</v>
      </c>
      <c r="P4" s="13">
        <v>16912722</v>
      </c>
      <c r="Q4" s="13" t="s">
        <v>181</v>
      </c>
      <c r="R4" s="13" t="s">
        <v>100</v>
      </c>
      <c r="S4" s="15" t="s">
        <v>243</v>
      </c>
    </row>
    <row r="5" spans="1:19" s="15" customFormat="1" ht="15" customHeight="1" x14ac:dyDescent="0.25">
      <c r="A5" s="13" t="s">
        <v>187</v>
      </c>
      <c r="B5" s="13" t="s">
        <v>260</v>
      </c>
      <c r="C5" s="13" t="s">
        <v>261</v>
      </c>
      <c r="D5" s="4" t="str">
        <f t="shared" si="1"/>
        <v>FISHER, AVIS</v>
      </c>
      <c r="E5" s="13" t="s">
        <v>59</v>
      </c>
      <c r="F5" s="13" t="s">
        <v>186</v>
      </c>
      <c r="G5" s="13" t="s">
        <v>81</v>
      </c>
      <c r="H5" s="13">
        <v>11.5</v>
      </c>
      <c r="I5" s="13">
        <f t="shared" si="0"/>
        <v>6</v>
      </c>
      <c r="J5" s="13" t="s">
        <v>241</v>
      </c>
      <c r="K5" s="13" t="s">
        <v>249</v>
      </c>
      <c r="L5" s="14">
        <v>169.88</v>
      </c>
      <c r="M5" s="14">
        <v>19.54</v>
      </c>
      <c r="N5" s="13" t="s">
        <v>64</v>
      </c>
      <c r="O5" s="14">
        <v>19.54</v>
      </c>
      <c r="P5" s="13">
        <v>16912722</v>
      </c>
      <c r="Q5" s="13" t="s">
        <v>181</v>
      </c>
      <c r="R5" s="13" t="s">
        <v>92</v>
      </c>
      <c r="S5" s="15" t="s">
        <v>244</v>
      </c>
    </row>
    <row r="6" spans="1:19" s="15" customFormat="1" ht="15" customHeight="1" x14ac:dyDescent="0.25">
      <c r="A6" s="13" t="s">
        <v>182</v>
      </c>
      <c r="B6" s="13" t="s">
        <v>258</v>
      </c>
      <c r="C6" s="13" t="s">
        <v>262</v>
      </c>
      <c r="D6" s="4" t="str">
        <f t="shared" si="1"/>
        <v>GABOURY, ERNEST</v>
      </c>
      <c r="E6" s="13" t="s">
        <v>59</v>
      </c>
      <c r="F6" s="13" t="s">
        <v>120</v>
      </c>
      <c r="G6" s="13" t="s">
        <v>99</v>
      </c>
      <c r="H6" s="13">
        <v>22</v>
      </c>
      <c r="I6" s="13">
        <f t="shared" si="0"/>
        <v>3</v>
      </c>
      <c r="J6" s="13" t="s">
        <v>241</v>
      </c>
      <c r="K6" s="13" t="s">
        <v>249</v>
      </c>
      <c r="L6" s="14">
        <v>184.42</v>
      </c>
      <c r="M6" s="14">
        <v>40.57</v>
      </c>
      <c r="N6" s="13" t="s">
        <v>64</v>
      </c>
      <c r="O6" s="14">
        <v>40.57</v>
      </c>
      <c r="P6" s="13">
        <v>16912722</v>
      </c>
      <c r="Q6" s="13" t="s">
        <v>181</v>
      </c>
      <c r="R6" s="13" t="s">
        <v>100</v>
      </c>
      <c r="S6" s="15" t="s">
        <v>244</v>
      </c>
    </row>
    <row r="7" spans="1:19" s="15" customFormat="1" ht="15" customHeight="1" x14ac:dyDescent="0.25">
      <c r="A7" s="13" t="s">
        <v>168</v>
      </c>
      <c r="B7" s="13" t="s">
        <v>263</v>
      </c>
      <c r="C7" s="13" t="s">
        <v>264</v>
      </c>
      <c r="D7" s="4" t="str">
        <f t="shared" si="1"/>
        <v>THORNE, DANA</v>
      </c>
      <c r="E7" s="13" t="s">
        <v>59</v>
      </c>
      <c r="F7" s="13" t="s">
        <v>131</v>
      </c>
      <c r="G7" s="13" t="s">
        <v>99</v>
      </c>
      <c r="H7" s="13">
        <v>22</v>
      </c>
      <c r="I7" s="13">
        <f t="shared" si="0"/>
        <v>1</v>
      </c>
      <c r="J7" s="13" t="s">
        <v>241</v>
      </c>
      <c r="K7" s="13" t="s">
        <v>249</v>
      </c>
      <c r="L7" s="14">
        <v>256.79000000000002</v>
      </c>
      <c r="M7" s="14">
        <v>56.49</v>
      </c>
      <c r="N7" s="13" t="s">
        <v>64</v>
      </c>
      <c r="O7" s="14">
        <v>56.49</v>
      </c>
      <c r="P7" s="13">
        <v>19681796</v>
      </c>
      <c r="Q7" s="13" t="s">
        <v>165</v>
      </c>
      <c r="R7" s="13" t="s">
        <v>100</v>
      </c>
      <c r="S7" s="15" t="s">
        <v>244</v>
      </c>
    </row>
    <row r="8" spans="1:19" s="15" customFormat="1" ht="15" customHeight="1" x14ac:dyDescent="0.25">
      <c r="A8" s="13" t="s">
        <v>170</v>
      </c>
      <c r="B8" s="13" t="s">
        <v>263</v>
      </c>
      <c r="C8" s="13" t="s">
        <v>265</v>
      </c>
      <c r="D8" s="4" t="str">
        <f t="shared" si="1"/>
        <v>THORNE, MARY</v>
      </c>
      <c r="E8" s="13" t="s">
        <v>59</v>
      </c>
      <c r="F8" s="13" t="s">
        <v>131</v>
      </c>
      <c r="G8" s="13" t="s">
        <v>99</v>
      </c>
      <c r="H8" s="13">
        <v>22</v>
      </c>
      <c r="I8" s="13">
        <f t="shared" si="0"/>
        <v>1</v>
      </c>
      <c r="J8" s="13" t="s">
        <v>241</v>
      </c>
      <c r="K8" s="13" t="s">
        <v>249</v>
      </c>
      <c r="L8" s="14">
        <v>209.32</v>
      </c>
      <c r="M8" s="14">
        <v>46.05</v>
      </c>
      <c r="N8" s="13" t="s">
        <v>64</v>
      </c>
      <c r="O8" s="14">
        <v>46.05</v>
      </c>
      <c r="P8" s="13">
        <v>19681796</v>
      </c>
      <c r="Q8" s="13" t="s">
        <v>165</v>
      </c>
      <c r="R8" s="13" t="s">
        <v>100</v>
      </c>
      <c r="S8" s="15" t="s">
        <v>244</v>
      </c>
    </row>
    <row r="9" spans="1:19" ht="15" customHeight="1" x14ac:dyDescent="0.25">
      <c r="A9" s="4" t="s">
        <v>95</v>
      </c>
      <c r="B9" s="4" t="s">
        <v>266</v>
      </c>
      <c r="C9" s="4" t="s">
        <v>267</v>
      </c>
      <c r="D9" s="4" t="str">
        <f t="shared" si="1"/>
        <v>RICHARDSON, FELECIA</v>
      </c>
      <c r="E9" s="4" t="s">
        <v>59</v>
      </c>
      <c r="F9" s="4" t="s">
        <v>97</v>
      </c>
      <c r="G9" s="4" t="s">
        <v>99</v>
      </c>
      <c r="H9" s="4">
        <v>22</v>
      </c>
      <c r="I9" s="4">
        <f t="shared" si="0"/>
        <v>6</v>
      </c>
      <c r="J9" s="4" t="s">
        <v>248</v>
      </c>
      <c r="K9" s="4" t="s">
        <v>249</v>
      </c>
      <c r="L9" s="5">
        <v>169.76</v>
      </c>
      <c r="M9" s="5">
        <v>37.35</v>
      </c>
      <c r="N9" s="4" t="s">
        <v>64</v>
      </c>
      <c r="O9" s="5">
        <v>37.35</v>
      </c>
      <c r="P9" s="4">
        <v>18754354</v>
      </c>
      <c r="Q9" s="4" t="s">
        <v>90</v>
      </c>
      <c r="R9" s="4" t="s">
        <v>100</v>
      </c>
      <c r="S9" s="15" t="s">
        <v>244</v>
      </c>
    </row>
    <row r="10" spans="1:19" ht="15" customHeight="1" x14ac:dyDescent="0.25">
      <c r="A10" s="4" t="s">
        <v>101</v>
      </c>
      <c r="B10" s="4" t="s">
        <v>268</v>
      </c>
      <c r="C10" s="4" t="s">
        <v>269</v>
      </c>
      <c r="D10" s="4" t="str">
        <f t="shared" si="1"/>
        <v>PARTAIN, CHARLES</v>
      </c>
      <c r="E10" s="4" t="s">
        <v>103</v>
      </c>
      <c r="F10" s="4" t="s">
        <v>104</v>
      </c>
      <c r="G10" s="4" t="s">
        <v>99</v>
      </c>
      <c r="H10" s="4">
        <v>22</v>
      </c>
      <c r="I10" s="4">
        <f t="shared" si="0"/>
        <v>5</v>
      </c>
      <c r="J10" s="4" t="s">
        <v>248</v>
      </c>
      <c r="K10" s="4" t="s">
        <v>249</v>
      </c>
      <c r="L10" s="5">
        <v>190.13</v>
      </c>
      <c r="M10" s="5">
        <v>41.83</v>
      </c>
      <c r="N10" s="4" t="s">
        <v>64</v>
      </c>
      <c r="O10" s="5">
        <v>41.83</v>
      </c>
      <c r="P10" s="4">
        <v>18754354</v>
      </c>
      <c r="Q10" s="4" t="s">
        <v>90</v>
      </c>
      <c r="R10" s="4" t="s">
        <v>100</v>
      </c>
      <c r="S10" s="15" t="s">
        <v>244</v>
      </c>
    </row>
    <row r="11" spans="1:19" ht="15" customHeight="1" x14ac:dyDescent="0.25">
      <c r="A11" s="4" t="s">
        <v>110</v>
      </c>
      <c r="B11" s="4" t="s">
        <v>270</v>
      </c>
      <c r="C11" s="4" t="s">
        <v>271</v>
      </c>
      <c r="D11" s="4" t="str">
        <f t="shared" si="1"/>
        <v>WALLS, BERNICE</v>
      </c>
      <c r="E11" s="4" t="s">
        <v>59</v>
      </c>
      <c r="F11" s="4" t="s">
        <v>60</v>
      </c>
      <c r="G11" s="4" t="s">
        <v>81</v>
      </c>
      <c r="H11" s="4">
        <v>23</v>
      </c>
      <c r="I11" s="4">
        <f t="shared" si="0"/>
        <v>7</v>
      </c>
      <c r="J11" s="4" t="s">
        <v>248</v>
      </c>
      <c r="K11" s="4" t="s">
        <v>249</v>
      </c>
      <c r="L11" s="5">
        <v>159.99</v>
      </c>
      <c r="M11" s="5">
        <v>36.799999999999997</v>
      </c>
      <c r="N11" s="4" t="s">
        <v>64</v>
      </c>
      <c r="O11" s="5">
        <v>36.799999999999997</v>
      </c>
      <c r="P11" s="4">
        <v>8244481</v>
      </c>
      <c r="Q11" s="4" t="s">
        <v>113</v>
      </c>
      <c r="R11" s="4" t="s">
        <v>92</v>
      </c>
      <c r="S11" s="12" t="s">
        <v>242</v>
      </c>
    </row>
    <row r="12" spans="1:19" ht="15" customHeight="1" x14ac:dyDescent="0.25">
      <c r="A12" s="4" t="s">
        <v>114</v>
      </c>
      <c r="B12" s="4" t="s">
        <v>272</v>
      </c>
      <c r="C12" s="4" t="s">
        <v>273</v>
      </c>
      <c r="D12" s="4" t="str">
        <f t="shared" si="1"/>
        <v>VANDORN, KATHERINE</v>
      </c>
      <c r="E12" s="4" t="s">
        <v>59</v>
      </c>
      <c r="F12" s="4" t="s">
        <v>60</v>
      </c>
      <c r="G12" s="4" t="s">
        <v>81</v>
      </c>
      <c r="H12" s="4">
        <v>23</v>
      </c>
      <c r="I12" s="4">
        <f t="shared" si="0"/>
        <v>7</v>
      </c>
      <c r="J12" s="4" t="s">
        <v>248</v>
      </c>
      <c r="K12" s="4" t="s">
        <v>249</v>
      </c>
      <c r="L12" s="5">
        <v>94.19</v>
      </c>
      <c r="M12" s="5">
        <v>21.66</v>
      </c>
      <c r="N12" s="4" t="s">
        <v>64</v>
      </c>
      <c r="O12" s="5">
        <v>21.66</v>
      </c>
      <c r="P12" s="4">
        <v>8244481</v>
      </c>
      <c r="Q12" s="4" t="s">
        <v>113</v>
      </c>
      <c r="R12" s="4" t="s">
        <v>92</v>
      </c>
      <c r="S12" s="12" t="s">
        <v>242</v>
      </c>
    </row>
    <row r="13" spans="1:19" s="15" customFormat="1" ht="15" customHeight="1" x14ac:dyDescent="0.25">
      <c r="A13" s="13" t="s">
        <v>116</v>
      </c>
      <c r="B13" s="13" t="s">
        <v>274</v>
      </c>
      <c r="C13" s="13" t="s">
        <v>275</v>
      </c>
      <c r="D13" s="4" t="str">
        <f t="shared" si="1"/>
        <v>BREUER, SHARON</v>
      </c>
      <c r="E13" s="13" t="s">
        <v>59</v>
      </c>
      <c r="F13" s="13" t="s">
        <v>75</v>
      </c>
      <c r="G13" s="13" t="s">
        <v>81</v>
      </c>
      <c r="H13" s="13">
        <v>23</v>
      </c>
      <c r="I13" s="13">
        <f t="shared" si="0"/>
        <v>4</v>
      </c>
      <c r="J13" s="13" t="s">
        <v>241</v>
      </c>
      <c r="K13" s="13" t="s">
        <v>249</v>
      </c>
      <c r="L13" s="14">
        <v>117.74</v>
      </c>
      <c r="M13" s="14">
        <v>27.08</v>
      </c>
      <c r="N13" s="13" t="s">
        <v>64</v>
      </c>
      <c r="O13" s="14">
        <v>27.08</v>
      </c>
      <c r="P13" s="13">
        <v>8244481</v>
      </c>
      <c r="Q13" s="13" t="s">
        <v>113</v>
      </c>
      <c r="R13" s="13" t="s">
        <v>92</v>
      </c>
      <c r="S13" s="15" t="s">
        <v>242</v>
      </c>
    </row>
    <row r="14" spans="1:19" s="15" customFormat="1" ht="15" customHeight="1" x14ac:dyDescent="0.25">
      <c r="A14" s="13" t="s">
        <v>118</v>
      </c>
      <c r="B14" s="13" t="s">
        <v>276</v>
      </c>
      <c r="C14" s="13" t="s">
        <v>265</v>
      </c>
      <c r="D14" s="4" t="str">
        <f t="shared" si="1"/>
        <v>COOPER, MARY</v>
      </c>
      <c r="E14" s="13" t="s">
        <v>59</v>
      </c>
      <c r="F14" s="13" t="s">
        <v>120</v>
      </c>
      <c r="G14" s="13" t="s">
        <v>81</v>
      </c>
      <c r="H14" s="13">
        <v>23</v>
      </c>
      <c r="I14" s="13">
        <f t="shared" si="0"/>
        <v>3</v>
      </c>
      <c r="J14" s="13" t="s">
        <v>241</v>
      </c>
      <c r="K14" s="13" t="s">
        <v>249</v>
      </c>
      <c r="L14" s="14">
        <v>126.78</v>
      </c>
      <c r="M14" s="14">
        <v>29.16</v>
      </c>
      <c r="N14" s="13" t="s">
        <v>64</v>
      </c>
      <c r="O14" s="14">
        <v>29.16</v>
      </c>
      <c r="P14" s="13">
        <v>8244481</v>
      </c>
      <c r="Q14" s="13" t="s">
        <v>113</v>
      </c>
      <c r="R14" s="13" t="s">
        <v>92</v>
      </c>
      <c r="S14" s="15" t="s">
        <v>242</v>
      </c>
    </row>
    <row r="15" spans="1:19" s="15" customFormat="1" ht="15" customHeight="1" x14ac:dyDescent="0.25">
      <c r="A15" s="13" t="s">
        <v>129</v>
      </c>
      <c r="B15" s="13" t="s">
        <v>277</v>
      </c>
      <c r="C15" s="13" t="s">
        <v>278</v>
      </c>
      <c r="D15" s="4" t="str">
        <f t="shared" si="1"/>
        <v>JOHNSON, MICHAEL</v>
      </c>
      <c r="E15" s="13" t="s">
        <v>131</v>
      </c>
      <c r="F15" s="13" t="s">
        <v>132</v>
      </c>
      <c r="G15" s="13" t="s">
        <v>81</v>
      </c>
      <c r="H15" s="13">
        <v>23</v>
      </c>
      <c r="I15" s="13">
        <f t="shared" si="0"/>
        <v>3</v>
      </c>
      <c r="J15" s="13" t="s">
        <v>241</v>
      </c>
      <c r="K15" s="13" t="s">
        <v>249</v>
      </c>
      <c r="L15" s="14">
        <v>135.4</v>
      </c>
      <c r="M15" s="14">
        <v>31.14</v>
      </c>
      <c r="N15" s="13" t="s">
        <v>64</v>
      </c>
      <c r="O15" s="14">
        <v>31.14</v>
      </c>
      <c r="P15" s="13">
        <v>18828278</v>
      </c>
      <c r="Q15" s="13" t="s">
        <v>134</v>
      </c>
      <c r="R15" s="13" t="s">
        <v>92</v>
      </c>
      <c r="S15" s="15" t="s">
        <v>242</v>
      </c>
    </row>
    <row r="16" spans="1:19" s="15" customFormat="1" ht="15" customHeight="1" x14ac:dyDescent="0.25">
      <c r="A16" s="13" t="s">
        <v>135</v>
      </c>
      <c r="B16" s="13" t="s">
        <v>279</v>
      </c>
      <c r="C16" s="13" t="s">
        <v>280</v>
      </c>
      <c r="D16" s="4" t="str">
        <f t="shared" si="1"/>
        <v>LANCASTER, WARD</v>
      </c>
      <c r="E16" s="13" t="s">
        <v>59</v>
      </c>
      <c r="F16" s="13" t="s">
        <v>131</v>
      </c>
      <c r="G16" s="13" t="s">
        <v>81</v>
      </c>
      <c r="H16" s="13">
        <v>23</v>
      </c>
      <c r="I16" s="13">
        <f t="shared" si="0"/>
        <v>1</v>
      </c>
      <c r="J16" s="13" t="s">
        <v>241</v>
      </c>
      <c r="K16" s="13" t="s">
        <v>249</v>
      </c>
      <c r="L16" s="14">
        <v>145.80000000000001</v>
      </c>
      <c r="M16" s="14">
        <v>33.53</v>
      </c>
      <c r="N16" s="13" t="s">
        <v>64</v>
      </c>
      <c r="O16" s="14">
        <v>33.53</v>
      </c>
      <c r="P16" s="13">
        <v>18828278</v>
      </c>
      <c r="Q16" s="13" t="s">
        <v>134</v>
      </c>
      <c r="R16" s="13" t="s">
        <v>92</v>
      </c>
      <c r="S16" s="15" t="s">
        <v>242</v>
      </c>
    </row>
    <row r="17" spans="1:37" ht="15" customHeight="1" x14ac:dyDescent="0.25">
      <c r="A17" s="4" t="s">
        <v>77</v>
      </c>
      <c r="B17" s="4" t="s">
        <v>281</v>
      </c>
      <c r="C17" s="4" t="s">
        <v>282</v>
      </c>
      <c r="D17" s="4" t="str">
        <f t="shared" si="1"/>
        <v>STOVER, EDWARD</v>
      </c>
      <c r="E17" s="4" t="s">
        <v>79</v>
      </c>
      <c r="F17" s="4" t="s">
        <v>79</v>
      </c>
      <c r="G17" s="4" t="s">
        <v>81</v>
      </c>
      <c r="H17" s="4">
        <v>23</v>
      </c>
      <c r="I17" s="4">
        <f t="shared" si="0"/>
        <v>1</v>
      </c>
      <c r="J17" s="4" t="s">
        <v>248</v>
      </c>
      <c r="K17" s="4" t="s">
        <v>249</v>
      </c>
      <c r="L17" s="5">
        <v>168.97</v>
      </c>
      <c r="M17" s="5">
        <v>38.86</v>
      </c>
      <c r="N17" s="4" t="s">
        <v>64</v>
      </c>
      <c r="O17" s="5">
        <v>38.86</v>
      </c>
      <c r="P17" s="4">
        <v>17425766</v>
      </c>
      <c r="Q17" s="4" t="s">
        <v>67</v>
      </c>
      <c r="R17" s="4" t="s">
        <v>82</v>
      </c>
      <c r="S17" s="15" t="s">
        <v>242</v>
      </c>
    </row>
    <row r="18" spans="1:37" ht="15" customHeight="1" x14ac:dyDescent="0.25">
      <c r="A18" s="4" t="s">
        <v>83</v>
      </c>
      <c r="B18" s="4" t="s">
        <v>283</v>
      </c>
      <c r="C18" s="4" t="s">
        <v>284</v>
      </c>
      <c r="D18" s="4" t="str">
        <f t="shared" si="1"/>
        <v>KORB, RICHARD</v>
      </c>
      <c r="E18" s="4" t="s">
        <v>85</v>
      </c>
      <c r="F18" s="4" t="s">
        <v>85</v>
      </c>
      <c r="G18" s="4" t="s">
        <v>81</v>
      </c>
      <c r="H18" s="4">
        <v>23</v>
      </c>
      <c r="I18" s="4">
        <f t="shared" si="0"/>
        <v>1</v>
      </c>
      <c r="J18" s="4" t="s">
        <v>248</v>
      </c>
      <c r="K18" s="4" t="s">
        <v>249</v>
      </c>
      <c r="L18" s="5">
        <v>169.76</v>
      </c>
      <c r="M18" s="5">
        <v>39.04</v>
      </c>
      <c r="N18" s="4" t="s">
        <v>64</v>
      </c>
      <c r="O18" s="5">
        <v>39.04</v>
      </c>
      <c r="P18" s="4">
        <v>17425766</v>
      </c>
      <c r="Q18" s="4" t="s">
        <v>67</v>
      </c>
      <c r="R18" s="4" t="s">
        <v>86</v>
      </c>
      <c r="S18" s="15" t="s">
        <v>242</v>
      </c>
    </row>
    <row r="19" spans="1:37" ht="15" customHeight="1" x14ac:dyDescent="0.25">
      <c r="A19" s="4" t="s">
        <v>137</v>
      </c>
      <c r="B19" s="4" t="s">
        <v>285</v>
      </c>
      <c r="C19" s="4" t="s">
        <v>265</v>
      </c>
      <c r="D19" s="4" t="str">
        <f t="shared" si="1"/>
        <v>LEVIN, MARY</v>
      </c>
      <c r="E19" s="4" t="s">
        <v>59</v>
      </c>
      <c r="F19" s="4" t="s">
        <v>139</v>
      </c>
      <c r="G19" s="4" t="s">
        <v>81</v>
      </c>
      <c r="H19" s="4">
        <v>23</v>
      </c>
      <c r="I19" s="4">
        <f t="shared" si="0"/>
        <v>8</v>
      </c>
      <c r="J19" s="4" t="s">
        <v>248</v>
      </c>
      <c r="K19" s="4" t="s">
        <v>249</v>
      </c>
      <c r="L19" s="5">
        <v>128.9</v>
      </c>
      <c r="M19" s="5">
        <v>29.65</v>
      </c>
      <c r="N19" s="4" t="s">
        <v>64</v>
      </c>
      <c r="O19" s="5">
        <v>29.65</v>
      </c>
      <c r="P19" s="4">
        <v>17094718</v>
      </c>
      <c r="Q19" s="4" t="s">
        <v>141</v>
      </c>
      <c r="R19" s="4" t="s">
        <v>92</v>
      </c>
      <c r="S19" s="12" t="s">
        <v>242</v>
      </c>
    </row>
    <row r="20" spans="1:37" ht="15" customHeight="1" x14ac:dyDescent="0.25">
      <c r="A20" s="13" t="s">
        <v>172</v>
      </c>
      <c r="B20" s="13" t="s">
        <v>286</v>
      </c>
      <c r="C20" s="13" t="s">
        <v>287</v>
      </c>
      <c r="D20" s="4" t="str">
        <f t="shared" si="1"/>
        <v>CUELLAR, VICTOR</v>
      </c>
      <c r="E20" s="13" t="s">
        <v>59</v>
      </c>
      <c r="F20" s="13" t="s">
        <v>131</v>
      </c>
      <c r="G20" s="13" t="s">
        <v>81</v>
      </c>
      <c r="H20" s="13">
        <v>23</v>
      </c>
      <c r="I20" s="13">
        <f t="shared" si="0"/>
        <v>1</v>
      </c>
      <c r="J20" s="13" t="s">
        <v>241</v>
      </c>
      <c r="K20" s="13" t="s">
        <v>249</v>
      </c>
      <c r="L20" s="14">
        <v>145.53</v>
      </c>
      <c r="M20" s="14">
        <v>33.47</v>
      </c>
      <c r="N20" s="13" t="s">
        <v>64</v>
      </c>
      <c r="O20" s="14">
        <v>33.47</v>
      </c>
      <c r="P20" s="13">
        <v>17301495</v>
      </c>
      <c r="Q20" s="13" t="s">
        <v>175</v>
      </c>
      <c r="R20" s="13" t="s">
        <v>92</v>
      </c>
      <c r="S20" s="15" t="s">
        <v>242</v>
      </c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</row>
    <row r="21" spans="1:37" ht="15" customHeight="1" x14ac:dyDescent="0.25">
      <c r="A21" s="13" t="s">
        <v>176</v>
      </c>
      <c r="B21" s="13" t="s">
        <v>286</v>
      </c>
      <c r="C21" s="13" t="s">
        <v>288</v>
      </c>
      <c r="D21" s="4" t="str">
        <f t="shared" si="1"/>
        <v>CUELLAR, ESTEFANIA</v>
      </c>
      <c r="E21" s="13" t="s">
        <v>59</v>
      </c>
      <c r="F21" s="13" t="s">
        <v>131</v>
      </c>
      <c r="G21" s="13" t="s">
        <v>81</v>
      </c>
      <c r="H21" s="13">
        <v>23</v>
      </c>
      <c r="I21" s="13">
        <f t="shared" si="0"/>
        <v>1</v>
      </c>
      <c r="J21" s="13" t="s">
        <v>241</v>
      </c>
      <c r="K21" s="13" t="s">
        <v>249</v>
      </c>
      <c r="L21" s="14">
        <v>109.71</v>
      </c>
      <c r="M21" s="14">
        <v>25.23</v>
      </c>
      <c r="N21" s="13" t="s">
        <v>64</v>
      </c>
      <c r="O21" s="14">
        <v>25.23</v>
      </c>
      <c r="P21" s="13">
        <v>17301495</v>
      </c>
      <c r="Q21" s="13" t="s">
        <v>175</v>
      </c>
      <c r="R21" s="13" t="s">
        <v>92</v>
      </c>
      <c r="S21" s="15" t="s">
        <v>242</v>
      </c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</row>
    <row r="22" spans="1:37" ht="15" customHeight="1" x14ac:dyDescent="0.25">
      <c r="A22" s="4" t="s">
        <v>189</v>
      </c>
      <c r="B22" s="4" t="s">
        <v>289</v>
      </c>
      <c r="C22" s="4" t="s">
        <v>290</v>
      </c>
      <c r="D22" s="4" t="str">
        <f t="shared" si="1"/>
        <v>RUTKOWSKI, JAMES</v>
      </c>
      <c r="E22" s="4" t="s">
        <v>59</v>
      </c>
      <c r="F22" s="4" t="s">
        <v>131</v>
      </c>
      <c r="G22" s="4" t="s">
        <v>192</v>
      </c>
      <c r="H22" s="4">
        <v>23</v>
      </c>
      <c r="I22" s="4">
        <f t="shared" si="0"/>
        <v>1</v>
      </c>
      <c r="J22" s="4" t="s">
        <v>248</v>
      </c>
      <c r="K22" s="4" t="s">
        <v>249</v>
      </c>
      <c r="L22" s="5">
        <v>162.07</v>
      </c>
      <c r="M22" s="5">
        <v>37.28</v>
      </c>
      <c r="N22" s="4" t="s">
        <v>64</v>
      </c>
      <c r="O22" s="5">
        <v>37.28</v>
      </c>
      <c r="P22" s="4">
        <v>18581063</v>
      </c>
      <c r="Q22" s="4" t="s">
        <v>194</v>
      </c>
      <c r="R22" s="4" t="s">
        <v>195</v>
      </c>
      <c r="S22" s="15" t="s">
        <v>242</v>
      </c>
    </row>
    <row r="23" spans="1:37" ht="15" customHeight="1" x14ac:dyDescent="0.25">
      <c r="A23" s="13" t="s">
        <v>184</v>
      </c>
      <c r="B23" s="13" t="s">
        <v>260</v>
      </c>
      <c r="C23" s="13" t="s">
        <v>291</v>
      </c>
      <c r="D23" s="4" t="str">
        <f t="shared" si="1"/>
        <v>FISHER, JEFFREY</v>
      </c>
      <c r="E23" s="13" t="s">
        <v>59</v>
      </c>
      <c r="F23" s="13" t="s">
        <v>186</v>
      </c>
      <c r="G23" s="13" t="s">
        <v>81</v>
      </c>
      <c r="H23" s="13">
        <v>23</v>
      </c>
      <c r="I23" s="13">
        <f t="shared" si="0"/>
        <v>6</v>
      </c>
      <c r="J23" s="13" t="s">
        <v>241</v>
      </c>
      <c r="K23" s="13" t="s">
        <v>249</v>
      </c>
      <c r="L23" s="14">
        <v>145.53</v>
      </c>
      <c r="M23" s="14">
        <v>33.47</v>
      </c>
      <c r="N23" s="13" t="s">
        <v>64</v>
      </c>
      <c r="O23" s="14">
        <v>33.47</v>
      </c>
      <c r="P23" s="13">
        <v>16912722</v>
      </c>
      <c r="Q23" s="13" t="s">
        <v>181</v>
      </c>
      <c r="R23" s="13" t="s">
        <v>92</v>
      </c>
      <c r="S23" s="15" t="s">
        <v>242</v>
      </c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</row>
    <row r="24" spans="1:37" ht="15" customHeight="1" x14ac:dyDescent="0.25">
      <c r="A24" s="13" t="s">
        <v>148</v>
      </c>
      <c r="B24" s="13" t="s">
        <v>292</v>
      </c>
      <c r="C24" s="13" t="s">
        <v>293</v>
      </c>
      <c r="D24" s="4" t="str">
        <f t="shared" si="1"/>
        <v>VEATH, ANDREW</v>
      </c>
      <c r="E24" s="13" t="s">
        <v>59</v>
      </c>
      <c r="F24" s="13" t="s">
        <v>131</v>
      </c>
      <c r="G24" s="13" t="s">
        <v>81</v>
      </c>
      <c r="H24" s="13">
        <v>23</v>
      </c>
      <c r="I24" s="13">
        <f t="shared" si="0"/>
        <v>1</v>
      </c>
      <c r="J24" s="13" t="s">
        <v>241</v>
      </c>
      <c r="K24" s="13" t="s">
        <v>249</v>
      </c>
      <c r="L24" s="14">
        <v>148.24</v>
      </c>
      <c r="M24" s="14">
        <v>34.1</v>
      </c>
      <c r="N24" s="13" t="s">
        <v>64</v>
      </c>
      <c r="O24" s="14">
        <v>34.1</v>
      </c>
      <c r="P24" s="13">
        <v>8325282</v>
      </c>
      <c r="Q24" s="13" t="s">
        <v>151</v>
      </c>
      <c r="R24" s="13" t="s">
        <v>92</v>
      </c>
      <c r="S24" s="15" t="s">
        <v>242</v>
      </c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</row>
    <row r="25" spans="1:37" ht="15" customHeight="1" x14ac:dyDescent="0.25">
      <c r="A25" s="13" t="s">
        <v>152</v>
      </c>
      <c r="B25" s="13" t="s">
        <v>294</v>
      </c>
      <c r="C25" s="13" t="s">
        <v>295</v>
      </c>
      <c r="D25" s="4" t="str">
        <f t="shared" si="1"/>
        <v>ALTAMURA, ANNAMARIA</v>
      </c>
      <c r="E25" s="13" t="s">
        <v>59</v>
      </c>
      <c r="F25" s="13" t="s">
        <v>131</v>
      </c>
      <c r="G25" s="13" t="s">
        <v>81</v>
      </c>
      <c r="H25" s="13">
        <v>23</v>
      </c>
      <c r="I25" s="13">
        <f t="shared" si="0"/>
        <v>1</v>
      </c>
      <c r="J25" s="13" t="s">
        <v>241</v>
      </c>
      <c r="K25" s="13" t="s">
        <v>249</v>
      </c>
      <c r="L25" s="14">
        <v>137.13</v>
      </c>
      <c r="M25" s="14">
        <v>31.54</v>
      </c>
      <c r="N25" s="13" t="s">
        <v>64</v>
      </c>
      <c r="O25" s="14">
        <v>31.54</v>
      </c>
      <c r="P25" s="13">
        <v>8325282</v>
      </c>
      <c r="Q25" s="13" t="s">
        <v>151</v>
      </c>
      <c r="R25" s="13" t="s">
        <v>92</v>
      </c>
      <c r="S25" s="15" t="s">
        <v>242</v>
      </c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</row>
    <row r="26" spans="1:37" ht="15" customHeight="1" x14ac:dyDescent="0.25">
      <c r="A26" s="13" t="s">
        <v>154</v>
      </c>
      <c r="B26" s="13" t="s">
        <v>296</v>
      </c>
      <c r="C26" s="13" t="s">
        <v>297</v>
      </c>
      <c r="D26" s="4" t="str">
        <f t="shared" si="1"/>
        <v>OHAGAN, MEDALIT</v>
      </c>
      <c r="E26" s="13" t="s">
        <v>131</v>
      </c>
      <c r="F26" s="13" t="s">
        <v>131</v>
      </c>
      <c r="G26" s="13" t="s">
        <v>81</v>
      </c>
      <c r="H26" s="13">
        <v>23</v>
      </c>
      <c r="I26" s="13">
        <f t="shared" si="0"/>
        <v>1</v>
      </c>
      <c r="J26" s="13" t="s">
        <v>250</v>
      </c>
      <c r="K26" s="13" t="s">
        <v>251</v>
      </c>
      <c r="L26" s="14">
        <v>128.9</v>
      </c>
      <c r="M26" s="14">
        <v>29.65</v>
      </c>
      <c r="N26" s="13" t="s">
        <v>64</v>
      </c>
      <c r="O26" s="14">
        <v>29.65</v>
      </c>
      <c r="P26" s="13" t="s">
        <v>252</v>
      </c>
      <c r="Q26" s="13" t="s">
        <v>151</v>
      </c>
      <c r="R26" s="13" t="s">
        <v>92</v>
      </c>
      <c r="S26" s="15" t="s">
        <v>242</v>
      </c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</row>
    <row r="27" spans="1:37" s="15" customFormat="1" ht="15" customHeight="1" x14ac:dyDescent="0.25">
      <c r="A27" s="13" t="s">
        <v>156</v>
      </c>
      <c r="B27" s="13" t="s">
        <v>298</v>
      </c>
      <c r="C27" s="13" t="s">
        <v>299</v>
      </c>
      <c r="D27" s="4" t="str">
        <f t="shared" si="1"/>
        <v>ZITRON, ERIC</v>
      </c>
      <c r="E27" s="13" t="s">
        <v>59</v>
      </c>
      <c r="F27" s="13" t="s">
        <v>59</v>
      </c>
      <c r="G27" s="13" t="s">
        <v>81</v>
      </c>
      <c r="H27" s="13">
        <v>23</v>
      </c>
      <c r="I27" s="13">
        <f t="shared" si="0"/>
        <v>1</v>
      </c>
      <c r="J27" s="13" t="s">
        <v>250</v>
      </c>
      <c r="K27" s="13" t="s">
        <v>251</v>
      </c>
      <c r="L27" s="14">
        <v>174.61</v>
      </c>
      <c r="M27" s="14">
        <v>40.159999999999997</v>
      </c>
      <c r="N27" s="13" t="s">
        <v>64</v>
      </c>
      <c r="O27" s="14">
        <v>40.159999999999997</v>
      </c>
      <c r="P27" s="13" t="s">
        <v>252</v>
      </c>
      <c r="Q27" s="13" t="s">
        <v>151</v>
      </c>
      <c r="R27" s="13" t="s">
        <v>92</v>
      </c>
      <c r="S27" s="15" t="s">
        <v>242</v>
      </c>
    </row>
    <row r="28" spans="1:37" s="15" customFormat="1" ht="15" customHeight="1" x14ac:dyDescent="0.25">
      <c r="A28" s="13" t="s">
        <v>158</v>
      </c>
      <c r="B28" s="13" t="s">
        <v>298</v>
      </c>
      <c r="C28" s="13" t="s">
        <v>300</v>
      </c>
      <c r="D28" s="4" t="str">
        <f t="shared" si="1"/>
        <v>ZITRON, RANDI</v>
      </c>
      <c r="E28" s="13" t="s">
        <v>59</v>
      </c>
      <c r="F28" s="13" t="s">
        <v>59</v>
      </c>
      <c r="G28" s="13" t="s">
        <v>81</v>
      </c>
      <c r="H28" s="13">
        <v>23</v>
      </c>
      <c r="I28" s="13">
        <f t="shared" si="0"/>
        <v>1</v>
      </c>
      <c r="J28" s="13" t="s">
        <v>250</v>
      </c>
      <c r="K28" s="13" t="s">
        <v>251</v>
      </c>
      <c r="L28" s="14">
        <v>118.15</v>
      </c>
      <c r="M28" s="14">
        <v>27.17</v>
      </c>
      <c r="N28" s="13" t="s">
        <v>64</v>
      </c>
      <c r="O28" s="14">
        <v>27.17</v>
      </c>
      <c r="P28" s="13" t="s">
        <v>252</v>
      </c>
      <c r="Q28" s="13" t="s">
        <v>151</v>
      </c>
      <c r="R28" s="13" t="s">
        <v>92</v>
      </c>
      <c r="S28" s="15" t="s">
        <v>242</v>
      </c>
    </row>
    <row r="29" spans="1:37" s="15" customFormat="1" ht="15" customHeight="1" x14ac:dyDescent="0.25">
      <c r="A29" s="4" t="s">
        <v>87</v>
      </c>
      <c r="B29" s="4" t="s">
        <v>301</v>
      </c>
      <c r="C29" s="4" t="s">
        <v>302</v>
      </c>
      <c r="D29" s="4" t="str">
        <f t="shared" si="1"/>
        <v>MAZOLA, THEODORE</v>
      </c>
      <c r="E29" s="4" t="s">
        <v>59</v>
      </c>
      <c r="F29" s="4" t="s">
        <v>60</v>
      </c>
      <c r="G29" s="4" t="s">
        <v>81</v>
      </c>
      <c r="H29" s="4">
        <v>23</v>
      </c>
      <c r="I29" s="4">
        <f t="shared" si="0"/>
        <v>7</v>
      </c>
      <c r="J29" s="4" t="s">
        <v>248</v>
      </c>
      <c r="K29" s="4" t="s">
        <v>249</v>
      </c>
      <c r="L29" s="5">
        <v>150.62</v>
      </c>
      <c r="M29" s="5">
        <v>34.64</v>
      </c>
      <c r="N29" s="4" t="s">
        <v>64</v>
      </c>
      <c r="O29" s="5">
        <v>34.64</v>
      </c>
      <c r="P29" s="4">
        <v>18754354</v>
      </c>
      <c r="Q29" s="4" t="s">
        <v>90</v>
      </c>
      <c r="R29" s="4" t="s">
        <v>92</v>
      </c>
      <c r="S29" s="15" t="s">
        <v>242</v>
      </c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</row>
    <row r="30" spans="1:37" s="15" customFormat="1" ht="15" customHeight="1" x14ac:dyDescent="0.25">
      <c r="A30" s="4" t="s">
        <v>93</v>
      </c>
      <c r="B30" s="4" t="s">
        <v>301</v>
      </c>
      <c r="C30" s="4" t="s">
        <v>303</v>
      </c>
      <c r="D30" s="4" t="str">
        <f t="shared" si="1"/>
        <v>MAZOLA, CLAUDIA</v>
      </c>
      <c r="E30" s="4" t="s">
        <v>59</v>
      </c>
      <c r="F30" s="4" t="s">
        <v>60</v>
      </c>
      <c r="G30" s="4" t="s">
        <v>81</v>
      </c>
      <c r="H30" s="4">
        <v>23</v>
      </c>
      <c r="I30" s="4">
        <f t="shared" si="0"/>
        <v>7</v>
      </c>
      <c r="J30" s="4" t="s">
        <v>248</v>
      </c>
      <c r="K30" s="4" t="s">
        <v>249</v>
      </c>
      <c r="L30" s="5">
        <v>126.55</v>
      </c>
      <c r="M30" s="5">
        <v>29.11</v>
      </c>
      <c r="N30" s="4" t="s">
        <v>64</v>
      </c>
      <c r="O30" s="5">
        <v>29.11</v>
      </c>
      <c r="P30" s="4">
        <v>18754354</v>
      </c>
      <c r="Q30" s="4" t="s">
        <v>90</v>
      </c>
      <c r="R30" s="4" t="s">
        <v>92</v>
      </c>
      <c r="S30" s="15" t="s">
        <v>242</v>
      </c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</row>
    <row r="31" spans="1:37" s="15" customFormat="1" ht="15" customHeight="1" x14ac:dyDescent="0.25">
      <c r="A31" s="4" t="s">
        <v>105</v>
      </c>
      <c r="B31" s="4" t="s">
        <v>304</v>
      </c>
      <c r="C31" s="4" t="s">
        <v>305</v>
      </c>
      <c r="D31" s="4" t="str">
        <f t="shared" si="1"/>
        <v>HOWE, REGINA</v>
      </c>
      <c r="E31" s="4" t="s">
        <v>59</v>
      </c>
      <c r="F31" s="4" t="s">
        <v>75</v>
      </c>
      <c r="G31" s="4" t="s">
        <v>81</v>
      </c>
      <c r="H31" s="4">
        <v>23</v>
      </c>
      <c r="I31" s="4">
        <f t="shared" si="0"/>
        <v>4</v>
      </c>
      <c r="J31" s="4" t="s">
        <v>248</v>
      </c>
      <c r="K31" s="4" t="s">
        <v>249</v>
      </c>
      <c r="L31" s="5">
        <v>128.9</v>
      </c>
      <c r="M31" s="5">
        <v>29.65</v>
      </c>
      <c r="N31" s="4" t="s">
        <v>64</v>
      </c>
      <c r="O31" s="5">
        <v>29.65</v>
      </c>
      <c r="P31" s="4">
        <v>18754354</v>
      </c>
      <c r="Q31" s="4" t="s">
        <v>90</v>
      </c>
      <c r="R31" s="4" t="s">
        <v>92</v>
      </c>
      <c r="S31" s="15" t="s">
        <v>242</v>
      </c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</row>
    <row r="32" spans="1:37" s="15" customFormat="1" ht="15" customHeight="1" x14ac:dyDescent="0.25">
      <c r="A32" s="4" t="s">
        <v>107</v>
      </c>
      <c r="B32" s="4" t="s">
        <v>306</v>
      </c>
      <c r="C32" s="4" t="s">
        <v>307</v>
      </c>
      <c r="D32" s="4" t="str">
        <f t="shared" si="1"/>
        <v>HACK, JOSEPH</v>
      </c>
      <c r="E32" s="4" t="s">
        <v>59</v>
      </c>
      <c r="F32" s="4" t="s">
        <v>75</v>
      </c>
      <c r="G32" s="4" t="s">
        <v>99</v>
      </c>
      <c r="H32" s="4">
        <v>23</v>
      </c>
      <c r="I32" s="4">
        <f t="shared" si="0"/>
        <v>4</v>
      </c>
      <c r="J32" s="4" t="s">
        <v>248</v>
      </c>
      <c r="K32" s="4" t="s">
        <v>249</v>
      </c>
      <c r="L32" s="5">
        <v>139.6</v>
      </c>
      <c r="M32" s="5">
        <v>32.11</v>
      </c>
      <c r="N32" s="4" t="s">
        <v>64</v>
      </c>
      <c r="O32" s="5">
        <v>32.11</v>
      </c>
      <c r="P32" s="4">
        <v>18754354</v>
      </c>
      <c r="Q32" s="4" t="s">
        <v>90</v>
      </c>
      <c r="R32" s="4" t="s">
        <v>109</v>
      </c>
      <c r="S32" s="15" t="s">
        <v>242</v>
      </c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</row>
    <row r="33" spans="1:37" s="15" customFormat="1" ht="15" customHeight="1" x14ac:dyDescent="0.25">
      <c r="A33" s="4" t="s">
        <v>57</v>
      </c>
      <c r="B33" s="4" t="s">
        <v>308</v>
      </c>
      <c r="C33" s="4" t="s">
        <v>309</v>
      </c>
      <c r="D33" s="4" t="str">
        <f t="shared" si="1"/>
        <v>TALCOTT LUTY,</v>
      </c>
      <c r="E33" s="4" t="s">
        <v>59</v>
      </c>
      <c r="F33" s="4" t="s">
        <v>60</v>
      </c>
      <c r="G33" s="4" t="s">
        <v>62</v>
      </c>
      <c r="H33" s="4">
        <v>27</v>
      </c>
      <c r="I33" s="4">
        <f t="shared" si="0"/>
        <v>7</v>
      </c>
      <c r="J33" s="4" t="s">
        <v>248</v>
      </c>
      <c r="K33" s="4" t="s">
        <v>249</v>
      </c>
      <c r="L33" s="5">
        <v>96.28</v>
      </c>
      <c r="M33" s="5">
        <v>26</v>
      </c>
      <c r="N33" s="4" t="s">
        <v>64</v>
      </c>
      <c r="O33" s="5">
        <v>26</v>
      </c>
      <c r="P33" s="4">
        <v>17425766</v>
      </c>
      <c r="Q33" s="4" t="s">
        <v>67</v>
      </c>
      <c r="R33" s="4" t="s">
        <v>71</v>
      </c>
      <c r="S33" s="12" t="s">
        <v>245</v>
      </c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</row>
    <row r="34" spans="1:37" s="15" customFormat="1" ht="15" customHeight="1" x14ac:dyDescent="0.25">
      <c r="A34" s="4" t="s">
        <v>73</v>
      </c>
      <c r="B34" s="4" t="s">
        <v>310</v>
      </c>
      <c r="C34" s="4" t="s">
        <v>311</v>
      </c>
      <c r="D34" s="4" t="str">
        <f t="shared" si="1"/>
        <v>MYHRE, KEVEN</v>
      </c>
      <c r="E34" s="4" t="s">
        <v>59</v>
      </c>
      <c r="F34" s="4" t="s">
        <v>75</v>
      </c>
      <c r="G34" s="4" t="s">
        <v>62</v>
      </c>
      <c r="H34" s="4">
        <v>27</v>
      </c>
      <c r="I34" s="4">
        <f t="shared" si="0"/>
        <v>4</v>
      </c>
      <c r="J34" s="4" t="s">
        <v>248</v>
      </c>
      <c r="K34" s="4" t="s">
        <v>249</v>
      </c>
      <c r="L34" s="5">
        <v>319.57</v>
      </c>
      <c r="M34" s="5">
        <v>86.28</v>
      </c>
      <c r="N34" s="4" t="s">
        <v>64</v>
      </c>
      <c r="O34" s="5">
        <v>86.28</v>
      </c>
      <c r="P34" s="4">
        <v>17425766</v>
      </c>
      <c r="Q34" s="4" t="s">
        <v>67</v>
      </c>
      <c r="R34" s="4" t="s">
        <v>71</v>
      </c>
      <c r="S34" s="12" t="s">
        <v>245</v>
      </c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</row>
    <row r="35" spans="1:37" s="15" customFormat="1" ht="15" customHeight="1" x14ac:dyDescent="0.25">
      <c r="A35" s="13" t="s">
        <v>125</v>
      </c>
      <c r="B35" s="13" t="s">
        <v>312</v>
      </c>
      <c r="C35" s="13" t="s">
        <v>313</v>
      </c>
      <c r="D35" s="4" t="str">
        <f t="shared" si="1"/>
        <v>PYKA, WAYNE</v>
      </c>
      <c r="E35" s="13" t="s">
        <v>59</v>
      </c>
      <c r="F35" s="13" t="s">
        <v>59</v>
      </c>
      <c r="G35" s="13" t="s">
        <v>62</v>
      </c>
      <c r="H35" s="13">
        <v>27</v>
      </c>
      <c r="I35" s="13">
        <f t="shared" si="0"/>
        <v>1</v>
      </c>
      <c r="J35" s="13" t="s">
        <v>250</v>
      </c>
      <c r="K35" s="13" t="s">
        <v>251</v>
      </c>
      <c r="L35" s="14">
        <v>112.24</v>
      </c>
      <c r="M35" s="14">
        <v>30.3</v>
      </c>
      <c r="N35" s="13" t="s">
        <v>64</v>
      </c>
      <c r="O35" s="14">
        <v>30.3</v>
      </c>
      <c r="P35" s="13" t="s">
        <v>253</v>
      </c>
      <c r="Q35" s="13" t="s">
        <v>128</v>
      </c>
      <c r="R35" s="13" t="s">
        <v>92</v>
      </c>
      <c r="S35" s="12" t="s">
        <v>245</v>
      </c>
    </row>
    <row r="36" spans="1:37" s="15" customFormat="1" ht="15" customHeight="1" x14ac:dyDescent="0.25">
      <c r="A36" s="13" t="s">
        <v>166</v>
      </c>
      <c r="B36" s="13" t="s">
        <v>256</v>
      </c>
      <c r="C36" s="13" t="s">
        <v>299</v>
      </c>
      <c r="D36" s="4" t="str">
        <f t="shared" si="1"/>
        <v>GOTTUNG, ERIC</v>
      </c>
      <c r="E36" s="13" t="s">
        <v>131</v>
      </c>
      <c r="F36" s="13" t="s">
        <v>120</v>
      </c>
      <c r="G36" s="13" t="s">
        <v>62</v>
      </c>
      <c r="H36" s="13">
        <v>27</v>
      </c>
      <c r="I36" s="13">
        <f t="shared" si="0"/>
        <v>1</v>
      </c>
      <c r="J36" s="13" t="s">
        <v>241</v>
      </c>
      <c r="K36" s="13" t="s">
        <v>249</v>
      </c>
      <c r="L36" s="14">
        <v>88.47</v>
      </c>
      <c r="M36" s="14">
        <v>23.89</v>
      </c>
      <c r="N36" s="13" t="s">
        <v>64</v>
      </c>
      <c r="O36" s="14">
        <v>23.89</v>
      </c>
      <c r="P36" s="13">
        <v>19681796</v>
      </c>
      <c r="Q36" s="13" t="s">
        <v>165</v>
      </c>
      <c r="R36" s="13" t="s">
        <v>92</v>
      </c>
      <c r="S36" s="12" t="s">
        <v>245</v>
      </c>
    </row>
    <row r="37" spans="1:37" s="15" customFormat="1" ht="15" customHeight="1" x14ac:dyDescent="0.25">
      <c r="A37" s="4" t="s">
        <v>236</v>
      </c>
      <c r="B37" s="4" t="s">
        <v>314</v>
      </c>
      <c r="C37" s="4" t="s">
        <v>307</v>
      </c>
      <c r="D37" s="4" t="str">
        <f t="shared" si="1"/>
        <v>HEALEY, JOSEPH</v>
      </c>
      <c r="E37" s="4" t="s">
        <v>59</v>
      </c>
      <c r="F37" s="4" t="s">
        <v>234</v>
      </c>
      <c r="G37" s="4" t="s">
        <v>198</v>
      </c>
      <c r="H37" s="4">
        <v>57</v>
      </c>
      <c r="I37" s="4">
        <f t="shared" si="0"/>
        <v>10</v>
      </c>
      <c r="J37" s="4" t="s">
        <v>248</v>
      </c>
      <c r="K37" s="4" t="s">
        <v>249</v>
      </c>
      <c r="L37" s="5">
        <v>57.33</v>
      </c>
      <c r="M37" s="5">
        <v>32.68</v>
      </c>
      <c r="N37" s="4" t="s">
        <v>64</v>
      </c>
      <c r="O37" s="5">
        <v>32.68</v>
      </c>
      <c r="P37" s="4">
        <v>17528908</v>
      </c>
      <c r="Q37" s="4" t="s">
        <v>219</v>
      </c>
      <c r="R37" s="4" t="s">
        <v>210</v>
      </c>
      <c r="S37" s="12" t="s">
        <v>246</v>
      </c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</row>
    <row r="38" spans="1:37" s="15" customFormat="1" ht="15" customHeight="1" x14ac:dyDescent="0.25">
      <c r="A38" s="4" t="s">
        <v>233</v>
      </c>
      <c r="B38" s="4" t="s">
        <v>315</v>
      </c>
      <c r="C38" s="4" t="s">
        <v>316</v>
      </c>
      <c r="D38" s="4" t="str">
        <f t="shared" si="1"/>
        <v>FERNAU, SHEILA</v>
      </c>
      <c r="E38" s="4" t="s">
        <v>59</v>
      </c>
      <c r="F38" s="4" t="s">
        <v>231</v>
      </c>
      <c r="G38" s="4" t="s">
        <v>198</v>
      </c>
      <c r="H38" s="4">
        <v>57</v>
      </c>
      <c r="I38" s="4">
        <f t="shared" si="0"/>
        <v>9</v>
      </c>
      <c r="J38" s="4" t="s">
        <v>248</v>
      </c>
      <c r="K38" s="4" t="s">
        <v>249</v>
      </c>
      <c r="L38" s="5">
        <v>57.33</v>
      </c>
      <c r="M38" s="5">
        <v>32.68</v>
      </c>
      <c r="N38" s="4" t="s">
        <v>64</v>
      </c>
      <c r="O38" s="5">
        <v>32.68</v>
      </c>
      <c r="P38" s="4">
        <v>17528908</v>
      </c>
      <c r="Q38" s="4" t="s">
        <v>219</v>
      </c>
      <c r="R38" s="4" t="s">
        <v>210</v>
      </c>
      <c r="S38" s="12" t="s">
        <v>246</v>
      </c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</row>
    <row r="39" spans="1:37" s="15" customFormat="1" ht="15" customHeight="1" x14ac:dyDescent="0.25">
      <c r="A39" s="4" t="s">
        <v>230</v>
      </c>
      <c r="B39" s="4" t="s">
        <v>317</v>
      </c>
      <c r="C39" s="4" t="s">
        <v>318</v>
      </c>
      <c r="D39" s="4" t="str">
        <f t="shared" si="1"/>
        <v>STRAHLER, CARA</v>
      </c>
      <c r="E39" s="4" t="s">
        <v>59</v>
      </c>
      <c r="F39" s="4" t="s">
        <v>139</v>
      </c>
      <c r="G39" s="4" t="s">
        <v>198</v>
      </c>
      <c r="H39" s="4">
        <v>57</v>
      </c>
      <c r="I39" s="4">
        <f t="shared" si="0"/>
        <v>8</v>
      </c>
      <c r="J39" s="4" t="s">
        <v>248</v>
      </c>
      <c r="K39" s="4" t="s">
        <v>249</v>
      </c>
      <c r="L39" s="5">
        <v>54.3</v>
      </c>
      <c r="M39" s="5">
        <v>30.95</v>
      </c>
      <c r="N39" s="4" t="s">
        <v>64</v>
      </c>
      <c r="O39" s="5">
        <v>30.95</v>
      </c>
      <c r="P39" s="4">
        <v>17528908</v>
      </c>
      <c r="Q39" s="4" t="s">
        <v>219</v>
      </c>
      <c r="R39" s="4" t="s">
        <v>210</v>
      </c>
      <c r="S39" s="12" t="s">
        <v>246</v>
      </c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</row>
    <row r="40" spans="1:37" s="15" customFormat="1" ht="15" customHeight="1" x14ac:dyDescent="0.25">
      <c r="A40" s="4" t="s">
        <v>228</v>
      </c>
      <c r="B40" s="4" t="s">
        <v>319</v>
      </c>
      <c r="C40" s="4" t="s">
        <v>320</v>
      </c>
      <c r="D40" s="4" t="str">
        <f t="shared" si="1"/>
        <v>SALLA, VALERIE</v>
      </c>
      <c r="E40" s="4" t="s">
        <v>59</v>
      </c>
      <c r="F40" s="4" t="s">
        <v>60</v>
      </c>
      <c r="G40" s="4" t="s">
        <v>198</v>
      </c>
      <c r="H40" s="4">
        <v>57</v>
      </c>
      <c r="I40" s="4">
        <f t="shared" si="0"/>
        <v>7</v>
      </c>
      <c r="J40" s="4" t="s">
        <v>248</v>
      </c>
      <c r="K40" s="4" t="s">
        <v>249</v>
      </c>
      <c r="L40" s="5">
        <v>99.82</v>
      </c>
      <c r="M40" s="5">
        <v>56.9</v>
      </c>
      <c r="N40" s="4" t="s">
        <v>64</v>
      </c>
      <c r="O40" s="5">
        <v>56.9</v>
      </c>
      <c r="P40" s="4">
        <v>17528908</v>
      </c>
      <c r="Q40" s="4" t="s">
        <v>219</v>
      </c>
      <c r="R40" s="4" t="s">
        <v>210</v>
      </c>
      <c r="S40" s="12" t="s">
        <v>246</v>
      </c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</row>
    <row r="41" spans="1:37" s="15" customFormat="1" ht="15" customHeight="1" x14ac:dyDescent="0.25">
      <c r="A41" s="4" t="s">
        <v>226</v>
      </c>
      <c r="B41" s="4" t="s">
        <v>321</v>
      </c>
      <c r="C41" s="4" t="s">
        <v>322</v>
      </c>
      <c r="D41" s="4" t="str">
        <f t="shared" si="1"/>
        <v>FISCHER, MATTHEW</v>
      </c>
      <c r="E41" s="4" t="s">
        <v>59</v>
      </c>
      <c r="F41" s="4" t="s">
        <v>97</v>
      </c>
      <c r="G41" s="4" t="s">
        <v>198</v>
      </c>
      <c r="H41" s="4">
        <v>57</v>
      </c>
      <c r="I41" s="4">
        <f t="shared" si="0"/>
        <v>6</v>
      </c>
      <c r="J41" s="4" t="s">
        <v>248</v>
      </c>
      <c r="K41" s="4" t="s">
        <v>249</v>
      </c>
      <c r="L41" s="5">
        <v>97.6</v>
      </c>
      <c r="M41" s="5">
        <v>55.63</v>
      </c>
      <c r="N41" s="4" t="s">
        <v>64</v>
      </c>
      <c r="O41" s="5">
        <v>55.63</v>
      </c>
      <c r="P41" s="4" t="s">
        <v>239</v>
      </c>
      <c r="Q41" s="4" t="s">
        <v>219</v>
      </c>
      <c r="R41" s="4" t="s">
        <v>210</v>
      </c>
      <c r="S41" s="12" t="s">
        <v>246</v>
      </c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</row>
    <row r="42" spans="1:37" s="15" customFormat="1" ht="15" customHeight="1" x14ac:dyDescent="0.25">
      <c r="A42" s="4" t="s">
        <v>224</v>
      </c>
      <c r="B42" s="4" t="s">
        <v>323</v>
      </c>
      <c r="C42" s="4" t="s">
        <v>324</v>
      </c>
      <c r="D42" s="4" t="str">
        <f t="shared" si="1"/>
        <v>PALERMO, SEAN</v>
      </c>
      <c r="E42" s="4" t="s">
        <v>59</v>
      </c>
      <c r="F42" s="4" t="s">
        <v>120</v>
      </c>
      <c r="G42" s="4" t="s">
        <v>198</v>
      </c>
      <c r="H42" s="4">
        <v>57</v>
      </c>
      <c r="I42" s="4">
        <f t="shared" si="0"/>
        <v>3</v>
      </c>
      <c r="J42" s="4" t="s">
        <v>248</v>
      </c>
      <c r="K42" s="4" t="s">
        <v>249</v>
      </c>
      <c r="L42" s="5">
        <v>49.51</v>
      </c>
      <c r="M42" s="5">
        <v>28.22</v>
      </c>
      <c r="N42" s="4" t="s">
        <v>64</v>
      </c>
      <c r="O42" s="5">
        <v>28.22</v>
      </c>
      <c r="P42" s="4" t="s">
        <v>239</v>
      </c>
      <c r="Q42" s="4" t="s">
        <v>219</v>
      </c>
      <c r="R42" s="4" t="s">
        <v>210</v>
      </c>
      <c r="S42" s="12" t="s">
        <v>246</v>
      </c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</row>
    <row r="43" spans="1:37" ht="15" customHeight="1" x14ac:dyDescent="0.25">
      <c r="A43" s="4" t="s">
        <v>222</v>
      </c>
      <c r="B43" s="4" t="s">
        <v>325</v>
      </c>
      <c r="C43" s="4" t="s">
        <v>326</v>
      </c>
      <c r="D43" s="4" t="str">
        <f t="shared" si="1"/>
        <v>SAUERS REHN,</v>
      </c>
      <c r="E43" s="4" t="s">
        <v>59</v>
      </c>
      <c r="F43" s="4" t="s">
        <v>131</v>
      </c>
      <c r="G43" s="4" t="s">
        <v>198</v>
      </c>
      <c r="H43" s="4">
        <v>57</v>
      </c>
      <c r="I43" s="4">
        <f t="shared" si="0"/>
        <v>1</v>
      </c>
      <c r="J43" s="4" t="s">
        <v>248</v>
      </c>
      <c r="K43" s="4" t="s">
        <v>249</v>
      </c>
      <c r="L43" s="5">
        <v>67</v>
      </c>
      <c r="M43" s="5">
        <v>38.19</v>
      </c>
      <c r="N43" s="4" t="s">
        <v>64</v>
      </c>
      <c r="O43" s="5">
        <v>38.19</v>
      </c>
      <c r="P43" s="4" t="s">
        <v>239</v>
      </c>
      <c r="Q43" s="4" t="s">
        <v>219</v>
      </c>
      <c r="R43" s="4" t="s">
        <v>210</v>
      </c>
      <c r="S43" s="12" t="s">
        <v>246</v>
      </c>
    </row>
    <row r="44" spans="1:37" ht="15" customHeight="1" x14ac:dyDescent="0.25">
      <c r="A44" s="4" t="s">
        <v>218</v>
      </c>
      <c r="B44" s="4" t="s">
        <v>327</v>
      </c>
      <c r="C44" s="4" t="s">
        <v>265</v>
      </c>
      <c r="D44" s="4" t="str">
        <f t="shared" si="1"/>
        <v>OKAFOR, MARY</v>
      </c>
      <c r="E44" s="4" t="s">
        <v>59</v>
      </c>
      <c r="F44" s="4" t="s">
        <v>139</v>
      </c>
      <c r="G44" s="4" t="s">
        <v>198</v>
      </c>
      <c r="H44" s="4">
        <v>57</v>
      </c>
      <c r="I44" s="4">
        <f t="shared" si="0"/>
        <v>8</v>
      </c>
      <c r="J44" s="4" t="s">
        <v>248</v>
      </c>
      <c r="K44" s="4" t="s">
        <v>249</v>
      </c>
      <c r="L44" s="5">
        <v>40.1</v>
      </c>
      <c r="M44" s="5">
        <v>22.86</v>
      </c>
      <c r="N44" s="4" t="s">
        <v>64</v>
      </c>
      <c r="O44" s="5">
        <v>22.86</v>
      </c>
      <c r="P44" s="4">
        <v>18710070</v>
      </c>
      <c r="Q44" s="4" t="s">
        <v>213</v>
      </c>
      <c r="R44" s="4" t="s">
        <v>210</v>
      </c>
      <c r="S44" s="12" t="s">
        <v>246</v>
      </c>
    </row>
    <row r="45" spans="1:37" ht="15" customHeight="1" x14ac:dyDescent="0.25">
      <c r="A45" s="4" t="s">
        <v>216</v>
      </c>
      <c r="B45" s="4" t="s">
        <v>328</v>
      </c>
      <c r="C45" s="4" t="s">
        <v>329</v>
      </c>
      <c r="D45" s="4" t="str">
        <f t="shared" si="1"/>
        <v>MARCUSSEN, MARANDA</v>
      </c>
      <c r="E45" s="4" t="s">
        <v>59</v>
      </c>
      <c r="F45" s="4" t="s">
        <v>59</v>
      </c>
      <c r="G45" s="4" t="s">
        <v>214</v>
      </c>
      <c r="H45" s="4">
        <v>57</v>
      </c>
      <c r="I45" s="4">
        <f t="shared" si="0"/>
        <v>1</v>
      </c>
      <c r="J45" s="4" t="s">
        <v>248</v>
      </c>
      <c r="K45" s="4" t="s">
        <v>249</v>
      </c>
      <c r="L45" s="5">
        <v>27.75</v>
      </c>
      <c r="M45" s="5">
        <v>15.82</v>
      </c>
      <c r="N45" s="4" t="s">
        <v>64</v>
      </c>
      <c r="O45" s="5">
        <v>15.82</v>
      </c>
      <c r="P45" s="4" t="s">
        <v>240</v>
      </c>
      <c r="Q45" s="4" t="s">
        <v>213</v>
      </c>
      <c r="R45" s="4" t="s">
        <v>210</v>
      </c>
      <c r="S45" s="12" t="s">
        <v>246</v>
      </c>
    </row>
    <row r="46" spans="1:37" ht="15" customHeight="1" x14ac:dyDescent="0.25">
      <c r="A46" s="13" t="s">
        <v>200</v>
      </c>
      <c r="B46" s="13" t="s">
        <v>256</v>
      </c>
      <c r="C46" s="13" t="s">
        <v>257</v>
      </c>
      <c r="D46" s="4" t="str">
        <f t="shared" si="1"/>
        <v>GOTTUNG, NANCY</v>
      </c>
      <c r="E46" s="13" t="s">
        <v>131</v>
      </c>
      <c r="F46" s="13" t="s">
        <v>120</v>
      </c>
      <c r="G46" s="13" t="s">
        <v>198</v>
      </c>
      <c r="H46" s="13">
        <v>57</v>
      </c>
      <c r="I46" s="13">
        <f t="shared" si="0"/>
        <v>1</v>
      </c>
      <c r="J46" s="13" t="s">
        <v>241</v>
      </c>
      <c r="K46" s="13" t="s">
        <v>249</v>
      </c>
      <c r="L46" s="14">
        <v>71.989999999999995</v>
      </c>
      <c r="M46" s="14">
        <v>41.03</v>
      </c>
      <c r="N46" s="13" t="s">
        <v>64</v>
      </c>
      <c r="O46" s="14">
        <v>41.03</v>
      </c>
      <c r="P46" s="13">
        <v>19681796</v>
      </c>
      <c r="Q46" s="13" t="s">
        <v>165</v>
      </c>
      <c r="R46" s="13" t="s">
        <v>92</v>
      </c>
      <c r="S46" s="12" t="s">
        <v>246</v>
      </c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</row>
    <row r="47" spans="1:37" ht="15" customHeight="1" x14ac:dyDescent="0.25">
      <c r="A47" s="13" t="s">
        <v>203</v>
      </c>
      <c r="B47" s="13" t="s">
        <v>330</v>
      </c>
      <c r="C47" s="13" t="s">
        <v>331</v>
      </c>
      <c r="D47" s="4" t="str">
        <f t="shared" si="1"/>
        <v>MANN, KHUSHDEEP</v>
      </c>
      <c r="E47" s="13" t="s">
        <v>131</v>
      </c>
      <c r="F47" s="13" t="s">
        <v>132</v>
      </c>
      <c r="G47" s="13" t="s">
        <v>198</v>
      </c>
      <c r="H47" s="13">
        <v>57</v>
      </c>
      <c r="I47" s="13">
        <f t="shared" si="0"/>
        <v>3</v>
      </c>
      <c r="J47" s="13" t="s">
        <v>241</v>
      </c>
      <c r="K47" s="13" t="s">
        <v>249</v>
      </c>
      <c r="L47" s="14">
        <v>138.61000000000001</v>
      </c>
      <c r="M47" s="14">
        <v>79.010000000000005</v>
      </c>
      <c r="N47" s="13" t="s">
        <v>64</v>
      </c>
      <c r="O47" s="14">
        <v>79.010000000000005</v>
      </c>
      <c r="P47" s="13">
        <v>8325282</v>
      </c>
      <c r="Q47" s="13" t="s">
        <v>151</v>
      </c>
      <c r="R47" s="13" t="s">
        <v>92</v>
      </c>
      <c r="S47" s="12" t="s">
        <v>246</v>
      </c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</row>
    <row r="48" spans="1:37" ht="15" customHeight="1" x14ac:dyDescent="0.25">
      <c r="A48" s="13" t="s">
        <v>209</v>
      </c>
      <c r="B48" s="13" t="s">
        <v>332</v>
      </c>
      <c r="C48" s="13" t="s">
        <v>333</v>
      </c>
      <c r="D48" s="4" t="str">
        <f t="shared" si="1"/>
        <v>RAPP, KEN</v>
      </c>
      <c r="E48" s="13" t="s">
        <v>207</v>
      </c>
      <c r="F48" s="13" t="s">
        <v>206</v>
      </c>
      <c r="G48" s="13" t="s">
        <v>204</v>
      </c>
      <c r="H48" s="13">
        <v>65</v>
      </c>
      <c r="I48" s="13">
        <f t="shared" si="0"/>
        <v>4</v>
      </c>
      <c r="J48" s="13" t="s">
        <v>241</v>
      </c>
      <c r="K48" s="13" t="s">
        <v>249</v>
      </c>
      <c r="L48" s="14">
        <v>34.049999999999997</v>
      </c>
      <c r="M48" s="14">
        <v>22.13</v>
      </c>
      <c r="N48" s="13" t="s">
        <v>64</v>
      </c>
      <c r="O48" s="14">
        <v>22.13</v>
      </c>
      <c r="P48" s="13">
        <v>8325282</v>
      </c>
      <c r="Q48" s="13" t="s">
        <v>151</v>
      </c>
      <c r="R48" s="13" t="s">
        <v>92</v>
      </c>
      <c r="S48" s="15" t="s">
        <v>247</v>
      </c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</row>
    <row r="49" ht="0" hidden="1" customHeight="1" x14ac:dyDescent="0.25"/>
  </sheetData>
  <sortState xmlns:xlrd2="http://schemas.microsoft.com/office/spreadsheetml/2017/richdata2" ref="A2:AK48">
    <sortCondition ref="H2:H48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75C74-5CAC-4B40-815E-C99BC57DCBDA}">
  <dimension ref="A1:AF5"/>
  <sheetViews>
    <sheetView zoomScale="110" zoomScaleNormal="110" workbookViewId="0">
      <selection activeCell="E2" sqref="E2"/>
    </sheetView>
  </sheetViews>
  <sheetFormatPr defaultRowHeight="15" x14ac:dyDescent="0.25"/>
  <cols>
    <col min="2" max="2" width="15.42578125" bestFit="1" customWidth="1"/>
    <col min="5" max="5" width="19.7109375" bestFit="1" customWidth="1"/>
    <col min="11" max="11" width="10.28515625" bestFit="1" customWidth="1"/>
    <col min="14" max="14" width="13.5703125" bestFit="1" customWidth="1"/>
  </cols>
  <sheetData>
    <row r="1" spans="1:32" s="12" customFormat="1" ht="33.75" customHeight="1" x14ac:dyDescent="0.25">
      <c r="A1" s="3" t="s">
        <v>13</v>
      </c>
      <c r="B1" s="3" t="s">
        <v>14</v>
      </c>
      <c r="C1" s="3" t="s">
        <v>52</v>
      </c>
      <c r="D1" s="3" t="s">
        <v>15</v>
      </c>
      <c r="E1" s="3" t="s">
        <v>17</v>
      </c>
      <c r="F1" s="3" t="s">
        <v>19</v>
      </c>
      <c r="G1" s="3"/>
      <c r="H1" s="3"/>
      <c r="I1" s="3" t="s">
        <v>54</v>
      </c>
      <c r="J1" s="3" t="s">
        <v>3</v>
      </c>
      <c r="K1" s="3" t="s">
        <v>22</v>
      </c>
      <c r="L1" s="3" t="s">
        <v>23</v>
      </c>
      <c r="M1" s="3" t="s">
        <v>55</v>
      </c>
      <c r="N1" s="3" t="s">
        <v>56</v>
      </c>
      <c r="O1" s="3" t="s">
        <v>30</v>
      </c>
    </row>
    <row r="2" spans="1:32" s="18" customFormat="1" ht="15" customHeight="1" x14ac:dyDescent="0.25">
      <c r="A2" s="16" t="s">
        <v>121</v>
      </c>
      <c r="B2" s="16" t="s">
        <v>122</v>
      </c>
      <c r="C2" s="16" t="s">
        <v>79</v>
      </c>
      <c r="D2" s="16" t="s">
        <v>79</v>
      </c>
      <c r="E2" s="16" t="s">
        <v>124</v>
      </c>
      <c r="F2" s="16">
        <v>28</v>
      </c>
      <c r="G2" s="16">
        <f>MONTH(C2-D2)</f>
        <v>1</v>
      </c>
      <c r="H2" s="16"/>
      <c r="I2" s="17">
        <v>47.06</v>
      </c>
      <c r="J2" s="17">
        <v>13.18</v>
      </c>
      <c r="K2" s="16" t="s">
        <v>64</v>
      </c>
      <c r="L2" s="17">
        <v>13.18</v>
      </c>
      <c r="M2" s="16">
        <v>8244481</v>
      </c>
      <c r="N2" s="16" t="s">
        <v>113</v>
      </c>
      <c r="O2" s="16" t="s">
        <v>92</v>
      </c>
    </row>
    <row r="4" spans="1:32" ht="22.5" x14ac:dyDescent="0.25">
      <c r="A4" s="4" t="s">
        <v>34</v>
      </c>
      <c r="B4" s="4" t="s">
        <v>35</v>
      </c>
      <c r="C4" s="23" t="s">
        <v>160</v>
      </c>
      <c r="D4" s="21"/>
      <c r="E4" s="21"/>
      <c r="F4" s="23" t="s">
        <v>37</v>
      </c>
      <c r="G4" s="21"/>
      <c r="H4" s="21"/>
      <c r="I4" s="4" t="s">
        <v>59</v>
      </c>
      <c r="J4" s="4">
        <v>1</v>
      </c>
      <c r="K4" s="4"/>
      <c r="L4" s="4" t="s">
        <v>80</v>
      </c>
      <c r="M4" s="23"/>
      <c r="N4" s="21"/>
      <c r="O4" s="4" t="s">
        <v>37</v>
      </c>
      <c r="P4" s="4">
        <v>0</v>
      </c>
      <c r="Q4" s="27">
        <v>0</v>
      </c>
      <c r="R4" s="21"/>
      <c r="S4" s="5">
        <v>0</v>
      </c>
      <c r="T4" s="23" t="s">
        <v>161</v>
      </c>
      <c r="U4" s="21"/>
      <c r="V4" s="5">
        <v>-142.18</v>
      </c>
      <c r="W4" s="4" t="s">
        <v>65</v>
      </c>
      <c r="X4" s="4" t="s">
        <v>150</v>
      </c>
      <c r="Y4" s="4" t="s">
        <v>37</v>
      </c>
      <c r="Z4" s="4"/>
      <c r="AA4" s="4"/>
      <c r="AB4" s="4"/>
      <c r="AC4" s="4" t="s">
        <v>92</v>
      </c>
      <c r="AD4" s="4">
        <v>0</v>
      </c>
      <c r="AE4" s="4"/>
      <c r="AF4" s="4" t="s">
        <v>72</v>
      </c>
    </row>
    <row r="5" spans="1:32" ht="22.5" x14ac:dyDescent="0.25">
      <c r="A5" s="4" t="s">
        <v>34</v>
      </c>
      <c r="B5" s="4" t="s">
        <v>201</v>
      </c>
      <c r="C5" s="23" t="s">
        <v>160</v>
      </c>
      <c r="D5" s="21"/>
      <c r="E5" s="21"/>
      <c r="F5" s="23" t="s">
        <v>37</v>
      </c>
      <c r="G5" s="21"/>
      <c r="H5" s="21"/>
      <c r="I5" s="4" t="s">
        <v>59</v>
      </c>
      <c r="J5" s="4">
        <v>1</v>
      </c>
      <c r="K5" s="4"/>
      <c r="L5" s="4" t="s">
        <v>212</v>
      </c>
      <c r="M5" s="23"/>
      <c r="N5" s="21"/>
      <c r="O5" s="4" t="s">
        <v>37</v>
      </c>
      <c r="P5" s="4">
        <v>0</v>
      </c>
      <c r="Q5" s="27">
        <v>0</v>
      </c>
      <c r="R5" s="21"/>
      <c r="S5" s="5">
        <v>0</v>
      </c>
      <c r="T5" s="23" t="s">
        <v>161</v>
      </c>
      <c r="U5" s="21"/>
      <c r="V5" s="5">
        <v>-161.33000000000001</v>
      </c>
      <c r="W5" s="4" t="s">
        <v>65</v>
      </c>
      <c r="X5" s="4" t="s">
        <v>211</v>
      </c>
      <c r="Y5" s="4" t="s">
        <v>37</v>
      </c>
      <c r="Z5" s="4"/>
      <c r="AA5" s="4"/>
      <c r="AB5" s="4"/>
      <c r="AC5" s="4" t="s">
        <v>210</v>
      </c>
      <c r="AD5" s="4">
        <v>0</v>
      </c>
      <c r="AE5" s="4"/>
      <c r="AF5" s="4" t="s">
        <v>72</v>
      </c>
    </row>
  </sheetData>
  <mergeCells count="10">
    <mergeCell ref="C4:E4"/>
    <mergeCell ref="F4:H4"/>
    <mergeCell ref="M4:N4"/>
    <mergeCell ref="Q4:R4"/>
    <mergeCell ref="T4:U4"/>
    <mergeCell ref="C5:E5"/>
    <mergeCell ref="F5:H5"/>
    <mergeCell ref="M5:N5"/>
    <mergeCell ref="Q5:R5"/>
    <mergeCell ref="T5:U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4</vt:i4>
      </vt:variant>
    </vt:vector>
  </HeadingPairs>
  <TitlesOfParts>
    <vt:vector size="11" baseType="lpstr">
      <vt:lpstr>Document map</vt:lpstr>
      <vt:lpstr>Sheet2</vt:lpstr>
      <vt:lpstr>Sheet3</vt:lpstr>
      <vt:lpstr>Sheet4</vt:lpstr>
      <vt:lpstr>Sheet5</vt:lpstr>
      <vt:lpstr>Sheet1</vt:lpstr>
      <vt:lpstr>on hold</vt:lpstr>
      <vt:lpstr>Sheet2!Print_Titles</vt:lpstr>
      <vt:lpstr>Sheet3!Print_Titles</vt:lpstr>
      <vt:lpstr>Sheet4!Print_Titles</vt:lpstr>
      <vt:lpstr>Sheet5!Print_Titles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2025-08-08T12:51:51Z</dcterms:created>
  <dcterms:modified xsi:type="dcterms:W3CDTF">2025-08-12T23:15:44Z</dcterms:modified>
</cp:coreProperties>
</file>