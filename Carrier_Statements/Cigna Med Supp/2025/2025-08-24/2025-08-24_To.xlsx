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8-24-25 to 9-2-25\"/>
    </mc:Choice>
  </mc:AlternateContent>
  <xr:revisionPtr revIDLastSave="0" documentId="13_ncr:1_{68CE5842-41DF-4B2A-9145-A6524AB8F971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heet2" sheetId="2" r:id="rId1"/>
    <sheet name="Sheet5" sheetId="5" r:id="rId2"/>
    <sheet name="Sheet1" sheetId="6" r:id="rId3"/>
  </sheets>
  <definedNames>
    <definedName name="_xlnm.Print_Titles" localSheetId="0">Sheet2!$1:$5</definedName>
    <definedName name="_xlnm.Print_Titles" localSheetId="1">Sheet5!$1:$5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2" i="6"/>
</calcChain>
</file>

<file path=xl/sharedStrings.xml><?xml version="1.0" encoding="utf-8"?>
<sst xmlns="http://schemas.openxmlformats.org/spreadsheetml/2006/main" count="715" uniqueCount="159">
  <si>
    <t>Advances</t>
  </si>
  <si>
    <t>Earnings</t>
  </si>
  <si>
    <t>AgentView Commission Report</t>
  </si>
  <si>
    <t xml:space="preserve">Agent Name:  MAIN LINE BENEFITS LLC                                                </t>
  </si>
  <si>
    <t>Report Period:  08/24/2025 to 09/02/2025</t>
  </si>
  <si>
    <t>Page 1 of 4</t>
  </si>
  <si>
    <t>Run Date:  9/2/2025 8:43:38 AM</t>
  </si>
  <si>
    <t>Agent ID(s): CB148613,CNHIC;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</si>
  <si>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</si>
  <si>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</si>
  <si>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</si>
  <si>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</si>
  <si>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</si>
  <si>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</si>
  <si>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</si>
  <si>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</si>
  <si>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</si>
  <si>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</si>
  <si>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</si>
  <si>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</si>
  <si>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</si>
  <si>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</si>
  <si>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</si>
  <si>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</si>
  <si>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</si>
  <si>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</si>
  <si>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</si>
  <si>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</si>
  <si>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</si>
  <si>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</si>
  <si>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</si>
  <si>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</si>
  <si>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</si>
  <si>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</si>
  <si>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CNHIC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</si>
  <si>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</si>
  <si>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</si>
  <si>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</si>
  <si>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</si>
  <si>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</si>
  <si>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</si>
  <si>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</si>
  <si>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60Y0263357</t>
  </si>
  <si>
    <t>ANONDSON, KEITH O</t>
  </si>
  <si>
    <t>08/01/2025</t>
  </si>
  <si>
    <t>MSM20BM6WI</t>
  </si>
  <si>
    <t xml:space="preserve">CNHIC MEDSUP STD WISCONSIN              </t>
  </si>
  <si>
    <t>1</t>
  </si>
  <si>
    <t>Earnings Paid</t>
  </si>
  <si>
    <t>08/30/2025</t>
  </si>
  <si>
    <t>CB149624</t>
  </si>
  <si>
    <t xml:space="preserve">PORTUGAL,STACEY,A         </t>
  </si>
  <si>
    <t>UW</t>
  </si>
  <si>
    <t>01</t>
  </si>
  <si>
    <t>NO</t>
  </si>
  <si>
    <t>WI</t>
  </si>
  <si>
    <t xml:space="preserve">             </t>
  </si>
  <si>
    <t>60Y0270230</t>
  </si>
  <si>
    <t>GALLAGHER, DANIEL T</t>
  </si>
  <si>
    <t>09/01/2025</t>
  </si>
  <si>
    <t>MSM21BM60G</t>
  </si>
  <si>
    <t xml:space="preserve">CNHIC MEDSUP STD PLAN G                 </t>
  </si>
  <si>
    <t>3</t>
  </si>
  <si>
    <t>Earnings Reversal</t>
  </si>
  <si>
    <t>OE</t>
  </si>
  <si>
    <t>IL</t>
  </si>
  <si>
    <t xml:space="preserve">Auto Reverse </t>
  </si>
  <si>
    <t>60Y0210387</t>
  </si>
  <si>
    <t>JOHNSON, MICHAEL</t>
  </si>
  <si>
    <t>04/01/2025</t>
  </si>
  <si>
    <t>CB149660</t>
  </si>
  <si>
    <t>DUNAVANT,MICHAEL</t>
  </si>
  <si>
    <t>60Y0231565</t>
  </si>
  <si>
    <t>ULREICH, RENE E</t>
  </si>
  <si>
    <t>07/01/2025</t>
  </si>
  <si>
    <t>MSM21BM60N</t>
  </si>
  <si>
    <t xml:space="preserve">CNHIC MEDSUP STD PLAN N                 </t>
  </si>
  <si>
    <t>CB149668</t>
  </si>
  <si>
    <t>WALENGA,DALE</t>
  </si>
  <si>
    <t>60Y0245592</t>
  </si>
  <si>
    <t>NIGRO, AL</t>
  </si>
  <si>
    <t>60Y0245937</t>
  </si>
  <si>
    <t>BURGESS, NANCY</t>
  </si>
  <si>
    <t>60Y0268879</t>
  </si>
  <si>
    <t>DRISCOLL, KAREN L</t>
  </si>
  <si>
    <t>10/01/2025</t>
  </si>
  <si>
    <t>60Y0232660</t>
  </si>
  <si>
    <t>GOTTUNG, NANCY</t>
  </si>
  <si>
    <t>06/01/2025</t>
  </si>
  <si>
    <t>CB149763</t>
  </si>
  <si>
    <t>TAUGNER,CHRISTIAN</t>
  </si>
  <si>
    <t>GI</t>
  </si>
  <si>
    <t>02</t>
  </si>
  <si>
    <t>60Y0233466</t>
  </si>
  <si>
    <t>GOTTUNG, ERIC</t>
  </si>
  <si>
    <t>60Y0272241</t>
  </si>
  <si>
    <t>SMITH, PAMELA</t>
  </si>
  <si>
    <t>60Y0272258</t>
  </si>
  <si>
    <t>SMITH, LAWERENCE</t>
  </si>
  <si>
    <t>60Y0242053</t>
  </si>
  <si>
    <t>OLSON, MICHELLE</t>
  </si>
  <si>
    <t>CB152470</t>
  </si>
  <si>
    <t>HODGMAN,TIMOTHY</t>
  </si>
  <si>
    <t>60Y0271894</t>
  </si>
  <si>
    <t>NOVAK, OTTO C</t>
  </si>
  <si>
    <t>Total Commission Paid</t>
  </si>
  <si>
    <t>HE</t>
  </si>
  <si>
    <t xml:space="preserve">FLEXIBLE CHOICE DENTAL, VISION, HEARING </t>
  </si>
  <si>
    <t>DVH21BV600</t>
  </si>
  <si>
    <t>12Y0840803</t>
  </si>
  <si>
    <t>LOYAL-H&amp;L</t>
  </si>
  <si>
    <t>MANN, KHUSHDEEP</t>
  </si>
  <si>
    <t>12Y0811815</t>
  </si>
  <si>
    <t xml:space="preserve">LUMP SUM CANCER                         </t>
  </si>
  <si>
    <t>FDC14BS600</t>
  </si>
  <si>
    <t>03/24/2025</t>
  </si>
  <si>
    <t>07/24/2025</t>
  </si>
  <si>
    <t>RAPP, KEN</t>
  </si>
  <si>
    <t>12Y0807790</t>
  </si>
  <si>
    <t>NFTXSCB148613</t>
  </si>
  <si>
    <t xml:space="preserve">  </t>
  </si>
  <si>
    <t>08/29/2025</t>
  </si>
  <si>
    <t>Recvr Exp / Appt Fee</t>
  </si>
  <si>
    <t>777777777777</t>
  </si>
  <si>
    <t>CIC</t>
  </si>
  <si>
    <t xml:space="preserve">NFTXCB151246 </t>
  </si>
  <si>
    <t xml:space="preserve">NFTXCB148613 </t>
  </si>
  <si>
    <t xml:space="preserve">NFPACB163087 </t>
  </si>
  <si>
    <t>08/26/2025</t>
  </si>
  <si>
    <t xml:space="preserve">NFALCB156265 </t>
  </si>
  <si>
    <t>08/28/2025</t>
  </si>
  <si>
    <t xml:space="preserve">NFALCB156203 </t>
  </si>
  <si>
    <t xml:space="preserve">NFALCB154169 </t>
  </si>
  <si>
    <t xml:space="preserve">NFALCB152235 </t>
  </si>
  <si>
    <t>ANTHONY - HUNSBERGER - CB152235</t>
  </si>
  <si>
    <t>BRITTANY - OLIVER - CB154169</t>
  </si>
  <si>
    <t>CHAD - BENDER - CB156203</t>
  </si>
  <si>
    <t>RONALD - MAX - CB156265</t>
  </si>
  <si>
    <t>MAIN LINE BENEFITS LLC</t>
  </si>
  <si>
    <t>RICHARD - YALE - CB151246</t>
  </si>
  <si>
    <t>JASON - HOFFMANN - SYSCB148613</t>
  </si>
  <si>
    <t>ERICA SOLIVAN - CB163087</t>
  </si>
  <si>
    <t>ANONDSON, KEITH</t>
  </si>
  <si>
    <t>GALLAGHER, DANIEL</t>
  </si>
  <si>
    <t>ULREICH, RENE</t>
  </si>
  <si>
    <t>DRISCOLL, KAREN</t>
  </si>
  <si>
    <t>NOVAK, OTTO</t>
  </si>
  <si>
    <t>CIC MEDSUP STD PLAN G, F</t>
  </si>
  <si>
    <t>CIC MEDSUP STD PLAN N</t>
  </si>
  <si>
    <t>Cigna Ancillary DVH Ages 18-89</t>
  </si>
  <si>
    <t>LY-LSHR-RD Flex Choice Heart Stroke Rider</t>
  </si>
  <si>
    <t>AV1</t>
  </si>
  <si>
    <t>RN</t>
  </si>
  <si>
    <t>AV</t>
  </si>
  <si>
    <t>NB</t>
  </si>
  <si>
    <t>AE</t>
  </si>
  <si>
    <t>19645587AV6</t>
  </si>
  <si>
    <t>19681796AV6</t>
  </si>
  <si>
    <t>8325282AV6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</si>
</sst>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1"/>
      <name val="Aptos Display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8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5" fillId="0" borderId="0" xfId="0" applyFont="1" applyAlignment="1">
      <alignment horizontal="left" vertical="top" wrapText="1" readingOrder="1"/>
    </xf>
    <xf numFmtId="164" fontId="5" fillId="0" borderId="0" xfId="0" applyNumberFormat="1" applyFont="1" applyAlignment="1">
      <alignment horizontal="left" vertical="top" wrapText="1" readingOrder="1"/>
    </xf>
    <xf numFmtId="0" fontId="6" fillId="0" borderId="3" xfId="0" applyFont="1" applyBorder="1" applyAlignment="1">
      <alignment horizontal="left" vertical="top" wrapText="1" readingOrder="1"/>
    </xf>
    <xf numFmtId="0" fontId="6" fillId="0" borderId="3" xfId="0" applyFont="1" applyBorder="1" applyAlignment="1">
      <alignment horizontal="right" vertical="top" textRotation="180" wrapText="1" readingOrder="2"/>
    </xf>
    <xf numFmtId="164" fontId="6" fillId="0" borderId="3" xfId="0" applyNumberFormat="1" applyFont="1" applyBorder="1" applyAlignment="1">
      <alignment horizontal="left"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vertical="top" wrapText="1" readingOrder="1"/>
    </xf>
    <xf numFmtId="0" fontId="0" fillId="0" borderId="0" xfId="0"/>
    <xf numFmtId="0" fontId="7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top" wrapText="1" readingOrder="1"/>
    </xf>
    <xf numFmtId="0" fontId="5" fillId="0" borderId="4" xfId="0" applyFont="1" applyBorder="1" applyAlignment="1">
      <alignment vertical="top" wrapText="1" readingOrder="1"/>
    </xf>
    <xf numFmtId="164" fontId="5" fillId="0" borderId="0" xfId="0" applyNumberFormat="1" applyFont="1" applyAlignment="1">
      <alignment vertical="top" wrapText="1" readingOrder="1"/>
    </xf>
    <xf numFmtId="0" fontId="5" fillId="0" borderId="5" xfId="0" applyFont="1" applyBorder="1" applyAlignment="1">
      <alignment vertical="top" wrapText="1" readingOrder="1"/>
    </xf>
    <xf numFmtId="0" fontId="1" fillId="0" borderId="2" xfId="0" applyFont="1" applyBorder="1" applyAlignment="1">
      <alignment horizontal="left" vertical="top" wrapText="1"/>
    </xf>
    <xf numFmtId="7" fontId="1" fillId="0" borderId="0" xfId="0" applyNumberFormat="1" applyFont="1" applyAlignment="1">
      <alignment horizontal="left"/>
    </xf>
    <xf numFmtId="0" fontId="5" fillId="2" borderId="0" xfId="0" applyFont="1" applyFill="1" applyAlignment="1">
      <alignment horizontal="left" vertical="top" wrapText="1" readingOrder="1"/>
    </xf>
    <xf numFmtId="0" fontId="1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left" vertical="top" wrapText="1" readingOrder="1"/>
    </xf>
    <xf numFmtId="0" fontId="5" fillId="3" borderId="0" xfId="0" applyFont="1" applyFill="1" applyAlignment="1">
      <alignment horizontal="left" vertical="top" wrapText="1" readingOrder="1"/>
    </xf>
    <xf numFmtId="0" fontId="1" fillId="3" borderId="0" xfId="0" applyFont="1" applyFill="1" applyAlignment="1">
      <alignment horizontal="left"/>
    </xf>
    <xf numFmtId="164" fontId="5" fillId="3" borderId="0" xfId="0" applyNumberFormat="1" applyFont="1" applyFill="1" applyAlignment="1">
      <alignment horizontal="left" vertical="top" wrapText="1" readingOrder="1"/>
    </xf>
    <xf numFmtId="0" fontId="8" fillId="4" borderId="0" xfId="0" applyFont="1" applyFill="1" applyAlignment="1">
      <alignment horizontal="left" vertical="top" wrapText="1" readingOrder="1"/>
    </xf>
    <xf numFmtId="0" fontId="1" fillId="4" borderId="0" xfId="0" applyFont="1" applyFill="1" applyAlignment="1">
      <alignment horizontal="left"/>
    </xf>
    <xf numFmtId="164" fontId="8" fillId="4" borderId="0" xfId="0" applyNumberFormat="1" applyFont="1" applyFill="1" applyAlignment="1">
      <alignment horizontal="left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5" fillId="0" borderId="0" xfId="0" applyFont="1" applyAlignment="1">
      <alignment horizontal="left" vertical="top" wrapText="1" readingOrder="1"/>
    </xf>
    <xf numFmtId="164" fontId="5" fillId="0" borderId="0" xfId="0" applyNumberFormat="1" applyFont="1" applyAlignment="1">
      <alignment horizontal="left" vertical="top" wrapText="1" readingOrder="1"/>
    </xf>
    <xf numFmtId="0" fontId="4" fillId="0" borderId="0" xfId="0" applyFont="1" applyAlignment="1">
      <alignment vertical="top" wrapText="1" readingOrder="1"/>
    </xf>
    <xf numFmtId="0" fontId="6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5" fillId="2" borderId="0" xfId="0" applyFont="1" applyFill="1" applyAlignment="1">
      <alignment horizontal="left" vertical="top" wrapText="1" readingOrder="1"/>
    </xf>
    <xf numFmtId="0" fontId="1" fillId="2" borderId="0" xfId="0" applyFont="1" applyFill="1"/>
    <xf numFmtId="164" fontId="5" fillId="2" borderId="0" xfId="0" applyNumberFormat="1" applyFont="1" applyFill="1" applyAlignment="1">
      <alignment horizontal="left" vertical="top" wrapText="1" readingOrder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0"/>
  <sheetViews>
    <sheetView showGridLines="0" workbookViewId="0">
      <pane ySplit="5" topLeftCell="A6" activePane="bottomLeft" state="frozen"/>
      <selection pane="bottomLeft" activeCell="U9" sqref="U9:U16"/>
    </sheetView>
  </sheetViews>
  <sheetFormatPr defaultRowHeight="15" x14ac:dyDescent="0.25"/>
  <cols>
    <col min="1" max="1" width="34" bestFit="1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7" t="s">
        <v>2</v>
      </c>
    </row>
    <row r="2" spans="1:32" x14ac:dyDescent="0.25">
      <c r="A2" s="9" t="s">
        <v>3</v>
      </c>
      <c r="H2" s="9" t="s">
        <v>4</v>
      </c>
      <c r="R2" s="9" t="s">
        <v>5</v>
      </c>
    </row>
    <row r="3" spans="1:32" ht="15" customHeight="1" x14ac:dyDescent="0.25">
      <c r="R3" s="9" t="s">
        <v>6</v>
      </c>
    </row>
    <row r="4" spans="1:32" ht="15" customHeight="1" x14ac:dyDescent="0.25">
      <c r="A4" s="9" t="s">
        <v>7</v>
      </c>
      <c r="E4" s="9" t="s">
        <v>8</v>
      </c>
    </row>
    <row r="5" spans="1:3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8" customHeight="1" x14ac:dyDescent="0.25">
      <c r="A6" s="10" t="s">
        <v>0</v>
      </c>
    </row>
    <row r="7" spans="1:32" ht="9" customHeight="1" x14ac:dyDescent="0.25"/>
    <row r="8" spans="1:32" ht="33.75" customHeight="1" x14ac:dyDescent="0.25">
      <c r="A8" s="13" t="s">
        <v>9</v>
      </c>
      <c r="B8" s="2" t="s">
        <v>10</v>
      </c>
      <c r="C8" s="13" t="s">
        <v>11</v>
      </c>
      <c r="D8" s="3"/>
      <c r="E8" s="3"/>
      <c r="F8" s="3"/>
      <c r="G8" s="13" t="s">
        <v>12</v>
      </c>
      <c r="H8" s="3"/>
      <c r="I8" s="2" t="s">
        <v>13</v>
      </c>
      <c r="J8" s="2" t="s">
        <v>14</v>
      </c>
      <c r="K8" s="2" t="s">
        <v>15</v>
      </c>
      <c r="L8" s="2" t="s">
        <v>16</v>
      </c>
      <c r="M8" s="13" t="s">
        <v>17</v>
      </c>
      <c r="N8" s="3"/>
      <c r="O8" s="13" t="s">
        <v>18</v>
      </c>
      <c r="P8" s="3"/>
      <c r="Q8" s="13" t="s">
        <v>19</v>
      </c>
      <c r="R8" s="3"/>
      <c r="S8" s="13" t="s">
        <v>20</v>
      </c>
      <c r="T8" s="3"/>
      <c r="U8" s="2" t="s">
        <v>21</v>
      </c>
      <c r="V8" s="2" t="s">
        <v>22</v>
      </c>
      <c r="W8" s="2" t="s">
        <v>23</v>
      </c>
      <c r="X8" s="2" t="s">
        <v>24</v>
      </c>
      <c r="Y8" s="2" t="s">
        <v>25</v>
      </c>
      <c r="Z8" s="2" t="s">
        <v>26</v>
      </c>
      <c r="AA8" s="2" t="s">
        <v>27</v>
      </c>
      <c r="AB8" s="2" t="s">
        <v>28</v>
      </c>
      <c r="AC8" s="2" t="s">
        <v>29</v>
      </c>
      <c r="AD8" s="2" t="s">
        <v>30</v>
      </c>
      <c r="AE8" s="2" t="s">
        <v>31</v>
      </c>
    </row>
    <row r="9" spans="1:32" x14ac:dyDescent="0.25">
      <c r="A9" s="14" t="s">
        <v>134</v>
      </c>
      <c r="B9" s="4" t="s">
        <v>124</v>
      </c>
      <c r="C9" s="20" t="s">
        <v>123</v>
      </c>
      <c r="D9" s="20"/>
      <c r="E9" s="20"/>
      <c r="F9" s="20"/>
      <c r="G9" s="11" t="s">
        <v>32</v>
      </c>
      <c r="I9" s="4"/>
      <c r="J9" s="4" t="s">
        <v>32</v>
      </c>
      <c r="K9" s="4"/>
      <c r="L9" s="4" t="s">
        <v>32</v>
      </c>
      <c r="M9" s="11">
        <v>0</v>
      </c>
      <c r="O9" s="19">
        <v>0</v>
      </c>
      <c r="Q9" s="19">
        <v>0</v>
      </c>
      <c r="S9" s="11" t="s">
        <v>122</v>
      </c>
      <c r="U9" s="5">
        <v>-40</v>
      </c>
      <c r="V9" s="4" t="s">
        <v>130</v>
      </c>
      <c r="W9" s="11" t="s">
        <v>41</v>
      </c>
      <c r="X9" s="11" t="s">
        <v>32</v>
      </c>
      <c r="Y9" s="11"/>
      <c r="Z9" s="11"/>
      <c r="AA9" s="11"/>
      <c r="AB9" s="11" t="s">
        <v>120</v>
      </c>
      <c r="AC9" s="11">
        <v>0</v>
      </c>
      <c r="AD9" s="11"/>
      <c r="AE9" s="11" t="s">
        <v>133</v>
      </c>
    </row>
    <row r="10" spans="1:32" x14ac:dyDescent="0.25">
      <c r="A10" s="14" t="s">
        <v>135</v>
      </c>
      <c r="B10" s="4" t="s">
        <v>124</v>
      </c>
      <c r="C10" s="11" t="s">
        <v>123</v>
      </c>
      <c r="D10" s="11"/>
      <c r="E10" s="11"/>
      <c r="F10" s="11"/>
      <c r="G10" s="11" t="s">
        <v>32</v>
      </c>
      <c r="I10" s="4"/>
      <c r="J10" s="4" t="s">
        <v>32</v>
      </c>
      <c r="K10" s="4"/>
      <c r="L10" s="4" t="s">
        <v>32</v>
      </c>
      <c r="M10" s="11">
        <v>0</v>
      </c>
      <c r="O10" s="19">
        <v>0</v>
      </c>
      <c r="Q10" s="19">
        <v>0</v>
      </c>
      <c r="S10" s="11" t="s">
        <v>122</v>
      </c>
      <c r="U10" s="5">
        <v>-40</v>
      </c>
      <c r="V10" s="4" t="s">
        <v>130</v>
      </c>
      <c r="W10" s="11" t="s">
        <v>41</v>
      </c>
      <c r="X10" s="11" t="s">
        <v>32</v>
      </c>
      <c r="Y10" s="11"/>
      <c r="Z10" s="11"/>
      <c r="AA10" s="11"/>
      <c r="AB10" s="11" t="s">
        <v>120</v>
      </c>
      <c r="AC10" s="11">
        <v>0</v>
      </c>
      <c r="AD10" s="11"/>
      <c r="AE10" s="11" t="s">
        <v>132</v>
      </c>
    </row>
    <row r="11" spans="1:32" x14ac:dyDescent="0.25">
      <c r="A11" s="14" t="s">
        <v>136</v>
      </c>
      <c r="B11" s="4" t="s">
        <v>124</v>
      </c>
      <c r="C11" s="11" t="s">
        <v>123</v>
      </c>
      <c r="D11" s="11"/>
      <c r="E11" s="11"/>
      <c r="F11" s="11"/>
      <c r="G11" s="11" t="s">
        <v>32</v>
      </c>
      <c r="I11" s="4"/>
      <c r="J11" s="4" t="s">
        <v>32</v>
      </c>
      <c r="K11" s="4"/>
      <c r="L11" s="4" t="s">
        <v>32</v>
      </c>
      <c r="M11" s="11">
        <v>0</v>
      </c>
      <c r="O11" s="19">
        <v>0</v>
      </c>
      <c r="Q11" s="19">
        <v>0</v>
      </c>
      <c r="S11" s="11" t="s">
        <v>122</v>
      </c>
      <c r="U11" s="5">
        <v>-40</v>
      </c>
      <c r="V11" s="4" t="s">
        <v>130</v>
      </c>
      <c r="W11" s="11" t="s">
        <v>41</v>
      </c>
      <c r="X11" s="11" t="s">
        <v>32</v>
      </c>
      <c r="Y11" s="11"/>
      <c r="Z11" s="11"/>
      <c r="AA11" s="11"/>
      <c r="AB11" s="11" t="s">
        <v>120</v>
      </c>
      <c r="AC11" s="11">
        <v>0</v>
      </c>
      <c r="AD11" s="11"/>
      <c r="AE11" s="11" t="s">
        <v>131</v>
      </c>
    </row>
    <row r="12" spans="1:32" x14ac:dyDescent="0.25">
      <c r="A12" s="14" t="s">
        <v>137</v>
      </c>
      <c r="B12" s="4" t="s">
        <v>124</v>
      </c>
      <c r="C12" s="11" t="s">
        <v>123</v>
      </c>
      <c r="D12" s="11"/>
      <c r="E12" s="11"/>
      <c r="F12" s="11"/>
      <c r="G12" s="11" t="s">
        <v>32</v>
      </c>
      <c r="I12" s="4"/>
      <c r="J12" s="4" t="s">
        <v>32</v>
      </c>
      <c r="K12" s="4"/>
      <c r="L12" s="4" t="s">
        <v>32</v>
      </c>
      <c r="M12" s="11">
        <v>0</v>
      </c>
      <c r="O12" s="19">
        <v>0</v>
      </c>
      <c r="Q12" s="19">
        <v>0</v>
      </c>
      <c r="S12" s="11" t="s">
        <v>122</v>
      </c>
      <c r="U12" s="5">
        <v>-40</v>
      </c>
      <c r="V12" s="4" t="s">
        <v>130</v>
      </c>
      <c r="W12" s="11" t="s">
        <v>41</v>
      </c>
      <c r="X12" s="11" t="s">
        <v>32</v>
      </c>
      <c r="Y12" s="11"/>
      <c r="Z12" s="11"/>
      <c r="AA12" s="11"/>
      <c r="AB12" s="11" t="s">
        <v>120</v>
      </c>
      <c r="AC12" s="11">
        <v>0</v>
      </c>
      <c r="AD12" s="11"/>
      <c r="AE12" s="11" t="s">
        <v>129</v>
      </c>
    </row>
    <row r="13" spans="1:32" x14ac:dyDescent="0.25">
      <c r="A13" t="s">
        <v>141</v>
      </c>
      <c r="B13" s="4" t="s">
        <v>124</v>
      </c>
      <c r="C13" s="11" t="s">
        <v>123</v>
      </c>
      <c r="D13" s="11"/>
      <c r="E13" s="11"/>
      <c r="F13" s="11"/>
      <c r="G13" s="11" t="s">
        <v>32</v>
      </c>
      <c r="I13" s="4"/>
      <c r="J13" s="4" t="s">
        <v>32</v>
      </c>
      <c r="K13" s="4"/>
      <c r="L13" s="4" t="s">
        <v>32</v>
      </c>
      <c r="M13" s="11">
        <v>0</v>
      </c>
      <c r="O13" s="19">
        <v>0</v>
      </c>
      <c r="Q13" s="19">
        <v>0</v>
      </c>
      <c r="S13" s="11" t="s">
        <v>122</v>
      </c>
      <c r="U13" s="5">
        <v>-15</v>
      </c>
      <c r="V13" s="4" t="s">
        <v>128</v>
      </c>
      <c r="W13" s="11" t="s">
        <v>41</v>
      </c>
      <c r="X13" s="11" t="s">
        <v>32</v>
      </c>
      <c r="Y13" s="11"/>
      <c r="Z13" s="11"/>
      <c r="AA13" s="11"/>
      <c r="AB13" s="11" t="s">
        <v>120</v>
      </c>
      <c r="AC13" s="11">
        <v>0</v>
      </c>
      <c r="AD13" s="11"/>
      <c r="AE13" s="11" t="s">
        <v>127</v>
      </c>
    </row>
    <row r="14" spans="1:32" x14ac:dyDescent="0.25">
      <c r="A14" s="15" t="s">
        <v>138</v>
      </c>
      <c r="B14" s="4" t="s">
        <v>124</v>
      </c>
      <c r="C14" s="11" t="s">
        <v>123</v>
      </c>
      <c r="D14" s="11"/>
      <c r="E14" s="11"/>
      <c r="F14" s="11"/>
      <c r="G14" s="11" t="s">
        <v>32</v>
      </c>
      <c r="I14" s="4"/>
      <c r="J14" s="4" t="s">
        <v>32</v>
      </c>
      <c r="K14" s="4"/>
      <c r="L14" s="4" t="s">
        <v>32</v>
      </c>
      <c r="M14" s="11">
        <v>0</v>
      </c>
      <c r="O14" s="19">
        <v>0</v>
      </c>
      <c r="Q14" s="19">
        <v>0</v>
      </c>
      <c r="S14" s="11" t="s">
        <v>122</v>
      </c>
      <c r="U14" s="5">
        <v>-10</v>
      </c>
      <c r="V14" s="4" t="s">
        <v>121</v>
      </c>
      <c r="W14" s="11" t="s">
        <v>41</v>
      </c>
      <c r="X14" s="11" t="s">
        <v>32</v>
      </c>
      <c r="Y14" s="11"/>
      <c r="Z14" s="11"/>
      <c r="AA14" s="11"/>
      <c r="AB14" s="11" t="s">
        <v>120</v>
      </c>
      <c r="AC14" s="11">
        <v>0</v>
      </c>
      <c r="AD14" s="11"/>
      <c r="AE14" s="11" t="s">
        <v>126</v>
      </c>
    </row>
    <row r="15" spans="1:32" x14ac:dyDescent="0.25">
      <c r="A15" s="14" t="s">
        <v>139</v>
      </c>
      <c r="B15" s="4" t="s">
        <v>124</v>
      </c>
      <c r="C15" s="11" t="s">
        <v>123</v>
      </c>
      <c r="D15" s="11"/>
      <c r="E15" s="11"/>
      <c r="F15" s="11"/>
      <c r="G15" s="11" t="s">
        <v>32</v>
      </c>
      <c r="I15" s="4"/>
      <c r="J15" s="4" t="s">
        <v>32</v>
      </c>
      <c r="K15" s="4"/>
      <c r="L15" s="4" t="s">
        <v>32</v>
      </c>
      <c r="M15" s="11">
        <v>0</v>
      </c>
      <c r="O15" s="19">
        <v>0</v>
      </c>
      <c r="Q15" s="19">
        <v>0</v>
      </c>
      <c r="S15" s="11" t="s">
        <v>122</v>
      </c>
      <c r="U15" s="5">
        <v>-10</v>
      </c>
      <c r="V15" s="4" t="s">
        <v>121</v>
      </c>
      <c r="W15" s="11" t="s">
        <v>41</v>
      </c>
      <c r="X15" s="11" t="s">
        <v>32</v>
      </c>
      <c r="Y15" s="11"/>
      <c r="Z15" s="11"/>
      <c r="AA15" s="11"/>
      <c r="AB15" s="11" t="s">
        <v>120</v>
      </c>
      <c r="AC15" s="11">
        <v>0</v>
      </c>
      <c r="AD15" s="11"/>
      <c r="AE15" s="11" t="s">
        <v>125</v>
      </c>
    </row>
    <row r="16" spans="1:32" x14ac:dyDescent="0.25">
      <c r="A16" s="16" t="s">
        <v>140</v>
      </c>
      <c r="B16" s="4" t="s">
        <v>124</v>
      </c>
      <c r="C16" s="18" t="s">
        <v>123</v>
      </c>
      <c r="D16" s="18"/>
      <c r="E16" s="18"/>
      <c r="F16" s="18"/>
      <c r="G16" s="11" t="s">
        <v>32</v>
      </c>
      <c r="I16" s="4"/>
      <c r="J16" s="4" t="s">
        <v>32</v>
      </c>
      <c r="K16" s="4"/>
      <c r="L16" s="4" t="s">
        <v>32</v>
      </c>
      <c r="M16" s="11">
        <v>0</v>
      </c>
      <c r="O16" s="19">
        <v>0</v>
      </c>
      <c r="Q16" s="19">
        <v>0</v>
      </c>
      <c r="S16" s="11" t="s">
        <v>122</v>
      </c>
      <c r="U16" s="5">
        <v>-10</v>
      </c>
      <c r="V16" s="4" t="s">
        <v>121</v>
      </c>
      <c r="W16" s="11" t="s">
        <v>41</v>
      </c>
      <c r="X16" s="11" t="s">
        <v>32</v>
      </c>
      <c r="Y16" s="11"/>
      <c r="Z16" s="11"/>
      <c r="AA16" s="11"/>
      <c r="AB16" s="11" t="s">
        <v>120</v>
      </c>
      <c r="AC16" s="11">
        <v>0</v>
      </c>
      <c r="AD16" s="11"/>
      <c r="AE16" s="11" t="s">
        <v>119</v>
      </c>
    </row>
    <row r="17" spans="1:31" x14ac:dyDescent="0.25">
      <c r="A17" s="13"/>
      <c r="B17" s="2"/>
      <c r="C17" s="2"/>
      <c r="D17" s="3"/>
      <c r="E17" s="3"/>
      <c r="F17" s="3"/>
      <c r="G17" s="2"/>
      <c r="H17" s="3"/>
      <c r="I17" s="2"/>
      <c r="J17" s="2"/>
      <c r="K17" s="2"/>
      <c r="L17" s="2"/>
      <c r="M17" s="2"/>
      <c r="N17" s="3"/>
      <c r="O17" s="2"/>
      <c r="P17" s="3"/>
      <c r="Q17" s="2"/>
      <c r="R17" s="3"/>
      <c r="S17" s="2"/>
      <c r="T17" s="3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25">
      <c r="A18" s="13" t="s">
        <v>32</v>
      </c>
      <c r="B18" s="2" t="s">
        <v>32</v>
      </c>
      <c r="C18" s="13" t="s">
        <v>32</v>
      </c>
      <c r="D18" s="3"/>
      <c r="E18" s="3"/>
      <c r="F18" s="3"/>
      <c r="G18" s="13" t="s">
        <v>32</v>
      </c>
      <c r="H18" s="3"/>
      <c r="I18" s="2" t="s">
        <v>32</v>
      </c>
      <c r="J18" s="2" t="s">
        <v>32</v>
      </c>
      <c r="K18" s="2" t="s">
        <v>32</v>
      </c>
      <c r="L18" s="2" t="s">
        <v>32</v>
      </c>
      <c r="M18" s="13" t="s">
        <v>32</v>
      </c>
      <c r="N18" s="3"/>
      <c r="O18" s="13" t="s">
        <v>32</v>
      </c>
      <c r="P18" s="3"/>
      <c r="Q18" s="13" t="s">
        <v>32</v>
      </c>
      <c r="R18" s="3"/>
      <c r="S18" s="13" t="s">
        <v>33</v>
      </c>
      <c r="T18" s="3"/>
      <c r="U18" s="2"/>
      <c r="V18" s="2" t="s">
        <v>32</v>
      </c>
      <c r="W18" s="2" t="s">
        <v>32</v>
      </c>
      <c r="X18" s="2" t="s">
        <v>32</v>
      </c>
      <c r="Y18" s="2" t="s">
        <v>32</v>
      </c>
      <c r="Z18" s="2" t="s">
        <v>32</v>
      </c>
      <c r="AA18" s="2" t="s">
        <v>32</v>
      </c>
      <c r="AB18" s="2" t="s">
        <v>32</v>
      </c>
      <c r="AC18" s="2"/>
      <c r="AD18" s="2" t="s">
        <v>32</v>
      </c>
      <c r="AE18" s="2" t="s">
        <v>32</v>
      </c>
    </row>
    <row r="19" spans="1:31" ht="0" hidden="1" customHeight="1" x14ac:dyDescent="0.25"/>
    <row r="20" spans="1:31" ht="1.7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7"/>
  <sheetViews>
    <sheetView showGridLines="0" tabSelected="1" workbookViewId="0">
      <pane ySplit="5" topLeftCell="A6" activePane="bottomLeft" state="frozen"/>
      <selection pane="bottomLeft" activeCell="C10" sqref="C10:E10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32" t="s">
        <v>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33" x14ac:dyDescent="0.25">
      <c r="A2" s="34" t="s">
        <v>3</v>
      </c>
      <c r="B2" s="33"/>
      <c r="C2" s="33"/>
      <c r="H2" s="35" t="s">
        <v>4</v>
      </c>
      <c r="I2" s="33"/>
      <c r="J2" s="33"/>
      <c r="K2" s="33"/>
      <c r="L2" s="33"/>
      <c r="M2" s="33"/>
      <c r="R2" s="34" t="s">
        <v>35</v>
      </c>
      <c r="S2" s="33"/>
      <c r="T2" s="33"/>
    </row>
    <row r="3" spans="1:33" x14ac:dyDescent="0.25">
      <c r="A3" s="33"/>
      <c r="B3" s="33"/>
      <c r="C3" s="33"/>
      <c r="H3" s="33"/>
      <c r="I3" s="33"/>
      <c r="J3" s="33"/>
      <c r="K3" s="33"/>
      <c r="L3" s="33"/>
      <c r="M3" s="33"/>
      <c r="R3" s="34" t="s">
        <v>6</v>
      </c>
      <c r="S3" s="33"/>
      <c r="T3" s="33"/>
    </row>
    <row r="4" spans="1:33" x14ac:dyDescent="0.25">
      <c r="A4" s="34" t="s">
        <v>7</v>
      </c>
      <c r="B4" s="33"/>
      <c r="C4" s="33"/>
      <c r="D4" s="33"/>
      <c r="E4" s="35" t="s">
        <v>8</v>
      </c>
      <c r="F4" s="33"/>
      <c r="G4" s="33"/>
      <c r="H4" s="33"/>
      <c r="I4" s="33"/>
      <c r="J4" s="33"/>
      <c r="K4" s="33"/>
      <c r="L4" s="33"/>
      <c r="M4" s="33"/>
      <c r="N4" s="33"/>
      <c r="O4" s="33"/>
      <c r="R4" s="33"/>
      <c r="S4" s="33"/>
      <c r="T4" s="33"/>
    </row>
    <row r="5" spans="1:33" x14ac:dyDescent="0.25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8" customHeight="1" x14ac:dyDescent="0.25">
      <c r="A6" s="41" t="s">
        <v>1</v>
      </c>
      <c r="B6" s="33"/>
      <c r="C6" s="33"/>
      <c r="D6" s="33"/>
      <c r="E6" s="33"/>
      <c r="F6" s="33"/>
    </row>
    <row r="7" spans="1:33" ht="9" customHeight="1" x14ac:dyDescent="0.25"/>
    <row r="8" spans="1:33" ht="33.75" x14ac:dyDescent="0.25">
      <c r="A8" s="2" t="s">
        <v>9</v>
      </c>
      <c r="B8" s="2" t="s">
        <v>10</v>
      </c>
      <c r="C8" s="37" t="s">
        <v>11</v>
      </c>
      <c r="D8" s="38"/>
      <c r="E8" s="38"/>
      <c r="F8" s="37" t="s">
        <v>12</v>
      </c>
      <c r="G8" s="38"/>
      <c r="H8" s="38"/>
      <c r="I8" s="2" t="s">
        <v>36</v>
      </c>
      <c r="J8" s="2" t="s">
        <v>37</v>
      </c>
      <c r="K8" s="2" t="s">
        <v>13</v>
      </c>
      <c r="L8" s="2" t="s">
        <v>14</v>
      </c>
      <c r="M8" s="37" t="s">
        <v>15</v>
      </c>
      <c r="N8" s="38"/>
      <c r="O8" s="2" t="s">
        <v>16</v>
      </c>
      <c r="P8" s="2" t="s">
        <v>17</v>
      </c>
      <c r="Q8" s="37" t="s">
        <v>38</v>
      </c>
      <c r="R8" s="38"/>
      <c r="S8" s="2" t="s">
        <v>1</v>
      </c>
      <c r="T8" s="37" t="s">
        <v>20</v>
      </c>
      <c r="U8" s="38"/>
      <c r="V8" s="2" t="s">
        <v>21</v>
      </c>
      <c r="W8" s="2" t="s">
        <v>22</v>
      </c>
      <c r="X8" s="2" t="s">
        <v>39</v>
      </c>
      <c r="Y8" s="2" t="s">
        <v>40</v>
      </c>
      <c r="Z8" s="2" t="s">
        <v>25</v>
      </c>
      <c r="AA8" s="2" t="s">
        <v>26</v>
      </c>
      <c r="AB8" s="2" t="s">
        <v>27</v>
      </c>
      <c r="AC8" s="2" t="s">
        <v>28</v>
      </c>
      <c r="AD8" s="2" t="s">
        <v>29</v>
      </c>
      <c r="AE8" s="2" t="s">
        <v>30</v>
      </c>
      <c r="AF8" s="2" t="s">
        <v>31</v>
      </c>
    </row>
    <row r="9" spans="1:33" ht="22.5" x14ac:dyDescent="0.25">
      <c r="A9" s="4" t="s">
        <v>41</v>
      </c>
      <c r="B9" s="4" t="s">
        <v>34</v>
      </c>
      <c r="C9" s="39" t="s">
        <v>42</v>
      </c>
      <c r="D9" s="33"/>
      <c r="E9" s="33"/>
      <c r="F9" s="39" t="s">
        <v>43</v>
      </c>
      <c r="G9" s="33"/>
      <c r="H9" s="33"/>
      <c r="I9" s="4" t="s">
        <v>44</v>
      </c>
      <c r="J9" s="4">
        <v>1</v>
      </c>
      <c r="K9" s="4" t="s">
        <v>44</v>
      </c>
      <c r="L9" s="4" t="s">
        <v>45</v>
      </c>
      <c r="M9" s="39" t="s">
        <v>46</v>
      </c>
      <c r="N9" s="33"/>
      <c r="O9" s="4" t="s">
        <v>47</v>
      </c>
      <c r="P9" s="4">
        <v>23</v>
      </c>
      <c r="Q9" s="40">
        <v>132.27000000000001</v>
      </c>
      <c r="R9" s="33"/>
      <c r="S9" s="5">
        <v>30.42</v>
      </c>
      <c r="T9" s="39" t="s">
        <v>48</v>
      </c>
      <c r="U9" s="33"/>
      <c r="V9" s="5">
        <v>30.42</v>
      </c>
      <c r="W9" s="4" t="s">
        <v>49</v>
      </c>
      <c r="X9" s="4" t="s">
        <v>50</v>
      </c>
      <c r="Y9" s="4" t="s">
        <v>51</v>
      </c>
      <c r="Z9" s="4" t="s">
        <v>52</v>
      </c>
      <c r="AA9" s="4" t="s">
        <v>53</v>
      </c>
      <c r="AB9" s="4" t="s">
        <v>54</v>
      </c>
      <c r="AC9" s="4" t="s">
        <v>55</v>
      </c>
      <c r="AD9" s="4">
        <v>0</v>
      </c>
      <c r="AE9" s="4"/>
      <c r="AF9" s="4" t="s">
        <v>56</v>
      </c>
    </row>
    <row r="10" spans="1:33" s="47" customFormat="1" ht="22.5" x14ac:dyDescent="0.25">
      <c r="A10" s="23" t="s">
        <v>41</v>
      </c>
      <c r="B10" s="23" t="s">
        <v>34</v>
      </c>
      <c r="C10" s="44" t="s">
        <v>57</v>
      </c>
      <c r="D10" s="45"/>
      <c r="E10" s="45"/>
      <c r="F10" s="44" t="s">
        <v>58</v>
      </c>
      <c r="G10" s="45"/>
      <c r="H10" s="45"/>
      <c r="I10" s="23" t="s">
        <v>59</v>
      </c>
      <c r="J10" s="23">
        <v>1</v>
      </c>
      <c r="K10" s="23" t="s">
        <v>59</v>
      </c>
      <c r="L10" s="23" t="s">
        <v>60</v>
      </c>
      <c r="M10" s="44" t="s">
        <v>61</v>
      </c>
      <c r="N10" s="45"/>
      <c r="O10" s="23" t="s">
        <v>62</v>
      </c>
      <c r="P10" s="23">
        <v>23</v>
      </c>
      <c r="Q10" s="46">
        <v>-169.84</v>
      </c>
      <c r="R10" s="45"/>
      <c r="S10" s="25">
        <v>-39.06</v>
      </c>
      <c r="T10" s="44" t="s">
        <v>63</v>
      </c>
      <c r="U10" s="45"/>
      <c r="V10" s="25">
        <v>-39.06</v>
      </c>
      <c r="W10" s="23" t="s">
        <v>49</v>
      </c>
      <c r="X10" s="23" t="s">
        <v>50</v>
      </c>
      <c r="Y10" s="23" t="s">
        <v>51</v>
      </c>
      <c r="Z10" s="23" t="s">
        <v>64</v>
      </c>
      <c r="AA10" s="23" t="s">
        <v>53</v>
      </c>
      <c r="AB10" s="23" t="s">
        <v>54</v>
      </c>
      <c r="AC10" s="23" t="s">
        <v>65</v>
      </c>
      <c r="AD10" s="23">
        <v>0</v>
      </c>
      <c r="AE10" s="23"/>
      <c r="AF10" s="23" t="s">
        <v>66</v>
      </c>
    </row>
    <row r="11" spans="1:33" s="47" customFormat="1" ht="22.5" x14ac:dyDescent="0.25">
      <c r="A11" s="23" t="s">
        <v>41</v>
      </c>
      <c r="B11" s="23" t="s">
        <v>34</v>
      </c>
      <c r="C11" s="44" t="s">
        <v>57</v>
      </c>
      <c r="D11" s="45"/>
      <c r="E11" s="45"/>
      <c r="F11" s="44" t="s">
        <v>58</v>
      </c>
      <c r="G11" s="45"/>
      <c r="H11" s="45"/>
      <c r="I11" s="23" t="s">
        <v>59</v>
      </c>
      <c r="J11" s="23">
        <v>1</v>
      </c>
      <c r="K11" s="23" t="s">
        <v>59</v>
      </c>
      <c r="L11" s="23" t="s">
        <v>60</v>
      </c>
      <c r="M11" s="44" t="s">
        <v>61</v>
      </c>
      <c r="N11" s="45"/>
      <c r="O11" s="23" t="s">
        <v>62</v>
      </c>
      <c r="P11" s="23">
        <v>23</v>
      </c>
      <c r="Q11" s="46">
        <v>169.84</v>
      </c>
      <c r="R11" s="45"/>
      <c r="S11" s="25">
        <v>39.06</v>
      </c>
      <c r="T11" s="44" t="s">
        <v>48</v>
      </c>
      <c r="U11" s="45"/>
      <c r="V11" s="25">
        <v>39.06</v>
      </c>
      <c r="W11" s="23" t="s">
        <v>49</v>
      </c>
      <c r="X11" s="23" t="s">
        <v>50</v>
      </c>
      <c r="Y11" s="23" t="s">
        <v>51</v>
      </c>
      <c r="Z11" s="23" t="s">
        <v>64</v>
      </c>
      <c r="AA11" s="23" t="s">
        <v>53</v>
      </c>
      <c r="AB11" s="23" t="s">
        <v>54</v>
      </c>
      <c r="AC11" s="23" t="s">
        <v>65</v>
      </c>
      <c r="AD11" s="23">
        <v>0</v>
      </c>
      <c r="AE11" s="23"/>
      <c r="AF11" s="23" t="s">
        <v>56</v>
      </c>
    </row>
    <row r="12" spans="1:33" x14ac:dyDescent="0.25">
      <c r="A12" s="4" t="s">
        <v>41</v>
      </c>
      <c r="B12" s="4" t="s">
        <v>34</v>
      </c>
      <c r="C12" s="39" t="s">
        <v>67</v>
      </c>
      <c r="D12" s="33"/>
      <c r="E12" s="33"/>
      <c r="F12" s="39" t="s">
        <v>68</v>
      </c>
      <c r="G12" s="33"/>
      <c r="H12" s="33"/>
      <c r="I12" s="4" t="s">
        <v>44</v>
      </c>
      <c r="J12" s="4">
        <v>1</v>
      </c>
      <c r="K12" s="4" t="s">
        <v>69</v>
      </c>
      <c r="L12" s="4" t="s">
        <v>60</v>
      </c>
      <c r="M12" s="39" t="s">
        <v>61</v>
      </c>
      <c r="N12" s="33"/>
      <c r="O12" s="4" t="s">
        <v>47</v>
      </c>
      <c r="P12" s="4">
        <v>23</v>
      </c>
      <c r="Q12" s="40">
        <v>135.4</v>
      </c>
      <c r="R12" s="33"/>
      <c r="S12" s="5">
        <v>31.14</v>
      </c>
      <c r="T12" s="39" t="s">
        <v>48</v>
      </c>
      <c r="U12" s="33"/>
      <c r="V12" s="5">
        <v>31.14</v>
      </c>
      <c r="W12" s="4" t="s">
        <v>49</v>
      </c>
      <c r="X12" s="4" t="s">
        <v>70</v>
      </c>
      <c r="Y12" s="4" t="s">
        <v>71</v>
      </c>
      <c r="Z12" s="4" t="s">
        <v>64</v>
      </c>
      <c r="AA12" s="4" t="s">
        <v>53</v>
      </c>
      <c r="AB12" s="4" t="s">
        <v>54</v>
      </c>
      <c r="AC12" s="4" t="s">
        <v>65</v>
      </c>
      <c r="AD12" s="4">
        <v>0</v>
      </c>
      <c r="AE12" s="4"/>
      <c r="AF12" s="4" t="s">
        <v>56</v>
      </c>
    </row>
    <row r="13" spans="1:33" x14ac:dyDescent="0.25">
      <c r="A13" s="4" t="s">
        <v>41</v>
      </c>
      <c r="B13" s="4" t="s">
        <v>34</v>
      </c>
      <c r="C13" s="39" t="s">
        <v>72</v>
      </c>
      <c r="D13" s="33"/>
      <c r="E13" s="33"/>
      <c r="F13" s="39" t="s">
        <v>73</v>
      </c>
      <c r="G13" s="33"/>
      <c r="H13" s="33"/>
      <c r="I13" s="4" t="s">
        <v>44</v>
      </c>
      <c r="J13" s="4">
        <v>1</v>
      </c>
      <c r="K13" s="4" t="s">
        <v>74</v>
      </c>
      <c r="L13" s="4" t="s">
        <v>75</v>
      </c>
      <c r="M13" s="39" t="s">
        <v>76</v>
      </c>
      <c r="N13" s="33"/>
      <c r="O13" s="4" t="s">
        <v>47</v>
      </c>
      <c r="P13" s="4">
        <v>27</v>
      </c>
      <c r="Q13" s="40">
        <v>92.21</v>
      </c>
      <c r="R13" s="33"/>
      <c r="S13" s="5">
        <v>24.9</v>
      </c>
      <c r="T13" s="39" t="s">
        <v>48</v>
      </c>
      <c r="U13" s="33"/>
      <c r="V13" s="5">
        <v>24.9</v>
      </c>
      <c r="W13" s="4" t="s">
        <v>49</v>
      </c>
      <c r="X13" s="4" t="s">
        <v>77</v>
      </c>
      <c r="Y13" s="4" t="s">
        <v>78</v>
      </c>
      <c r="Z13" s="4" t="s">
        <v>64</v>
      </c>
      <c r="AA13" s="4" t="s">
        <v>53</v>
      </c>
      <c r="AB13" s="4" t="s">
        <v>54</v>
      </c>
      <c r="AC13" s="4" t="s">
        <v>65</v>
      </c>
      <c r="AD13" s="4">
        <v>0</v>
      </c>
      <c r="AE13" s="4"/>
      <c r="AF13" s="4" t="s">
        <v>56</v>
      </c>
    </row>
    <row r="14" spans="1:33" x14ac:dyDescent="0.25">
      <c r="A14" s="4" t="s">
        <v>41</v>
      </c>
      <c r="B14" s="4" t="s">
        <v>34</v>
      </c>
      <c r="C14" s="39" t="s">
        <v>79</v>
      </c>
      <c r="D14" s="33"/>
      <c r="E14" s="33"/>
      <c r="F14" s="39" t="s">
        <v>80</v>
      </c>
      <c r="G14" s="33"/>
      <c r="H14" s="33"/>
      <c r="I14" s="4" t="s">
        <v>44</v>
      </c>
      <c r="J14" s="4">
        <v>1</v>
      </c>
      <c r="K14" s="4" t="s">
        <v>74</v>
      </c>
      <c r="L14" s="4" t="s">
        <v>75</v>
      </c>
      <c r="M14" s="39" t="s">
        <v>76</v>
      </c>
      <c r="N14" s="33"/>
      <c r="O14" s="4" t="s">
        <v>47</v>
      </c>
      <c r="P14" s="4">
        <v>27</v>
      </c>
      <c r="Q14" s="40">
        <v>97.96</v>
      </c>
      <c r="R14" s="33"/>
      <c r="S14" s="5">
        <v>26.45</v>
      </c>
      <c r="T14" s="39" t="s">
        <v>48</v>
      </c>
      <c r="U14" s="33"/>
      <c r="V14" s="5">
        <v>26.45</v>
      </c>
      <c r="W14" s="4" t="s">
        <v>49</v>
      </c>
      <c r="X14" s="4" t="s">
        <v>77</v>
      </c>
      <c r="Y14" s="4" t="s">
        <v>78</v>
      </c>
      <c r="Z14" s="4" t="s">
        <v>64</v>
      </c>
      <c r="AA14" s="4" t="s">
        <v>53</v>
      </c>
      <c r="AB14" s="4" t="s">
        <v>54</v>
      </c>
      <c r="AC14" s="4" t="s">
        <v>65</v>
      </c>
      <c r="AD14" s="4">
        <v>0</v>
      </c>
      <c r="AE14" s="4"/>
      <c r="AF14" s="4" t="s">
        <v>56</v>
      </c>
    </row>
    <row r="15" spans="1:33" x14ac:dyDescent="0.25">
      <c r="A15" s="4" t="s">
        <v>41</v>
      </c>
      <c r="B15" s="4" t="s">
        <v>34</v>
      </c>
      <c r="C15" s="39" t="s">
        <v>81</v>
      </c>
      <c r="D15" s="33"/>
      <c r="E15" s="33"/>
      <c r="F15" s="39" t="s">
        <v>82</v>
      </c>
      <c r="G15" s="33"/>
      <c r="H15" s="33"/>
      <c r="I15" s="4" t="s">
        <v>59</v>
      </c>
      <c r="J15" s="4">
        <v>1</v>
      </c>
      <c r="K15" s="4" t="s">
        <v>59</v>
      </c>
      <c r="L15" s="4" t="s">
        <v>60</v>
      </c>
      <c r="M15" s="39" t="s">
        <v>61</v>
      </c>
      <c r="N15" s="33"/>
      <c r="O15" s="4" t="s">
        <v>47</v>
      </c>
      <c r="P15" s="4">
        <v>23</v>
      </c>
      <c r="Q15" s="40">
        <v>137.13</v>
      </c>
      <c r="R15" s="33"/>
      <c r="S15" s="5">
        <v>31.54</v>
      </c>
      <c r="T15" s="39" t="s">
        <v>48</v>
      </c>
      <c r="U15" s="33"/>
      <c r="V15" s="5">
        <v>31.54</v>
      </c>
      <c r="W15" s="4" t="s">
        <v>49</v>
      </c>
      <c r="X15" s="4" t="s">
        <v>77</v>
      </c>
      <c r="Y15" s="4" t="s">
        <v>78</v>
      </c>
      <c r="Z15" s="4" t="s">
        <v>64</v>
      </c>
      <c r="AA15" s="4" t="s">
        <v>53</v>
      </c>
      <c r="AB15" s="4" t="s">
        <v>54</v>
      </c>
      <c r="AC15" s="4" t="s">
        <v>65</v>
      </c>
      <c r="AD15" s="4">
        <v>0</v>
      </c>
      <c r="AE15" s="4"/>
      <c r="AF15" s="4" t="s">
        <v>56</v>
      </c>
    </row>
    <row r="16" spans="1:33" x14ac:dyDescent="0.25">
      <c r="A16" s="4" t="s">
        <v>41</v>
      </c>
      <c r="B16" s="4" t="s">
        <v>34</v>
      </c>
      <c r="C16" s="39" t="s">
        <v>83</v>
      </c>
      <c r="D16" s="33"/>
      <c r="E16" s="33"/>
      <c r="F16" s="39" t="s">
        <v>84</v>
      </c>
      <c r="G16" s="33"/>
      <c r="H16" s="33"/>
      <c r="I16" s="4" t="s">
        <v>85</v>
      </c>
      <c r="J16" s="4">
        <v>1</v>
      </c>
      <c r="K16" s="4" t="s">
        <v>85</v>
      </c>
      <c r="L16" s="4" t="s">
        <v>75</v>
      </c>
      <c r="M16" s="39" t="s">
        <v>76</v>
      </c>
      <c r="N16" s="33"/>
      <c r="O16" s="4" t="s">
        <v>47</v>
      </c>
      <c r="P16" s="4">
        <v>27</v>
      </c>
      <c r="Q16" s="40">
        <v>91.74</v>
      </c>
      <c r="R16" s="33"/>
      <c r="S16" s="5">
        <v>24.77</v>
      </c>
      <c r="T16" s="39" t="s">
        <v>48</v>
      </c>
      <c r="U16" s="33"/>
      <c r="V16" s="5">
        <v>24.77</v>
      </c>
      <c r="W16" s="4" t="s">
        <v>49</v>
      </c>
      <c r="X16" s="4" t="s">
        <v>77</v>
      </c>
      <c r="Y16" s="4" t="s">
        <v>78</v>
      </c>
      <c r="Z16" s="4" t="s">
        <v>64</v>
      </c>
      <c r="AA16" s="4" t="s">
        <v>53</v>
      </c>
      <c r="AB16" s="4" t="s">
        <v>54</v>
      </c>
      <c r="AC16" s="4" t="s">
        <v>65</v>
      </c>
      <c r="AD16" s="4">
        <v>0</v>
      </c>
      <c r="AE16" s="4"/>
      <c r="AF16" s="4" t="s">
        <v>56</v>
      </c>
    </row>
    <row r="17" spans="1:32" x14ac:dyDescent="0.25">
      <c r="A17" s="4" t="s">
        <v>41</v>
      </c>
      <c r="B17" s="4" t="s">
        <v>34</v>
      </c>
      <c r="C17" s="39" t="s">
        <v>86</v>
      </c>
      <c r="D17" s="33"/>
      <c r="E17" s="33"/>
      <c r="F17" s="39" t="s">
        <v>87</v>
      </c>
      <c r="G17" s="33"/>
      <c r="H17" s="33"/>
      <c r="I17" s="4" t="s">
        <v>44</v>
      </c>
      <c r="J17" s="4">
        <v>1</v>
      </c>
      <c r="K17" s="4" t="s">
        <v>88</v>
      </c>
      <c r="L17" s="4" t="s">
        <v>60</v>
      </c>
      <c r="M17" s="39" t="s">
        <v>61</v>
      </c>
      <c r="N17" s="33"/>
      <c r="O17" s="4" t="s">
        <v>47</v>
      </c>
      <c r="P17" s="4">
        <v>1</v>
      </c>
      <c r="Q17" s="40">
        <v>109.71</v>
      </c>
      <c r="R17" s="33"/>
      <c r="S17" s="5">
        <v>1.1000000000000001</v>
      </c>
      <c r="T17" s="39" t="s">
        <v>48</v>
      </c>
      <c r="U17" s="33"/>
      <c r="V17" s="5">
        <v>1.1000000000000001</v>
      </c>
      <c r="W17" s="4" t="s">
        <v>49</v>
      </c>
      <c r="X17" s="4" t="s">
        <v>89</v>
      </c>
      <c r="Y17" s="4" t="s">
        <v>90</v>
      </c>
      <c r="Z17" s="4" t="s">
        <v>91</v>
      </c>
      <c r="AA17" s="4" t="s">
        <v>92</v>
      </c>
      <c r="AB17" s="4" t="s">
        <v>54</v>
      </c>
      <c r="AC17" s="4" t="s">
        <v>65</v>
      </c>
      <c r="AD17" s="4">
        <v>0</v>
      </c>
      <c r="AE17" s="4"/>
      <c r="AF17" s="4" t="s">
        <v>56</v>
      </c>
    </row>
    <row r="18" spans="1:32" x14ac:dyDescent="0.25">
      <c r="A18" s="4" t="s">
        <v>41</v>
      </c>
      <c r="B18" s="4" t="s">
        <v>34</v>
      </c>
      <c r="C18" s="39" t="s">
        <v>93</v>
      </c>
      <c r="D18" s="33"/>
      <c r="E18" s="33"/>
      <c r="F18" s="39" t="s">
        <v>94</v>
      </c>
      <c r="G18" s="33"/>
      <c r="H18" s="33"/>
      <c r="I18" s="4" t="s">
        <v>44</v>
      </c>
      <c r="J18" s="4">
        <v>1</v>
      </c>
      <c r="K18" s="4" t="s">
        <v>88</v>
      </c>
      <c r="L18" s="4" t="s">
        <v>75</v>
      </c>
      <c r="M18" s="39" t="s">
        <v>76</v>
      </c>
      <c r="N18" s="33"/>
      <c r="O18" s="4" t="s">
        <v>47</v>
      </c>
      <c r="P18" s="4">
        <v>27</v>
      </c>
      <c r="Q18" s="40">
        <v>88.47</v>
      </c>
      <c r="R18" s="33"/>
      <c r="S18" s="5">
        <v>23.89</v>
      </c>
      <c r="T18" s="39" t="s">
        <v>48</v>
      </c>
      <c r="U18" s="33"/>
      <c r="V18" s="5">
        <v>23.89</v>
      </c>
      <c r="W18" s="4" t="s">
        <v>49</v>
      </c>
      <c r="X18" s="4" t="s">
        <v>89</v>
      </c>
      <c r="Y18" s="4" t="s">
        <v>90</v>
      </c>
      <c r="Z18" s="4" t="s">
        <v>52</v>
      </c>
      <c r="AA18" s="4" t="s">
        <v>53</v>
      </c>
      <c r="AB18" s="4" t="s">
        <v>54</v>
      </c>
      <c r="AC18" s="4" t="s">
        <v>65</v>
      </c>
      <c r="AD18" s="4">
        <v>0</v>
      </c>
      <c r="AE18" s="4"/>
      <c r="AF18" s="4" t="s">
        <v>56</v>
      </c>
    </row>
    <row r="19" spans="1:32" x14ac:dyDescent="0.25">
      <c r="A19" s="4" t="s">
        <v>41</v>
      </c>
      <c r="B19" s="4" t="s">
        <v>34</v>
      </c>
      <c r="C19" s="39" t="s">
        <v>95</v>
      </c>
      <c r="D19" s="33"/>
      <c r="E19" s="33"/>
      <c r="F19" s="39" t="s">
        <v>96</v>
      </c>
      <c r="G19" s="33"/>
      <c r="H19" s="33"/>
      <c r="I19" s="4" t="s">
        <v>85</v>
      </c>
      <c r="J19" s="4">
        <v>1</v>
      </c>
      <c r="K19" s="4" t="s">
        <v>85</v>
      </c>
      <c r="L19" s="4" t="s">
        <v>60</v>
      </c>
      <c r="M19" s="39" t="s">
        <v>61</v>
      </c>
      <c r="N19" s="33"/>
      <c r="O19" s="4" t="s">
        <v>47</v>
      </c>
      <c r="P19" s="4">
        <v>23</v>
      </c>
      <c r="Q19" s="40">
        <v>118.15</v>
      </c>
      <c r="R19" s="33"/>
      <c r="S19" s="5">
        <v>27.17</v>
      </c>
      <c r="T19" s="39" t="s">
        <v>48</v>
      </c>
      <c r="U19" s="33"/>
      <c r="V19" s="5">
        <v>27.17</v>
      </c>
      <c r="W19" s="4" t="s">
        <v>49</v>
      </c>
      <c r="X19" s="4" t="s">
        <v>89</v>
      </c>
      <c r="Y19" s="4" t="s">
        <v>90</v>
      </c>
      <c r="Z19" s="4" t="s">
        <v>64</v>
      </c>
      <c r="AA19" s="4" t="s">
        <v>53</v>
      </c>
      <c r="AB19" s="4" t="s">
        <v>54</v>
      </c>
      <c r="AC19" s="4" t="s">
        <v>65</v>
      </c>
      <c r="AD19" s="4">
        <v>0</v>
      </c>
      <c r="AE19" s="4"/>
      <c r="AF19" s="4" t="s">
        <v>56</v>
      </c>
    </row>
    <row r="20" spans="1:32" x14ac:dyDescent="0.25">
      <c r="A20" s="4" t="s">
        <v>41</v>
      </c>
      <c r="B20" s="4" t="s">
        <v>34</v>
      </c>
      <c r="C20" s="39" t="s">
        <v>97</v>
      </c>
      <c r="D20" s="33"/>
      <c r="E20" s="33"/>
      <c r="F20" s="39" t="s">
        <v>98</v>
      </c>
      <c r="G20" s="33"/>
      <c r="H20" s="33"/>
      <c r="I20" s="4" t="s">
        <v>85</v>
      </c>
      <c r="J20" s="4">
        <v>1</v>
      </c>
      <c r="K20" s="4" t="s">
        <v>85</v>
      </c>
      <c r="L20" s="4" t="s">
        <v>60</v>
      </c>
      <c r="M20" s="39" t="s">
        <v>61</v>
      </c>
      <c r="N20" s="33"/>
      <c r="O20" s="4" t="s">
        <v>47</v>
      </c>
      <c r="P20" s="4">
        <v>23</v>
      </c>
      <c r="Q20" s="40">
        <v>135.88</v>
      </c>
      <c r="R20" s="33"/>
      <c r="S20" s="5">
        <v>31.25</v>
      </c>
      <c r="T20" s="39" t="s">
        <v>48</v>
      </c>
      <c r="U20" s="33"/>
      <c r="V20" s="5">
        <v>31.25</v>
      </c>
      <c r="W20" s="4" t="s">
        <v>49</v>
      </c>
      <c r="X20" s="4" t="s">
        <v>89</v>
      </c>
      <c r="Y20" s="4" t="s">
        <v>90</v>
      </c>
      <c r="Z20" s="4" t="s">
        <v>52</v>
      </c>
      <c r="AA20" s="4" t="s">
        <v>53</v>
      </c>
      <c r="AB20" s="4" t="s">
        <v>54</v>
      </c>
      <c r="AC20" s="4" t="s">
        <v>65</v>
      </c>
      <c r="AD20" s="4">
        <v>0</v>
      </c>
      <c r="AE20" s="4"/>
      <c r="AF20" s="4" t="s">
        <v>56</v>
      </c>
    </row>
    <row r="21" spans="1:32" x14ac:dyDescent="0.25">
      <c r="A21" s="4" t="s">
        <v>41</v>
      </c>
      <c r="B21" s="4" t="s">
        <v>34</v>
      </c>
      <c r="C21" s="39" t="s">
        <v>99</v>
      </c>
      <c r="D21" s="33"/>
      <c r="E21" s="33"/>
      <c r="F21" s="39" t="s">
        <v>100</v>
      </c>
      <c r="G21" s="33"/>
      <c r="H21" s="33"/>
      <c r="I21" s="4" t="s">
        <v>44</v>
      </c>
      <c r="J21" s="4">
        <v>1</v>
      </c>
      <c r="K21" s="4" t="s">
        <v>74</v>
      </c>
      <c r="L21" s="4" t="s">
        <v>45</v>
      </c>
      <c r="M21" s="39" t="s">
        <v>46</v>
      </c>
      <c r="N21" s="33"/>
      <c r="O21" s="4" t="s">
        <v>47</v>
      </c>
      <c r="P21" s="4">
        <v>23</v>
      </c>
      <c r="Q21" s="40">
        <v>152.88999999999999</v>
      </c>
      <c r="R21" s="33"/>
      <c r="S21" s="5">
        <v>35.159999999999997</v>
      </c>
      <c r="T21" s="39" t="s">
        <v>48</v>
      </c>
      <c r="U21" s="33"/>
      <c r="V21" s="5">
        <v>35.159999999999997</v>
      </c>
      <c r="W21" s="4" t="s">
        <v>49</v>
      </c>
      <c r="X21" s="4" t="s">
        <v>101</v>
      </c>
      <c r="Y21" s="4" t="s">
        <v>102</v>
      </c>
      <c r="Z21" s="4" t="s">
        <v>64</v>
      </c>
      <c r="AA21" s="4" t="s">
        <v>53</v>
      </c>
      <c r="AB21" s="4" t="s">
        <v>54</v>
      </c>
      <c r="AC21" s="4" t="s">
        <v>55</v>
      </c>
      <c r="AD21" s="4">
        <v>0</v>
      </c>
      <c r="AE21" s="4"/>
      <c r="AF21" s="4" t="s">
        <v>56</v>
      </c>
    </row>
    <row r="22" spans="1:32" x14ac:dyDescent="0.25">
      <c r="A22" s="4" t="s">
        <v>41</v>
      </c>
      <c r="B22" s="4" t="s">
        <v>110</v>
      </c>
      <c r="C22" s="39" t="s">
        <v>118</v>
      </c>
      <c r="D22" s="33"/>
      <c r="E22" s="33"/>
      <c r="F22" s="39" t="s">
        <v>117</v>
      </c>
      <c r="G22" s="33"/>
      <c r="H22" s="33"/>
      <c r="I22" s="4" t="s">
        <v>116</v>
      </c>
      <c r="J22" s="4">
        <v>1</v>
      </c>
      <c r="K22" s="4" t="s">
        <v>115</v>
      </c>
      <c r="L22" s="4" t="s">
        <v>114</v>
      </c>
      <c r="M22" s="39" t="s">
        <v>113</v>
      </c>
      <c r="N22" s="33"/>
      <c r="O22" s="4" t="s">
        <v>47</v>
      </c>
      <c r="P22" s="4">
        <v>65</v>
      </c>
      <c r="Q22" s="40">
        <v>34.049999999999997</v>
      </c>
      <c r="R22" s="33"/>
      <c r="S22" s="5">
        <v>22.13</v>
      </c>
      <c r="T22" s="39" t="s">
        <v>48</v>
      </c>
      <c r="U22" s="33"/>
      <c r="V22" s="5">
        <v>22.13</v>
      </c>
      <c r="W22" s="4" t="s">
        <v>49</v>
      </c>
      <c r="X22" s="4" t="s">
        <v>77</v>
      </c>
      <c r="Y22" s="4" t="s">
        <v>78</v>
      </c>
      <c r="Z22" s="4"/>
      <c r="AA22" s="4" t="s">
        <v>53</v>
      </c>
      <c r="AB22" s="4" t="s">
        <v>54</v>
      </c>
      <c r="AC22" s="4" t="s">
        <v>65</v>
      </c>
      <c r="AD22" s="4">
        <v>0</v>
      </c>
      <c r="AE22" s="4"/>
      <c r="AF22" s="4" t="s">
        <v>56</v>
      </c>
    </row>
    <row r="23" spans="1:32" x14ac:dyDescent="0.25">
      <c r="A23" s="4" t="s">
        <v>41</v>
      </c>
      <c r="B23" s="4" t="s">
        <v>110</v>
      </c>
      <c r="C23" s="39" t="s">
        <v>112</v>
      </c>
      <c r="D23" s="33"/>
      <c r="E23" s="33"/>
      <c r="F23" s="39" t="s">
        <v>111</v>
      </c>
      <c r="G23" s="33"/>
      <c r="H23" s="33"/>
      <c r="I23" s="4" t="s">
        <v>44</v>
      </c>
      <c r="J23" s="4">
        <v>1</v>
      </c>
      <c r="K23" s="4" t="s">
        <v>69</v>
      </c>
      <c r="L23" s="4" t="s">
        <v>108</v>
      </c>
      <c r="M23" s="39" t="s">
        <v>107</v>
      </c>
      <c r="N23" s="33"/>
      <c r="O23" s="4" t="s">
        <v>47</v>
      </c>
      <c r="P23" s="4">
        <v>57</v>
      </c>
      <c r="Q23" s="40">
        <v>138.61000000000001</v>
      </c>
      <c r="R23" s="33"/>
      <c r="S23" s="5">
        <v>79.010000000000005</v>
      </c>
      <c r="T23" s="39" t="s">
        <v>48</v>
      </c>
      <c r="U23" s="33"/>
      <c r="V23" s="5">
        <v>79.010000000000005</v>
      </c>
      <c r="W23" s="4" t="s">
        <v>49</v>
      </c>
      <c r="X23" s="4" t="s">
        <v>77</v>
      </c>
      <c r="Y23" s="4" t="s">
        <v>78</v>
      </c>
      <c r="Z23" s="4"/>
      <c r="AA23" s="4" t="s">
        <v>106</v>
      </c>
      <c r="AB23" s="4" t="s">
        <v>54</v>
      </c>
      <c r="AC23" s="4" t="s">
        <v>65</v>
      </c>
      <c r="AD23" s="4">
        <v>0</v>
      </c>
      <c r="AE23" s="4"/>
      <c r="AF23" s="4" t="s">
        <v>56</v>
      </c>
    </row>
    <row r="24" spans="1:32" x14ac:dyDescent="0.25">
      <c r="A24" s="4" t="s">
        <v>41</v>
      </c>
      <c r="B24" s="4" t="s">
        <v>110</v>
      </c>
      <c r="C24" s="39" t="s">
        <v>109</v>
      </c>
      <c r="D24" s="33"/>
      <c r="E24" s="33"/>
      <c r="F24" s="39" t="s">
        <v>87</v>
      </c>
      <c r="G24" s="33"/>
      <c r="H24" s="33"/>
      <c r="I24" s="4" t="s">
        <v>44</v>
      </c>
      <c r="J24" s="4">
        <v>1</v>
      </c>
      <c r="K24" s="4" t="s">
        <v>88</v>
      </c>
      <c r="L24" s="4" t="s">
        <v>108</v>
      </c>
      <c r="M24" s="39" t="s">
        <v>107</v>
      </c>
      <c r="N24" s="33"/>
      <c r="O24" s="4" t="s">
        <v>47</v>
      </c>
      <c r="P24" s="4">
        <v>57</v>
      </c>
      <c r="Q24" s="40">
        <v>71.989999999999995</v>
      </c>
      <c r="R24" s="33"/>
      <c r="S24" s="5">
        <v>41.03</v>
      </c>
      <c r="T24" s="39" t="s">
        <v>48</v>
      </c>
      <c r="U24" s="33"/>
      <c r="V24" s="5">
        <v>41.03</v>
      </c>
      <c r="W24" s="4" t="s">
        <v>49</v>
      </c>
      <c r="X24" s="4" t="s">
        <v>89</v>
      </c>
      <c r="Y24" s="4" t="s">
        <v>90</v>
      </c>
      <c r="Z24" s="4"/>
      <c r="AA24" s="4" t="s">
        <v>106</v>
      </c>
      <c r="AB24" s="4" t="s">
        <v>54</v>
      </c>
      <c r="AC24" s="4" t="s">
        <v>65</v>
      </c>
      <c r="AD24" s="4">
        <v>0</v>
      </c>
      <c r="AE24" s="4"/>
      <c r="AF24" s="4" t="s">
        <v>56</v>
      </c>
    </row>
    <row r="25" spans="1:32" x14ac:dyDescent="0.25">
      <c r="A25" s="4" t="s">
        <v>41</v>
      </c>
      <c r="B25" s="4" t="s">
        <v>34</v>
      </c>
      <c r="C25" s="39" t="s">
        <v>103</v>
      </c>
      <c r="D25" s="33"/>
      <c r="E25" s="33"/>
      <c r="F25" s="39" t="s">
        <v>104</v>
      </c>
      <c r="G25" s="33"/>
      <c r="H25" s="33"/>
      <c r="I25" s="4" t="s">
        <v>85</v>
      </c>
      <c r="J25" s="4">
        <v>1</v>
      </c>
      <c r="K25" s="4" t="s">
        <v>85</v>
      </c>
      <c r="L25" s="4" t="s">
        <v>45</v>
      </c>
      <c r="M25" s="39" t="s">
        <v>46</v>
      </c>
      <c r="N25" s="33"/>
      <c r="O25" s="4" t="s">
        <v>47</v>
      </c>
      <c r="P25" s="4">
        <v>23</v>
      </c>
      <c r="Q25" s="40">
        <v>158.68</v>
      </c>
      <c r="R25" s="33"/>
      <c r="S25" s="5">
        <v>36.5</v>
      </c>
      <c r="T25" s="39" t="s">
        <v>48</v>
      </c>
      <c r="U25" s="33"/>
      <c r="V25" s="5">
        <v>36.5</v>
      </c>
      <c r="W25" s="4" t="s">
        <v>49</v>
      </c>
      <c r="X25" s="4" t="s">
        <v>101</v>
      </c>
      <c r="Y25" s="4" t="s">
        <v>102</v>
      </c>
      <c r="Z25" s="4" t="s">
        <v>64</v>
      </c>
      <c r="AA25" s="4" t="s">
        <v>53</v>
      </c>
      <c r="AB25" s="4" t="s">
        <v>54</v>
      </c>
      <c r="AC25" s="4" t="s">
        <v>55</v>
      </c>
      <c r="AD25" s="4">
        <v>0</v>
      </c>
      <c r="AE25" s="4"/>
      <c r="AF25" s="4" t="s">
        <v>56</v>
      </c>
    </row>
    <row r="26" spans="1:32" x14ac:dyDescent="0.25">
      <c r="A26" s="6" t="s">
        <v>32</v>
      </c>
      <c r="B26" s="6" t="s">
        <v>32</v>
      </c>
      <c r="C26" s="42" t="s">
        <v>32</v>
      </c>
      <c r="D26" s="43"/>
      <c r="E26" s="43"/>
      <c r="F26" s="42" t="s">
        <v>32</v>
      </c>
      <c r="G26" s="43"/>
      <c r="H26" s="43"/>
      <c r="I26" s="6" t="s">
        <v>32</v>
      </c>
      <c r="J26" s="6" t="s">
        <v>32</v>
      </c>
      <c r="K26" s="6" t="s">
        <v>32</v>
      </c>
      <c r="L26" s="6" t="s">
        <v>32</v>
      </c>
      <c r="M26" s="42" t="s">
        <v>32</v>
      </c>
      <c r="N26" s="43"/>
      <c r="O26" s="6" t="s">
        <v>32</v>
      </c>
      <c r="P26" s="6" t="s">
        <v>32</v>
      </c>
      <c r="Q26" s="42" t="s">
        <v>32</v>
      </c>
      <c r="R26" s="43"/>
      <c r="S26" s="7" t="s">
        <v>32</v>
      </c>
      <c r="T26" s="42" t="s">
        <v>105</v>
      </c>
      <c r="U26" s="43"/>
      <c r="V26" s="8">
        <v>324.29000000000002</v>
      </c>
      <c r="W26" s="6" t="s">
        <v>32</v>
      </c>
      <c r="X26" s="6" t="s">
        <v>32</v>
      </c>
      <c r="Y26" s="6" t="s">
        <v>32</v>
      </c>
      <c r="Z26" s="6" t="s">
        <v>32</v>
      </c>
      <c r="AA26" s="6" t="s">
        <v>32</v>
      </c>
      <c r="AB26" s="6" t="s">
        <v>32</v>
      </c>
      <c r="AC26" s="6" t="s">
        <v>32</v>
      </c>
      <c r="AD26" s="6">
        <v>0</v>
      </c>
      <c r="AE26" s="6" t="s">
        <v>32</v>
      </c>
      <c r="AF26" s="6" t="s">
        <v>32</v>
      </c>
    </row>
    <row r="27" spans="1:32" ht="0" hidden="1" customHeight="1" x14ac:dyDescent="0.25"/>
  </sheetData>
  <mergeCells count="103">
    <mergeCell ref="C22:E22"/>
    <mergeCell ref="F22:H22"/>
    <mergeCell ref="M22:N22"/>
    <mergeCell ref="Q22:R22"/>
    <mergeCell ref="T22:U22"/>
    <mergeCell ref="C23:E23"/>
    <mergeCell ref="F23:H23"/>
    <mergeCell ref="M23:N23"/>
    <mergeCell ref="Q23:R23"/>
    <mergeCell ref="T23:U23"/>
    <mergeCell ref="C24:E24"/>
    <mergeCell ref="F24:H24"/>
    <mergeCell ref="M24:N24"/>
    <mergeCell ref="Q24:R24"/>
    <mergeCell ref="T24:U24"/>
    <mergeCell ref="C26:E26"/>
    <mergeCell ref="F26:H26"/>
    <mergeCell ref="M26:N26"/>
    <mergeCell ref="Q26:R26"/>
    <mergeCell ref="T26:U26"/>
    <mergeCell ref="C25:E25"/>
    <mergeCell ref="F25:H25"/>
    <mergeCell ref="M25:N25"/>
    <mergeCell ref="Q25:R25"/>
    <mergeCell ref="T25:U25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A1:T1"/>
    <mergeCell ref="A2:C3"/>
    <mergeCell ref="H2:M3"/>
    <mergeCell ref="R2:T2"/>
    <mergeCell ref="R3:T4"/>
    <mergeCell ref="A4:D5"/>
    <mergeCell ref="E4:O5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4FA9E-AC74-4F22-AB94-23932BE8CAF8}">
  <dimension ref="A1:S21"/>
  <sheetViews>
    <sheetView workbookViewId="0">
      <selection activeCell="D14" sqref="D14"/>
    </sheetView>
  </sheetViews>
  <sheetFormatPr defaultRowHeight="15" x14ac:dyDescent="0.25"/>
  <cols>
    <col min="1" max="1" width="17.140625" style="12" customWidth="1"/>
    <col min="2" max="2" width="0.140625" style="12" customWidth="1"/>
    <col min="3" max="3" width="19.5703125" style="12" customWidth="1"/>
    <col min="4" max="4" width="13.7109375" style="12" customWidth="1"/>
    <col min="5" max="5" width="6.85546875" style="12" customWidth="1"/>
    <col min="6" max="9" width="10.28515625" style="12" customWidth="1"/>
    <col min="10" max="10" width="33.140625" style="12" bestFit="1" customWidth="1"/>
    <col min="11" max="11" width="12" style="12" customWidth="1"/>
    <col min="12" max="12" width="7.7109375" style="12" bestFit="1" customWidth="1"/>
    <col min="13" max="13" width="13.7109375" style="12" customWidth="1"/>
    <col min="14" max="14" width="13.7109375" style="12" bestFit="1" customWidth="1"/>
    <col min="15" max="15" width="12" style="12" customWidth="1"/>
    <col min="16" max="16" width="13.7109375" style="12" customWidth="1"/>
    <col min="17" max="17" width="17.7109375" style="12" customWidth="1"/>
    <col min="18" max="18" width="17" style="12" customWidth="1"/>
    <col min="19" max="16384" width="9.140625" style="12"/>
  </cols>
  <sheetData>
    <row r="1" spans="1:19" ht="33.75" customHeight="1" x14ac:dyDescent="0.25">
      <c r="A1" s="2" t="s">
        <v>11</v>
      </c>
      <c r="B1" s="21"/>
      <c r="C1" s="2" t="s">
        <v>12</v>
      </c>
      <c r="D1" s="2" t="s">
        <v>36</v>
      </c>
      <c r="E1" s="2" t="s">
        <v>37</v>
      </c>
      <c r="F1" s="2" t="s">
        <v>13</v>
      </c>
      <c r="G1" s="2"/>
      <c r="H1" s="2"/>
      <c r="I1" s="2"/>
      <c r="J1" s="2" t="s">
        <v>15</v>
      </c>
      <c r="K1" s="2" t="s">
        <v>17</v>
      </c>
      <c r="L1" s="2" t="s">
        <v>38</v>
      </c>
      <c r="M1" s="2" t="s">
        <v>1</v>
      </c>
      <c r="N1" s="2" t="s">
        <v>20</v>
      </c>
      <c r="O1" s="2" t="s">
        <v>21</v>
      </c>
      <c r="P1" s="2" t="s">
        <v>22</v>
      </c>
      <c r="Q1" s="2" t="s">
        <v>39</v>
      </c>
      <c r="R1" s="2" t="s">
        <v>40</v>
      </c>
    </row>
    <row r="2" spans="1:19" s="24" customFormat="1" ht="15" customHeight="1" x14ac:dyDescent="0.25">
      <c r="A2" s="23" t="s">
        <v>67</v>
      </c>
      <c r="C2" s="23" t="s">
        <v>68</v>
      </c>
      <c r="D2" s="23" t="s">
        <v>44</v>
      </c>
      <c r="E2" s="23">
        <v>1</v>
      </c>
      <c r="F2" s="23" t="s">
        <v>69</v>
      </c>
      <c r="G2" s="23">
        <f>DATEDIF(F2,D2,"M")</f>
        <v>4</v>
      </c>
      <c r="H2" s="23" t="s">
        <v>151</v>
      </c>
      <c r="I2" s="23" t="s">
        <v>152</v>
      </c>
      <c r="J2" s="23" t="s">
        <v>61</v>
      </c>
      <c r="K2" s="23">
        <v>23</v>
      </c>
      <c r="L2" s="25">
        <v>135.4</v>
      </c>
      <c r="M2" s="25">
        <v>31.14</v>
      </c>
      <c r="N2" s="23" t="s">
        <v>48</v>
      </c>
      <c r="O2" s="25">
        <v>31.14</v>
      </c>
      <c r="P2" s="23" t="s">
        <v>49</v>
      </c>
      <c r="Q2" s="23">
        <v>18828278</v>
      </c>
      <c r="R2" s="23" t="s">
        <v>71</v>
      </c>
      <c r="S2" s="24" t="s">
        <v>147</v>
      </c>
    </row>
    <row r="3" spans="1:19" ht="15" customHeight="1" x14ac:dyDescent="0.25">
      <c r="A3" s="4" t="s">
        <v>99</v>
      </c>
      <c r="C3" s="4" t="s">
        <v>100</v>
      </c>
      <c r="D3" s="4" t="s">
        <v>44</v>
      </c>
      <c r="E3" s="4">
        <v>1</v>
      </c>
      <c r="F3" s="4" t="s">
        <v>74</v>
      </c>
      <c r="G3" s="4">
        <f t="shared" ref="G3:G18" si="0">DATEDIF(F3,D3,"M")</f>
        <v>1</v>
      </c>
      <c r="H3" s="4" t="s">
        <v>155</v>
      </c>
      <c r="I3" s="4" t="s">
        <v>152</v>
      </c>
      <c r="J3" s="4" t="s">
        <v>46</v>
      </c>
      <c r="K3" s="4">
        <v>23</v>
      </c>
      <c r="L3" s="5">
        <v>152.88999999999999</v>
      </c>
      <c r="M3" s="5">
        <v>35.159999999999997</v>
      </c>
      <c r="N3" s="4" t="s">
        <v>48</v>
      </c>
      <c r="O3" s="5">
        <v>35.159999999999997</v>
      </c>
      <c r="P3" s="4" t="s">
        <v>49</v>
      </c>
      <c r="Q3" s="4">
        <v>18581063</v>
      </c>
      <c r="R3" s="4" t="s">
        <v>102</v>
      </c>
      <c r="S3" s="12" t="s">
        <v>147</v>
      </c>
    </row>
    <row r="4" spans="1:19" ht="15" customHeight="1" x14ac:dyDescent="0.25">
      <c r="A4" s="4" t="s">
        <v>103</v>
      </c>
      <c r="C4" s="4" t="s">
        <v>146</v>
      </c>
      <c r="D4" s="4" t="s">
        <v>85</v>
      </c>
      <c r="E4" s="4">
        <v>1</v>
      </c>
      <c r="F4" s="4" t="s">
        <v>85</v>
      </c>
      <c r="G4" s="4">
        <f t="shared" si="0"/>
        <v>0</v>
      </c>
      <c r="H4" s="4" t="s">
        <v>155</v>
      </c>
      <c r="I4" s="4" t="s">
        <v>152</v>
      </c>
      <c r="J4" s="4" t="s">
        <v>46</v>
      </c>
      <c r="K4" s="4">
        <v>23</v>
      </c>
      <c r="L4" s="5">
        <v>158.68</v>
      </c>
      <c r="M4" s="5">
        <v>36.5</v>
      </c>
      <c r="N4" s="4" t="s">
        <v>48</v>
      </c>
      <c r="O4" s="5">
        <v>36.5</v>
      </c>
      <c r="P4" s="4" t="s">
        <v>49</v>
      </c>
      <c r="Q4" s="4">
        <v>18581063</v>
      </c>
      <c r="R4" s="4" t="s">
        <v>102</v>
      </c>
      <c r="S4" s="12" t="s">
        <v>147</v>
      </c>
    </row>
    <row r="5" spans="1:19" s="27" customFormat="1" ht="15" customHeight="1" x14ac:dyDescent="0.25">
      <c r="A5" s="26" t="s">
        <v>42</v>
      </c>
      <c r="C5" s="26" t="s">
        <v>142</v>
      </c>
      <c r="D5" s="26" t="s">
        <v>44</v>
      </c>
      <c r="E5" s="26">
        <v>1</v>
      </c>
      <c r="F5" s="26" t="s">
        <v>44</v>
      </c>
      <c r="G5" s="26">
        <f t="shared" si="0"/>
        <v>0</v>
      </c>
      <c r="H5" s="26" t="s">
        <v>153</v>
      </c>
      <c r="I5" s="26" t="s">
        <v>154</v>
      </c>
      <c r="J5" s="26" t="s">
        <v>46</v>
      </c>
      <c r="K5" s="26">
        <v>23</v>
      </c>
      <c r="L5" s="28">
        <v>132.27000000000001</v>
      </c>
      <c r="M5" s="28">
        <v>30.42</v>
      </c>
      <c r="N5" s="26" t="s">
        <v>48</v>
      </c>
      <c r="O5" s="28">
        <v>30.42</v>
      </c>
      <c r="P5" s="26" t="s">
        <v>49</v>
      </c>
      <c r="Q5" s="26" t="s">
        <v>156</v>
      </c>
      <c r="R5" s="26" t="s">
        <v>51</v>
      </c>
      <c r="S5" s="27" t="s">
        <v>147</v>
      </c>
    </row>
    <row r="6" spans="1:19" s="27" customFormat="1" ht="15" customHeight="1" x14ac:dyDescent="0.25">
      <c r="A6" s="26" t="s">
        <v>57</v>
      </c>
      <c r="C6" s="26" t="s">
        <v>143</v>
      </c>
      <c r="D6" s="26" t="s">
        <v>59</v>
      </c>
      <c r="E6" s="26">
        <v>1</v>
      </c>
      <c r="F6" s="26" t="s">
        <v>59</v>
      </c>
      <c r="G6" s="26">
        <f t="shared" si="0"/>
        <v>0</v>
      </c>
      <c r="H6" s="26" t="s">
        <v>153</v>
      </c>
      <c r="I6" s="26" t="s">
        <v>154</v>
      </c>
      <c r="J6" s="26" t="s">
        <v>61</v>
      </c>
      <c r="K6" s="26">
        <v>23</v>
      </c>
      <c r="L6" s="28">
        <v>-169.84</v>
      </c>
      <c r="M6" s="28">
        <v>-39.06</v>
      </c>
      <c r="N6" s="26" t="s">
        <v>63</v>
      </c>
      <c r="O6" s="28">
        <v>-39.06</v>
      </c>
      <c r="P6" s="26" t="s">
        <v>49</v>
      </c>
      <c r="Q6" s="26" t="s">
        <v>156</v>
      </c>
      <c r="R6" s="26" t="s">
        <v>51</v>
      </c>
      <c r="S6" s="27" t="s">
        <v>147</v>
      </c>
    </row>
    <row r="7" spans="1:19" s="27" customFormat="1" ht="15" customHeight="1" x14ac:dyDescent="0.25">
      <c r="A7" s="26" t="s">
        <v>57</v>
      </c>
      <c r="C7" s="26" t="s">
        <v>143</v>
      </c>
      <c r="D7" s="26" t="s">
        <v>59</v>
      </c>
      <c r="E7" s="26">
        <v>1</v>
      </c>
      <c r="F7" s="26" t="s">
        <v>59</v>
      </c>
      <c r="G7" s="26">
        <f t="shared" si="0"/>
        <v>0</v>
      </c>
      <c r="H7" s="26" t="s">
        <v>153</v>
      </c>
      <c r="I7" s="26" t="s">
        <v>154</v>
      </c>
      <c r="J7" s="26" t="s">
        <v>61</v>
      </c>
      <c r="K7" s="26">
        <v>23</v>
      </c>
      <c r="L7" s="28">
        <v>169.84</v>
      </c>
      <c r="M7" s="28">
        <v>39.06</v>
      </c>
      <c r="N7" s="26" t="s">
        <v>48</v>
      </c>
      <c r="O7" s="28">
        <v>39.06</v>
      </c>
      <c r="P7" s="26" t="s">
        <v>49</v>
      </c>
      <c r="Q7" s="26" t="s">
        <v>156</v>
      </c>
      <c r="R7" s="26" t="s">
        <v>51</v>
      </c>
      <c r="S7" s="27" t="s">
        <v>147</v>
      </c>
    </row>
    <row r="8" spans="1:19" s="30" customFormat="1" ht="15" customHeight="1" x14ac:dyDescent="0.25">
      <c r="A8" s="29" t="s">
        <v>86</v>
      </c>
      <c r="C8" s="29" t="s">
        <v>87</v>
      </c>
      <c r="D8" s="29" t="s">
        <v>44</v>
      </c>
      <c r="E8" s="29">
        <v>1</v>
      </c>
      <c r="F8" s="29" t="s">
        <v>88</v>
      </c>
      <c r="G8" s="29">
        <f t="shared" si="0"/>
        <v>2</v>
      </c>
      <c r="H8" s="29" t="s">
        <v>151</v>
      </c>
      <c r="I8" s="29" t="s">
        <v>152</v>
      </c>
      <c r="J8" s="29" t="s">
        <v>61</v>
      </c>
      <c r="K8" s="29">
        <v>1</v>
      </c>
      <c r="L8" s="31">
        <v>109.71</v>
      </c>
      <c r="M8" s="31">
        <v>1.1000000000000001</v>
      </c>
      <c r="N8" s="29" t="s">
        <v>48</v>
      </c>
      <c r="O8" s="31">
        <v>1.1000000000000001</v>
      </c>
      <c r="P8" s="29" t="s">
        <v>49</v>
      </c>
      <c r="Q8" s="29">
        <v>19681796</v>
      </c>
      <c r="R8" s="29" t="s">
        <v>90</v>
      </c>
      <c r="S8" s="30" t="s">
        <v>147</v>
      </c>
    </row>
    <row r="9" spans="1:19" s="27" customFormat="1" ht="15" customHeight="1" x14ac:dyDescent="0.25">
      <c r="A9" s="26" t="s">
        <v>95</v>
      </c>
      <c r="C9" s="26" t="s">
        <v>96</v>
      </c>
      <c r="D9" s="26" t="s">
        <v>85</v>
      </c>
      <c r="E9" s="26">
        <v>1</v>
      </c>
      <c r="F9" s="26" t="s">
        <v>85</v>
      </c>
      <c r="G9" s="26">
        <f t="shared" si="0"/>
        <v>0</v>
      </c>
      <c r="H9" s="26" t="s">
        <v>153</v>
      </c>
      <c r="I9" s="26" t="s">
        <v>154</v>
      </c>
      <c r="J9" s="26" t="s">
        <v>61</v>
      </c>
      <c r="K9" s="26">
        <v>23</v>
      </c>
      <c r="L9" s="28">
        <v>118.15</v>
      </c>
      <c r="M9" s="28">
        <v>27.17</v>
      </c>
      <c r="N9" s="26" t="s">
        <v>48</v>
      </c>
      <c r="O9" s="28">
        <v>27.17</v>
      </c>
      <c r="P9" s="26" t="s">
        <v>49</v>
      </c>
      <c r="Q9" s="26" t="s">
        <v>157</v>
      </c>
      <c r="R9" s="26" t="s">
        <v>90</v>
      </c>
      <c r="S9" s="27" t="s">
        <v>147</v>
      </c>
    </row>
    <row r="10" spans="1:19" s="27" customFormat="1" ht="15" customHeight="1" x14ac:dyDescent="0.25">
      <c r="A10" s="26" t="s">
        <v>97</v>
      </c>
      <c r="C10" s="26" t="s">
        <v>98</v>
      </c>
      <c r="D10" s="26" t="s">
        <v>85</v>
      </c>
      <c r="E10" s="26">
        <v>1</v>
      </c>
      <c r="F10" s="26" t="s">
        <v>85</v>
      </c>
      <c r="G10" s="26">
        <f t="shared" si="0"/>
        <v>0</v>
      </c>
      <c r="H10" s="26" t="s">
        <v>153</v>
      </c>
      <c r="I10" s="26" t="s">
        <v>154</v>
      </c>
      <c r="J10" s="26" t="s">
        <v>61</v>
      </c>
      <c r="K10" s="26">
        <v>23</v>
      </c>
      <c r="L10" s="28">
        <v>135.88</v>
      </c>
      <c r="M10" s="28">
        <v>31.25</v>
      </c>
      <c r="N10" s="26" t="s">
        <v>48</v>
      </c>
      <c r="O10" s="28">
        <v>31.25</v>
      </c>
      <c r="P10" s="26" t="s">
        <v>49</v>
      </c>
      <c r="Q10" s="26" t="s">
        <v>157</v>
      </c>
      <c r="R10" s="26" t="s">
        <v>90</v>
      </c>
      <c r="S10" s="27" t="s">
        <v>147</v>
      </c>
    </row>
    <row r="11" spans="1:19" s="24" customFormat="1" ht="15" customHeight="1" x14ac:dyDescent="0.25">
      <c r="A11" s="23" t="s">
        <v>93</v>
      </c>
      <c r="C11" s="23" t="s">
        <v>94</v>
      </c>
      <c r="D11" s="23" t="s">
        <v>44</v>
      </c>
      <c r="E11" s="23">
        <v>1</v>
      </c>
      <c r="F11" s="23" t="s">
        <v>88</v>
      </c>
      <c r="G11" s="23">
        <f t="shared" si="0"/>
        <v>2</v>
      </c>
      <c r="H11" s="23" t="s">
        <v>151</v>
      </c>
      <c r="I11" s="23" t="s">
        <v>152</v>
      </c>
      <c r="J11" s="23" t="s">
        <v>76</v>
      </c>
      <c r="K11" s="23">
        <v>27</v>
      </c>
      <c r="L11" s="25">
        <v>88.47</v>
      </c>
      <c r="M11" s="25">
        <v>23.89</v>
      </c>
      <c r="N11" s="23" t="s">
        <v>48</v>
      </c>
      <c r="O11" s="25">
        <v>23.89</v>
      </c>
      <c r="P11" s="23" t="s">
        <v>49</v>
      </c>
      <c r="Q11" s="23">
        <v>19681796</v>
      </c>
      <c r="R11" s="23" t="s">
        <v>90</v>
      </c>
      <c r="S11" s="24" t="s">
        <v>148</v>
      </c>
    </row>
    <row r="12" spans="1:19" s="24" customFormat="1" ht="15" customHeight="1" x14ac:dyDescent="0.25">
      <c r="A12" s="23" t="s">
        <v>109</v>
      </c>
      <c r="C12" s="23" t="s">
        <v>87</v>
      </c>
      <c r="D12" s="23" t="s">
        <v>44</v>
      </c>
      <c r="E12" s="23">
        <v>1</v>
      </c>
      <c r="F12" s="23" t="s">
        <v>88</v>
      </c>
      <c r="G12" s="23">
        <f t="shared" si="0"/>
        <v>2</v>
      </c>
      <c r="H12" s="23" t="s">
        <v>151</v>
      </c>
      <c r="I12" s="23" t="s">
        <v>152</v>
      </c>
      <c r="J12" s="23" t="s">
        <v>107</v>
      </c>
      <c r="K12" s="23">
        <v>57</v>
      </c>
      <c r="L12" s="25">
        <v>71.989999999999995</v>
      </c>
      <c r="M12" s="25">
        <v>41.03</v>
      </c>
      <c r="N12" s="23" t="s">
        <v>48</v>
      </c>
      <c r="O12" s="25">
        <v>41.03</v>
      </c>
      <c r="P12" s="23" t="s">
        <v>49</v>
      </c>
      <c r="Q12" s="23">
        <v>19681796</v>
      </c>
      <c r="R12" s="23" t="s">
        <v>90</v>
      </c>
      <c r="S12" s="24" t="s">
        <v>149</v>
      </c>
    </row>
    <row r="13" spans="1:19" s="27" customFormat="1" ht="15" customHeight="1" x14ac:dyDescent="0.25">
      <c r="A13" s="26" t="s">
        <v>81</v>
      </c>
      <c r="C13" s="26" t="s">
        <v>82</v>
      </c>
      <c r="D13" s="26" t="s">
        <v>59</v>
      </c>
      <c r="E13" s="26">
        <v>1</v>
      </c>
      <c r="F13" s="26" t="s">
        <v>59</v>
      </c>
      <c r="G13" s="26">
        <f t="shared" si="0"/>
        <v>0</v>
      </c>
      <c r="H13" s="26" t="s">
        <v>153</v>
      </c>
      <c r="I13" s="26" t="s">
        <v>154</v>
      </c>
      <c r="J13" s="26" t="s">
        <v>61</v>
      </c>
      <c r="K13" s="26">
        <v>23</v>
      </c>
      <c r="L13" s="28">
        <v>137.13</v>
      </c>
      <c r="M13" s="28">
        <v>31.54</v>
      </c>
      <c r="N13" s="26" t="s">
        <v>48</v>
      </c>
      <c r="O13" s="28">
        <v>31.54</v>
      </c>
      <c r="P13" s="26" t="s">
        <v>49</v>
      </c>
      <c r="Q13" s="26" t="s">
        <v>158</v>
      </c>
      <c r="R13" s="26" t="s">
        <v>78</v>
      </c>
      <c r="S13" s="27" t="s">
        <v>147</v>
      </c>
    </row>
    <row r="14" spans="1:19" s="24" customFormat="1" ht="15" customHeight="1" x14ac:dyDescent="0.25">
      <c r="A14" s="23" t="s">
        <v>72</v>
      </c>
      <c r="C14" s="23" t="s">
        <v>144</v>
      </c>
      <c r="D14" s="23" t="s">
        <v>44</v>
      </c>
      <c r="E14" s="23">
        <v>1</v>
      </c>
      <c r="F14" s="23" t="s">
        <v>74</v>
      </c>
      <c r="G14" s="23">
        <f t="shared" si="0"/>
        <v>1</v>
      </c>
      <c r="H14" s="23" t="s">
        <v>151</v>
      </c>
      <c r="I14" s="23" t="s">
        <v>152</v>
      </c>
      <c r="J14" s="23" t="s">
        <v>76</v>
      </c>
      <c r="K14" s="23">
        <v>27</v>
      </c>
      <c r="L14" s="25">
        <v>92.21</v>
      </c>
      <c r="M14" s="25">
        <v>24.9</v>
      </c>
      <c r="N14" s="23" t="s">
        <v>48</v>
      </c>
      <c r="O14" s="25">
        <v>24.9</v>
      </c>
      <c r="P14" s="23" t="s">
        <v>49</v>
      </c>
      <c r="Q14" s="23">
        <v>8325282</v>
      </c>
      <c r="R14" s="23" t="s">
        <v>78</v>
      </c>
      <c r="S14" s="24" t="s">
        <v>148</v>
      </c>
    </row>
    <row r="15" spans="1:19" s="24" customFormat="1" ht="15" customHeight="1" x14ac:dyDescent="0.25">
      <c r="A15" s="23" t="s">
        <v>79</v>
      </c>
      <c r="C15" s="23" t="s">
        <v>80</v>
      </c>
      <c r="D15" s="23" t="s">
        <v>44</v>
      </c>
      <c r="E15" s="23">
        <v>1</v>
      </c>
      <c r="F15" s="23" t="s">
        <v>74</v>
      </c>
      <c r="G15" s="23">
        <f t="shared" si="0"/>
        <v>1</v>
      </c>
      <c r="H15" s="23" t="s">
        <v>151</v>
      </c>
      <c r="I15" s="23" t="s">
        <v>152</v>
      </c>
      <c r="J15" s="23" t="s">
        <v>76</v>
      </c>
      <c r="K15" s="23">
        <v>27</v>
      </c>
      <c r="L15" s="25">
        <v>97.96</v>
      </c>
      <c r="M15" s="25">
        <v>26.45</v>
      </c>
      <c r="N15" s="23" t="s">
        <v>48</v>
      </c>
      <c r="O15" s="25">
        <v>26.45</v>
      </c>
      <c r="P15" s="23" t="s">
        <v>49</v>
      </c>
      <c r="Q15" s="23">
        <v>8325282</v>
      </c>
      <c r="R15" s="23" t="s">
        <v>78</v>
      </c>
      <c r="S15" s="24" t="s">
        <v>148</v>
      </c>
    </row>
    <row r="16" spans="1:19" s="27" customFormat="1" ht="15" customHeight="1" x14ac:dyDescent="0.25">
      <c r="A16" s="26" t="s">
        <v>83</v>
      </c>
      <c r="C16" s="26" t="s">
        <v>145</v>
      </c>
      <c r="D16" s="26" t="s">
        <v>85</v>
      </c>
      <c r="E16" s="26">
        <v>1</v>
      </c>
      <c r="F16" s="26" t="s">
        <v>85</v>
      </c>
      <c r="G16" s="26">
        <f t="shared" si="0"/>
        <v>0</v>
      </c>
      <c r="H16" s="26" t="s">
        <v>153</v>
      </c>
      <c r="I16" s="26" t="s">
        <v>154</v>
      </c>
      <c r="J16" s="26" t="s">
        <v>76</v>
      </c>
      <c r="K16" s="26">
        <v>27</v>
      </c>
      <c r="L16" s="28">
        <v>91.74</v>
      </c>
      <c r="M16" s="28">
        <v>24.77</v>
      </c>
      <c r="N16" s="26" t="s">
        <v>48</v>
      </c>
      <c r="O16" s="28">
        <v>24.77</v>
      </c>
      <c r="P16" s="26" t="s">
        <v>49</v>
      </c>
      <c r="Q16" s="26" t="s">
        <v>158</v>
      </c>
      <c r="R16" s="26" t="s">
        <v>78</v>
      </c>
      <c r="S16" s="27" t="s">
        <v>148</v>
      </c>
    </row>
    <row r="17" spans="1:19" s="24" customFormat="1" ht="15" customHeight="1" x14ac:dyDescent="0.25">
      <c r="A17" s="23" t="s">
        <v>112</v>
      </c>
      <c r="C17" s="23" t="s">
        <v>111</v>
      </c>
      <c r="D17" s="23" t="s">
        <v>44</v>
      </c>
      <c r="E17" s="23">
        <v>1</v>
      </c>
      <c r="F17" s="23" t="s">
        <v>69</v>
      </c>
      <c r="G17" s="23">
        <f t="shared" si="0"/>
        <v>4</v>
      </c>
      <c r="H17" s="23" t="s">
        <v>151</v>
      </c>
      <c r="I17" s="23" t="s">
        <v>152</v>
      </c>
      <c r="J17" s="23" t="s">
        <v>107</v>
      </c>
      <c r="K17" s="23">
        <v>57</v>
      </c>
      <c r="L17" s="25">
        <v>138.61000000000001</v>
      </c>
      <c r="M17" s="25">
        <v>79.010000000000005</v>
      </c>
      <c r="N17" s="23" t="s">
        <v>48</v>
      </c>
      <c r="O17" s="25">
        <v>79.010000000000005</v>
      </c>
      <c r="P17" s="23" t="s">
        <v>49</v>
      </c>
      <c r="Q17" s="23">
        <v>8325282</v>
      </c>
      <c r="R17" s="23" t="s">
        <v>78</v>
      </c>
      <c r="S17" s="24" t="s">
        <v>149</v>
      </c>
    </row>
    <row r="18" spans="1:19" s="24" customFormat="1" ht="15" customHeight="1" x14ac:dyDescent="0.25">
      <c r="A18" s="23" t="s">
        <v>118</v>
      </c>
      <c r="C18" s="23" t="s">
        <v>117</v>
      </c>
      <c r="D18" s="23" t="s">
        <v>116</v>
      </c>
      <c r="E18" s="23">
        <v>1</v>
      </c>
      <c r="F18" s="23" t="s">
        <v>115</v>
      </c>
      <c r="G18" s="23">
        <f t="shared" si="0"/>
        <v>4</v>
      </c>
      <c r="H18" s="23" t="s">
        <v>151</v>
      </c>
      <c r="I18" s="23" t="s">
        <v>152</v>
      </c>
      <c r="J18" s="23" t="s">
        <v>113</v>
      </c>
      <c r="K18" s="23">
        <v>65</v>
      </c>
      <c r="L18" s="25">
        <v>34.049999999999997</v>
      </c>
      <c r="M18" s="25">
        <v>22.13</v>
      </c>
      <c r="N18" s="23" t="s">
        <v>48</v>
      </c>
      <c r="O18" s="25">
        <v>22.13</v>
      </c>
      <c r="P18" s="23" t="s">
        <v>49</v>
      </c>
      <c r="Q18" s="23">
        <v>8325282</v>
      </c>
      <c r="R18" s="23" t="s">
        <v>78</v>
      </c>
      <c r="S18" s="24" t="s">
        <v>150</v>
      </c>
    </row>
    <row r="19" spans="1:19" ht="15" customHeight="1" x14ac:dyDescent="0.25"/>
    <row r="20" spans="1:19" ht="15" customHeight="1" x14ac:dyDescent="0.25"/>
    <row r="21" spans="1:19" x14ac:dyDescent="0.25">
      <c r="O21" s="22"/>
    </row>
  </sheetData>
  <sortState xmlns:xlrd2="http://schemas.microsoft.com/office/spreadsheetml/2017/richdata2" ref="A2:AJ18">
    <sortCondition ref="R2:R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Sheet2</vt:lpstr>
      <vt:lpstr>Sheet5</vt:lpstr>
      <vt:lpstr>Sheet1</vt:lpstr>
      <vt:lpstr>Sheet2!Print_Titles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2025-09-02T14:09:42Z</dcterms:created>
  <dcterms:modified xsi:type="dcterms:W3CDTF">2026-02-03T19:04:14Z</dcterms:modified>
</cp:coreProperties>
</file>