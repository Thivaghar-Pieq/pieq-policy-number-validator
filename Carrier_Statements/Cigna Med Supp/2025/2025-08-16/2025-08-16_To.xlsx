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8-16-25 to 8-23-25\"/>
    </mc:Choice>
  </mc:AlternateContent>
  <xr:revisionPtr revIDLastSave="0" documentId="13_ncr:1_{BF6E2CCC-A59D-4CF5-85B3-9270A9968150}" xr6:coauthVersionLast="47" xr6:coauthVersionMax="47" xr10:uidLastSave="{00000000-0000-0000-0000-000000000000}"/>
  <bookViews>
    <workbookView xWindow="-57720" yWindow="-45" windowWidth="29040" windowHeight="15720" activeTab="4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_FilterDatabase" localSheetId="5" hidden="1">Sheet1!$C$2:$Q$18</definedName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F5" i="6"/>
  <c r="F6" i="6"/>
  <c r="F13" i="6"/>
  <c r="F14" i="6"/>
  <c r="F15" i="6"/>
  <c r="F18" i="6"/>
  <c r="F9" i="6"/>
  <c r="F10" i="6"/>
  <c r="F16" i="6"/>
  <c r="F11" i="6"/>
  <c r="F7" i="6"/>
  <c r="F8" i="6"/>
  <c r="F2" i="6"/>
  <c r="F17" i="6"/>
  <c r="F12" i="6"/>
  <c r="F4" i="6"/>
</calcChain>
</file>

<file path=xl/sharedStrings.xml><?xml version="1.0" encoding="utf-8"?>
<sst xmlns="http://schemas.openxmlformats.org/spreadsheetml/2006/main" count="654" uniqueCount="161">
  <si>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</si>
  <si>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</si>
  <si>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</si>
  <si>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</si>
  <si>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</si>
  <si>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</si>
  <si>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08/16/2025 to 08/23/2025</t>
  </si>
  <si>
    <t>Page 1 of 4</t>
  </si>
  <si>
    <t>Run Date:  8/23/2025 5:19:50 PM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</si>
  <si>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</si>
  <si>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</si>
  <si>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</si>
  <si>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</si>
  <si>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</si>
  <si>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</si>
  <si>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</si>
  <si>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</si>
  <si>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</si>
  <si>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</si>
  <si>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</si>
  <si>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</si>
  <si>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</si>
  <si>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</si>
  <si>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</si>
  <si>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</si>
  <si>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</si>
  <si>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</si>
  <si>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</si>
  <si>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</si>
  <si>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</si>
  <si>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</si>
  <si>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</si>
  <si>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</si>
  <si>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</si>
  <si>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</si>
  <si>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</si>
  <si>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</si>
  <si>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</si>
  <si>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</si>
  <si>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</si>
  <si>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CNHIC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</si>
  <si>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</si>
  <si>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</si>
  <si>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</si>
  <si>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</si>
  <si>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</si>
  <si>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</si>
  <si>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</si>
  <si>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</si>
  <si>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</si>
  <si>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</si>
  <si>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60Y0175885</t>
  </si>
  <si>
    <t>HOMANN, RONALD</t>
  </si>
  <si>
    <t>08/01/2025</t>
  </si>
  <si>
    <t>01/01/2025</t>
  </si>
  <si>
    <t>MSM21BM60G</t>
  </si>
  <si>
    <t xml:space="preserve">CNHIC MEDSUP STD PLAN G                 </t>
  </si>
  <si>
    <t>1</t>
  </si>
  <si>
    <t>Earnings Paid</t>
  </si>
  <si>
    <t>08/16/2025</t>
  </si>
  <si>
    <t>CB149612</t>
  </si>
  <si>
    <t>DEATON,PAMELA</t>
  </si>
  <si>
    <t>UW</t>
  </si>
  <si>
    <t>01</t>
  </si>
  <si>
    <t>NO</t>
  </si>
  <si>
    <t>IL</t>
  </si>
  <si>
    <t xml:space="preserve">             </t>
  </si>
  <si>
    <t>60Y0249812</t>
  </si>
  <si>
    <t>MILLER, HARLAN L</t>
  </si>
  <si>
    <t>10/01/2025</t>
  </si>
  <si>
    <t>MIM20BM60G</t>
  </si>
  <si>
    <t xml:space="preserve">CNHIC MEDSUP STD PLAN G (ISSUE AGE)     </t>
  </si>
  <si>
    <t>CB149624</t>
  </si>
  <si>
    <t xml:space="preserve">PORTUGAL,STACEY,A         </t>
  </si>
  <si>
    <t>OE</t>
  </si>
  <si>
    <t>FL</t>
  </si>
  <si>
    <t>999999999999</t>
  </si>
  <si>
    <t>Applied to Neg Adv</t>
  </si>
  <si>
    <t>60Y0183905</t>
  </si>
  <si>
    <t>SMITH, PATRICIA</t>
  </si>
  <si>
    <t>CB149660</t>
  </si>
  <si>
    <t>DUNAVANT,MICHAEL</t>
  </si>
  <si>
    <t>60Y0184711</t>
  </si>
  <si>
    <t>SMITH, BRADFORD</t>
  </si>
  <si>
    <t>60Y0190147</t>
  </si>
  <si>
    <t>DIAMOND, DENESE JACOBY</t>
  </si>
  <si>
    <t>CB149668</t>
  </si>
  <si>
    <t>WALENGA,DALE</t>
  </si>
  <si>
    <t>60Y0233367</t>
  </si>
  <si>
    <t>MONTRIE, MARY</t>
  </si>
  <si>
    <t>07/01/2025</t>
  </si>
  <si>
    <t>60Y0241963</t>
  </si>
  <si>
    <t>OHAGAN, MEDALIT R</t>
  </si>
  <si>
    <t>60Y0241060</t>
  </si>
  <si>
    <t>EICKSTEADT, SHIRLEY A</t>
  </si>
  <si>
    <t>CB150846</t>
  </si>
  <si>
    <t>PETRUNGARO,ANDREA</t>
  </si>
  <si>
    <t>Total Commission Paid</t>
  </si>
  <si>
    <t>PA</t>
  </si>
  <si>
    <t>HE</t>
  </si>
  <si>
    <t>INSKIPT,DEBORAH</t>
  </si>
  <si>
    <t>CB149530</t>
  </si>
  <si>
    <t xml:space="preserve">FLEXIBLE CHOICE DENTAL, VISION, HEARING </t>
  </si>
  <si>
    <t>DVH21BV600</t>
  </si>
  <si>
    <t>06/01/2025</t>
  </si>
  <si>
    <t>ARCURI, TRACIE</t>
  </si>
  <si>
    <t>12Y0832571</t>
  </si>
  <si>
    <t>LOYAL-H&amp;L</t>
  </si>
  <si>
    <t>MCCORKLE,MICHELLE</t>
  </si>
  <si>
    <t>CB149613</t>
  </si>
  <si>
    <t>08/23/2025</t>
  </si>
  <si>
    <t xml:space="preserve">CIC MEDSUP STD PLAN N                   </t>
  </si>
  <si>
    <t>MSM23BM63N</t>
  </si>
  <si>
    <t>SEIFREID, DIANE</t>
  </si>
  <si>
    <t>63Y0054497</t>
  </si>
  <si>
    <t>CIC</t>
  </si>
  <si>
    <t>ST</t>
  </si>
  <si>
    <t>LOVE, GARY</t>
  </si>
  <si>
    <t>63Y0024893</t>
  </si>
  <si>
    <t>FOLEY,CAROL</t>
  </si>
  <si>
    <t>CB149532</t>
  </si>
  <si>
    <t xml:space="preserve">CIC MEDSUP STD PLAN G                   </t>
  </si>
  <si>
    <t>MSM23BM63G</t>
  </si>
  <si>
    <t>PEIFFER, GERALYN A</t>
  </si>
  <si>
    <t>63Y0063811</t>
  </si>
  <si>
    <t xml:space="preserve">Reversal     </t>
  </si>
  <si>
    <t>Earnings Reversal</t>
  </si>
  <si>
    <t>SCHLESS, LAURITS</t>
  </si>
  <si>
    <t>63Y0048516</t>
  </si>
  <si>
    <t>03/01/2025</t>
  </si>
  <si>
    <t>KEEFE, BARBARA J</t>
  </si>
  <si>
    <t>63Y0036528</t>
  </si>
  <si>
    <t>CARBONARA, MELINDA M</t>
  </si>
  <si>
    <t>63Y0032883</t>
  </si>
  <si>
    <t>ADAMSON, NANCY J</t>
  </si>
  <si>
    <t>63Y0025250</t>
  </si>
  <si>
    <t xml:space="preserve">CIC MEDSUP STD PLAN F                   </t>
  </si>
  <si>
    <t>MSM23BM63F</t>
  </si>
  <si>
    <t>ADAMSON, MICHAEL L</t>
  </si>
  <si>
    <t>63Y0025249</t>
  </si>
  <si>
    <t>17528908N</t>
  </si>
  <si>
    <t>18710070N</t>
  </si>
  <si>
    <t>AE</t>
  </si>
  <si>
    <t>RN</t>
  </si>
  <si>
    <t>AV1</t>
  </si>
  <si>
    <t>AV</t>
  </si>
  <si>
    <t>NB</t>
  </si>
  <si>
    <t>CIC MEDSUP STD PLAN N*</t>
  </si>
  <si>
    <t>CIC MEDSUP STD PLAN G, F</t>
  </si>
  <si>
    <t>CIC MEDSUP STD PLAN G, F*</t>
  </si>
  <si>
    <t>CIC MEDSUP STD PLAN N</t>
  </si>
  <si>
    <t>Cigna DENTAL, VISION, HEARING</t>
  </si>
  <si>
    <t>19645587AV6</t>
  </si>
  <si>
    <t>MILLER, HARLAN</t>
  </si>
  <si>
    <t>PEIFFER, GERALYN</t>
  </si>
  <si>
    <t>ADAMSON, MICHAEL</t>
  </si>
  <si>
    <t>ADAMSON, NANCY</t>
  </si>
  <si>
    <t>KEEFE, BARBARA</t>
  </si>
  <si>
    <t>EICKSTEADT, SHIRLEY</t>
  </si>
  <si>
    <t>OHAGAN, MEDALIT</t>
  </si>
  <si>
    <t>CARBONARA, MELINDA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</si>
</sst>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11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  <font>
      <sz val="11"/>
      <name val="Calibri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3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left" vertical="top" wrapText="1" readingOrder="1"/>
    </xf>
    <xf numFmtId="0" fontId="9" fillId="0" borderId="0" xfId="0" applyFont="1" applyAlignment="1">
      <alignment horizontal="left"/>
    </xf>
    <xf numFmtId="0" fontId="10" fillId="2" borderId="0" xfId="0" applyFont="1" applyFill="1" applyAlignment="1">
      <alignment horizontal="left" vertical="top" wrapText="1" readingOrder="1"/>
    </xf>
    <xf numFmtId="0" fontId="10" fillId="0" borderId="0" xfId="0" applyFont="1" applyAlignment="1">
      <alignment horizontal="left" vertical="top" wrapText="1" readingOrder="1"/>
    </xf>
    <xf numFmtId="0" fontId="9" fillId="2" borderId="0" xfId="0" applyFont="1" applyFill="1" applyAlignment="1">
      <alignment horizontal="left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</row>
    <row r="2" spans="1:33" ht="12" customHeight="1" outlineLevel="1" x14ac:dyDescent="0.25">
      <c r="B2" s="21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</row>
    <row r="3" spans="1:33" ht="12" customHeight="1" outlineLevel="1" x14ac:dyDescent="0.25">
      <c r="B3" s="21" t="s">
        <v>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</row>
    <row r="4" spans="1:33" ht="12" customHeight="1" outlineLevel="1" x14ac:dyDescent="0.25">
      <c r="B4" s="21" t="s">
        <v>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workbookViewId="0">
      <pane ySplit="5" topLeftCell="A6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22" t="s">
        <v>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32" x14ac:dyDescent="0.25">
      <c r="A2" s="23" t="s">
        <v>5</v>
      </c>
      <c r="B2" s="20"/>
      <c r="C2" s="20"/>
      <c r="H2" s="24" t="s">
        <v>6</v>
      </c>
      <c r="I2" s="20"/>
      <c r="J2" s="20"/>
      <c r="K2" s="20"/>
      <c r="L2" s="20"/>
      <c r="M2" s="20"/>
      <c r="R2" s="23" t="s">
        <v>7</v>
      </c>
      <c r="S2" s="20"/>
    </row>
    <row r="3" spans="1:32" x14ac:dyDescent="0.25">
      <c r="A3" s="20"/>
      <c r="B3" s="20"/>
      <c r="C3" s="20"/>
      <c r="H3" s="20"/>
      <c r="I3" s="20"/>
      <c r="J3" s="20"/>
      <c r="K3" s="20"/>
      <c r="L3" s="20"/>
      <c r="M3" s="20"/>
      <c r="R3" s="23" t="s">
        <v>8</v>
      </c>
      <c r="S3" s="20"/>
    </row>
    <row r="4" spans="1:32" x14ac:dyDescent="0.25">
      <c r="A4" s="23" t="s">
        <v>9</v>
      </c>
      <c r="B4" s="20"/>
      <c r="C4" s="20"/>
      <c r="D4" s="20"/>
      <c r="E4" s="24" t="s">
        <v>10</v>
      </c>
      <c r="F4" s="20"/>
      <c r="G4" s="20"/>
      <c r="H4" s="20"/>
      <c r="I4" s="20"/>
      <c r="J4" s="20"/>
      <c r="K4" s="20"/>
      <c r="L4" s="20"/>
      <c r="M4" s="20"/>
      <c r="N4" s="20"/>
      <c r="O4" s="20"/>
      <c r="R4" s="20"/>
      <c r="S4" s="20"/>
    </row>
    <row r="5" spans="1:32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26" t="s">
        <v>1</v>
      </c>
      <c r="B6" s="20"/>
      <c r="C6" s="20"/>
      <c r="D6" s="20"/>
      <c r="E6" s="20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27" t="s">
        <v>13</v>
      </c>
      <c r="D8" s="28"/>
      <c r="E8" s="28"/>
      <c r="F8" s="28"/>
      <c r="G8" s="27" t="s">
        <v>14</v>
      </c>
      <c r="H8" s="28"/>
      <c r="I8" s="3" t="s">
        <v>15</v>
      </c>
      <c r="J8" s="3" t="s">
        <v>16</v>
      </c>
      <c r="K8" s="3" t="s">
        <v>17</v>
      </c>
      <c r="L8" s="3" t="s">
        <v>18</v>
      </c>
      <c r="M8" s="27" t="s">
        <v>19</v>
      </c>
      <c r="N8" s="28"/>
      <c r="O8" s="27" t="s">
        <v>20</v>
      </c>
      <c r="P8" s="28"/>
      <c r="Q8" s="27" t="s">
        <v>21</v>
      </c>
      <c r="R8" s="28"/>
      <c r="S8" s="27" t="s">
        <v>22</v>
      </c>
      <c r="T8" s="28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3" t="s">
        <v>34</v>
      </c>
      <c r="B9" s="3" t="s">
        <v>34</v>
      </c>
      <c r="C9" s="27" t="s">
        <v>34</v>
      </c>
      <c r="D9" s="28"/>
      <c r="E9" s="28"/>
      <c r="F9" s="28"/>
      <c r="G9" s="27" t="s">
        <v>34</v>
      </c>
      <c r="H9" s="28"/>
      <c r="I9" s="3" t="s">
        <v>34</v>
      </c>
      <c r="J9" s="3" t="s">
        <v>34</v>
      </c>
      <c r="K9" s="3" t="s">
        <v>34</v>
      </c>
      <c r="L9" s="3" t="s">
        <v>34</v>
      </c>
      <c r="M9" s="27" t="s">
        <v>34</v>
      </c>
      <c r="N9" s="28"/>
      <c r="O9" s="27" t="s">
        <v>34</v>
      </c>
      <c r="P9" s="28"/>
      <c r="Q9" s="27" t="s">
        <v>34</v>
      </c>
      <c r="R9" s="28"/>
      <c r="S9" s="27" t="s">
        <v>35</v>
      </c>
      <c r="T9" s="28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 x14ac:dyDescent="0.25"/>
    <row r="11" spans="1:32" ht="1.7" customHeight="1" x14ac:dyDescent="0.25"/>
  </sheetData>
  <mergeCells count="20"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22" t="s">
        <v>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3" x14ac:dyDescent="0.25">
      <c r="A2" s="23" t="s">
        <v>5</v>
      </c>
      <c r="B2" s="20"/>
      <c r="F2" s="24" t="s">
        <v>6</v>
      </c>
      <c r="G2" s="20"/>
      <c r="H2" s="20"/>
      <c r="I2" s="20"/>
      <c r="L2" s="1" t="s">
        <v>36</v>
      </c>
    </row>
    <row r="3" spans="1:13" x14ac:dyDescent="0.25">
      <c r="A3" s="20"/>
      <c r="B3" s="20"/>
      <c r="F3" s="20"/>
      <c r="G3" s="20"/>
      <c r="H3" s="20"/>
      <c r="I3" s="20"/>
      <c r="L3" s="23" t="s">
        <v>8</v>
      </c>
    </row>
    <row r="4" spans="1:13" x14ac:dyDescent="0.25">
      <c r="A4" s="23" t="s">
        <v>9</v>
      </c>
      <c r="B4" s="20"/>
      <c r="C4" s="20"/>
      <c r="D4" s="24" t="s">
        <v>10</v>
      </c>
      <c r="E4" s="20"/>
      <c r="F4" s="20"/>
      <c r="G4" s="20"/>
      <c r="H4" s="20"/>
      <c r="I4" s="20"/>
      <c r="J4" s="20"/>
      <c r="L4" s="20"/>
    </row>
    <row r="5" spans="1:13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"/>
      <c r="L5" s="2"/>
      <c r="M5" s="2"/>
    </row>
    <row r="6" spans="1:13" ht="18" customHeight="1" x14ac:dyDescent="0.25">
      <c r="A6" s="26" t="s">
        <v>2</v>
      </c>
      <c r="B6" s="20"/>
      <c r="C6" s="20"/>
      <c r="D6" s="20"/>
    </row>
    <row r="7" spans="1:13" ht="9" customHeight="1" x14ac:dyDescent="0.25"/>
    <row r="8" spans="1:13" x14ac:dyDescent="0.25">
      <c r="A8" s="3" t="s">
        <v>12</v>
      </c>
      <c r="B8" s="27" t="s">
        <v>37</v>
      </c>
      <c r="C8" s="28"/>
      <c r="D8" s="28"/>
      <c r="E8" s="28"/>
      <c r="F8" s="28"/>
      <c r="G8" s="3" t="s">
        <v>38</v>
      </c>
      <c r="H8" s="3" t="s">
        <v>39</v>
      </c>
    </row>
    <row r="9" spans="1:13" x14ac:dyDescent="0.25">
      <c r="A9" s="4" t="s">
        <v>40</v>
      </c>
      <c r="B9" s="29" t="s">
        <v>41</v>
      </c>
      <c r="C9" s="20"/>
      <c r="D9" s="20"/>
      <c r="E9" s="20"/>
      <c r="F9" s="20"/>
      <c r="G9" s="5">
        <v>145.16</v>
      </c>
      <c r="H9" s="5">
        <v>0</v>
      </c>
    </row>
    <row r="10" spans="1:13" x14ac:dyDescent="0.25">
      <c r="A10" s="3" t="s">
        <v>42</v>
      </c>
      <c r="B10" s="27" t="s">
        <v>34</v>
      </c>
      <c r="C10" s="28"/>
      <c r="D10" s="28"/>
      <c r="E10" s="28"/>
      <c r="F10" s="28"/>
      <c r="G10" s="6">
        <v>145.16</v>
      </c>
      <c r="H10" s="6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22" t="s">
        <v>4</v>
      </c>
      <c r="B1" s="20"/>
      <c r="C1" s="20"/>
      <c r="D1" s="20"/>
      <c r="E1" s="20"/>
      <c r="F1" s="20"/>
      <c r="G1" s="20"/>
    </row>
    <row r="2" spans="1:8" x14ac:dyDescent="0.25">
      <c r="A2" s="23" t="s">
        <v>5</v>
      </c>
      <c r="D2" s="24" t="s">
        <v>6</v>
      </c>
      <c r="G2" s="1" t="s">
        <v>43</v>
      </c>
    </row>
    <row r="3" spans="1:8" x14ac:dyDescent="0.25">
      <c r="A3" s="20"/>
      <c r="D3" s="20"/>
      <c r="G3" s="23" t="s">
        <v>8</v>
      </c>
    </row>
    <row r="4" spans="1:8" x14ac:dyDescent="0.25">
      <c r="A4" s="23" t="s">
        <v>9</v>
      </c>
      <c r="B4" s="20"/>
      <c r="C4" s="24" t="s">
        <v>10</v>
      </c>
      <c r="D4" s="20"/>
      <c r="E4" s="20"/>
      <c r="G4" s="20"/>
    </row>
    <row r="5" spans="1:8" x14ac:dyDescent="0.25">
      <c r="A5" s="25"/>
      <c r="B5" s="25"/>
      <c r="C5" s="25"/>
      <c r="D5" s="25"/>
      <c r="E5" s="25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8"/>
  <sheetViews>
    <sheetView showGridLines="0" tabSelected="1" topLeftCell="C1" workbookViewId="0">
      <pane ySplit="5" topLeftCell="A6" activePane="bottomLeft" state="frozen"/>
      <selection pane="bottomLeft" activeCell="V19" sqref="V19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22" t="s">
        <v>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33" x14ac:dyDescent="0.25">
      <c r="A2" s="23" t="s">
        <v>5</v>
      </c>
      <c r="B2" s="20"/>
      <c r="C2" s="20"/>
      <c r="H2" s="24" t="s">
        <v>6</v>
      </c>
      <c r="I2" s="20"/>
      <c r="J2" s="20"/>
      <c r="K2" s="20"/>
      <c r="L2" s="20"/>
      <c r="M2" s="20"/>
      <c r="R2" s="23" t="s">
        <v>44</v>
      </c>
      <c r="S2" s="20"/>
      <c r="T2" s="20"/>
    </row>
    <row r="3" spans="1:33" x14ac:dyDescent="0.25">
      <c r="A3" s="20"/>
      <c r="B3" s="20"/>
      <c r="C3" s="20"/>
      <c r="H3" s="20"/>
      <c r="I3" s="20"/>
      <c r="J3" s="20"/>
      <c r="K3" s="20"/>
      <c r="L3" s="20"/>
      <c r="M3" s="20"/>
      <c r="R3" s="23" t="s">
        <v>8</v>
      </c>
      <c r="S3" s="20"/>
      <c r="T3" s="20"/>
    </row>
    <row r="4" spans="1:33" x14ac:dyDescent="0.25">
      <c r="A4" s="23" t="s">
        <v>9</v>
      </c>
      <c r="B4" s="20"/>
      <c r="C4" s="20"/>
      <c r="D4" s="20"/>
      <c r="E4" s="24" t="s">
        <v>10</v>
      </c>
      <c r="F4" s="20"/>
      <c r="G4" s="20"/>
      <c r="H4" s="20"/>
      <c r="I4" s="20"/>
      <c r="J4" s="20"/>
      <c r="K4" s="20"/>
      <c r="L4" s="20"/>
      <c r="M4" s="20"/>
      <c r="N4" s="20"/>
      <c r="O4" s="20"/>
      <c r="R4" s="20"/>
      <c r="S4" s="20"/>
      <c r="T4" s="20"/>
    </row>
    <row r="5" spans="1:33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26" t="s">
        <v>3</v>
      </c>
      <c r="B6" s="20"/>
      <c r="C6" s="20"/>
      <c r="D6" s="20"/>
      <c r="E6" s="20"/>
      <c r="F6" s="20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27" t="s">
        <v>13</v>
      </c>
      <c r="D8" s="28"/>
      <c r="E8" s="28"/>
      <c r="F8" s="27" t="s">
        <v>14</v>
      </c>
      <c r="G8" s="28"/>
      <c r="H8" s="28"/>
      <c r="I8" s="3" t="s">
        <v>45</v>
      </c>
      <c r="J8" s="3" t="s">
        <v>46</v>
      </c>
      <c r="K8" s="3" t="s">
        <v>15</v>
      </c>
      <c r="L8" s="3" t="s">
        <v>16</v>
      </c>
      <c r="M8" s="27" t="s">
        <v>17</v>
      </c>
      <c r="N8" s="28"/>
      <c r="O8" s="3" t="s">
        <v>18</v>
      </c>
      <c r="P8" s="3" t="s">
        <v>19</v>
      </c>
      <c r="Q8" s="27" t="s">
        <v>47</v>
      </c>
      <c r="R8" s="28"/>
      <c r="S8" s="3" t="s">
        <v>3</v>
      </c>
      <c r="T8" s="27" t="s">
        <v>22</v>
      </c>
      <c r="U8" s="28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50</v>
      </c>
      <c r="B9" s="4" t="s">
        <v>40</v>
      </c>
      <c r="C9" s="29" t="s">
        <v>51</v>
      </c>
      <c r="D9" s="20"/>
      <c r="E9" s="20"/>
      <c r="F9" s="29" t="s">
        <v>52</v>
      </c>
      <c r="G9" s="20"/>
      <c r="H9" s="20"/>
      <c r="I9" s="4" t="s">
        <v>53</v>
      </c>
      <c r="J9" s="4">
        <v>1</v>
      </c>
      <c r="K9" s="4" t="s">
        <v>54</v>
      </c>
      <c r="L9" s="4" t="s">
        <v>55</v>
      </c>
      <c r="M9" s="29" t="s">
        <v>56</v>
      </c>
      <c r="N9" s="20"/>
      <c r="O9" s="4" t="s">
        <v>57</v>
      </c>
      <c r="P9" s="4">
        <v>23</v>
      </c>
      <c r="Q9" s="30">
        <v>127.28</v>
      </c>
      <c r="R9" s="20"/>
      <c r="S9" s="5">
        <v>29.27</v>
      </c>
      <c r="T9" s="29" t="s">
        <v>58</v>
      </c>
      <c r="U9" s="20"/>
      <c r="V9" s="5">
        <v>29.27</v>
      </c>
      <c r="W9" s="4" t="s">
        <v>59</v>
      </c>
      <c r="X9" s="4" t="s">
        <v>60</v>
      </c>
      <c r="Y9" s="4" t="s">
        <v>61</v>
      </c>
      <c r="Z9" s="4" t="s">
        <v>62</v>
      </c>
      <c r="AA9" s="4" t="s">
        <v>63</v>
      </c>
      <c r="AB9" s="4" t="s">
        <v>64</v>
      </c>
      <c r="AC9" s="4" t="s">
        <v>65</v>
      </c>
      <c r="AD9" s="4">
        <v>0</v>
      </c>
      <c r="AE9" s="4"/>
      <c r="AF9" s="4" t="s">
        <v>66</v>
      </c>
    </row>
    <row r="10" spans="1:33" ht="22.5" x14ac:dyDescent="0.25">
      <c r="A10" s="4" t="s">
        <v>50</v>
      </c>
      <c r="B10" s="4" t="s">
        <v>40</v>
      </c>
      <c r="C10" s="29" t="s">
        <v>67</v>
      </c>
      <c r="D10" s="20"/>
      <c r="E10" s="20"/>
      <c r="F10" s="29" t="s">
        <v>68</v>
      </c>
      <c r="G10" s="20"/>
      <c r="H10" s="20"/>
      <c r="I10" s="4" t="s">
        <v>69</v>
      </c>
      <c r="J10" s="4">
        <v>1</v>
      </c>
      <c r="K10" s="4" t="s">
        <v>69</v>
      </c>
      <c r="L10" s="4" t="s">
        <v>70</v>
      </c>
      <c r="M10" s="29" t="s">
        <v>71</v>
      </c>
      <c r="N10" s="20"/>
      <c r="O10" s="4" t="s">
        <v>57</v>
      </c>
      <c r="P10" s="4">
        <v>22</v>
      </c>
      <c r="Q10" s="30">
        <v>290.17</v>
      </c>
      <c r="R10" s="20"/>
      <c r="S10" s="5">
        <v>63.84</v>
      </c>
      <c r="T10" s="29" t="s">
        <v>58</v>
      </c>
      <c r="U10" s="20"/>
      <c r="V10" s="5">
        <v>63.84</v>
      </c>
      <c r="W10" s="4" t="s">
        <v>59</v>
      </c>
      <c r="X10" s="4" t="s">
        <v>72</v>
      </c>
      <c r="Y10" s="4" t="s">
        <v>73</v>
      </c>
      <c r="Z10" s="4" t="s">
        <v>74</v>
      </c>
      <c r="AA10" s="4" t="s">
        <v>63</v>
      </c>
      <c r="AB10" s="4" t="s">
        <v>64</v>
      </c>
      <c r="AC10" s="4" t="s">
        <v>75</v>
      </c>
      <c r="AD10" s="4">
        <v>0</v>
      </c>
      <c r="AE10" s="4"/>
      <c r="AF10" s="4" t="s">
        <v>66</v>
      </c>
    </row>
    <row r="11" spans="1:33" x14ac:dyDescent="0.25">
      <c r="A11" s="4" t="s">
        <v>50</v>
      </c>
      <c r="B11" s="4" t="s">
        <v>40</v>
      </c>
      <c r="C11" s="29" t="s">
        <v>76</v>
      </c>
      <c r="D11" s="20"/>
      <c r="E11" s="20"/>
      <c r="F11" s="29" t="s">
        <v>34</v>
      </c>
      <c r="G11" s="20"/>
      <c r="H11" s="20"/>
      <c r="I11" s="4" t="s">
        <v>69</v>
      </c>
      <c r="J11" s="4">
        <v>1</v>
      </c>
      <c r="K11" s="4"/>
      <c r="L11" s="4" t="s">
        <v>70</v>
      </c>
      <c r="M11" s="29"/>
      <c r="N11" s="20"/>
      <c r="O11" s="4" t="s">
        <v>34</v>
      </c>
      <c r="P11" s="4">
        <v>0</v>
      </c>
      <c r="Q11" s="30">
        <v>0</v>
      </c>
      <c r="R11" s="20"/>
      <c r="S11" s="5">
        <v>0</v>
      </c>
      <c r="T11" s="29" t="s">
        <v>77</v>
      </c>
      <c r="U11" s="20"/>
      <c r="V11" s="5">
        <v>-135</v>
      </c>
      <c r="W11" s="4" t="s">
        <v>59</v>
      </c>
      <c r="X11" s="4" t="s">
        <v>72</v>
      </c>
      <c r="Y11" s="4" t="s">
        <v>34</v>
      </c>
      <c r="Z11" s="4"/>
      <c r="AA11" s="4"/>
      <c r="AB11" s="4"/>
      <c r="AC11" s="4" t="s">
        <v>75</v>
      </c>
      <c r="AD11" s="4">
        <v>0</v>
      </c>
      <c r="AE11" s="4"/>
      <c r="AF11" s="4" t="s">
        <v>66</v>
      </c>
    </row>
    <row r="12" spans="1:33" x14ac:dyDescent="0.25">
      <c r="A12" s="4" t="s">
        <v>50</v>
      </c>
      <c r="B12" s="4" t="s">
        <v>40</v>
      </c>
      <c r="C12" s="29" t="s">
        <v>78</v>
      </c>
      <c r="D12" s="20"/>
      <c r="E12" s="20"/>
      <c r="F12" s="29" t="s">
        <v>79</v>
      </c>
      <c r="G12" s="20"/>
      <c r="H12" s="20"/>
      <c r="I12" s="4" t="s">
        <v>53</v>
      </c>
      <c r="J12" s="4">
        <v>1</v>
      </c>
      <c r="K12" s="4" t="s">
        <v>54</v>
      </c>
      <c r="L12" s="4" t="s">
        <v>55</v>
      </c>
      <c r="M12" s="29" t="s">
        <v>56</v>
      </c>
      <c r="N12" s="20"/>
      <c r="O12" s="4" t="s">
        <v>57</v>
      </c>
      <c r="P12" s="4">
        <v>23</v>
      </c>
      <c r="Q12" s="30">
        <v>96.08</v>
      </c>
      <c r="R12" s="20"/>
      <c r="S12" s="5">
        <v>22.1</v>
      </c>
      <c r="T12" s="29" t="s">
        <v>58</v>
      </c>
      <c r="U12" s="20"/>
      <c r="V12" s="5">
        <v>22.1</v>
      </c>
      <c r="W12" s="4" t="s">
        <v>59</v>
      </c>
      <c r="X12" s="4" t="s">
        <v>80</v>
      </c>
      <c r="Y12" s="4" t="s">
        <v>81</v>
      </c>
      <c r="Z12" s="4" t="s">
        <v>62</v>
      </c>
      <c r="AA12" s="4" t="s">
        <v>63</v>
      </c>
      <c r="AB12" s="4" t="s">
        <v>64</v>
      </c>
      <c r="AC12" s="4" t="s">
        <v>65</v>
      </c>
      <c r="AD12" s="4">
        <v>0</v>
      </c>
      <c r="AE12" s="4"/>
      <c r="AF12" s="4" t="s">
        <v>66</v>
      </c>
    </row>
    <row r="13" spans="1:33" x14ac:dyDescent="0.25">
      <c r="A13" s="4" t="s">
        <v>50</v>
      </c>
      <c r="B13" s="4" t="s">
        <v>40</v>
      </c>
      <c r="C13" s="29" t="s">
        <v>82</v>
      </c>
      <c r="D13" s="20"/>
      <c r="E13" s="20"/>
      <c r="F13" s="29" t="s">
        <v>83</v>
      </c>
      <c r="G13" s="20"/>
      <c r="H13" s="20"/>
      <c r="I13" s="4" t="s">
        <v>53</v>
      </c>
      <c r="J13" s="4">
        <v>1</v>
      </c>
      <c r="K13" s="4" t="s">
        <v>54</v>
      </c>
      <c r="L13" s="4" t="s">
        <v>55</v>
      </c>
      <c r="M13" s="29" t="s">
        <v>56</v>
      </c>
      <c r="N13" s="20"/>
      <c r="O13" s="4" t="s">
        <v>57</v>
      </c>
      <c r="P13" s="4">
        <v>23</v>
      </c>
      <c r="Q13" s="30">
        <v>108.32</v>
      </c>
      <c r="R13" s="20"/>
      <c r="S13" s="5">
        <v>24.91</v>
      </c>
      <c r="T13" s="29" t="s">
        <v>58</v>
      </c>
      <c r="U13" s="20"/>
      <c r="V13" s="5">
        <v>24.91</v>
      </c>
      <c r="W13" s="4" t="s">
        <v>59</v>
      </c>
      <c r="X13" s="4" t="s">
        <v>80</v>
      </c>
      <c r="Y13" s="4" t="s">
        <v>81</v>
      </c>
      <c r="Z13" s="4" t="s">
        <v>62</v>
      </c>
      <c r="AA13" s="4" t="s">
        <v>63</v>
      </c>
      <c r="AB13" s="4" t="s">
        <v>64</v>
      </c>
      <c r="AC13" s="4" t="s">
        <v>65</v>
      </c>
      <c r="AD13" s="4">
        <v>0</v>
      </c>
      <c r="AE13" s="4"/>
      <c r="AF13" s="4" t="s">
        <v>66</v>
      </c>
    </row>
    <row r="14" spans="1:33" x14ac:dyDescent="0.25">
      <c r="A14" s="4" t="s">
        <v>50</v>
      </c>
      <c r="B14" s="4" t="s">
        <v>40</v>
      </c>
      <c r="C14" s="29" t="s">
        <v>84</v>
      </c>
      <c r="D14" s="20"/>
      <c r="E14" s="20"/>
      <c r="F14" s="29" t="s">
        <v>85</v>
      </c>
      <c r="G14" s="20"/>
      <c r="H14" s="20"/>
      <c r="I14" s="4" t="s">
        <v>53</v>
      </c>
      <c r="J14" s="4">
        <v>1</v>
      </c>
      <c r="K14" s="4" t="s">
        <v>54</v>
      </c>
      <c r="L14" s="4" t="s">
        <v>55</v>
      </c>
      <c r="M14" s="29" t="s">
        <v>56</v>
      </c>
      <c r="N14" s="20"/>
      <c r="O14" s="4" t="s">
        <v>57</v>
      </c>
      <c r="P14" s="4">
        <v>23</v>
      </c>
      <c r="Q14" s="30">
        <v>152.83000000000001</v>
      </c>
      <c r="R14" s="20"/>
      <c r="S14" s="5">
        <v>35.15</v>
      </c>
      <c r="T14" s="29" t="s">
        <v>58</v>
      </c>
      <c r="U14" s="20"/>
      <c r="V14" s="5">
        <v>35.15</v>
      </c>
      <c r="W14" s="4" t="s">
        <v>59</v>
      </c>
      <c r="X14" s="4" t="s">
        <v>86</v>
      </c>
      <c r="Y14" s="4" t="s">
        <v>87</v>
      </c>
      <c r="Z14" s="4" t="s">
        <v>62</v>
      </c>
      <c r="AA14" s="4" t="s">
        <v>63</v>
      </c>
      <c r="AB14" s="4" t="s">
        <v>64</v>
      </c>
      <c r="AC14" s="4" t="s">
        <v>65</v>
      </c>
      <c r="AD14" s="4">
        <v>0</v>
      </c>
      <c r="AE14" s="4"/>
      <c r="AF14" s="4" t="s">
        <v>66</v>
      </c>
    </row>
    <row r="15" spans="1:33" x14ac:dyDescent="0.25">
      <c r="A15" s="4" t="s">
        <v>50</v>
      </c>
      <c r="B15" s="4" t="s">
        <v>40</v>
      </c>
      <c r="C15" s="29" t="s">
        <v>88</v>
      </c>
      <c r="D15" s="20"/>
      <c r="E15" s="20"/>
      <c r="F15" s="29" t="s">
        <v>89</v>
      </c>
      <c r="G15" s="20"/>
      <c r="H15" s="20"/>
      <c r="I15" s="4" t="s">
        <v>53</v>
      </c>
      <c r="J15" s="4">
        <v>1</v>
      </c>
      <c r="K15" s="4" t="s">
        <v>90</v>
      </c>
      <c r="L15" s="4" t="s">
        <v>55</v>
      </c>
      <c r="M15" s="29" t="s">
        <v>56</v>
      </c>
      <c r="N15" s="20"/>
      <c r="O15" s="4" t="s">
        <v>57</v>
      </c>
      <c r="P15" s="4">
        <v>23</v>
      </c>
      <c r="Q15" s="30">
        <v>128.9</v>
      </c>
      <c r="R15" s="20"/>
      <c r="S15" s="5">
        <v>29.65</v>
      </c>
      <c r="T15" s="29" t="s">
        <v>58</v>
      </c>
      <c r="U15" s="20"/>
      <c r="V15" s="5">
        <v>29.65</v>
      </c>
      <c r="W15" s="4" t="s">
        <v>59</v>
      </c>
      <c r="X15" s="4" t="s">
        <v>86</v>
      </c>
      <c r="Y15" s="4" t="s">
        <v>87</v>
      </c>
      <c r="Z15" s="4" t="s">
        <v>74</v>
      </c>
      <c r="AA15" s="4" t="s">
        <v>63</v>
      </c>
      <c r="AB15" s="4" t="s">
        <v>64</v>
      </c>
      <c r="AC15" s="4" t="s">
        <v>65</v>
      </c>
      <c r="AD15" s="4">
        <v>0</v>
      </c>
      <c r="AE15" s="4"/>
      <c r="AF15" s="4" t="s">
        <v>66</v>
      </c>
    </row>
    <row r="16" spans="1:33" x14ac:dyDescent="0.25">
      <c r="A16" s="4" t="s">
        <v>50</v>
      </c>
      <c r="B16" s="4" t="s">
        <v>40</v>
      </c>
      <c r="C16" s="29" t="s">
        <v>91</v>
      </c>
      <c r="D16" s="20"/>
      <c r="E16" s="20"/>
      <c r="F16" s="29" t="s">
        <v>92</v>
      </c>
      <c r="G16" s="20"/>
      <c r="H16" s="20"/>
      <c r="I16" s="4" t="s">
        <v>53</v>
      </c>
      <c r="J16" s="4">
        <v>1</v>
      </c>
      <c r="K16" s="4" t="s">
        <v>90</v>
      </c>
      <c r="L16" s="4" t="s">
        <v>55</v>
      </c>
      <c r="M16" s="29" t="s">
        <v>56</v>
      </c>
      <c r="N16" s="20"/>
      <c r="O16" s="4" t="s">
        <v>57</v>
      </c>
      <c r="P16" s="4">
        <v>23</v>
      </c>
      <c r="Q16" s="30">
        <v>128.9</v>
      </c>
      <c r="R16" s="20"/>
      <c r="S16" s="5">
        <v>29.65</v>
      </c>
      <c r="T16" s="29" t="s">
        <v>58</v>
      </c>
      <c r="U16" s="20"/>
      <c r="V16" s="5">
        <v>29.65</v>
      </c>
      <c r="W16" s="4" t="s">
        <v>59</v>
      </c>
      <c r="X16" s="4" t="s">
        <v>86</v>
      </c>
      <c r="Y16" s="4" t="s">
        <v>87</v>
      </c>
      <c r="Z16" s="4" t="s">
        <v>74</v>
      </c>
      <c r="AA16" s="4" t="s">
        <v>63</v>
      </c>
      <c r="AB16" s="4" t="s">
        <v>64</v>
      </c>
      <c r="AC16" s="4" t="s">
        <v>65</v>
      </c>
      <c r="AD16" s="4">
        <v>0</v>
      </c>
      <c r="AE16" s="4"/>
      <c r="AF16" s="4" t="s">
        <v>66</v>
      </c>
    </row>
    <row r="17" spans="1:32" x14ac:dyDescent="0.25">
      <c r="A17" s="4" t="s">
        <v>50</v>
      </c>
      <c r="B17" s="4" t="s">
        <v>107</v>
      </c>
      <c r="C17" s="29" t="s">
        <v>106</v>
      </c>
      <c r="D17" s="20"/>
      <c r="E17" s="20"/>
      <c r="F17" s="29" t="s">
        <v>105</v>
      </c>
      <c r="G17" s="20"/>
      <c r="H17" s="20"/>
      <c r="I17" s="4" t="s">
        <v>53</v>
      </c>
      <c r="J17" s="4">
        <v>1</v>
      </c>
      <c r="K17" s="4" t="s">
        <v>104</v>
      </c>
      <c r="L17" s="4" t="s">
        <v>103</v>
      </c>
      <c r="M17" s="29" t="s">
        <v>102</v>
      </c>
      <c r="N17" s="20"/>
      <c r="O17" s="4" t="s">
        <v>57</v>
      </c>
      <c r="P17" s="4">
        <v>57</v>
      </c>
      <c r="Q17" s="30">
        <v>41.53</v>
      </c>
      <c r="R17" s="20"/>
      <c r="S17" s="5">
        <v>23.67</v>
      </c>
      <c r="T17" s="29" t="s">
        <v>58</v>
      </c>
      <c r="U17" s="20"/>
      <c r="V17" s="5">
        <v>23.67</v>
      </c>
      <c r="W17" s="4" t="s">
        <v>59</v>
      </c>
      <c r="X17" s="4" t="s">
        <v>101</v>
      </c>
      <c r="Y17" s="4" t="s">
        <v>100</v>
      </c>
      <c r="Z17" s="4"/>
      <c r="AA17" s="4" t="s">
        <v>99</v>
      </c>
      <c r="AB17" s="4" t="s">
        <v>64</v>
      </c>
      <c r="AC17" s="4" t="s">
        <v>98</v>
      </c>
      <c r="AD17" s="4">
        <v>0</v>
      </c>
      <c r="AE17" s="4"/>
      <c r="AF17" s="4" t="s">
        <v>66</v>
      </c>
    </row>
    <row r="18" spans="1:32" x14ac:dyDescent="0.25">
      <c r="A18" s="4" t="s">
        <v>50</v>
      </c>
      <c r="B18" s="4" t="s">
        <v>115</v>
      </c>
      <c r="C18" s="29" t="s">
        <v>139</v>
      </c>
      <c r="D18" s="20"/>
      <c r="E18" s="20"/>
      <c r="F18" s="29" t="s">
        <v>138</v>
      </c>
      <c r="G18" s="20"/>
      <c r="H18" s="20"/>
      <c r="I18" s="4" t="s">
        <v>53</v>
      </c>
      <c r="J18" s="4">
        <v>1</v>
      </c>
      <c r="K18" s="4" t="s">
        <v>54</v>
      </c>
      <c r="L18" s="4" t="s">
        <v>137</v>
      </c>
      <c r="M18" s="29" t="s">
        <v>136</v>
      </c>
      <c r="N18" s="20"/>
      <c r="O18" s="4" t="s">
        <v>57</v>
      </c>
      <c r="P18" s="4">
        <v>23</v>
      </c>
      <c r="Q18" s="30">
        <v>115.87</v>
      </c>
      <c r="R18" s="20"/>
      <c r="S18" s="5">
        <v>26.65</v>
      </c>
      <c r="T18" s="29" t="s">
        <v>58</v>
      </c>
      <c r="U18" s="20"/>
      <c r="V18" s="5">
        <v>26.65</v>
      </c>
      <c r="W18" s="4" t="s">
        <v>110</v>
      </c>
      <c r="X18" s="4" t="s">
        <v>101</v>
      </c>
      <c r="Y18" s="4" t="s">
        <v>100</v>
      </c>
      <c r="Z18" s="4" t="s">
        <v>62</v>
      </c>
      <c r="AA18" s="4" t="s">
        <v>63</v>
      </c>
      <c r="AB18" s="4" t="s">
        <v>64</v>
      </c>
      <c r="AC18" s="4" t="s">
        <v>98</v>
      </c>
      <c r="AD18" s="4">
        <v>0</v>
      </c>
      <c r="AE18" s="4"/>
      <c r="AF18" s="4" t="s">
        <v>66</v>
      </c>
    </row>
    <row r="19" spans="1:32" x14ac:dyDescent="0.25">
      <c r="A19" s="4" t="s">
        <v>50</v>
      </c>
      <c r="B19" s="4" t="s">
        <v>115</v>
      </c>
      <c r="C19" s="29" t="s">
        <v>135</v>
      </c>
      <c r="D19" s="20"/>
      <c r="E19" s="20"/>
      <c r="F19" s="29" t="s">
        <v>134</v>
      </c>
      <c r="G19" s="20"/>
      <c r="H19" s="20"/>
      <c r="I19" s="4" t="s">
        <v>53</v>
      </c>
      <c r="J19" s="4">
        <v>1</v>
      </c>
      <c r="K19" s="4" t="s">
        <v>54</v>
      </c>
      <c r="L19" s="4" t="s">
        <v>122</v>
      </c>
      <c r="M19" s="29" t="s">
        <v>121</v>
      </c>
      <c r="N19" s="20"/>
      <c r="O19" s="4" t="s">
        <v>57</v>
      </c>
      <c r="P19" s="4">
        <v>23</v>
      </c>
      <c r="Q19" s="30">
        <v>99.06</v>
      </c>
      <c r="R19" s="20"/>
      <c r="S19" s="5">
        <v>22.78</v>
      </c>
      <c r="T19" s="29" t="s">
        <v>58</v>
      </c>
      <c r="U19" s="20"/>
      <c r="V19" s="5">
        <v>22.78</v>
      </c>
      <c r="W19" s="4" t="s">
        <v>110</v>
      </c>
      <c r="X19" s="4" t="s">
        <v>101</v>
      </c>
      <c r="Y19" s="4" t="s">
        <v>100</v>
      </c>
      <c r="Z19" s="4" t="s">
        <v>62</v>
      </c>
      <c r="AA19" s="4" t="s">
        <v>63</v>
      </c>
      <c r="AB19" s="4" t="s">
        <v>64</v>
      </c>
      <c r="AC19" s="4" t="s">
        <v>98</v>
      </c>
      <c r="AD19" s="4">
        <v>0</v>
      </c>
      <c r="AE19" s="4"/>
      <c r="AF19" s="4" t="s">
        <v>66</v>
      </c>
    </row>
    <row r="20" spans="1:32" x14ac:dyDescent="0.25">
      <c r="A20" s="4" t="s">
        <v>50</v>
      </c>
      <c r="B20" s="4" t="s">
        <v>115</v>
      </c>
      <c r="C20" s="29" t="s">
        <v>133</v>
      </c>
      <c r="D20" s="20"/>
      <c r="E20" s="20"/>
      <c r="F20" s="29" t="s">
        <v>132</v>
      </c>
      <c r="G20" s="20"/>
      <c r="H20" s="20"/>
      <c r="I20" s="4" t="s">
        <v>53</v>
      </c>
      <c r="J20" s="4">
        <v>1</v>
      </c>
      <c r="K20" s="4" t="s">
        <v>54</v>
      </c>
      <c r="L20" s="4" t="s">
        <v>112</v>
      </c>
      <c r="M20" s="29" t="s">
        <v>111</v>
      </c>
      <c r="N20" s="20"/>
      <c r="O20" s="4" t="s">
        <v>57</v>
      </c>
      <c r="P20" s="4">
        <v>27</v>
      </c>
      <c r="Q20" s="30">
        <v>65.66</v>
      </c>
      <c r="R20" s="20"/>
      <c r="S20" s="5">
        <v>17.73</v>
      </c>
      <c r="T20" s="29" t="s">
        <v>58</v>
      </c>
      <c r="U20" s="20"/>
      <c r="V20" s="5">
        <v>17.73</v>
      </c>
      <c r="W20" s="4" t="s">
        <v>110</v>
      </c>
      <c r="X20" s="4" t="s">
        <v>101</v>
      </c>
      <c r="Y20" s="4" t="s">
        <v>100</v>
      </c>
      <c r="Z20" s="4" t="s">
        <v>74</v>
      </c>
      <c r="AA20" s="4" t="s">
        <v>63</v>
      </c>
      <c r="AB20" s="4" t="s">
        <v>64</v>
      </c>
      <c r="AC20" s="4" t="s">
        <v>98</v>
      </c>
      <c r="AD20" s="4">
        <v>0</v>
      </c>
      <c r="AE20" s="4"/>
      <c r="AF20" s="4" t="s">
        <v>66</v>
      </c>
    </row>
    <row r="21" spans="1:32" x14ac:dyDescent="0.25">
      <c r="A21" s="4" t="s">
        <v>50</v>
      </c>
      <c r="B21" s="4" t="s">
        <v>115</v>
      </c>
      <c r="C21" s="29" t="s">
        <v>131</v>
      </c>
      <c r="D21" s="20"/>
      <c r="E21" s="20"/>
      <c r="F21" s="29" t="s">
        <v>130</v>
      </c>
      <c r="G21" s="20"/>
      <c r="H21" s="20"/>
      <c r="I21" s="4" t="s">
        <v>53</v>
      </c>
      <c r="J21" s="4">
        <v>1</v>
      </c>
      <c r="K21" s="4" t="s">
        <v>129</v>
      </c>
      <c r="L21" s="4" t="s">
        <v>122</v>
      </c>
      <c r="M21" s="29" t="s">
        <v>121</v>
      </c>
      <c r="N21" s="20"/>
      <c r="O21" s="4" t="s">
        <v>57</v>
      </c>
      <c r="P21" s="4">
        <v>23</v>
      </c>
      <c r="Q21" s="30">
        <v>123.83</v>
      </c>
      <c r="R21" s="20"/>
      <c r="S21" s="5">
        <v>28.48</v>
      </c>
      <c r="T21" s="29" t="s">
        <v>58</v>
      </c>
      <c r="U21" s="20"/>
      <c r="V21" s="5">
        <v>28.48</v>
      </c>
      <c r="W21" s="4" t="s">
        <v>110</v>
      </c>
      <c r="X21" s="4" t="s">
        <v>101</v>
      </c>
      <c r="Y21" s="4" t="s">
        <v>100</v>
      </c>
      <c r="Z21" s="4" t="s">
        <v>74</v>
      </c>
      <c r="AA21" s="4" t="s">
        <v>63</v>
      </c>
      <c r="AB21" s="4" t="s">
        <v>64</v>
      </c>
      <c r="AC21" s="4" t="s">
        <v>98</v>
      </c>
      <c r="AD21" s="4">
        <v>0</v>
      </c>
      <c r="AE21" s="4"/>
      <c r="AF21" s="4" t="s">
        <v>66</v>
      </c>
    </row>
    <row r="22" spans="1:32" x14ac:dyDescent="0.25">
      <c r="A22" s="4" t="s">
        <v>50</v>
      </c>
      <c r="B22" s="4" t="s">
        <v>115</v>
      </c>
      <c r="C22" s="29" t="s">
        <v>128</v>
      </c>
      <c r="D22" s="20"/>
      <c r="E22" s="20"/>
      <c r="F22" s="29" t="s">
        <v>127</v>
      </c>
      <c r="G22" s="20"/>
      <c r="H22" s="20"/>
      <c r="I22" s="4" t="s">
        <v>53</v>
      </c>
      <c r="J22" s="4">
        <v>1</v>
      </c>
      <c r="K22" s="4" t="s">
        <v>53</v>
      </c>
      <c r="L22" s="4" t="s">
        <v>122</v>
      </c>
      <c r="M22" s="29" t="s">
        <v>121</v>
      </c>
      <c r="N22" s="20"/>
      <c r="O22" s="4" t="s">
        <v>57</v>
      </c>
      <c r="P22" s="4">
        <v>23</v>
      </c>
      <c r="Q22" s="30">
        <v>-165.36</v>
      </c>
      <c r="R22" s="20"/>
      <c r="S22" s="5">
        <v>-38.03</v>
      </c>
      <c r="T22" s="29" t="s">
        <v>126</v>
      </c>
      <c r="U22" s="20"/>
      <c r="V22" s="5">
        <v>-38.03</v>
      </c>
      <c r="W22" s="4" t="s">
        <v>110</v>
      </c>
      <c r="X22" s="4" t="s">
        <v>120</v>
      </c>
      <c r="Y22" s="4" t="s">
        <v>119</v>
      </c>
      <c r="Z22" s="4"/>
      <c r="AA22" s="4" t="s">
        <v>63</v>
      </c>
      <c r="AB22" s="4" t="s">
        <v>64</v>
      </c>
      <c r="AC22" s="4" t="s">
        <v>98</v>
      </c>
      <c r="AD22" s="4">
        <v>0</v>
      </c>
      <c r="AE22" s="4"/>
      <c r="AF22" s="4" t="s">
        <v>125</v>
      </c>
    </row>
    <row r="23" spans="1:32" x14ac:dyDescent="0.25">
      <c r="A23" s="4" t="s">
        <v>50</v>
      </c>
      <c r="B23" s="4" t="s">
        <v>115</v>
      </c>
      <c r="C23" s="29" t="s">
        <v>124</v>
      </c>
      <c r="D23" s="20"/>
      <c r="E23" s="20"/>
      <c r="F23" s="29" t="s">
        <v>123</v>
      </c>
      <c r="G23" s="20"/>
      <c r="H23" s="20"/>
      <c r="I23" s="4" t="s">
        <v>69</v>
      </c>
      <c r="J23" s="4">
        <v>1</v>
      </c>
      <c r="K23" s="4" t="s">
        <v>69</v>
      </c>
      <c r="L23" s="4" t="s">
        <v>122</v>
      </c>
      <c r="M23" s="29" t="s">
        <v>121</v>
      </c>
      <c r="N23" s="20"/>
      <c r="O23" s="4" t="s">
        <v>57</v>
      </c>
      <c r="P23" s="4">
        <v>23</v>
      </c>
      <c r="Q23" s="30">
        <v>147.63999999999999</v>
      </c>
      <c r="R23" s="20"/>
      <c r="S23" s="5">
        <v>33.96</v>
      </c>
      <c r="T23" s="29" t="s">
        <v>58</v>
      </c>
      <c r="U23" s="20"/>
      <c r="V23" s="5">
        <v>33.96</v>
      </c>
      <c r="W23" s="4" t="s">
        <v>110</v>
      </c>
      <c r="X23" s="4" t="s">
        <v>120</v>
      </c>
      <c r="Y23" s="4" t="s">
        <v>119</v>
      </c>
      <c r="Z23" s="4" t="s">
        <v>74</v>
      </c>
      <c r="AA23" s="4" t="s">
        <v>63</v>
      </c>
      <c r="AB23" s="4" t="s">
        <v>64</v>
      </c>
      <c r="AC23" s="4" t="s">
        <v>98</v>
      </c>
      <c r="AD23" s="4">
        <v>0</v>
      </c>
      <c r="AE23" s="4"/>
      <c r="AF23" s="4" t="s">
        <v>66</v>
      </c>
    </row>
    <row r="24" spans="1:32" x14ac:dyDescent="0.25">
      <c r="A24" s="4" t="s">
        <v>50</v>
      </c>
      <c r="B24" s="4" t="s">
        <v>115</v>
      </c>
      <c r="C24" s="29" t="s">
        <v>118</v>
      </c>
      <c r="D24" s="20"/>
      <c r="E24" s="20"/>
      <c r="F24" s="29" t="s">
        <v>117</v>
      </c>
      <c r="G24" s="20"/>
      <c r="H24" s="20"/>
      <c r="I24" s="4" t="s">
        <v>53</v>
      </c>
      <c r="J24" s="4">
        <v>1</v>
      </c>
      <c r="K24" s="4" t="s">
        <v>54</v>
      </c>
      <c r="L24" s="4" t="s">
        <v>112</v>
      </c>
      <c r="M24" s="29" t="s">
        <v>111</v>
      </c>
      <c r="N24" s="20"/>
      <c r="O24" s="4" t="s">
        <v>57</v>
      </c>
      <c r="P24" s="4">
        <v>11</v>
      </c>
      <c r="Q24" s="30">
        <v>142.03</v>
      </c>
      <c r="R24" s="20"/>
      <c r="S24" s="5">
        <v>15.62</v>
      </c>
      <c r="T24" s="29" t="s">
        <v>58</v>
      </c>
      <c r="U24" s="20"/>
      <c r="V24" s="5">
        <v>15.62</v>
      </c>
      <c r="W24" s="4" t="s">
        <v>110</v>
      </c>
      <c r="X24" s="4" t="s">
        <v>109</v>
      </c>
      <c r="Y24" s="4" t="s">
        <v>108</v>
      </c>
      <c r="Z24" s="4" t="s">
        <v>62</v>
      </c>
      <c r="AA24" s="4" t="s">
        <v>116</v>
      </c>
      <c r="AB24" s="4" t="s">
        <v>64</v>
      </c>
      <c r="AC24" s="4" t="s">
        <v>98</v>
      </c>
      <c r="AD24" s="4">
        <v>0</v>
      </c>
      <c r="AE24" s="4"/>
      <c r="AF24" s="4" t="s">
        <v>66</v>
      </c>
    </row>
    <row r="25" spans="1:32" x14ac:dyDescent="0.25">
      <c r="A25" s="4" t="s">
        <v>50</v>
      </c>
      <c r="B25" s="4" t="s">
        <v>115</v>
      </c>
      <c r="C25" s="29" t="s">
        <v>114</v>
      </c>
      <c r="D25" s="20"/>
      <c r="E25" s="20"/>
      <c r="F25" s="29" t="s">
        <v>113</v>
      </c>
      <c r="G25" s="20"/>
      <c r="H25" s="20"/>
      <c r="I25" s="4" t="s">
        <v>53</v>
      </c>
      <c r="J25" s="4">
        <v>1</v>
      </c>
      <c r="K25" s="4" t="s">
        <v>90</v>
      </c>
      <c r="L25" s="4" t="s">
        <v>112</v>
      </c>
      <c r="M25" s="29" t="s">
        <v>111</v>
      </c>
      <c r="N25" s="20"/>
      <c r="O25" s="4" t="s">
        <v>57</v>
      </c>
      <c r="P25" s="4">
        <v>27</v>
      </c>
      <c r="Q25" s="30">
        <v>84.48</v>
      </c>
      <c r="R25" s="20"/>
      <c r="S25" s="5">
        <v>22.81</v>
      </c>
      <c r="T25" s="29" t="s">
        <v>58</v>
      </c>
      <c r="U25" s="20"/>
      <c r="V25" s="5">
        <v>22.81</v>
      </c>
      <c r="W25" s="4" t="s">
        <v>110</v>
      </c>
      <c r="X25" s="4" t="s">
        <v>109</v>
      </c>
      <c r="Y25" s="4" t="s">
        <v>108</v>
      </c>
      <c r="Z25" s="4" t="s">
        <v>74</v>
      </c>
      <c r="AA25" s="4" t="s">
        <v>63</v>
      </c>
      <c r="AB25" s="4" t="s">
        <v>64</v>
      </c>
      <c r="AC25" s="4" t="s">
        <v>98</v>
      </c>
      <c r="AD25" s="4">
        <v>0</v>
      </c>
      <c r="AE25" s="4"/>
      <c r="AF25" s="4" t="s">
        <v>66</v>
      </c>
    </row>
    <row r="26" spans="1:32" ht="22.5" x14ac:dyDescent="0.25">
      <c r="A26" s="4" t="s">
        <v>50</v>
      </c>
      <c r="B26" s="4" t="s">
        <v>40</v>
      </c>
      <c r="C26" s="29" t="s">
        <v>93</v>
      </c>
      <c r="D26" s="20"/>
      <c r="E26" s="20"/>
      <c r="F26" s="29" t="s">
        <v>94</v>
      </c>
      <c r="G26" s="20"/>
      <c r="H26" s="20"/>
      <c r="I26" s="4" t="s">
        <v>53</v>
      </c>
      <c r="J26" s="4">
        <v>1</v>
      </c>
      <c r="K26" s="4" t="s">
        <v>90</v>
      </c>
      <c r="L26" s="4" t="s">
        <v>55</v>
      </c>
      <c r="M26" s="29" t="s">
        <v>56</v>
      </c>
      <c r="N26" s="20"/>
      <c r="O26" s="4" t="s">
        <v>57</v>
      </c>
      <c r="P26" s="4">
        <v>23</v>
      </c>
      <c r="Q26" s="30">
        <v>198.23</v>
      </c>
      <c r="R26" s="20"/>
      <c r="S26" s="5">
        <v>45.59</v>
      </c>
      <c r="T26" s="29" t="s">
        <v>58</v>
      </c>
      <c r="U26" s="20"/>
      <c r="V26" s="5">
        <v>45.59</v>
      </c>
      <c r="W26" s="4" t="s">
        <v>59</v>
      </c>
      <c r="X26" s="4" t="s">
        <v>95</v>
      </c>
      <c r="Y26" s="4" t="s">
        <v>96</v>
      </c>
      <c r="Z26" s="4" t="s">
        <v>62</v>
      </c>
      <c r="AA26" s="4" t="s">
        <v>63</v>
      </c>
      <c r="AB26" s="4" t="s">
        <v>64</v>
      </c>
      <c r="AC26" s="4" t="s">
        <v>65</v>
      </c>
      <c r="AD26" s="4">
        <v>0</v>
      </c>
      <c r="AE26" s="4"/>
      <c r="AF26" s="4" t="s">
        <v>66</v>
      </c>
    </row>
    <row r="27" spans="1:32" x14ac:dyDescent="0.25">
      <c r="A27" s="7" t="s">
        <v>34</v>
      </c>
      <c r="B27" s="7" t="s">
        <v>34</v>
      </c>
      <c r="C27" s="31" t="s">
        <v>34</v>
      </c>
      <c r="D27" s="32"/>
      <c r="E27" s="32"/>
      <c r="F27" s="31" t="s">
        <v>34</v>
      </c>
      <c r="G27" s="32"/>
      <c r="H27" s="32"/>
      <c r="I27" s="7" t="s">
        <v>34</v>
      </c>
      <c r="J27" s="7" t="s">
        <v>34</v>
      </c>
      <c r="K27" s="7" t="s">
        <v>34</v>
      </c>
      <c r="L27" s="7" t="s">
        <v>34</v>
      </c>
      <c r="M27" s="31" t="s">
        <v>34</v>
      </c>
      <c r="N27" s="32"/>
      <c r="O27" s="7" t="s">
        <v>34</v>
      </c>
      <c r="P27" s="7" t="s">
        <v>34</v>
      </c>
      <c r="Q27" s="31" t="s">
        <v>34</v>
      </c>
      <c r="R27" s="32"/>
      <c r="S27" s="8" t="s">
        <v>34</v>
      </c>
      <c r="T27" s="31" t="s">
        <v>97</v>
      </c>
      <c r="U27" s="32"/>
      <c r="V27" s="9">
        <v>145.16</v>
      </c>
      <c r="W27" s="7" t="s">
        <v>34</v>
      </c>
      <c r="X27" s="7" t="s">
        <v>34</v>
      </c>
      <c r="Y27" s="7" t="s">
        <v>34</v>
      </c>
      <c r="Z27" s="7" t="s">
        <v>34</v>
      </c>
      <c r="AA27" s="7" t="s">
        <v>34</v>
      </c>
      <c r="AB27" s="7" t="s">
        <v>34</v>
      </c>
      <c r="AC27" s="7" t="s">
        <v>34</v>
      </c>
      <c r="AD27" s="7">
        <v>0</v>
      </c>
      <c r="AE27" s="7" t="s">
        <v>34</v>
      </c>
      <c r="AF27" s="7" t="s">
        <v>34</v>
      </c>
    </row>
    <row r="28" spans="1:32" ht="0" hidden="1" customHeight="1" x14ac:dyDescent="0.25"/>
  </sheetData>
  <mergeCells count="108">
    <mergeCell ref="C18:E18"/>
    <mergeCell ref="F18:H18"/>
    <mergeCell ref="M18:N18"/>
    <mergeCell ref="Q18:R18"/>
    <mergeCell ref="T18:U18"/>
    <mergeCell ref="C19:E19"/>
    <mergeCell ref="F19:H19"/>
    <mergeCell ref="M19:N19"/>
    <mergeCell ref="Q19:R19"/>
    <mergeCell ref="T19:U19"/>
    <mergeCell ref="C20:E20"/>
    <mergeCell ref="F20:H20"/>
    <mergeCell ref="M20:N20"/>
    <mergeCell ref="Q20:R20"/>
    <mergeCell ref="T20:U20"/>
    <mergeCell ref="C21:E21"/>
    <mergeCell ref="F21:H21"/>
    <mergeCell ref="M21:N21"/>
    <mergeCell ref="Q21:R21"/>
    <mergeCell ref="T21:U21"/>
    <mergeCell ref="T25:U25"/>
    <mergeCell ref="C22:E22"/>
    <mergeCell ref="F22:H22"/>
    <mergeCell ref="M22:N22"/>
    <mergeCell ref="Q22:R22"/>
    <mergeCell ref="T22:U22"/>
    <mergeCell ref="C23:E23"/>
    <mergeCell ref="F23:H23"/>
    <mergeCell ref="M23:N23"/>
    <mergeCell ref="Q23:R23"/>
    <mergeCell ref="T23:U23"/>
    <mergeCell ref="C17:E17"/>
    <mergeCell ref="F17:H17"/>
    <mergeCell ref="M17:N17"/>
    <mergeCell ref="Q17:R17"/>
    <mergeCell ref="T17:U17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4:E24"/>
    <mergeCell ref="F24:H24"/>
    <mergeCell ref="M24:N24"/>
    <mergeCell ref="Q24:R24"/>
    <mergeCell ref="T24:U24"/>
    <mergeCell ref="C25:E25"/>
    <mergeCell ref="F25:H25"/>
    <mergeCell ref="M25:N25"/>
    <mergeCell ref="Q25:R25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8637-3719-4C7B-A45C-DBD1407C0DE7}">
  <dimension ref="A1:AJ19"/>
  <sheetViews>
    <sheetView workbookViewId="0">
      <selection activeCell="O1" sqref="O1"/>
    </sheetView>
  </sheetViews>
  <sheetFormatPr defaultRowHeight="15" x14ac:dyDescent="0.25"/>
  <cols>
    <col min="1" max="1" width="17.140625" style="11" customWidth="1"/>
    <col min="2" max="2" width="0.140625" style="11" customWidth="1"/>
    <col min="3" max="3" width="21" style="11" bestFit="1" customWidth="1"/>
    <col min="4" max="4" width="13.7109375" style="11" customWidth="1"/>
    <col min="5" max="8" width="10.28515625" style="11" customWidth="1"/>
    <col min="9" max="9" width="15.42578125" style="11" customWidth="1"/>
    <col min="10" max="10" width="33.140625" style="11" bestFit="1" customWidth="1"/>
    <col min="11" max="11" width="12" style="11" customWidth="1"/>
    <col min="12" max="12" width="10.7109375" style="11" customWidth="1"/>
    <col min="13" max="13" width="14.42578125" style="11" bestFit="1" customWidth="1"/>
    <col min="14" max="14" width="12" style="11" customWidth="1"/>
    <col min="15" max="15" width="21.28515625" style="11" customWidth="1"/>
    <col min="16" max="16" width="12.5703125" style="11" bestFit="1" customWidth="1"/>
    <col min="17" max="16384" width="9.140625" style="11"/>
  </cols>
  <sheetData>
    <row r="1" spans="1:36" ht="33.75" customHeight="1" x14ac:dyDescent="0.25">
      <c r="A1" s="3" t="s">
        <v>13</v>
      </c>
      <c r="B1" s="10"/>
      <c r="C1" s="3" t="s">
        <v>14</v>
      </c>
      <c r="D1" s="3" t="s">
        <v>45</v>
      </c>
      <c r="E1" s="3" t="s">
        <v>15</v>
      </c>
      <c r="F1" s="3"/>
      <c r="G1" s="3"/>
      <c r="H1" s="3"/>
      <c r="I1" s="3" t="s">
        <v>16</v>
      </c>
      <c r="J1" s="3" t="s">
        <v>17</v>
      </c>
      <c r="K1" s="3" t="s">
        <v>19</v>
      </c>
      <c r="L1" s="3" t="s">
        <v>47</v>
      </c>
      <c r="M1" s="3" t="s">
        <v>22</v>
      </c>
      <c r="N1" s="3" t="s">
        <v>23</v>
      </c>
      <c r="O1" s="3" t="s">
        <v>49</v>
      </c>
    </row>
    <row r="2" spans="1:36" s="13" customFormat="1" ht="15" customHeight="1" x14ac:dyDescent="0.25">
      <c r="A2" s="4" t="s">
        <v>118</v>
      </c>
      <c r="B2" s="11"/>
      <c r="C2" s="4" t="s">
        <v>117</v>
      </c>
      <c r="D2" s="4" t="s">
        <v>53</v>
      </c>
      <c r="E2" s="4" t="s">
        <v>54</v>
      </c>
      <c r="F2" s="4">
        <f t="shared" ref="F2:F18" si="0">DATEDIF(E2,D2,"M")</f>
        <v>7</v>
      </c>
      <c r="G2" s="17" t="s">
        <v>142</v>
      </c>
      <c r="H2" s="17" t="s">
        <v>143</v>
      </c>
      <c r="I2" s="4" t="s">
        <v>112</v>
      </c>
      <c r="J2" s="4" t="s">
        <v>111</v>
      </c>
      <c r="K2" s="4">
        <v>11</v>
      </c>
      <c r="L2" s="5">
        <v>142.03</v>
      </c>
      <c r="M2" s="4" t="s">
        <v>58</v>
      </c>
      <c r="N2" s="5">
        <v>15.62</v>
      </c>
      <c r="O2" s="4" t="s">
        <v>108</v>
      </c>
      <c r="P2" s="11">
        <v>18710070</v>
      </c>
      <c r="Q2" s="11" t="s">
        <v>147</v>
      </c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36" s="13" customFormat="1" ht="15" customHeight="1" x14ac:dyDescent="0.25">
      <c r="A3" s="12" t="s">
        <v>67</v>
      </c>
      <c r="C3" s="16" t="s">
        <v>153</v>
      </c>
      <c r="D3" s="12" t="s">
        <v>69</v>
      </c>
      <c r="E3" s="12" t="s">
        <v>69</v>
      </c>
      <c r="F3" s="12">
        <f t="shared" si="0"/>
        <v>0</v>
      </c>
      <c r="G3" s="16" t="s">
        <v>145</v>
      </c>
      <c r="H3" s="16" t="s">
        <v>146</v>
      </c>
      <c r="I3" s="12" t="s">
        <v>70</v>
      </c>
      <c r="J3" s="12" t="s">
        <v>71</v>
      </c>
      <c r="K3" s="12">
        <v>22</v>
      </c>
      <c r="L3" s="14">
        <v>290.17</v>
      </c>
      <c r="M3" s="12" t="s">
        <v>58</v>
      </c>
      <c r="N3" s="14">
        <v>63.84</v>
      </c>
      <c r="O3" s="12" t="s">
        <v>73</v>
      </c>
      <c r="P3" s="18" t="s">
        <v>152</v>
      </c>
      <c r="Q3" s="13" t="s">
        <v>149</v>
      </c>
    </row>
    <row r="4" spans="1:36" s="13" customFormat="1" ht="15" customHeight="1" x14ac:dyDescent="0.25">
      <c r="A4" s="12" t="s">
        <v>51</v>
      </c>
      <c r="C4" s="12" t="s">
        <v>52</v>
      </c>
      <c r="D4" s="12" t="s">
        <v>53</v>
      </c>
      <c r="E4" s="12" t="s">
        <v>54</v>
      </c>
      <c r="F4" s="12">
        <f t="shared" si="0"/>
        <v>7</v>
      </c>
      <c r="G4" s="16" t="s">
        <v>142</v>
      </c>
      <c r="H4" s="16" t="s">
        <v>143</v>
      </c>
      <c r="I4" s="12" t="s">
        <v>55</v>
      </c>
      <c r="J4" s="12" t="s">
        <v>56</v>
      </c>
      <c r="K4" s="12">
        <v>23</v>
      </c>
      <c r="L4" s="14">
        <v>127.28</v>
      </c>
      <c r="M4" s="12" t="s">
        <v>58</v>
      </c>
      <c r="N4" s="14">
        <v>29.27</v>
      </c>
      <c r="O4" s="12" t="s">
        <v>61</v>
      </c>
      <c r="P4" s="13">
        <v>8244481</v>
      </c>
      <c r="Q4" s="13" t="s">
        <v>148</v>
      </c>
    </row>
    <row r="5" spans="1:36" ht="15" customHeight="1" x14ac:dyDescent="0.25">
      <c r="A5" s="12" t="s">
        <v>78</v>
      </c>
      <c r="B5" s="13"/>
      <c r="C5" s="12" t="s">
        <v>79</v>
      </c>
      <c r="D5" s="12" t="s">
        <v>53</v>
      </c>
      <c r="E5" s="12" t="s">
        <v>54</v>
      </c>
      <c r="F5" s="12">
        <f t="shared" si="0"/>
        <v>7</v>
      </c>
      <c r="G5" s="16" t="s">
        <v>142</v>
      </c>
      <c r="H5" s="16" t="s">
        <v>143</v>
      </c>
      <c r="I5" s="12" t="s">
        <v>55</v>
      </c>
      <c r="J5" s="12" t="s">
        <v>56</v>
      </c>
      <c r="K5" s="12">
        <v>23</v>
      </c>
      <c r="L5" s="14">
        <v>96.08</v>
      </c>
      <c r="M5" s="12" t="s">
        <v>58</v>
      </c>
      <c r="N5" s="14">
        <v>22.1</v>
      </c>
      <c r="O5" s="12" t="s">
        <v>81</v>
      </c>
      <c r="P5" s="13">
        <v>18828278</v>
      </c>
      <c r="Q5" s="13" t="s">
        <v>148</v>
      </c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 spans="1:36" ht="15" customHeight="1" x14ac:dyDescent="0.25">
      <c r="A6" s="12" t="s">
        <v>82</v>
      </c>
      <c r="B6" s="13"/>
      <c r="C6" s="12" t="s">
        <v>83</v>
      </c>
      <c r="D6" s="12" t="s">
        <v>53</v>
      </c>
      <c r="E6" s="12" t="s">
        <v>54</v>
      </c>
      <c r="F6" s="12">
        <f t="shared" si="0"/>
        <v>7</v>
      </c>
      <c r="G6" s="16" t="s">
        <v>142</v>
      </c>
      <c r="H6" s="16" t="s">
        <v>143</v>
      </c>
      <c r="I6" s="12" t="s">
        <v>55</v>
      </c>
      <c r="J6" s="12" t="s">
        <v>56</v>
      </c>
      <c r="K6" s="12">
        <v>23</v>
      </c>
      <c r="L6" s="14">
        <v>108.32</v>
      </c>
      <c r="M6" s="12" t="s">
        <v>58</v>
      </c>
      <c r="N6" s="14">
        <v>24.91</v>
      </c>
      <c r="O6" s="12" t="s">
        <v>81</v>
      </c>
      <c r="P6" s="13">
        <v>18828278</v>
      </c>
      <c r="Q6" s="13" t="s">
        <v>148</v>
      </c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spans="1:36" ht="15" customHeight="1" x14ac:dyDescent="0.25">
      <c r="A7" s="4" t="s">
        <v>128</v>
      </c>
      <c r="C7" s="4" t="s">
        <v>127</v>
      </c>
      <c r="D7" s="4" t="s">
        <v>53</v>
      </c>
      <c r="E7" s="4" t="s">
        <v>53</v>
      </c>
      <c r="F7" s="4">
        <f t="shared" si="0"/>
        <v>0</v>
      </c>
      <c r="G7" s="17" t="s">
        <v>142</v>
      </c>
      <c r="H7" s="17" t="s">
        <v>143</v>
      </c>
      <c r="I7" s="4" t="s">
        <v>122</v>
      </c>
      <c r="J7" s="4" t="s">
        <v>121</v>
      </c>
      <c r="K7" s="4">
        <v>23</v>
      </c>
      <c r="L7" s="5">
        <v>-165.36</v>
      </c>
      <c r="M7" s="4" t="s">
        <v>126</v>
      </c>
      <c r="N7" s="5">
        <v>-38.03</v>
      </c>
      <c r="O7" s="4" t="s">
        <v>119</v>
      </c>
      <c r="P7" s="11">
        <v>17425766</v>
      </c>
      <c r="Q7" s="11" t="s">
        <v>148</v>
      </c>
    </row>
    <row r="8" spans="1:36" ht="15" customHeight="1" x14ac:dyDescent="0.25">
      <c r="A8" s="4" t="s">
        <v>124</v>
      </c>
      <c r="C8" s="17" t="s">
        <v>154</v>
      </c>
      <c r="D8" s="4" t="s">
        <v>69</v>
      </c>
      <c r="E8" s="4" t="s">
        <v>69</v>
      </c>
      <c r="F8" s="4">
        <f t="shared" si="0"/>
        <v>0</v>
      </c>
      <c r="G8" s="17" t="s">
        <v>142</v>
      </c>
      <c r="H8" s="17" t="s">
        <v>143</v>
      </c>
      <c r="I8" s="4" t="s">
        <v>122</v>
      </c>
      <c r="J8" s="4" t="s">
        <v>121</v>
      </c>
      <c r="K8" s="4">
        <v>23</v>
      </c>
      <c r="L8" s="5">
        <v>147.63999999999999</v>
      </c>
      <c r="M8" s="4" t="s">
        <v>58</v>
      </c>
      <c r="N8" s="5">
        <v>33.96</v>
      </c>
      <c r="O8" s="4" t="s">
        <v>119</v>
      </c>
      <c r="P8" s="11">
        <v>17425766</v>
      </c>
      <c r="Q8" s="11" t="s">
        <v>148</v>
      </c>
    </row>
    <row r="9" spans="1:36" ht="15" customHeight="1" x14ac:dyDescent="0.25">
      <c r="A9" s="4" t="s">
        <v>139</v>
      </c>
      <c r="C9" s="17" t="s">
        <v>155</v>
      </c>
      <c r="D9" s="4" t="s">
        <v>53</v>
      </c>
      <c r="E9" s="4" t="s">
        <v>54</v>
      </c>
      <c r="F9" s="4">
        <f t="shared" si="0"/>
        <v>7</v>
      </c>
      <c r="G9" s="17" t="s">
        <v>142</v>
      </c>
      <c r="H9" s="17" t="s">
        <v>143</v>
      </c>
      <c r="I9" s="4" t="s">
        <v>137</v>
      </c>
      <c r="J9" s="4" t="s">
        <v>136</v>
      </c>
      <c r="K9" s="4">
        <v>23</v>
      </c>
      <c r="L9" s="5">
        <v>115.87</v>
      </c>
      <c r="M9" s="4" t="s">
        <v>58</v>
      </c>
      <c r="N9" s="5">
        <v>26.65</v>
      </c>
      <c r="O9" s="4" t="s">
        <v>100</v>
      </c>
      <c r="P9" s="11">
        <v>17528908</v>
      </c>
      <c r="Q9" s="11" t="s">
        <v>148</v>
      </c>
    </row>
    <row r="10" spans="1:36" ht="15" customHeight="1" x14ac:dyDescent="0.25">
      <c r="A10" s="4" t="s">
        <v>135</v>
      </c>
      <c r="C10" s="17" t="s">
        <v>156</v>
      </c>
      <c r="D10" s="4" t="s">
        <v>53</v>
      </c>
      <c r="E10" s="4" t="s">
        <v>54</v>
      </c>
      <c r="F10" s="4">
        <f t="shared" si="0"/>
        <v>7</v>
      </c>
      <c r="G10" s="17" t="s">
        <v>142</v>
      </c>
      <c r="H10" s="17" t="s">
        <v>143</v>
      </c>
      <c r="I10" s="4" t="s">
        <v>122</v>
      </c>
      <c r="J10" s="4" t="s">
        <v>121</v>
      </c>
      <c r="K10" s="4">
        <v>23</v>
      </c>
      <c r="L10" s="5">
        <v>99.06</v>
      </c>
      <c r="M10" s="4" t="s">
        <v>58</v>
      </c>
      <c r="N10" s="5">
        <v>22.78</v>
      </c>
      <c r="O10" s="4" t="s">
        <v>100</v>
      </c>
      <c r="P10" s="11">
        <v>17528908</v>
      </c>
      <c r="Q10" s="11" t="s">
        <v>148</v>
      </c>
    </row>
    <row r="11" spans="1:36" ht="15" customHeight="1" x14ac:dyDescent="0.25">
      <c r="A11" s="4" t="s">
        <v>131</v>
      </c>
      <c r="C11" s="17" t="s">
        <v>157</v>
      </c>
      <c r="D11" s="4" t="s">
        <v>53</v>
      </c>
      <c r="E11" s="4" t="s">
        <v>129</v>
      </c>
      <c r="F11" s="4">
        <f t="shared" si="0"/>
        <v>5</v>
      </c>
      <c r="G11" s="17" t="s">
        <v>142</v>
      </c>
      <c r="H11" s="17" t="s">
        <v>143</v>
      </c>
      <c r="I11" s="4" t="s">
        <v>122</v>
      </c>
      <c r="J11" s="4" t="s">
        <v>121</v>
      </c>
      <c r="K11" s="4">
        <v>23</v>
      </c>
      <c r="L11" s="5">
        <v>123.83</v>
      </c>
      <c r="M11" s="4" t="s">
        <v>58</v>
      </c>
      <c r="N11" s="5">
        <v>28.48</v>
      </c>
      <c r="O11" s="4" t="s">
        <v>100</v>
      </c>
      <c r="P11" s="15" t="s">
        <v>140</v>
      </c>
      <c r="Q11" s="11" t="s">
        <v>148</v>
      </c>
    </row>
    <row r="12" spans="1:36" ht="15" customHeight="1" x14ac:dyDescent="0.25">
      <c r="A12" s="12" t="s">
        <v>93</v>
      </c>
      <c r="B12" s="13"/>
      <c r="C12" s="16" t="s">
        <v>158</v>
      </c>
      <c r="D12" s="12" t="s">
        <v>53</v>
      </c>
      <c r="E12" s="12" t="s">
        <v>90</v>
      </c>
      <c r="F12" s="12">
        <f t="shared" si="0"/>
        <v>1</v>
      </c>
      <c r="G12" s="16" t="s">
        <v>144</v>
      </c>
      <c r="H12" s="16" t="s">
        <v>143</v>
      </c>
      <c r="I12" s="12" t="s">
        <v>55</v>
      </c>
      <c r="J12" s="12" t="s">
        <v>56</v>
      </c>
      <c r="K12" s="12">
        <v>23</v>
      </c>
      <c r="L12" s="14">
        <v>198.23</v>
      </c>
      <c r="M12" s="12" t="s">
        <v>58</v>
      </c>
      <c r="N12" s="14">
        <v>45.59</v>
      </c>
      <c r="O12" s="12" t="s">
        <v>96</v>
      </c>
      <c r="P12" s="13">
        <v>16912722</v>
      </c>
      <c r="Q12" s="13" t="s">
        <v>148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spans="1:36" ht="15" customHeight="1" x14ac:dyDescent="0.25">
      <c r="A13" s="12" t="s">
        <v>84</v>
      </c>
      <c r="B13" s="13"/>
      <c r="C13" s="12" t="s">
        <v>85</v>
      </c>
      <c r="D13" s="12" t="s">
        <v>53</v>
      </c>
      <c r="E13" s="12" t="s">
        <v>54</v>
      </c>
      <c r="F13" s="12">
        <f t="shared" si="0"/>
        <v>7</v>
      </c>
      <c r="G13" s="16" t="s">
        <v>142</v>
      </c>
      <c r="H13" s="16" t="s">
        <v>143</v>
      </c>
      <c r="I13" s="12" t="s">
        <v>55</v>
      </c>
      <c r="J13" s="12" t="s">
        <v>56</v>
      </c>
      <c r="K13" s="12">
        <v>23</v>
      </c>
      <c r="L13" s="14">
        <v>152.83000000000001</v>
      </c>
      <c r="M13" s="12" t="s">
        <v>58</v>
      </c>
      <c r="N13" s="14">
        <v>35.15</v>
      </c>
      <c r="O13" s="12" t="s">
        <v>87</v>
      </c>
      <c r="P13" s="13">
        <v>8325282</v>
      </c>
      <c r="Q13" s="13" t="s">
        <v>148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spans="1:36" s="13" customFormat="1" ht="15" customHeight="1" x14ac:dyDescent="0.25">
      <c r="A14" s="12" t="s">
        <v>88</v>
      </c>
      <c r="C14" s="12" t="s">
        <v>89</v>
      </c>
      <c r="D14" s="12" t="s">
        <v>53</v>
      </c>
      <c r="E14" s="12" t="s">
        <v>90</v>
      </c>
      <c r="F14" s="12">
        <f t="shared" si="0"/>
        <v>1</v>
      </c>
      <c r="G14" s="16" t="s">
        <v>144</v>
      </c>
      <c r="H14" s="16" t="s">
        <v>143</v>
      </c>
      <c r="I14" s="12" t="s">
        <v>55</v>
      </c>
      <c r="J14" s="12" t="s">
        <v>56</v>
      </c>
      <c r="K14" s="12">
        <v>23</v>
      </c>
      <c r="L14" s="14">
        <v>128.9</v>
      </c>
      <c r="M14" s="12" t="s">
        <v>58</v>
      </c>
      <c r="N14" s="14">
        <v>29.65</v>
      </c>
      <c r="O14" s="12" t="s">
        <v>87</v>
      </c>
      <c r="P14" s="13">
        <v>8325282</v>
      </c>
      <c r="Q14" s="13" t="s">
        <v>148</v>
      </c>
    </row>
    <row r="15" spans="1:36" s="13" customFormat="1" ht="15" customHeight="1" x14ac:dyDescent="0.25">
      <c r="A15" s="12" t="s">
        <v>91</v>
      </c>
      <c r="C15" s="16" t="s">
        <v>159</v>
      </c>
      <c r="D15" s="12" t="s">
        <v>53</v>
      </c>
      <c r="E15" s="12" t="s">
        <v>90</v>
      </c>
      <c r="F15" s="12">
        <f t="shared" si="0"/>
        <v>1</v>
      </c>
      <c r="G15" s="16" t="s">
        <v>144</v>
      </c>
      <c r="H15" s="16" t="s">
        <v>143</v>
      </c>
      <c r="I15" s="12" t="s">
        <v>55</v>
      </c>
      <c r="J15" s="12" t="s">
        <v>56</v>
      </c>
      <c r="K15" s="12">
        <v>23</v>
      </c>
      <c r="L15" s="14">
        <v>128.9</v>
      </c>
      <c r="M15" s="12" t="s">
        <v>58</v>
      </c>
      <c r="N15" s="14">
        <v>29.65</v>
      </c>
      <c r="O15" s="12" t="s">
        <v>87</v>
      </c>
      <c r="P15" s="13">
        <v>8325282</v>
      </c>
      <c r="Q15" s="13" t="s">
        <v>148</v>
      </c>
    </row>
    <row r="16" spans="1:36" s="13" customFormat="1" ht="15" customHeight="1" x14ac:dyDescent="0.25">
      <c r="A16" s="4" t="s">
        <v>133</v>
      </c>
      <c r="B16" s="11"/>
      <c r="C16" s="17" t="s">
        <v>160</v>
      </c>
      <c r="D16" s="4" t="s">
        <v>53</v>
      </c>
      <c r="E16" s="4" t="s">
        <v>54</v>
      </c>
      <c r="F16" s="4">
        <f t="shared" si="0"/>
        <v>7</v>
      </c>
      <c r="G16" s="17" t="s">
        <v>142</v>
      </c>
      <c r="H16" s="17" t="s">
        <v>143</v>
      </c>
      <c r="I16" s="4" t="s">
        <v>112</v>
      </c>
      <c r="J16" s="4" t="s">
        <v>111</v>
      </c>
      <c r="K16" s="4">
        <v>27</v>
      </c>
      <c r="L16" s="5">
        <v>65.66</v>
      </c>
      <c r="M16" s="4" t="s">
        <v>58</v>
      </c>
      <c r="N16" s="5">
        <v>17.73</v>
      </c>
      <c r="O16" s="4" t="s">
        <v>100</v>
      </c>
      <c r="P16" s="11">
        <v>17528908</v>
      </c>
      <c r="Q16" s="11" t="s">
        <v>150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s="13" customFormat="1" ht="15" customHeight="1" x14ac:dyDescent="0.25">
      <c r="A17" s="4" t="s">
        <v>114</v>
      </c>
      <c r="B17" s="11"/>
      <c r="C17" s="4" t="s">
        <v>113</v>
      </c>
      <c r="D17" s="4" t="s">
        <v>53</v>
      </c>
      <c r="E17" s="4" t="s">
        <v>90</v>
      </c>
      <c r="F17" s="4">
        <f t="shared" si="0"/>
        <v>1</v>
      </c>
      <c r="G17" s="17" t="s">
        <v>142</v>
      </c>
      <c r="H17" s="17" t="s">
        <v>143</v>
      </c>
      <c r="I17" s="4" t="s">
        <v>112</v>
      </c>
      <c r="J17" s="4" t="s">
        <v>111</v>
      </c>
      <c r="K17" s="4">
        <v>27</v>
      </c>
      <c r="L17" s="5">
        <v>84.48</v>
      </c>
      <c r="M17" s="4" t="s">
        <v>58</v>
      </c>
      <c r="N17" s="5">
        <v>22.81</v>
      </c>
      <c r="O17" s="4" t="s">
        <v>108</v>
      </c>
      <c r="P17" s="15" t="s">
        <v>141</v>
      </c>
      <c r="Q17" s="11" t="s">
        <v>150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s="13" customFormat="1" ht="15" customHeight="1" x14ac:dyDescent="0.25">
      <c r="A18" s="4" t="s">
        <v>106</v>
      </c>
      <c r="B18" s="11"/>
      <c r="C18" s="4" t="s">
        <v>105</v>
      </c>
      <c r="D18" s="4" t="s">
        <v>53</v>
      </c>
      <c r="E18" s="4" t="s">
        <v>104</v>
      </c>
      <c r="F18" s="4">
        <f t="shared" si="0"/>
        <v>2</v>
      </c>
      <c r="G18" s="17" t="s">
        <v>142</v>
      </c>
      <c r="H18" s="17" t="s">
        <v>143</v>
      </c>
      <c r="I18" s="4" t="s">
        <v>103</v>
      </c>
      <c r="J18" s="4" t="s">
        <v>102</v>
      </c>
      <c r="K18" s="4">
        <v>57</v>
      </c>
      <c r="L18" s="5">
        <v>41.53</v>
      </c>
      <c r="M18" s="4" t="s">
        <v>58</v>
      </c>
      <c r="N18" s="5">
        <v>23.67</v>
      </c>
      <c r="O18" s="4" t="s">
        <v>100</v>
      </c>
      <c r="P18" s="15" t="s">
        <v>140</v>
      </c>
      <c r="Q18" s="11" t="s">
        <v>151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ht="0" hidden="1" customHeight="1" x14ac:dyDescent="0.25"/>
  </sheetData>
  <sortState xmlns:xlrd2="http://schemas.microsoft.com/office/spreadsheetml/2017/richdata2" ref="A2:AJ18">
    <sortCondition ref="K2:K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2025-08-23T22:23:10Z</dcterms:created>
  <dcterms:modified xsi:type="dcterms:W3CDTF">2025-08-27T23:05:47Z</dcterms:modified>
</cp:coreProperties>
</file>