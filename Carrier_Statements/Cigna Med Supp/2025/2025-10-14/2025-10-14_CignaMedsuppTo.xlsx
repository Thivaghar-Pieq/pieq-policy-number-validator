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cigna medsupp 10-14-25 to 10-22-25\"/>
    </mc:Choice>
  </mc:AlternateContent>
  <xr:revisionPtr revIDLastSave="0" documentId="13_ncr:1_{03551144-7291-434A-A89A-56D39E7CBD6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D20" i="6" l="1"/>
  <c r="D3" i="6"/>
  <c r="D4" i="6"/>
  <c r="D21" i="6"/>
  <c r="D5" i="6"/>
  <c r="D6" i="6"/>
  <c r="D7" i="6"/>
  <c r="D22" i="6"/>
  <c r="D8" i="6"/>
  <c r="D9" i="6"/>
  <c r="D10" i="6"/>
  <c r="D11" i="6"/>
  <c r="D12" i="6"/>
  <c r="D13" i="6"/>
  <c r="D14" i="6"/>
  <c r="D2" i="6"/>
  <c r="D23" i="6"/>
  <c r="D24" i="6"/>
  <c r="D15" i="6"/>
  <c r="D16" i="6"/>
  <c r="D17" i="6"/>
  <c r="D18" i="6"/>
  <c r="D19" i="6"/>
</calcChain>
</file>

<file path=xl/sharedStrings.xml><?xml version="1.0" encoding="utf-8"?>
<sst xmlns="http://schemas.openxmlformats.org/spreadsheetml/2006/main" count="849" uniqueCount="162">
  <si>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</si>
  <si>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</si>
  <si>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</si>
  <si>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</si>
  <si>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</si>
  <si>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</si>
  <si>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10/14/2025 to 10/22/2025</t>
  </si>
  <si>
    <t>Page 1 of 4</t>
  </si>
  <si>
    <t>Run Date:  10/23/2025 9:40:23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</si>
  <si>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</si>
  <si>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</si>
  <si>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</si>
  <si>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</si>
  <si>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</si>
  <si>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</si>
  <si>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</si>
  <si>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</si>
  <si>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</si>
  <si>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</si>
  <si>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</si>
  <si>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</si>
  <si>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</si>
  <si>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</si>
  <si>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</si>
  <si>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</si>
  <si>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</si>
  <si>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</si>
  <si>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</si>
  <si>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</si>
  <si>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</si>
  <si>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</si>
  <si>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</si>
  <si>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</si>
  <si>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</si>
  <si>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</si>
  <si>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CIC</t>
  </si>
  <si>
    <t>777777777777</t>
  </si>
  <si>
    <t/>
  </si>
  <si>
    <t>Recvr Exp / Appt Fee</t>
  </si>
  <si>
    <t>10/14/2025</t>
  </si>
  <si>
    <t xml:space="preserve">  </t>
  </si>
  <si>
    <t xml:space="preserve">NFLACB148613 </t>
  </si>
  <si>
    <t>10/16/2025</t>
  </si>
  <si>
    <t xml:space="preserve">NFPACB164411 </t>
  </si>
  <si>
    <t xml:space="preserve">NFOHCB155655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</si>
  <si>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</si>
  <si>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</si>
  <si>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</si>
  <si>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</si>
  <si>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</si>
  <si>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</si>
  <si>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</si>
  <si>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</si>
  <si>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</si>
  <si>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</si>
  <si>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</si>
  <si>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</si>
  <si>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</si>
  <si>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</si>
  <si>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63Y0025249</t>
  </si>
  <si>
    <t>ADAMSON, MICHAEL L</t>
  </si>
  <si>
    <t>10/01/2025</t>
  </si>
  <si>
    <t>01/01/2025</t>
  </si>
  <si>
    <t>MSM23BM63F</t>
  </si>
  <si>
    <t xml:space="preserve">CIC MEDSUP STD PLAN F                   </t>
  </si>
  <si>
    <t>1</t>
  </si>
  <si>
    <t>Earnings Paid</t>
  </si>
  <si>
    <t>10/18/2025</t>
  </si>
  <si>
    <t>CB149530</t>
  </si>
  <si>
    <t>INSKIPT,DEBORAH</t>
  </si>
  <si>
    <t>UW</t>
  </si>
  <si>
    <t>01</t>
  </si>
  <si>
    <t>NO</t>
  </si>
  <si>
    <t>PA</t>
  </si>
  <si>
    <t xml:space="preserve">             </t>
  </si>
  <si>
    <t>63Y0025250</t>
  </si>
  <si>
    <t>ADAMSON, NANCY J</t>
  </si>
  <si>
    <t>MSM23BM63G</t>
  </si>
  <si>
    <t xml:space="preserve">CIC MEDSUP STD PLAN G                   </t>
  </si>
  <si>
    <t>63Y0032883</t>
  </si>
  <si>
    <t>CARBONARA, MELINDA M</t>
  </si>
  <si>
    <t>MSM23BM63N</t>
  </si>
  <si>
    <t xml:space="preserve">CIC MEDSUP STD PLAN N                   </t>
  </si>
  <si>
    <t>OE</t>
  </si>
  <si>
    <t>63Y0036528</t>
  </si>
  <si>
    <t>KEEFE, BARBARA J</t>
  </si>
  <si>
    <t>09/01/2025</t>
  </si>
  <si>
    <t>03/01/2025</t>
  </si>
  <si>
    <t>63Y0054490</t>
  </si>
  <si>
    <t>CASELLA, LAWRENCE</t>
  </si>
  <si>
    <t>08/01/2025</t>
  </si>
  <si>
    <t>63Y0058217</t>
  </si>
  <si>
    <t>GALBREATH, JOHN L</t>
  </si>
  <si>
    <t>63Y0058400</t>
  </si>
  <si>
    <t>CASELLA, PENELOPE A</t>
  </si>
  <si>
    <t>63Y0083291</t>
  </si>
  <si>
    <t>GALBREATH, CAROL</t>
  </si>
  <si>
    <t>11/01/2025</t>
  </si>
  <si>
    <t>999999999999</t>
  </si>
  <si>
    <t>Applied to Neg Adv</t>
  </si>
  <si>
    <t>63Y0052446</t>
  </si>
  <si>
    <t>STERLING, MARCELLA M</t>
  </si>
  <si>
    <t>07/01/2025</t>
  </si>
  <si>
    <t>CB149532</t>
  </si>
  <si>
    <t>FOLEY,CAROL</t>
  </si>
  <si>
    <t>63Y0077479</t>
  </si>
  <si>
    <t>ANDERSON, JOHN</t>
  </si>
  <si>
    <t>63Y0081204</t>
  </si>
  <si>
    <t>MOSS, JOHN</t>
  </si>
  <si>
    <t>01/01/2026</t>
  </si>
  <si>
    <t>63Y0083088</t>
  </si>
  <si>
    <t>MOONEY, KIMBERLY</t>
  </si>
  <si>
    <t>63Y0064140</t>
  </si>
  <si>
    <t>GREENLAW, PETER</t>
  </si>
  <si>
    <t>10/07/2025</t>
  </si>
  <si>
    <t>08/07/2025</t>
  </si>
  <si>
    <t>CB149611</t>
  </si>
  <si>
    <t>YALE,JACOB</t>
  </si>
  <si>
    <t>CO</t>
  </si>
  <si>
    <t>63Y0064143</t>
  </si>
  <si>
    <t>GREENLAW, SARAH</t>
  </si>
  <si>
    <t>63Y0024893</t>
  </si>
  <si>
    <t>LOVE, GARY</t>
  </si>
  <si>
    <t>CB149613</t>
  </si>
  <si>
    <t>MCCORKLE,MICHELLE</t>
  </si>
  <si>
    <t>ST</t>
  </si>
  <si>
    <t>63Y0030645</t>
  </si>
  <si>
    <t>LOVE, TERESA</t>
  </si>
  <si>
    <t>63Y0054497</t>
  </si>
  <si>
    <t>SEIFREID, DIANE</t>
  </si>
  <si>
    <t>63Y0057690</t>
  </si>
  <si>
    <t>FREEMAN, MARK E</t>
  </si>
  <si>
    <t>63Y0030569</t>
  </si>
  <si>
    <t>RICHARDS, MICHAEL</t>
  </si>
  <si>
    <t>CB149615</t>
  </si>
  <si>
    <t>LEE,JOEL</t>
  </si>
  <si>
    <t>63Y0073030</t>
  </si>
  <si>
    <t>FOURQUET, MARIA</t>
  </si>
  <si>
    <t>CB154169</t>
  </si>
  <si>
    <t>OLIVER,BRITTANY</t>
  </si>
  <si>
    <t>LA</t>
  </si>
  <si>
    <t>63Y0072294</t>
  </si>
  <si>
    <t>HANLINE, TYRONE W</t>
  </si>
  <si>
    <t>CB155655</t>
  </si>
  <si>
    <t xml:space="preserve">HALSAVER,JENNIFER,L         </t>
  </si>
  <si>
    <t>OH</t>
  </si>
  <si>
    <t>Total Commission Paid</t>
  </si>
  <si>
    <t xml:space="preserve">PA RF        </t>
  </si>
  <si>
    <t>10/22/2025</t>
  </si>
  <si>
    <t>LOYAL-H&amp;L</t>
  </si>
  <si>
    <t>10/15/2025</t>
  </si>
  <si>
    <t>17528908N</t>
  </si>
  <si>
    <t>18710070N</t>
  </si>
  <si>
    <t>AE</t>
  </si>
  <si>
    <t>RN</t>
  </si>
  <si>
    <t>AV</t>
  </si>
  <si>
    <t>NB</t>
  </si>
  <si>
    <t>CIC MEDSUP STD PLAN N*</t>
  </si>
  <si>
    <t>CIC MEDSUP STD PLAN G, F</t>
  </si>
  <si>
    <t>CIC MEDSUP STD PLAN N</t>
  </si>
  <si>
    <t>AV1</t>
  </si>
  <si>
    <t>17554531AV6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</si>
</sst>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0" fontId="7" fillId="3" borderId="0" xfId="0" applyFont="1" applyFill="1" applyAlignment="1">
      <alignment horizontal="left" vertical="top" wrapText="1" readingOrder="1"/>
    </xf>
    <xf numFmtId="164" fontId="7" fillId="3" borderId="0" xfId="0" applyNumberFormat="1" applyFont="1" applyFill="1" applyAlignment="1">
      <alignment horizontal="left" vertical="top" wrapText="1" readingOrder="1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showGridLines="0" tabSelected="1" workbookViewId="0">
      <pane ySplit="5" topLeftCell="A6" activePane="bottomLeft" state="frozen"/>
      <selection pane="bottomLeft" activeCell="H17" sqref="H17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</row>
    <row r="4" spans="1:32" x14ac:dyDescent="0.25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4" t="s">
        <v>13</v>
      </c>
      <c r="D8" s="15"/>
      <c r="E8" s="15"/>
      <c r="F8" s="15"/>
      <c r="G8" s="14" t="s">
        <v>14</v>
      </c>
      <c r="H8" s="15"/>
      <c r="I8" s="3" t="s">
        <v>15</v>
      </c>
      <c r="J8" s="3" t="s">
        <v>16</v>
      </c>
      <c r="K8" s="3" t="s">
        <v>17</v>
      </c>
      <c r="L8" s="3" t="s">
        <v>18</v>
      </c>
      <c r="M8" s="14" t="s">
        <v>19</v>
      </c>
      <c r="N8" s="15"/>
      <c r="O8" s="14" t="s">
        <v>20</v>
      </c>
      <c r="P8" s="15"/>
      <c r="Q8" s="14" t="s">
        <v>21</v>
      </c>
      <c r="R8" s="15"/>
      <c r="S8" s="14" t="s">
        <v>22</v>
      </c>
      <c r="T8" s="15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16" t="s">
        <v>36</v>
      </c>
      <c r="D9" s="12"/>
      <c r="E9" s="12"/>
      <c r="F9" s="12"/>
      <c r="G9" s="16" t="s">
        <v>37</v>
      </c>
      <c r="H9" s="12"/>
      <c r="I9" s="4"/>
      <c r="J9" s="4" t="s">
        <v>37</v>
      </c>
      <c r="K9" s="4"/>
      <c r="L9" s="4" t="s">
        <v>37</v>
      </c>
      <c r="M9" s="16">
        <v>0</v>
      </c>
      <c r="N9" s="12"/>
      <c r="O9" s="17">
        <v>0</v>
      </c>
      <c r="P9" s="12"/>
      <c r="Q9" s="17">
        <v>0</v>
      </c>
      <c r="R9" s="12"/>
      <c r="S9" s="16" t="s">
        <v>38</v>
      </c>
      <c r="T9" s="12"/>
      <c r="U9" s="5">
        <v>-30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25">
      <c r="A10" s="4" t="s">
        <v>34</v>
      </c>
      <c r="B10" s="4" t="s">
        <v>35</v>
      </c>
      <c r="C10" s="16" t="s">
        <v>36</v>
      </c>
      <c r="D10" s="12"/>
      <c r="E10" s="12"/>
      <c r="F10" s="12"/>
      <c r="G10" s="16" t="s">
        <v>37</v>
      </c>
      <c r="H10" s="12"/>
      <c r="I10" s="4"/>
      <c r="J10" s="4" t="s">
        <v>37</v>
      </c>
      <c r="K10" s="4"/>
      <c r="L10" s="4" t="s">
        <v>37</v>
      </c>
      <c r="M10" s="16">
        <v>0</v>
      </c>
      <c r="N10" s="12"/>
      <c r="O10" s="17">
        <v>0</v>
      </c>
      <c r="P10" s="12"/>
      <c r="Q10" s="17">
        <v>0</v>
      </c>
      <c r="R10" s="12"/>
      <c r="S10" s="16" t="s">
        <v>38</v>
      </c>
      <c r="T10" s="12"/>
      <c r="U10" s="5">
        <v>-15</v>
      </c>
      <c r="V10" s="4" t="s">
        <v>42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43</v>
      </c>
    </row>
    <row r="11" spans="1:32" x14ac:dyDescent="0.25">
      <c r="A11" s="4" t="s">
        <v>34</v>
      </c>
      <c r="B11" s="4" t="s">
        <v>149</v>
      </c>
      <c r="C11" s="16" t="s">
        <v>36</v>
      </c>
      <c r="D11" s="12"/>
      <c r="E11" s="12"/>
      <c r="F11" s="12"/>
      <c r="G11" s="16" t="s">
        <v>37</v>
      </c>
      <c r="H11" s="12"/>
      <c r="I11" s="4"/>
      <c r="J11" s="4" t="s">
        <v>37</v>
      </c>
      <c r="K11" s="4"/>
      <c r="L11" s="4" t="s">
        <v>37</v>
      </c>
      <c r="M11" s="16">
        <v>0</v>
      </c>
      <c r="N11" s="12"/>
      <c r="O11" s="17">
        <v>0</v>
      </c>
      <c r="P11" s="12"/>
      <c r="Q11" s="17">
        <v>0</v>
      </c>
      <c r="R11" s="12"/>
      <c r="S11" s="16" t="s">
        <v>38</v>
      </c>
      <c r="T11" s="12"/>
      <c r="U11" s="5">
        <v>-15</v>
      </c>
      <c r="V11" s="4" t="s">
        <v>150</v>
      </c>
      <c r="W11" s="6" t="s">
        <v>34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  <c r="AE11" s="6" t="s">
        <v>43</v>
      </c>
    </row>
    <row r="12" spans="1:32" x14ac:dyDescent="0.25">
      <c r="A12" s="4" t="s">
        <v>34</v>
      </c>
      <c r="B12" s="4" t="s">
        <v>149</v>
      </c>
      <c r="C12" s="16" t="s">
        <v>36</v>
      </c>
      <c r="D12" s="12"/>
      <c r="E12" s="12"/>
      <c r="F12" s="12"/>
      <c r="G12" s="16" t="s">
        <v>37</v>
      </c>
      <c r="H12" s="12"/>
      <c r="I12" s="4"/>
      <c r="J12" s="4" t="s">
        <v>37</v>
      </c>
      <c r="K12" s="4"/>
      <c r="L12" s="4" t="s">
        <v>37</v>
      </c>
      <c r="M12" s="16">
        <v>0</v>
      </c>
      <c r="N12" s="12"/>
      <c r="O12" s="17">
        <v>0</v>
      </c>
      <c r="P12" s="12"/>
      <c r="Q12" s="17">
        <v>0</v>
      </c>
      <c r="R12" s="12"/>
      <c r="S12" s="16" t="s">
        <v>38</v>
      </c>
      <c r="T12" s="12"/>
      <c r="U12" s="5">
        <v>-15</v>
      </c>
      <c r="V12" s="4" t="s">
        <v>148</v>
      </c>
      <c r="W12" s="6" t="s">
        <v>34</v>
      </c>
      <c r="X12" s="6" t="s">
        <v>37</v>
      </c>
      <c r="Y12" s="6"/>
      <c r="Z12" s="6"/>
      <c r="AA12" s="6"/>
      <c r="AB12" s="6" t="s">
        <v>40</v>
      </c>
      <c r="AC12" s="6">
        <v>0</v>
      </c>
      <c r="AD12" s="6"/>
      <c r="AE12" s="6" t="s">
        <v>147</v>
      </c>
    </row>
    <row r="13" spans="1:32" x14ac:dyDescent="0.25">
      <c r="A13" s="4" t="s">
        <v>34</v>
      </c>
      <c r="B13" s="4" t="s">
        <v>35</v>
      </c>
      <c r="C13" s="16" t="s">
        <v>36</v>
      </c>
      <c r="D13" s="12"/>
      <c r="E13" s="12"/>
      <c r="F13" s="12"/>
      <c r="G13" s="16" t="s">
        <v>37</v>
      </c>
      <c r="H13" s="12"/>
      <c r="I13" s="4"/>
      <c r="J13" s="4" t="s">
        <v>37</v>
      </c>
      <c r="K13" s="4"/>
      <c r="L13" s="4" t="s">
        <v>37</v>
      </c>
      <c r="M13" s="16">
        <v>0</v>
      </c>
      <c r="N13" s="12"/>
      <c r="O13" s="17">
        <v>0</v>
      </c>
      <c r="P13" s="12"/>
      <c r="Q13" s="17">
        <v>0</v>
      </c>
      <c r="R13" s="12"/>
      <c r="S13" s="16" t="s">
        <v>38</v>
      </c>
      <c r="T13" s="12"/>
      <c r="U13" s="5">
        <v>-10</v>
      </c>
      <c r="V13" s="4" t="s">
        <v>39</v>
      </c>
      <c r="W13" s="6" t="s">
        <v>34</v>
      </c>
      <c r="X13" s="6" t="s">
        <v>37</v>
      </c>
      <c r="Y13" s="6"/>
      <c r="Z13" s="6"/>
      <c r="AA13" s="6"/>
      <c r="AB13" s="6" t="s">
        <v>40</v>
      </c>
      <c r="AC13" s="6">
        <v>0</v>
      </c>
      <c r="AD13" s="6"/>
      <c r="AE13" s="6" t="s">
        <v>44</v>
      </c>
    </row>
    <row r="14" spans="1:32" x14ac:dyDescent="0.25">
      <c r="A14" s="3" t="s">
        <v>37</v>
      </c>
      <c r="B14" s="3" t="s">
        <v>37</v>
      </c>
      <c r="C14" s="14" t="s">
        <v>37</v>
      </c>
      <c r="D14" s="15"/>
      <c r="E14" s="15"/>
      <c r="F14" s="15"/>
      <c r="G14" s="14" t="s">
        <v>37</v>
      </c>
      <c r="H14" s="15"/>
      <c r="I14" s="3" t="s">
        <v>37</v>
      </c>
      <c r="J14" s="3" t="s">
        <v>37</v>
      </c>
      <c r="K14" s="3" t="s">
        <v>37</v>
      </c>
      <c r="L14" s="3" t="s">
        <v>37</v>
      </c>
      <c r="M14" s="14" t="s">
        <v>37</v>
      </c>
      <c r="N14" s="15"/>
      <c r="O14" s="14" t="s">
        <v>37</v>
      </c>
      <c r="P14" s="15"/>
      <c r="Q14" s="14" t="s">
        <v>37</v>
      </c>
      <c r="R14" s="15"/>
      <c r="S14" s="14" t="s">
        <v>45</v>
      </c>
      <c r="T14" s="15"/>
      <c r="U14" s="7">
        <v>-55</v>
      </c>
      <c r="V14" s="3" t="s">
        <v>37</v>
      </c>
      <c r="W14" s="3" t="s">
        <v>37</v>
      </c>
      <c r="X14" s="3" t="s">
        <v>37</v>
      </c>
      <c r="Y14" s="3" t="s">
        <v>37</v>
      </c>
      <c r="Z14" s="3" t="s">
        <v>37</v>
      </c>
      <c r="AA14" s="3" t="s">
        <v>37</v>
      </c>
      <c r="AB14" s="3" t="s">
        <v>37</v>
      </c>
      <c r="AC14" s="3">
        <v>0</v>
      </c>
      <c r="AD14" s="3" t="s">
        <v>37</v>
      </c>
      <c r="AE14" s="3" t="s">
        <v>37</v>
      </c>
    </row>
    <row r="15" spans="1:32" ht="0" hidden="1" customHeight="1" x14ac:dyDescent="0.25"/>
  </sheetData>
  <mergeCells count="5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3:F13"/>
    <mergeCell ref="G13:H13"/>
    <mergeCell ref="M13:N13"/>
    <mergeCell ref="O13:P13"/>
    <mergeCell ref="Q13:R13"/>
    <mergeCell ref="S13:T13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S14:T14"/>
    <mergeCell ref="S12:T12"/>
    <mergeCell ref="C12:F12"/>
    <mergeCell ref="G12:H12"/>
    <mergeCell ref="M12:N12"/>
    <mergeCell ref="O12:P12"/>
    <mergeCell ref="Q12:R12"/>
    <mergeCell ref="C14:F14"/>
    <mergeCell ref="G14:H14"/>
    <mergeCell ref="M14:N14"/>
    <mergeCell ref="O14:P14"/>
    <mergeCell ref="Q14:R14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20" t="s">
        <v>5</v>
      </c>
      <c r="B2" s="12"/>
      <c r="F2" s="21" t="s">
        <v>6</v>
      </c>
      <c r="G2" s="12"/>
      <c r="H2" s="12"/>
      <c r="I2" s="12"/>
      <c r="L2" s="1" t="s">
        <v>46</v>
      </c>
    </row>
    <row r="3" spans="1:13" x14ac:dyDescent="0.25">
      <c r="A3" s="12"/>
      <c r="B3" s="12"/>
      <c r="F3" s="12"/>
      <c r="G3" s="12"/>
      <c r="H3" s="12"/>
      <c r="I3" s="12"/>
      <c r="L3" s="20" t="s">
        <v>8</v>
      </c>
    </row>
    <row r="4" spans="1:13" x14ac:dyDescent="0.25">
      <c r="A4" s="20" t="s">
        <v>9</v>
      </c>
      <c r="B4" s="12"/>
      <c r="C4" s="12"/>
      <c r="D4" s="21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4" t="s">
        <v>47</v>
      </c>
      <c r="C8" s="15"/>
      <c r="D8" s="15"/>
      <c r="E8" s="15"/>
      <c r="F8" s="15"/>
      <c r="G8" s="3" t="s">
        <v>48</v>
      </c>
      <c r="H8" s="3" t="s">
        <v>49</v>
      </c>
    </row>
    <row r="9" spans="1:13" x14ac:dyDescent="0.25">
      <c r="A9" s="4" t="s">
        <v>35</v>
      </c>
      <c r="B9" s="16" t="s">
        <v>50</v>
      </c>
      <c r="C9" s="12"/>
      <c r="D9" s="12"/>
      <c r="E9" s="12"/>
      <c r="F9" s="12"/>
      <c r="G9" s="5">
        <v>595.66</v>
      </c>
      <c r="H9" s="5">
        <v>0</v>
      </c>
    </row>
    <row r="10" spans="1:13" x14ac:dyDescent="0.25">
      <c r="A10" s="3" t="s">
        <v>51</v>
      </c>
      <c r="B10" s="14" t="s">
        <v>37</v>
      </c>
      <c r="C10" s="15"/>
      <c r="D10" s="15"/>
      <c r="E10" s="15"/>
      <c r="F10" s="15"/>
      <c r="G10" s="7">
        <v>595.66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9" t="s">
        <v>4</v>
      </c>
      <c r="B1" s="12"/>
      <c r="C1" s="12"/>
      <c r="D1" s="12"/>
      <c r="E1" s="12"/>
      <c r="F1" s="12"/>
      <c r="G1" s="12"/>
    </row>
    <row r="2" spans="1:8" x14ac:dyDescent="0.25">
      <c r="A2" s="20" t="s">
        <v>5</v>
      </c>
      <c r="D2" s="21" t="s">
        <v>6</v>
      </c>
      <c r="G2" s="1" t="s">
        <v>52</v>
      </c>
    </row>
    <row r="3" spans="1:8" x14ac:dyDescent="0.25">
      <c r="A3" s="12"/>
      <c r="D3" s="12"/>
      <c r="G3" s="20" t="s">
        <v>8</v>
      </c>
    </row>
    <row r="4" spans="1:8" x14ac:dyDescent="0.25">
      <c r="A4" s="20" t="s">
        <v>9</v>
      </c>
      <c r="B4" s="12"/>
      <c r="C4" s="21" t="s">
        <v>10</v>
      </c>
      <c r="D4" s="12"/>
      <c r="E4" s="12"/>
      <c r="G4" s="12"/>
    </row>
    <row r="5" spans="1:8" x14ac:dyDescent="0.25">
      <c r="A5" s="22"/>
      <c r="B5" s="22"/>
      <c r="C5" s="22"/>
      <c r="D5" s="22"/>
      <c r="E5" s="22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4"/>
  <sheetViews>
    <sheetView showGridLines="0" topLeftCell="F1" workbookViewId="0">
      <pane ySplit="5" topLeftCell="A6" activePane="bottomLeft" state="frozen"/>
      <selection pane="bottomLeft" activeCell="F1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53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  <c r="T3" s="12"/>
    </row>
    <row r="4" spans="1:33" x14ac:dyDescent="0.25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4" t="s">
        <v>13</v>
      </c>
      <c r="D8" s="15"/>
      <c r="E8" s="15"/>
      <c r="F8" s="14" t="s">
        <v>14</v>
      </c>
      <c r="G8" s="15"/>
      <c r="H8" s="15"/>
      <c r="I8" s="3" t="s">
        <v>54</v>
      </c>
      <c r="J8" s="3" t="s">
        <v>55</v>
      </c>
      <c r="K8" s="3" t="s">
        <v>15</v>
      </c>
      <c r="L8" s="3" t="s">
        <v>16</v>
      </c>
      <c r="M8" s="14" t="s">
        <v>17</v>
      </c>
      <c r="N8" s="15"/>
      <c r="O8" s="3" t="s">
        <v>18</v>
      </c>
      <c r="P8" s="3" t="s">
        <v>19</v>
      </c>
      <c r="Q8" s="14" t="s">
        <v>56</v>
      </c>
      <c r="R8" s="15"/>
      <c r="S8" s="3" t="s">
        <v>3</v>
      </c>
      <c r="T8" s="14" t="s">
        <v>22</v>
      </c>
      <c r="U8" s="15"/>
      <c r="V8" s="3" t="s">
        <v>23</v>
      </c>
      <c r="W8" s="3" t="s">
        <v>24</v>
      </c>
      <c r="X8" s="3" t="s">
        <v>57</v>
      </c>
      <c r="Y8" s="3" t="s">
        <v>58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16" t="s">
        <v>59</v>
      </c>
      <c r="D9" s="12"/>
      <c r="E9" s="12"/>
      <c r="F9" s="16" t="s">
        <v>60</v>
      </c>
      <c r="G9" s="12"/>
      <c r="H9" s="12"/>
      <c r="I9" s="4" t="s">
        <v>61</v>
      </c>
      <c r="J9" s="4">
        <v>1</v>
      </c>
      <c r="K9" s="4" t="s">
        <v>62</v>
      </c>
      <c r="L9" s="4" t="s">
        <v>63</v>
      </c>
      <c r="M9" s="16" t="s">
        <v>64</v>
      </c>
      <c r="N9" s="12"/>
      <c r="O9" s="4" t="s">
        <v>65</v>
      </c>
      <c r="P9" s="4">
        <v>23</v>
      </c>
      <c r="Q9" s="17">
        <v>115.87</v>
      </c>
      <c r="R9" s="12"/>
      <c r="S9" s="5">
        <v>26.65</v>
      </c>
      <c r="T9" s="16" t="s">
        <v>66</v>
      </c>
      <c r="U9" s="12"/>
      <c r="V9" s="5">
        <v>26.65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>
        <v>0</v>
      </c>
      <c r="AE9" s="4"/>
      <c r="AF9" s="4" t="s">
        <v>74</v>
      </c>
    </row>
    <row r="10" spans="1:33" x14ac:dyDescent="0.25">
      <c r="A10" s="4" t="s">
        <v>34</v>
      </c>
      <c r="B10" s="4" t="s">
        <v>35</v>
      </c>
      <c r="C10" s="16" t="s">
        <v>75</v>
      </c>
      <c r="D10" s="12"/>
      <c r="E10" s="12"/>
      <c r="F10" s="16" t="s">
        <v>76</v>
      </c>
      <c r="G10" s="12"/>
      <c r="H10" s="12"/>
      <c r="I10" s="4" t="s">
        <v>61</v>
      </c>
      <c r="J10" s="4">
        <v>1</v>
      </c>
      <c r="K10" s="4" t="s">
        <v>62</v>
      </c>
      <c r="L10" s="4" t="s">
        <v>77</v>
      </c>
      <c r="M10" s="16" t="s">
        <v>78</v>
      </c>
      <c r="N10" s="12"/>
      <c r="O10" s="4" t="s">
        <v>65</v>
      </c>
      <c r="P10" s="4">
        <v>23</v>
      </c>
      <c r="Q10" s="17">
        <v>99.06</v>
      </c>
      <c r="R10" s="12"/>
      <c r="S10" s="5">
        <v>22.78</v>
      </c>
      <c r="T10" s="16" t="s">
        <v>66</v>
      </c>
      <c r="U10" s="12"/>
      <c r="V10" s="5">
        <v>22.78</v>
      </c>
      <c r="W10" s="4" t="s">
        <v>67</v>
      </c>
      <c r="X10" s="4" t="s">
        <v>68</v>
      </c>
      <c r="Y10" s="4" t="s">
        <v>69</v>
      </c>
      <c r="Z10" s="4" t="s">
        <v>70</v>
      </c>
      <c r="AA10" s="4" t="s">
        <v>71</v>
      </c>
      <c r="AB10" s="4" t="s">
        <v>72</v>
      </c>
      <c r="AC10" s="4" t="s">
        <v>73</v>
      </c>
      <c r="AD10" s="4">
        <v>0</v>
      </c>
      <c r="AE10" s="4"/>
      <c r="AF10" s="4" t="s">
        <v>74</v>
      </c>
    </row>
    <row r="11" spans="1:33" x14ac:dyDescent="0.25">
      <c r="A11" s="4" t="s">
        <v>34</v>
      </c>
      <c r="B11" s="4" t="s">
        <v>35</v>
      </c>
      <c r="C11" s="16" t="s">
        <v>79</v>
      </c>
      <c r="D11" s="12"/>
      <c r="E11" s="12"/>
      <c r="F11" s="16" t="s">
        <v>80</v>
      </c>
      <c r="G11" s="12"/>
      <c r="H11" s="12"/>
      <c r="I11" s="4" t="s">
        <v>61</v>
      </c>
      <c r="J11" s="4">
        <v>1</v>
      </c>
      <c r="K11" s="4" t="s">
        <v>62</v>
      </c>
      <c r="L11" s="4" t="s">
        <v>81</v>
      </c>
      <c r="M11" s="16" t="s">
        <v>82</v>
      </c>
      <c r="N11" s="12"/>
      <c r="O11" s="4" t="s">
        <v>65</v>
      </c>
      <c r="P11" s="4">
        <v>27</v>
      </c>
      <c r="Q11" s="17">
        <v>65.66</v>
      </c>
      <c r="R11" s="12"/>
      <c r="S11" s="5">
        <v>17.73</v>
      </c>
      <c r="T11" s="16" t="s">
        <v>66</v>
      </c>
      <c r="U11" s="12"/>
      <c r="V11" s="5">
        <v>17.73</v>
      </c>
      <c r="W11" s="4" t="s">
        <v>67</v>
      </c>
      <c r="X11" s="4" t="s">
        <v>68</v>
      </c>
      <c r="Y11" s="4" t="s">
        <v>69</v>
      </c>
      <c r="Z11" s="4" t="s">
        <v>83</v>
      </c>
      <c r="AA11" s="4" t="s">
        <v>71</v>
      </c>
      <c r="AB11" s="4" t="s">
        <v>72</v>
      </c>
      <c r="AC11" s="4" t="s">
        <v>73</v>
      </c>
      <c r="AD11" s="4">
        <v>0</v>
      </c>
      <c r="AE11" s="4"/>
      <c r="AF11" s="4" t="s">
        <v>74</v>
      </c>
    </row>
    <row r="12" spans="1:33" x14ac:dyDescent="0.25">
      <c r="A12" s="4" t="s">
        <v>34</v>
      </c>
      <c r="B12" s="4" t="s">
        <v>35</v>
      </c>
      <c r="C12" s="16" t="s">
        <v>84</v>
      </c>
      <c r="D12" s="12"/>
      <c r="E12" s="12"/>
      <c r="F12" s="16" t="s">
        <v>85</v>
      </c>
      <c r="G12" s="12"/>
      <c r="H12" s="12"/>
      <c r="I12" s="4" t="s">
        <v>86</v>
      </c>
      <c r="J12" s="4">
        <v>1</v>
      </c>
      <c r="K12" s="4" t="s">
        <v>87</v>
      </c>
      <c r="L12" s="4" t="s">
        <v>77</v>
      </c>
      <c r="M12" s="16" t="s">
        <v>78</v>
      </c>
      <c r="N12" s="12"/>
      <c r="O12" s="4" t="s">
        <v>65</v>
      </c>
      <c r="P12" s="4">
        <v>23</v>
      </c>
      <c r="Q12" s="17">
        <v>123.83</v>
      </c>
      <c r="R12" s="12"/>
      <c r="S12" s="5">
        <v>28.48</v>
      </c>
      <c r="T12" s="16" t="s">
        <v>66</v>
      </c>
      <c r="U12" s="12"/>
      <c r="V12" s="5">
        <v>28.48</v>
      </c>
      <c r="W12" s="4" t="s">
        <v>67</v>
      </c>
      <c r="X12" s="4" t="s">
        <v>68</v>
      </c>
      <c r="Y12" s="4" t="s">
        <v>69</v>
      </c>
      <c r="Z12" s="4" t="s">
        <v>83</v>
      </c>
      <c r="AA12" s="4" t="s">
        <v>71</v>
      </c>
      <c r="AB12" s="4" t="s">
        <v>72</v>
      </c>
      <c r="AC12" s="4" t="s">
        <v>73</v>
      </c>
      <c r="AD12" s="4">
        <v>0</v>
      </c>
      <c r="AE12" s="4"/>
      <c r="AF12" s="4" t="s">
        <v>74</v>
      </c>
    </row>
    <row r="13" spans="1:33" x14ac:dyDescent="0.25">
      <c r="A13" s="4" t="s">
        <v>34</v>
      </c>
      <c r="B13" s="4" t="s">
        <v>35</v>
      </c>
      <c r="C13" s="16" t="s">
        <v>84</v>
      </c>
      <c r="D13" s="12"/>
      <c r="E13" s="12"/>
      <c r="F13" s="16" t="s">
        <v>85</v>
      </c>
      <c r="G13" s="12"/>
      <c r="H13" s="12"/>
      <c r="I13" s="4" t="s">
        <v>61</v>
      </c>
      <c r="J13" s="4">
        <v>1</v>
      </c>
      <c r="K13" s="4" t="s">
        <v>87</v>
      </c>
      <c r="L13" s="4" t="s">
        <v>77</v>
      </c>
      <c r="M13" s="16" t="s">
        <v>78</v>
      </c>
      <c r="N13" s="12"/>
      <c r="O13" s="4" t="s">
        <v>65</v>
      </c>
      <c r="P13" s="4">
        <v>23</v>
      </c>
      <c r="Q13" s="17">
        <v>123.83</v>
      </c>
      <c r="R13" s="12"/>
      <c r="S13" s="5">
        <v>28.48</v>
      </c>
      <c r="T13" s="16" t="s">
        <v>66</v>
      </c>
      <c r="U13" s="12"/>
      <c r="V13" s="5">
        <v>28.48</v>
      </c>
      <c r="W13" s="4" t="s">
        <v>67</v>
      </c>
      <c r="X13" s="4" t="s">
        <v>68</v>
      </c>
      <c r="Y13" s="4" t="s">
        <v>69</v>
      </c>
      <c r="Z13" s="4" t="s">
        <v>83</v>
      </c>
      <c r="AA13" s="4" t="s">
        <v>71</v>
      </c>
      <c r="AB13" s="4" t="s">
        <v>72</v>
      </c>
      <c r="AC13" s="4" t="s">
        <v>73</v>
      </c>
      <c r="AD13" s="4">
        <v>0</v>
      </c>
      <c r="AE13" s="4"/>
      <c r="AF13" s="4" t="s">
        <v>74</v>
      </c>
    </row>
    <row r="14" spans="1:33" x14ac:dyDescent="0.25">
      <c r="A14" s="4" t="s">
        <v>34</v>
      </c>
      <c r="B14" s="4" t="s">
        <v>35</v>
      </c>
      <c r="C14" s="16" t="s">
        <v>88</v>
      </c>
      <c r="D14" s="12"/>
      <c r="E14" s="12"/>
      <c r="F14" s="16" t="s">
        <v>89</v>
      </c>
      <c r="G14" s="12"/>
      <c r="H14" s="12"/>
      <c r="I14" s="4" t="s">
        <v>61</v>
      </c>
      <c r="J14" s="4">
        <v>1</v>
      </c>
      <c r="K14" s="4" t="s">
        <v>90</v>
      </c>
      <c r="L14" s="4" t="s">
        <v>77</v>
      </c>
      <c r="M14" s="16" t="s">
        <v>78</v>
      </c>
      <c r="N14" s="12"/>
      <c r="O14" s="4" t="s">
        <v>65</v>
      </c>
      <c r="P14" s="4">
        <v>23</v>
      </c>
      <c r="Q14" s="17">
        <v>121.49</v>
      </c>
      <c r="R14" s="12"/>
      <c r="S14" s="5">
        <v>27.94</v>
      </c>
      <c r="T14" s="16" t="s">
        <v>66</v>
      </c>
      <c r="U14" s="12"/>
      <c r="V14" s="5">
        <v>27.94</v>
      </c>
      <c r="W14" s="4" t="s">
        <v>67</v>
      </c>
      <c r="X14" s="4" t="s">
        <v>68</v>
      </c>
      <c r="Y14" s="4" t="s">
        <v>69</v>
      </c>
      <c r="Z14" s="4" t="s">
        <v>70</v>
      </c>
      <c r="AA14" s="4" t="s">
        <v>71</v>
      </c>
      <c r="AB14" s="4" t="s">
        <v>72</v>
      </c>
      <c r="AC14" s="4" t="s">
        <v>73</v>
      </c>
      <c r="AD14" s="4">
        <v>0</v>
      </c>
      <c r="AE14" s="4"/>
      <c r="AF14" s="4" t="s">
        <v>74</v>
      </c>
    </row>
    <row r="15" spans="1:33" x14ac:dyDescent="0.25">
      <c r="A15" s="4" t="s">
        <v>34</v>
      </c>
      <c r="B15" s="4" t="s">
        <v>35</v>
      </c>
      <c r="C15" s="16" t="s">
        <v>91</v>
      </c>
      <c r="D15" s="12"/>
      <c r="E15" s="12"/>
      <c r="F15" s="16" t="s">
        <v>92</v>
      </c>
      <c r="G15" s="12"/>
      <c r="H15" s="12"/>
      <c r="I15" s="4" t="s">
        <v>61</v>
      </c>
      <c r="J15" s="4">
        <v>1</v>
      </c>
      <c r="K15" s="4" t="s">
        <v>90</v>
      </c>
      <c r="L15" s="4" t="s">
        <v>77</v>
      </c>
      <c r="M15" s="16" t="s">
        <v>78</v>
      </c>
      <c r="N15" s="12"/>
      <c r="O15" s="4" t="s">
        <v>65</v>
      </c>
      <c r="P15" s="4">
        <v>23</v>
      </c>
      <c r="Q15" s="17">
        <v>147.07</v>
      </c>
      <c r="R15" s="12"/>
      <c r="S15" s="5">
        <v>33.83</v>
      </c>
      <c r="T15" s="16" t="s">
        <v>66</v>
      </c>
      <c r="U15" s="12"/>
      <c r="V15" s="5">
        <v>33.83</v>
      </c>
      <c r="W15" s="4" t="s">
        <v>67</v>
      </c>
      <c r="X15" s="4" t="s">
        <v>68</v>
      </c>
      <c r="Y15" s="4" t="s">
        <v>69</v>
      </c>
      <c r="Z15" s="4" t="s">
        <v>70</v>
      </c>
      <c r="AA15" s="4" t="s">
        <v>71</v>
      </c>
      <c r="AB15" s="4" t="s">
        <v>72</v>
      </c>
      <c r="AC15" s="4" t="s">
        <v>73</v>
      </c>
      <c r="AD15" s="4">
        <v>0</v>
      </c>
      <c r="AE15" s="4"/>
      <c r="AF15" s="4" t="s">
        <v>74</v>
      </c>
    </row>
    <row r="16" spans="1:33" x14ac:dyDescent="0.25">
      <c r="A16" s="4" t="s">
        <v>34</v>
      </c>
      <c r="B16" s="4" t="s">
        <v>35</v>
      </c>
      <c r="C16" s="16" t="s">
        <v>93</v>
      </c>
      <c r="D16" s="12"/>
      <c r="E16" s="12"/>
      <c r="F16" s="16" t="s">
        <v>94</v>
      </c>
      <c r="G16" s="12"/>
      <c r="H16" s="12"/>
      <c r="I16" s="4" t="s">
        <v>61</v>
      </c>
      <c r="J16" s="4">
        <v>1</v>
      </c>
      <c r="K16" s="4" t="s">
        <v>90</v>
      </c>
      <c r="L16" s="4" t="s">
        <v>77</v>
      </c>
      <c r="M16" s="16" t="s">
        <v>78</v>
      </c>
      <c r="N16" s="12"/>
      <c r="O16" s="4" t="s">
        <v>65</v>
      </c>
      <c r="P16" s="4">
        <v>23</v>
      </c>
      <c r="Q16" s="17">
        <v>108.47</v>
      </c>
      <c r="R16" s="12"/>
      <c r="S16" s="5">
        <v>24.95</v>
      </c>
      <c r="T16" s="16" t="s">
        <v>66</v>
      </c>
      <c r="U16" s="12"/>
      <c r="V16" s="5">
        <v>24.95</v>
      </c>
      <c r="W16" s="4" t="s">
        <v>67</v>
      </c>
      <c r="X16" s="4" t="s">
        <v>68</v>
      </c>
      <c r="Y16" s="4" t="s">
        <v>69</v>
      </c>
      <c r="Z16" s="4" t="s">
        <v>83</v>
      </c>
      <c r="AA16" s="4" t="s">
        <v>71</v>
      </c>
      <c r="AB16" s="4" t="s">
        <v>72</v>
      </c>
      <c r="AC16" s="4" t="s">
        <v>73</v>
      </c>
      <c r="AD16" s="4">
        <v>0</v>
      </c>
      <c r="AE16" s="4"/>
      <c r="AF16" s="4" t="s">
        <v>74</v>
      </c>
    </row>
    <row r="17" spans="1:32" x14ac:dyDescent="0.25">
      <c r="A17" s="4" t="s">
        <v>34</v>
      </c>
      <c r="B17" s="4" t="s">
        <v>35</v>
      </c>
      <c r="C17" s="16" t="s">
        <v>95</v>
      </c>
      <c r="D17" s="12"/>
      <c r="E17" s="12"/>
      <c r="F17" s="16" t="s">
        <v>96</v>
      </c>
      <c r="G17" s="12"/>
      <c r="H17" s="12"/>
      <c r="I17" s="4" t="s">
        <v>97</v>
      </c>
      <c r="J17" s="4">
        <v>1</v>
      </c>
      <c r="K17" s="4" t="s">
        <v>97</v>
      </c>
      <c r="L17" s="4" t="s">
        <v>77</v>
      </c>
      <c r="M17" s="16" t="s">
        <v>78</v>
      </c>
      <c r="N17" s="12"/>
      <c r="O17" s="4" t="s">
        <v>65</v>
      </c>
      <c r="P17" s="4">
        <v>23</v>
      </c>
      <c r="Q17" s="17">
        <v>108.47</v>
      </c>
      <c r="R17" s="12"/>
      <c r="S17" s="5">
        <v>24.95</v>
      </c>
      <c r="T17" s="16" t="s">
        <v>66</v>
      </c>
      <c r="U17" s="12"/>
      <c r="V17" s="5">
        <v>24.95</v>
      </c>
      <c r="W17" s="4" t="s">
        <v>67</v>
      </c>
      <c r="X17" s="4" t="s">
        <v>68</v>
      </c>
      <c r="Y17" s="4" t="s">
        <v>69</v>
      </c>
      <c r="Z17" s="4" t="s">
        <v>83</v>
      </c>
      <c r="AA17" s="4" t="s">
        <v>71</v>
      </c>
      <c r="AB17" s="4" t="s">
        <v>72</v>
      </c>
      <c r="AC17" s="4" t="s">
        <v>73</v>
      </c>
      <c r="AD17" s="4">
        <v>0</v>
      </c>
      <c r="AE17" s="4"/>
      <c r="AF17" s="4" t="s">
        <v>74</v>
      </c>
    </row>
    <row r="18" spans="1:32" x14ac:dyDescent="0.25">
      <c r="A18" s="4" t="s">
        <v>34</v>
      </c>
      <c r="B18" s="4" t="s">
        <v>35</v>
      </c>
      <c r="C18" s="16" t="s">
        <v>98</v>
      </c>
      <c r="D18" s="12"/>
      <c r="E18" s="12"/>
      <c r="F18" s="16" t="s">
        <v>37</v>
      </c>
      <c r="G18" s="12"/>
      <c r="H18" s="12"/>
      <c r="I18" s="4" t="s">
        <v>97</v>
      </c>
      <c r="J18" s="4">
        <v>1</v>
      </c>
      <c r="K18" s="4"/>
      <c r="L18" s="4" t="s">
        <v>77</v>
      </c>
      <c r="M18" s="16"/>
      <c r="N18" s="12"/>
      <c r="O18" s="4" t="s">
        <v>37</v>
      </c>
      <c r="P18" s="4">
        <v>0</v>
      </c>
      <c r="Q18" s="17">
        <v>0</v>
      </c>
      <c r="R18" s="12"/>
      <c r="S18" s="5">
        <v>0</v>
      </c>
      <c r="T18" s="16" t="s">
        <v>99</v>
      </c>
      <c r="U18" s="12"/>
      <c r="V18" s="5">
        <v>-55</v>
      </c>
      <c r="W18" s="4" t="s">
        <v>67</v>
      </c>
      <c r="X18" s="4" t="s">
        <v>68</v>
      </c>
      <c r="Y18" s="4" t="s">
        <v>37</v>
      </c>
      <c r="Z18" s="4"/>
      <c r="AA18" s="4"/>
      <c r="AB18" s="4"/>
      <c r="AC18" s="4" t="s">
        <v>73</v>
      </c>
      <c r="AD18" s="4">
        <v>0</v>
      </c>
      <c r="AE18" s="4"/>
      <c r="AF18" s="4" t="s">
        <v>74</v>
      </c>
    </row>
    <row r="19" spans="1:32" x14ac:dyDescent="0.25">
      <c r="A19" s="4" t="s">
        <v>34</v>
      </c>
      <c r="B19" s="4" t="s">
        <v>35</v>
      </c>
      <c r="C19" s="16" t="s">
        <v>100</v>
      </c>
      <c r="D19" s="12"/>
      <c r="E19" s="12"/>
      <c r="F19" s="16" t="s">
        <v>101</v>
      </c>
      <c r="G19" s="12"/>
      <c r="H19" s="12"/>
      <c r="I19" s="4" t="s">
        <v>86</v>
      </c>
      <c r="J19" s="4">
        <v>1</v>
      </c>
      <c r="K19" s="4" t="s">
        <v>102</v>
      </c>
      <c r="L19" s="4" t="s">
        <v>81</v>
      </c>
      <c r="M19" s="16" t="s">
        <v>82</v>
      </c>
      <c r="N19" s="12"/>
      <c r="O19" s="4" t="s">
        <v>65</v>
      </c>
      <c r="P19" s="4">
        <v>27</v>
      </c>
      <c r="Q19" s="17">
        <v>97.86</v>
      </c>
      <c r="R19" s="12"/>
      <c r="S19" s="5">
        <v>26.42</v>
      </c>
      <c r="T19" s="16" t="s">
        <v>66</v>
      </c>
      <c r="U19" s="12"/>
      <c r="V19" s="5">
        <v>26.42</v>
      </c>
      <c r="W19" s="4" t="s">
        <v>67</v>
      </c>
      <c r="X19" s="4" t="s">
        <v>103</v>
      </c>
      <c r="Y19" s="4" t="s">
        <v>104</v>
      </c>
      <c r="Z19" s="4" t="s">
        <v>83</v>
      </c>
      <c r="AA19" s="4" t="s">
        <v>71</v>
      </c>
      <c r="AB19" s="4" t="s">
        <v>72</v>
      </c>
      <c r="AC19" s="4" t="s">
        <v>73</v>
      </c>
      <c r="AD19" s="4">
        <v>0</v>
      </c>
      <c r="AE19" s="4"/>
      <c r="AF19" s="4" t="s">
        <v>74</v>
      </c>
    </row>
    <row r="20" spans="1:32" x14ac:dyDescent="0.25">
      <c r="A20" s="4" t="s">
        <v>34</v>
      </c>
      <c r="B20" s="4" t="s">
        <v>35</v>
      </c>
      <c r="C20" s="16" t="s">
        <v>100</v>
      </c>
      <c r="D20" s="12"/>
      <c r="E20" s="12"/>
      <c r="F20" s="16" t="s">
        <v>101</v>
      </c>
      <c r="G20" s="12"/>
      <c r="H20" s="12"/>
      <c r="I20" s="4" t="s">
        <v>61</v>
      </c>
      <c r="J20" s="4">
        <v>1</v>
      </c>
      <c r="K20" s="4" t="s">
        <v>102</v>
      </c>
      <c r="L20" s="4" t="s">
        <v>81</v>
      </c>
      <c r="M20" s="16" t="s">
        <v>82</v>
      </c>
      <c r="N20" s="12"/>
      <c r="O20" s="4" t="s">
        <v>65</v>
      </c>
      <c r="P20" s="4">
        <v>27</v>
      </c>
      <c r="Q20" s="17">
        <v>97.86</v>
      </c>
      <c r="R20" s="12"/>
      <c r="S20" s="5">
        <v>26.42</v>
      </c>
      <c r="T20" s="16" t="s">
        <v>66</v>
      </c>
      <c r="U20" s="12"/>
      <c r="V20" s="5">
        <v>26.42</v>
      </c>
      <c r="W20" s="4" t="s">
        <v>67</v>
      </c>
      <c r="X20" s="4" t="s">
        <v>103</v>
      </c>
      <c r="Y20" s="4" t="s">
        <v>104</v>
      </c>
      <c r="Z20" s="4" t="s">
        <v>83</v>
      </c>
      <c r="AA20" s="4" t="s">
        <v>71</v>
      </c>
      <c r="AB20" s="4" t="s">
        <v>72</v>
      </c>
      <c r="AC20" s="4" t="s">
        <v>73</v>
      </c>
      <c r="AD20" s="4">
        <v>0</v>
      </c>
      <c r="AE20" s="4"/>
      <c r="AF20" s="4" t="s">
        <v>74</v>
      </c>
    </row>
    <row r="21" spans="1:32" x14ac:dyDescent="0.25">
      <c r="A21" s="4" t="s">
        <v>34</v>
      </c>
      <c r="B21" s="4" t="s">
        <v>35</v>
      </c>
      <c r="C21" s="16" t="s">
        <v>105</v>
      </c>
      <c r="D21" s="12"/>
      <c r="E21" s="12"/>
      <c r="F21" s="16" t="s">
        <v>106</v>
      </c>
      <c r="G21" s="12"/>
      <c r="H21" s="12"/>
      <c r="I21" s="4" t="s">
        <v>97</v>
      </c>
      <c r="J21" s="4">
        <v>1</v>
      </c>
      <c r="K21" s="4" t="s">
        <v>97</v>
      </c>
      <c r="L21" s="4" t="s">
        <v>77</v>
      </c>
      <c r="M21" s="16" t="s">
        <v>78</v>
      </c>
      <c r="N21" s="12"/>
      <c r="O21" s="4" t="s">
        <v>65</v>
      </c>
      <c r="P21" s="4">
        <v>23</v>
      </c>
      <c r="Q21" s="17">
        <v>165.36</v>
      </c>
      <c r="R21" s="12"/>
      <c r="S21" s="5">
        <v>38.03</v>
      </c>
      <c r="T21" s="16" t="s">
        <v>66</v>
      </c>
      <c r="U21" s="12"/>
      <c r="V21" s="5">
        <v>38.03</v>
      </c>
      <c r="W21" s="4" t="s">
        <v>67</v>
      </c>
      <c r="X21" s="4" t="s">
        <v>103</v>
      </c>
      <c r="Y21" s="4" t="s">
        <v>104</v>
      </c>
      <c r="Z21" s="4" t="s">
        <v>70</v>
      </c>
      <c r="AA21" s="4" t="s">
        <v>71</v>
      </c>
      <c r="AB21" s="4" t="s">
        <v>72</v>
      </c>
      <c r="AC21" s="4" t="s">
        <v>73</v>
      </c>
      <c r="AD21" s="4">
        <v>0</v>
      </c>
      <c r="AE21" s="4"/>
      <c r="AF21" s="4" t="s">
        <v>74</v>
      </c>
    </row>
    <row r="22" spans="1:32" x14ac:dyDescent="0.25">
      <c r="A22" s="4" t="s">
        <v>34</v>
      </c>
      <c r="B22" s="4" t="s">
        <v>35</v>
      </c>
      <c r="C22" s="16" t="s">
        <v>107</v>
      </c>
      <c r="D22" s="12"/>
      <c r="E22" s="12"/>
      <c r="F22" s="16" t="s">
        <v>108</v>
      </c>
      <c r="G22" s="12"/>
      <c r="H22" s="12"/>
      <c r="I22" s="4" t="s">
        <v>109</v>
      </c>
      <c r="J22" s="4">
        <v>1</v>
      </c>
      <c r="K22" s="4" t="s">
        <v>109</v>
      </c>
      <c r="L22" s="4" t="s">
        <v>77</v>
      </c>
      <c r="M22" s="16" t="s">
        <v>78</v>
      </c>
      <c r="N22" s="12"/>
      <c r="O22" s="4" t="s">
        <v>65</v>
      </c>
      <c r="P22" s="4">
        <v>23</v>
      </c>
      <c r="Q22" s="17">
        <v>175.92</v>
      </c>
      <c r="R22" s="12"/>
      <c r="S22" s="5">
        <v>40.46</v>
      </c>
      <c r="T22" s="16" t="s">
        <v>66</v>
      </c>
      <c r="U22" s="12"/>
      <c r="V22" s="5">
        <v>40.46</v>
      </c>
      <c r="W22" s="4" t="s">
        <v>67</v>
      </c>
      <c r="X22" s="4" t="s">
        <v>103</v>
      </c>
      <c r="Y22" s="4" t="s">
        <v>104</v>
      </c>
      <c r="Z22" s="4" t="s">
        <v>70</v>
      </c>
      <c r="AA22" s="4" t="s">
        <v>71</v>
      </c>
      <c r="AB22" s="4" t="s">
        <v>72</v>
      </c>
      <c r="AC22" s="4" t="s">
        <v>73</v>
      </c>
      <c r="AD22" s="4">
        <v>0</v>
      </c>
      <c r="AE22" s="4"/>
      <c r="AF22" s="4" t="s">
        <v>74</v>
      </c>
    </row>
    <row r="23" spans="1:32" x14ac:dyDescent="0.25">
      <c r="A23" s="4" t="s">
        <v>34</v>
      </c>
      <c r="B23" s="4" t="s">
        <v>35</v>
      </c>
      <c r="C23" s="16" t="s">
        <v>110</v>
      </c>
      <c r="D23" s="12"/>
      <c r="E23" s="12"/>
      <c r="F23" s="16" t="s">
        <v>111</v>
      </c>
      <c r="G23" s="12"/>
      <c r="H23" s="12"/>
      <c r="I23" s="4" t="s">
        <v>109</v>
      </c>
      <c r="J23" s="4">
        <v>1</v>
      </c>
      <c r="K23" s="4" t="s">
        <v>109</v>
      </c>
      <c r="L23" s="4" t="s">
        <v>81</v>
      </c>
      <c r="M23" s="16" t="s">
        <v>82</v>
      </c>
      <c r="N23" s="12"/>
      <c r="O23" s="4" t="s">
        <v>65</v>
      </c>
      <c r="P23" s="4">
        <v>27</v>
      </c>
      <c r="Q23" s="17">
        <v>97.86</v>
      </c>
      <c r="R23" s="12"/>
      <c r="S23" s="5">
        <v>26.42</v>
      </c>
      <c r="T23" s="16" t="s">
        <v>66</v>
      </c>
      <c r="U23" s="12"/>
      <c r="V23" s="5">
        <v>26.42</v>
      </c>
      <c r="W23" s="4" t="s">
        <v>67</v>
      </c>
      <c r="X23" s="4" t="s">
        <v>103</v>
      </c>
      <c r="Y23" s="4" t="s">
        <v>104</v>
      </c>
      <c r="Z23" s="4" t="s">
        <v>83</v>
      </c>
      <c r="AA23" s="4" t="s">
        <v>71</v>
      </c>
      <c r="AB23" s="4" t="s">
        <v>72</v>
      </c>
      <c r="AC23" s="4" t="s">
        <v>73</v>
      </c>
      <c r="AD23" s="4">
        <v>0</v>
      </c>
      <c r="AE23" s="4"/>
      <c r="AF23" s="4" t="s">
        <v>74</v>
      </c>
    </row>
    <row r="24" spans="1:32" x14ac:dyDescent="0.25">
      <c r="A24" s="4" t="s">
        <v>34</v>
      </c>
      <c r="B24" s="4" t="s">
        <v>35</v>
      </c>
      <c r="C24" s="16" t="s">
        <v>112</v>
      </c>
      <c r="D24" s="12"/>
      <c r="E24" s="12"/>
      <c r="F24" s="16" t="s">
        <v>113</v>
      </c>
      <c r="G24" s="12"/>
      <c r="H24" s="12"/>
      <c r="I24" s="4" t="s">
        <v>114</v>
      </c>
      <c r="J24" s="4">
        <v>1</v>
      </c>
      <c r="K24" s="4" t="s">
        <v>115</v>
      </c>
      <c r="L24" s="4" t="s">
        <v>77</v>
      </c>
      <c r="M24" s="16" t="s">
        <v>78</v>
      </c>
      <c r="N24" s="12"/>
      <c r="O24" s="4" t="s">
        <v>65</v>
      </c>
      <c r="P24" s="4">
        <v>23</v>
      </c>
      <c r="Q24" s="17">
        <v>195.86</v>
      </c>
      <c r="R24" s="12"/>
      <c r="S24" s="5">
        <v>45.05</v>
      </c>
      <c r="T24" s="16" t="s">
        <v>66</v>
      </c>
      <c r="U24" s="12"/>
      <c r="V24" s="5">
        <v>45.05</v>
      </c>
      <c r="W24" s="4" t="s">
        <v>67</v>
      </c>
      <c r="X24" s="4" t="s">
        <v>116</v>
      </c>
      <c r="Y24" s="4" t="s">
        <v>117</v>
      </c>
      <c r="Z24" s="4" t="s">
        <v>70</v>
      </c>
      <c r="AA24" s="4" t="s">
        <v>71</v>
      </c>
      <c r="AB24" s="4" t="s">
        <v>72</v>
      </c>
      <c r="AC24" s="4" t="s">
        <v>118</v>
      </c>
      <c r="AD24" s="4">
        <v>0</v>
      </c>
      <c r="AE24" s="4"/>
      <c r="AF24" s="4" t="s">
        <v>74</v>
      </c>
    </row>
    <row r="25" spans="1:32" x14ac:dyDescent="0.25">
      <c r="A25" s="4" t="s">
        <v>34</v>
      </c>
      <c r="B25" s="4" t="s">
        <v>35</v>
      </c>
      <c r="C25" s="16" t="s">
        <v>119</v>
      </c>
      <c r="D25" s="12"/>
      <c r="E25" s="12"/>
      <c r="F25" s="16" t="s">
        <v>120</v>
      </c>
      <c r="G25" s="12"/>
      <c r="H25" s="12"/>
      <c r="I25" s="4" t="s">
        <v>114</v>
      </c>
      <c r="J25" s="4">
        <v>1</v>
      </c>
      <c r="K25" s="4" t="s">
        <v>115</v>
      </c>
      <c r="L25" s="4" t="s">
        <v>77</v>
      </c>
      <c r="M25" s="16" t="s">
        <v>78</v>
      </c>
      <c r="N25" s="12"/>
      <c r="O25" s="4" t="s">
        <v>65</v>
      </c>
      <c r="P25" s="4">
        <v>23</v>
      </c>
      <c r="Q25" s="17">
        <v>141.47</v>
      </c>
      <c r="R25" s="12"/>
      <c r="S25" s="5">
        <v>32.54</v>
      </c>
      <c r="T25" s="16" t="s">
        <v>66</v>
      </c>
      <c r="U25" s="12"/>
      <c r="V25" s="5">
        <v>32.54</v>
      </c>
      <c r="W25" s="4" t="s">
        <v>67</v>
      </c>
      <c r="X25" s="4" t="s">
        <v>116</v>
      </c>
      <c r="Y25" s="4" t="s">
        <v>117</v>
      </c>
      <c r="Z25" s="4" t="s">
        <v>70</v>
      </c>
      <c r="AA25" s="4" t="s">
        <v>71</v>
      </c>
      <c r="AB25" s="4" t="s">
        <v>72</v>
      </c>
      <c r="AC25" s="4" t="s">
        <v>118</v>
      </c>
      <c r="AD25" s="4">
        <v>0</v>
      </c>
      <c r="AE25" s="4"/>
      <c r="AF25" s="4" t="s">
        <v>74</v>
      </c>
    </row>
    <row r="26" spans="1:32" x14ac:dyDescent="0.25">
      <c r="A26" s="4" t="s">
        <v>34</v>
      </c>
      <c r="B26" s="4" t="s">
        <v>35</v>
      </c>
      <c r="C26" s="16" t="s">
        <v>121</v>
      </c>
      <c r="D26" s="12"/>
      <c r="E26" s="12"/>
      <c r="F26" s="16" t="s">
        <v>122</v>
      </c>
      <c r="G26" s="12"/>
      <c r="H26" s="12"/>
      <c r="I26" s="4" t="s">
        <v>61</v>
      </c>
      <c r="J26" s="4">
        <v>1</v>
      </c>
      <c r="K26" s="4" t="s">
        <v>62</v>
      </c>
      <c r="L26" s="4" t="s">
        <v>81</v>
      </c>
      <c r="M26" s="16" t="s">
        <v>82</v>
      </c>
      <c r="N26" s="12"/>
      <c r="O26" s="4" t="s">
        <v>65</v>
      </c>
      <c r="P26" s="4">
        <v>11</v>
      </c>
      <c r="Q26" s="17">
        <v>142.03</v>
      </c>
      <c r="R26" s="12"/>
      <c r="S26" s="5">
        <v>15.62</v>
      </c>
      <c r="T26" s="16" t="s">
        <v>66</v>
      </c>
      <c r="U26" s="12"/>
      <c r="V26" s="5">
        <v>15.62</v>
      </c>
      <c r="W26" s="4" t="s">
        <v>67</v>
      </c>
      <c r="X26" s="4" t="s">
        <v>123</v>
      </c>
      <c r="Y26" s="4" t="s">
        <v>124</v>
      </c>
      <c r="Z26" s="4" t="s">
        <v>70</v>
      </c>
      <c r="AA26" s="4" t="s">
        <v>125</v>
      </c>
      <c r="AB26" s="4" t="s">
        <v>72</v>
      </c>
      <c r="AC26" s="4" t="s">
        <v>73</v>
      </c>
      <c r="AD26" s="4">
        <v>0</v>
      </c>
      <c r="AE26" s="4"/>
      <c r="AF26" s="4" t="s">
        <v>74</v>
      </c>
    </row>
    <row r="27" spans="1:32" x14ac:dyDescent="0.25">
      <c r="A27" s="4" t="s">
        <v>34</v>
      </c>
      <c r="B27" s="4" t="s">
        <v>35</v>
      </c>
      <c r="C27" s="16" t="s">
        <v>126</v>
      </c>
      <c r="D27" s="12"/>
      <c r="E27" s="12"/>
      <c r="F27" s="16" t="s">
        <v>127</v>
      </c>
      <c r="G27" s="12"/>
      <c r="H27" s="12"/>
      <c r="I27" s="4" t="s">
        <v>61</v>
      </c>
      <c r="J27" s="4">
        <v>1</v>
      </c>
      <c r="K27" s="4" t="s">
        <v>62</v>
      </c>
      <c r="L27" s="4" t="s">
        <v>81</v>
      </c>
      <c r="M27" s="16" t="s">
        <v>82</v>
      </c>
      <c r="N27" s="12"/>
      <c r="O27" s="4" t="s">
        <v>65</v>
      </c>
      <c r="P27" s="4">
        <v>27</v>
      </c>
      <c r="Q27" s="17">
        <v>65.66</v>
      </c>
      <c r="R27" s="12"/>
      <c r="S27" s="5">
        <v>17.73</v>
      </c>
      <c r="T27" s="16" t="s">
        <v>66</v>
      </c>
      <c r="U27" s="12"/>
      <c r="V27" s="5">
        <v>17.73</v>
      </c>
      <c r="W27" s="4" t="s">
        <v>67</v>
      </c>
      <c r="X27" s="4" t="s">
        <v>123</v>
      </c>
      <c r="Y27" s="4" t="s">
        <v>124</v>
      </c>
      <c r="Z27" s="4" t="s">
        <v>83</v>
      </c>
      <c r="AA27" s="4" t="s">
        <v>71</v>
      </c>
      <c r="AB27" s="4" t="s">
        <v>72</v>
      </c>
      <c r="AC27" s="4" t="s">
        <v>73</v>
      </c>
      <c r="AD27" s="4">
        <v>0</v>
      </c>
      <c r="AE27" s="4"/>
      <c r="AF27" s="4" t="s">
        <v>74</v>
      </c>
    </row>
    <row r="28" spans="1:32" x14ac:dyDescent="0.25">
      <c r="A28" s="4" t="s">
        <v>34</v>
      </c>
      <c r="B28" s="4" t="s">
        <v>35</v>
      </c>
      <c r="C28" s="16" t="s">
        <v>128</v>
      </c>
      <c r="D28" s="12"/>
      <c r="E28" s="12"/>
      <c r="F28" s="16" t="s">
        <v>129</v>
      </c>
      <c r="G28" s="12"/>
      <c r="H28" s="12"/>
      <c r="I28" s="4" t="s">
        <v>61</v>
      </c>
      <c r="J28" s="4">
        <v>1</v>
      </c>
      <c r="K28" s="4" t="s">
        <v>102</v>
      </c>
      <c r="L28" s="4" t="s">
        <v>81</v>
      </c>
      <c r="M28" s="16" t="s">
        <v>82</v>
      </c>
      <c r="N28" s="12"/>
      <c r="O28" s="4" t="s">
        <v>65</v>
      </c>
      <c r="P28" s="4">
        <v>27</v>
      </c>
      <c r="Q28" s="17">
        <v>84.48</v>
      </c>
      <c r="R28" s="12"/>
      <c r="S28" s="5">
        <v>22.81</v>
      </c>
      <c r="T28" s="16" t="s">
        <v>66</v>
      </c>
      <c r="U28" s="12"/>
      <c r="V28" s="5">
        <v>22.81</v>
      </c>
      <c r="W28" s="4" t="s">
        <v>67</v>
      </c>
      <c r="X28" s="4" t="s">
        <v>123</v>
      </c>
      <c r="Y28" s="4" t="s">
        <v>124</v>
      </c>
      <c r="Z28" s="4" t="s">
        <v>83</v>
      </c>
      <c r="AA28" s="4" t="s">
        <v>71</v>
      </c>
      <c r="AB28" s="4" t="s">
        <v>72</v>
      </c>
      <c r="AC28" s="4" t="s">
        <v>73</v>
      </c>
      <c r="AD28" s="4">
        <v>0</v>
      </c>
      <c r="AE28" s="4"/>
      <c r="AF28" s="4" t="s">
        <v>74</v>
      </c>
    </row>
    <row r="29" spans="1:32" x14ac:dyDescent="0.25">
      <c r="A29" s="4" t="s">
        <v>34</v>
      </c>
      <c r="B29" s="4" t="s">
        <v>35</v>
      </c>
      <c r="C29" s="16" t="s">
        <v>130</v>
      </c>
      <c r="D29" s="12"/>
      <c r="E29" s="12"/>
      <c r="F29" s="16" t="s">
        <v>131</v>
      </c>
      <c r="G29" s="12"/>
      <c r="H29" s="12"/>
      <c r="I29" s="4" t="s">
        <v>61</v>
      </c>
      <c r="J29" s="4">
        <v>1</v>
      </c>
      <c r="K29" s="4" t="s">
        <v>102</v>
      </c>
      <c r="L29" s="4" t="s">
        <v>77</v>
      </c>
      <c r="M29" s="16" t="s">
        <v>78</v>
      </c>
      <c r="N29" s="12"/>
      <c r="O29" s="4" t="s">
        <v>65</v>
      </c>
      <c r="P29" s="4">
        <v>23</v>
      </c>
      <c r="Q29" s="17">
        <v>142.75</v>
      </c>
      <c r="R29" s="12"/>
      <c r="S29" s="5">
        <v>32.83</v>
      </c>
      <c r="T29" s="16" t="s">
        <v>66</v>
      </c>
      <c r="U29" s="12"/>
      <c r="V29" s="5">
        <v>32.83</v>
      </c>
      <c r="W29" s="4" t="s">
        <v>67</v>
      </c>
      <c r="X29" s="4" t="s">
        <v>123</v>
      </c>
      <c r="Y29" s="4" t="s">
        <v>124</v>
      </c>
      <c r="Z29" s="4" t="s">
        <v>83</v>
      </c>
      <c r="AA29" s="4" t="s">
        <v>71</v>
      </c>
      <c r="AB29" s="4" t="s">
        <v>72</v>
      </c>
      <c r="AC29" s="4" t="s">
        <v>73</v>
      </c>
      <c r="AD29" s="4">
        <v>0</v>
      </c>
      <c r="AE29" s="4"/>
      <c r="AF29" s="4" t="s">
        <v>74</v>
      </c>
    </row>
    <row r="30" spans="1:32" x14ac:dyDescent="0.25">
      <c r="A30" s="4" t="s">
        <v>34</v>
      </c>
      <c r="B30" s="4" t="s">
        <v>35</v>
      </c>
      <c r="C30" s="16" t="s">
        <v>132</v>
      </c>
      <c r="D30" s="12"/>
      <c r="E30" s="12"/>
      <c r="F30" s="16" t="s">
        <v>133</v>
      </c>
      <c r="G30" s="12"/>
      <c r="H30" s="12"/>
      <c r="I30" s="4" t="s">
        <v>61</v>
      </c>
      <c r="J30" s="4">
        <v>1</v>
      </c>
      <c r="K30" s="4" t="s">
        <v>62</v>
      </c>
      <c r="L30" s="4" t="s">
        <v>77</v>
      </c>
      <c r="M30" s="16" t="s">
        <v>78</v>
      </c>
      <c r="N30" s="12"/>
      <c r="O30" s="4" t="s">
        <v>65</v>
      </c>
      <c r="P30" s="4">
        <v>23</v>
      </c>
      <c r="Q30" s="17">
        <v>148.25</v>
      </c>
      <c r="R30" s="12"/>
      <c r="S30" s="5">
        <v>34.1</v>
      </c>
      <c r="T30" s="16" t="s">
        <v>66</v>
      </c>
      <c r="U30" s="12"/>
      <c r="V30" s="5">
        <v>34.1</v>
      </c>
      <c r="W30" s="4" t="s">
        <v>67</v>
      </c>
      <c r="X30" s="4" t="s">
        <v>134</v>
      </c>
      <c r="Y30" s="4" t="s">
        <v>135</v>
      </c>
      <c r="Z30" s="4" t="s">
        <v>83</v>
      </c>
      <c r="AA30" s="4" t="s">
        <v>71</v>
      </c>
      <c r="AB30" s="4" t="s">
        <v>72</v>
      </c>
      <c r="AC30" s="4" t="s">
        <v>118</v>
      </c>
      <c r="AD30" s="4">
        <v>0</v>
      </c>
      <c r="AE30" s="4"/>
      <c r="AF30" s="4" t="s">
        <v>74</v>
      </c>
    </row>
    <row r="31" spans="1:32" x14ac:dyDescent="0.25">
      <c r="A31" s="4" t="s">
        <v>34</v>
      </c>
      <c r="B31" s="4" t="s">
        <v>35</v>
      </c>
      <c r="C31" s="16" t="s">
        <v>136</v>
      </c>
      <c r="D31" s="12"/>
      <c r="E31" s="12"/>
      <c r="F31" s="16" t="s">
        <v>137</v>
      </c>
      <c r="G31" s="12"/>
      <c r="H31" s="12"/>
      <c r="I31" s="4" t="s">
        <v>61</v>
      </c>
      <c r="J31" s="4">
        <v>1</v>
      </c>
      <c r="K31" s="4" t="s">
        <v>61</v>
      </c>
      <c r="L31" s="4" t="s">
        <v>77</v>
      </c>
      <c r="M31" s="16" t="s">
        <v>78</v>
      </c>
      <c r="N31" s="12"/>
      <c r="O31" s="4" t="s">
        <v>65</v>
      </c>
      <c r="P31" s="4">
        <v>23</v>
      </c>
      <c r="Q31" s="17">
        <v>123.42</v>
      </c>
      <c r="R31" s="12"/>
      <c r="S31" s="5">
        <v>28.39</v>
      </c>
      <c r="T31" s="16" t="s">
        <v>66</v>
      </c>
      <c r="U31" s="12"/>
      <c r="V31" s="5">
        <v>28.39</v>
      </c>
      <c r="W31" s="4" t="s">
        <v>67</v>
      </c>
      <c r="X31" s="4" t="s">
        <v>138</v>
      </c>
      <c r="Y31" s="4" t="s">
        <v>139</v>
      </c>
      <c r="Z31" s="4" t="s">
        <v>83</v>
      </c>
      <c r="AA31" s="4" t="s">
        <v>71</v>
      </c>
      <c r="AB31" s="4" t="s">
        <v>72</v>
      </c>
      <c r="AC31" s="4" t="s">
        <v>140</v>
      </c>
      <c r="AD31" s="4">
        <v>0</v>
      </c>
      <c r="AE31" s="4"/>
      <c r="AF31" s="4" t="s">
        <v>74</v>
      </c>
    </row>
    <row r="32" spans="1:32" ht="22.5" x14ac:dyDescent="0.25">
      <c r="A32" s="4" t="s">
        <v>34</v>
      </c>
      <c r="B32" s="4" t="s">
        <v>35</v>
      </c>
      <c r="C32" s="16" t="s">
        <v>141</v>
      </c>
      <c r="D32" s="12"/>
      <c r="E32" s="12"/>
      <c r="F32" s="16" t="s">
        <v>142</v>
      </c>
      <c r="G32" s="12"/>
      <c r="H32" s="12"/>
      <c r="I32" s="4" t="s">
        <v>61</v>
      </c>
      <c r="J32" s="4">
        <v>1</v>
      </c>
      <c r="K32" s="4" t="s">
        <v>61</v>
      </c>
      <c r="L32" s="4" t="s">
        <v>77</v>
      </c>
      <c r="M32" s="16" t="s">
        <v>78</v>
      </c>
      <c r="N32" s="12"/>
      <c r="O32" s="4" t="s">
        <v>65</v>
      </c>
      <c r="P32" s="4">
        <v>23</v>
      </c>
      <c r="Q32" s="17">
        <v>121.94</v>
      </c>
      <c r="R32" s="12"/>
      <c r="S32" s="5">
        <v>28.05</v>
      </c>
      <c r="T32" s="16" t="s">
        <v>66</v>
      </c>
      <c r="U32" s="12"/>
      <c r="V32" s="5">
        <v>28.05</v>
      </c>
      <c r="W32" s="4" t="s">
        <v>67</v>
      </c>
      <c r="X32" s="4" t="s">
        <v>143</v>
      </c>
      <c r="Y32" s="4" t="s">
        <v>144</v>
      </c>
      <c r="Z32" s="4" t="s">
        <v>83</v>
      </c>
      <c r="AA32" s="4" t="s">
        <v>71</v>
      </c>
      <c r="AB32" s="4" t="s">
        <v>72</v>
      </c>
      <c r="AC32" s="4" t="s">
        <v>145</v>
      </c>
      <c r="AD32" s="4">
        <v>0</v>
      </c>
      <c r="AE32" s="4"/>
      <c r="AF32" s="4" t="s">
        <v>74</v>
      </c>
    </row>
    <row r="33" spans="1:32" x14ac:dyDescent="0.25">
      <c r="A33" s="8" t="s">
        <v>37</v>
      </c>
      <c r="B33" s="8" t="s">
        <v>37</v>
      </c>
      <c r="C33" s="23" t="s">
        <v>37</v>
      </c>
      <c r="D33" s="24"/>
      <c r="E33" s="24"/>
      <c r="F33" s="23" t="s">
        <v>37</v>
      </c>
      <c r="G33" s="24"/>
      <c r="H33" s="24"/>
      <c r="I33" s="8" t="s">
        <v>37</v>
      </c>
      <c r="J33" s="8" t="s">
        <v>37</v>
      </c>
      <c r="K33" s="8" t="s">
        <v>37</v>
      </c>
      <c r="L33" s="8" t="s">
        <v>37</v>
      </c>
      <c r="M33" s="23" t="s">
        <v>37</v>
      </c>
      <c r="N33" s="24"/>
      <c r="O33" s="8" t="s">
        <v>37</v>
      </c>
      <c r="P33" s="8" t="s">
        <v>37</v>
      </c>
      <c r="Q33" s="23" t="s">
        <v>37</v>
      </c>
      <c r="R33" s="24"/>
      <c r="S33" s="9" t="s">
        <v>37</v>
      </c>
      <c r="T33" s="23" t="s">
        <v>146</v>
      </c>
      <c r="U33" s="24"/>
      <c r="V33" s="10">
        <v>595.66</v>
      </c>
      <c r="W33" s="8" t="s">
        <v>37</v>
      </c>
      <c r="X33" s="8" t="s">
        <v>37</v>
      </c>
      <c r="Y33" s="8" t="s">
        <v>37</v>
      </c>
      <c r="Z33" s="8" t="s">
        <v>37</v>
      </c>
      <c r="AA33" s="8" t="s">
        <v>37</v>
      </c>
      <c r="AB33" s="8" t="s">
        <v>37</v>
      </c>
      <c r="AC33" s="8" t="s">
        <v>37</v>
      </c>
      <c r="AD33" s="8">
        <v>0</v>
      </c>
      <c r="AE33" s="8" t="s">
        <v>37</v>
      </c>
      <c r="AF33" s="8" t="s">
        <v>37</v>
      </c>
    </row>
    <row r="34" spans="1:32" ht="0" hidden="1" customHeight="1" x14ac:dyDescent="0.25"/>
  </sheetData>
  <mergeCells count="13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3761-A1E9-4ACE-A592-CB0A71BCBF7E}">
  <dimension ref="A1:AI24"/>
  <sheetViews>
    <sheetView workbookViewId="0">
      <selection activeCell="K2" sqref="K2:K24"/>
    </sheetView>
  </sheetViews>
  <sheetFormatPr defaultRowHeight="15" x14ac:dyDescent="0.25"/>
  <cols>
    <col min="1" max="1" width="17.140625" style="25" customWidth="1"/>
    <col min="2" max="2" width="19.5703125" style="25" bestFit="1" customWidth="1"/>
    <col min="3" max="3" width="13.7109375" style="25" customWidth="1"/>
    <col min="4" max="6" width="6.85546875" style="25" customWidth="1"/>
    <col min="7" max="7" width="10.28515625" style="25" customWidth="1"/>
    <col min="8" max="8" width="19" style="25" bestFit="1" customWidth="1"/>
    <col min="9" max="9" width="12" style="25" customWidth="1"/>
    <col min="10" max="10" width="7.140625" style="25" bestFit="1" customWidth="1"/>
    <col min="11" max="11" width="12" style="25" customWidth="1"/>
    <col min="12" max="12" width="17.7109375" style="25" customWidth="1"/>
    <col min="13" max="13" width="26.85546875" style="25" customWidth="1"/>
    <col min="14" max="16384" width="9.140625" style="25"/>
  </cols>
  <sheetData>
    <row r="1" spans="1:35" ht="33.75" customHeight="1" x14ac:dyDescent="0.25">
      <c r="A1" s="3" t="s">
        <v>13</v>
      </c>
      <c r="B1" s="3" t="s">
        <v>14</v>
      </c>
      <c r="C1" s="3" t="s">
        <v>54</v>
      </c>
      <c r="D1" s="3" t="s">
        <v>55</v>
      </c>
      <c r="E1" s="3"/>
      <c r="F1" s="3"/>
      <c r="G1" s="3" t="s">
        <v>15</v>
      </c>
      <c r="H1" s="3" t="s">
        <v>17</v>
      </c>
      <c r="I1" s="3" t="s">
        <v>19</v>
      </c>
      <c r="J1" s="3" t="s">
        <v>56</v>
      </c>
      <c r="K1" s="3" t="s">
        <v>23</v>
      </c>
      <c r="L1" s="3" t="s">
        <v>57</v>
      </c>
      <c r="M1" s="3" t="s">
        <v>58</v>
      </c>
    </row>
    <row r="2" spans="1:35" ht="15" customHeight="1" x14ac:dyDescent="0.25">
      <c r="A2" s="4" t="s">
        <v>121</v>
      </c>
      <c r="B2" s="4" t="s">
        <v>122</v>
      </c>
      <c r="C2" s="4" t="s">
        <v>61</v>
      </c>
      <c r="D2" s="4">
        <f>DATEDIF(G2,C2,"M")</f>
        <v>9</v>
      </c>
      <c r="E2" s="4" t="s">
        <v>153</v>
      </c>
      <c r="F2" s="4" t="s">
        <v>154</v>
      </c>
      <c r="G2" s="4" t="s">
        <v>62</v>
      </c>
      <c r="H2" s="4" t="s">
        <v>82</v>
      </c>
      <c r="I2" s="4">
        <v>11</v>
      </c>
      <c r="J2" s="5">
        <v>142.03</v>
      </c>
      <c r="K2" s="5">
        <v>15.62</v>
      </c>
      <c r="L2" s="4">
        <v>18710070</v>
      </c>
      <c r="M2" s="4" t="s">
        <v>124</v>
      </c>
      <c r="N2" s="25" t="s">
        <v>157</v>
      </c>
    </row>
    <row r="3" spans="1:35" ht="15" customHeight="1" x14ac:dyDescent="0.25">
      <c r="A3" s="4" t="s">
        <v>105</v>
      </c>
      <c r="B3" s="4" t="s">
        <v>106</v>
      </c>
      <c r="C3" s="4" t="s">
        <v>97</v>
      </c>
      <c r="D3" s="4">
        <f>DATEDIF(G3,C3,"M")</f>
        <v>0</v>
      </c>
      <c r="E3" s="4" t="s">
        <v>153</v>
      </c>
      <c r="F3" s="4" t="s">
        <v>154</v>
      </c>
      <c r="G3" s="4" t="s">
        <v>97</v>
      </c>
      <c r="H3" s="4" t="s">
        <v>78</v>
      </c>
      <c r="I3" s="4">
        <v>23</v>
      </c>
      <c r="J3" s="5">
        <v>165.36</v>
      </c>
      <c r="K3" s="5">
        <v>38.03</v>
      </c>
      <c r="L3" s="4">
        <v>17425766</v>
      </c>
      <c r="M3" s="4" t="s">
        <v>104</v>
      </c>
      <c r="N3" s="25" t="s">
        <v>158</v>
      </c>
    </row>
    <row r="4" spans="1:35" ht="15" customHeight="1" x14ac:dyDescent="0.25">
      <c r="A4" s="4" t="s">
        <v>107</v>
      </c>
      <c r="B4" s="4" t="s">
        <v>108</v>
      </c>
      <c r="C4" s="4" t="s">
        <v>109</v>
      </c>
      <c r="D4" s="4">
        <f>DATEDIF(G4,C4,"M")</f>
        <v>0</v>
      </c>
      <c r="E4" s="4" t="s">
        <v>153</v>
      </c>
      <c r="F4" s="4" t="s">
        <v>154</v>
      </c>
      <c r="G4" s="4" t="s">
        <v>109</v>
      </c>
      <c r="H4" s="4" t="s">
        <v>78</v>
      </c>
      <c r="I4" s="4">
        <v>23</v>
      </c>
      <c r="J4" s="5">
        <v>175.92</v>
      </c>
      <c r="K4" s="5">
        <v>40.46</v>
      </c>
      <c r="L4" s="4">
        <v>17425766</v>
      </c>
      <c r="M4" s="4" t="s">
        <v>104</v>
      </c>
      <c r="N4" s="25" t="s">
        <v>158</v>
      </c>
    </row>
    <row r="5" spans="1:35" s="31" customFormat="1" ht="15" customHeight="1" x14ac:dyDescent="0.25">
      <c r="A5" s="29" t="s">
        <v>141</v>
      </c>
      <c r="B5" s="29" t="s">
        <v>142</v>
      </c>
      <c r="C5" s="29" t="s">
        <v>61</v>
      </c>
      <c r="D5" s="29">
        <f>DATEDIF(G5,C5,"M")</f>
        <v>0</v>
      </c>
      <c r="E5" s="29" t="s">
        <v>160</v>
      </c>
      <c r="F5" s="29" t="s">
        <v>154</v>
      </c>
      <c r="G5" s="29" t="s">
        <v>61</v>
      </c>
      <c r="H5" s="29" t="s">
        <v>78</v>
      </c>
      <c r="I5" s="29">
        <v>23</v>
      </c>
      <c r="J5" s="30">
        <v>121.94</v>
      </c>
      <c r="K5" s="30">
        <v>28.05</v>
      </c>
      <c r="L5" s="29">
        <v>21564088</v>
      </c>
      <c r="M5" s="29" t="s">
        <v>144</v>
      </c>
      <c r="N5" s="31" t="s">
        <v>158</v>
      </c>
    </row>
    <row r="6" spans="1:35" ht="15" customHeight="1" x14ac:dyDescent="0.25">
      <c r="A6" s="4" t="s">
        <v>59</v>
      </c>
      <c r="B6" s="4" t="s">
        <v>60</v>
      </c>
      <c r="C6" s="4" t="s">
        <v>61</v>
      </c>
      <c r="D6" s="4">
        <f>DATEDIF(G6,C6,"M")</f>
        <v>9</v>
      </c>
      <c r="E6" s="4" t="s">
        <v>153</v>
      </c>
      <c r="F6" s="4" t="s">
        <v>154</v>
      </c>
      <c r="G6" s="4" t="s">
        <v>62</v>
      </c>
      <c r="H6" s="4" t="s">
        <v>64</v>
      </c>
      <c r="I6" s="4">
        <v>23</v>
      </c>
      <c r="J6" s="5">
        <v>115.87</v>
      </c>
      <c r="K6" s="5">
        <v>26.65</v>
      </c>
      <c r="L6" s="4">
        <v>17528908</v>
      </c>
      <c r="M6" s="4" t="s">
        <v>69</v>
      </c>
      <c r="N6" s="25" t="s">
        <v>158</v>
      </c>
    </row>
    <row r="7" spans="1:35" ht="15" customHeight="1" x14ac:dyDescent="0.25">
      <c r="A7" s="4" t="s">
        <v>75</v>
      </c>
      <c r="B7" s="4" t="s">
        <v>76</v>
      </c>
      <c r="C7" s="4" t="s">
        <v>61</v>
      </c>
      <c r="D7" s="4">
        <f>DATEDIF(G7,C7,"M")</f>
        <v>9</v>
      </c>
      <c r="E7" s="4" t="s">
        <v>153</v>
      </c>
      <c r="F7" s="4" t="s">
        <v>154</v>
      </c>
      <c r="G7" s="4" t="s">
        <v>62</v>
      </c>
      <c r="H7" s="4" t="s">
        <v>78</v>
      </c>
      <c r="I7" s="4">
        <v>23</v>
      </c>
      <c r="J7" s="5">
        <v>99.06</v>
      </c>
      <c r="K7" s="5">
        <v>22.78</v>
      </c>
      <c r="L7" s="4">
        <v>17528908</v>
      </c>
      <c r="M7" s="4" t="s">
        <v>69</v>
      </c>
      <c r="N7" s="25" t="s">
        <v>158</v>
      </c>
    </row>
    <row r="8" spans="1:35" ht="15" customHeight="1" x14ac:dyDescent="0.25">
      <c r="A8" s="4" t="s">
        <v>84</v>
      </c>
      <c r="B8" s="4" t="s">
        <v>85</v>
      </c>
      <c r="C8" s="4" t="s">
        <v>86</v>
      </c>
      <c r="D8" s="4">
        <f>DATEDIF(G8,C8,"M")</f>
        <v>6</v>
      </c>
      <c r="E8" s="4" t="s">
        <v>153</v>
      </c>
      <c r="F8" s="4" t="s">
        <v>154</v>
      </c>
      <c r="G8" s="4" t="s">
        <v>87</v>
      </c>
      <c r="H8" s="4" t="s">
        <v>78</v>
      </c>
      <c r="I8" s="4">
        <v>23</v>
      </c>
      <c r="J8" s="5">
        <v>123.83</v>
      </c>
      <c r="K8" s="5">
        <v>28.48</v>
      </c>
      <c r="L8" s="4" t="s">
        <v>151</v>
      </c>
      <c r="M8" s="4" t="s">
        <v>69</v>
      </c>
      <c r="N8" s="25" t="s">
        <v>158</v>
      </c>
    </row>
    <row r="9" spans="1:35" ht="15" customHeight="1" x14ac:dyDescent="0.25">
      <c r="A9" s="4" t="s">
        <v>84</v>
      </c>
      <c r="B9" s="4" t="s">
        <v>85</v>
      </c>
      <c r="C9" s="4" t="s">
        <v>61</v>
      </c>
      <c r="D9" s="4">
        <f>DATEDIF(G9,C9,"M")</f>
        <v>7</v>
      </c>
      <c r="E9" s="4" t="s">
        <v>153</v>
      </c>
      <c r="F9" s="4" t="s">
        <v>154</v>
      </c>
      <c r="G9" s="4" t="s">
        <v>87</v>
      </c>
      <c r="H9" s="4" t="s">
        <v>78</v>
      </c>
      <c r="I9" s="4">
        <v>23</v>
      </c>
      <c r="J9" s="5">
        <v>123.83</v>
      </c>
      <c r="K9" s="5">
        <v>28.48</v>
      </c>
      <c r="L9" s="4" t="s">
        <v>151</v>
      </c>
      <c r="M9" s="4" t="s">
        <v>69</v>
      </c>
      <c r="N9" s="25" t="s">
        <v>158</v>
      </c>
    </row>
    <row r="10" spans="1:35" ht="15" customHeight="1" x14ac:dyDescent="0.25">
      <c r="A10" s="4" t="s">
        <v>88</v>
      </c>
      <c r="B10" s="4" t="s">
        <v>89</v>
      </c>
      <c r="C10" s="4" t="s">
        <v>61</v>
      </c>
      <c r="D10" s="4">
        <f>DATEDIF(G10,C10,"M")</f>
        <v>2</v>
      </c>
      <c r="E10" s="4" t="s">
        <v>153</v>
      </c>
      <c r="F10" s="4" t="s">
        <v>154</v>
      </c>
      <c r="G10" s="4" t="s">
        <v>90</v>
      </c>
      <c r="H10" s="4" t="s">
        <v>78</v>
      </c>
      <c r="I10" s="4">
        <v>23</v>
      </c>
      <c r="J10" s="5">
        <v>121.49</v>
      </c>
      <c r="K10" s="5">
        <v>27.94</v>
      </c>
      <c r="L10" s="4" t="s">
        <v>151</v>
      </c>
      <c r="M10" s="4" t="s">
        <v>69</v>
      </c>
      <c r="N10" s="25" t="s">
        <v>158</v>
      </c>
    </row>
    <row r="11" spans="1:35" ht="15" customHeight="1" x14ac:dyDescent="0.25">
      <c r="A11" s="4" t="s">
        <v>91</v>
      </c>
      <c r="B11" s="4" t="s">
        <v>92</v>
      </c>
      <c r="C11" s="4" t="s">
        <v>61</v>
      </c>
      <c r="D11" s="4">
        <f>DATEDIF(G11,C11,"M")</f>
        <v>2</v>
      </c>
      <c r="E11" s="4" t="s">
        <v>153</v>
      </c>
      <c r="F11" s="4" t="s">
        <v>154</v>
      </c>
      <c r="G11" s="4" t="s">
        <v>90</v>
      </c>
      <c r="H11" s="4" t="s">
        <v>78</v>
      </c>
      <c r="I11" s="4">
        <v>23</v>
      </c>
      <c r="J11" s="5">
        <v>147.07</v>
      </c>
      <c r="K11" s="5">
        <v>33.83</v>
      </c>
      <c r="L11" s="4" t="s">
        <v>151</v>
      </c>
      <c r="M11" s="4" t="s">
        <v>69</v>
      </c>
      <c r="N11" s="25" t="s">
        <v>158</v>
      </c>
    </row>
    <row r="12" spans="1:35" ht="15" customHeight="1" x14ac:dyDescent="0.25">
      <c r="A12" s="4" t="s">
        <v>93</v>
      </c>
      <c r="B12" s="4" t="s">
        <v>94</v>
      </c>
      <c r="C12" s="4" t="s">
        <v>61</v>
      </c>
      <c r="D12" s="4">
        <f>DATEDIF(G12,C12,"M")</f>
        <v>2</v>
      </c>
      <c r="E12" s="4" t="s">
        <v>153</v>
      </c>
      <c r="F12" s="4" t="s">
        <v>154</v>
      </c>
      <c r="G12" s="4" t="s">
        <v>90</v>
      </c>
      <c r="H12" s="4" t="s">
        <v>78</v>
      </c>
      <c r="I12" s="4">
        <v>23</v>
      </c>
      <c r="J12" s="5">
        <v>108.47</v>
      </c>
      <c r="K12" s="5">
        <v>24.95</v>
      </c>
      <c r="L12" s="4" t="s">
        <v>151</v>
      </c>
      <c r="M12" s="4" t="s">
        <v>69</v>
      </c>
      <c r="N12" s="25" t="s">
        <v>158</v>
      </c>
    </row>
    <row r="13" spans="1:35" ht="15" customHeight="1" x14ac:dyDescent="0.25">
      <c r="A13" s="4" t="s">
        <v>95</v>
      </c>
      <c r="B13" s="4" t="s">
        <v>96</v>
      </c>
      <c r="C13" s="4" t="s">
        <v>97</v>
      </c>
      <c r="D13" s="4">
        <f>DATEDIF(G13,C13,"M")</f>
        <v>0</v>
      </c>
      <c r="E13" s="4" t="s">
        <v>153</v>
      </c>
      <c r="F13" s="4" t="s">
        <v>154</v>
      </c>
      <c r="G13" s="4" t="s">
        <v>97</v>
      </c>
      <c r="H13" s="4" t="s">
        <v>78</v>
      </c>
      <c r="I13" s="4">
        <v>23</v>
      </c>
      <c r="J13" s="5">
        <v>108.47</v>
      </c>
      <c r="K13" s="5">
        <v>24.95</v>
      </c>
      <c r="L13" s="4" t="s">
        <v>151</v>
      </c>
      <c r="M13" s="4" t="s">
        <v>69</v>
      </c>
      <c r="N13" s="25" t="s">
        <v>158</v>
      </c>
    </row>
    <row r="14" spans="1:35" ht="15" customHeight="1" x14ac:dyDescent="0.25">
      <c r="A14" s="26" t="s">
        <v>132</v>
      </c>
      <c r="B14" s="26" t="s">
        <v>133</v>
      </c>
      <c r="C14" s="26" t="s">
        <v>61</v>
      </c>
      <c r="D14" s="26">
        <f>DATEDIF(G14,C14,"M")</f>
        <v>9</v>
      </c>
      <c r="E14" s="26" t="s">
        <v>153</v>
      </c>
      <c r="F14" s="26" t="s">
        <v>154</v>
      </c>
      <c r="G14" s="26" t="s">
        <v>62</v>
      </c>
      <c r="H14" s="26" t="s">
        <v>78</v>
      </c>
      <c r="I14" s="26">
        <v>23</v>
      </c>
      <c r="J14" s="27">
        <v>148.25</v>
      </c>
      <c r="K14" s="27">
        <v>34.1</v>
      </c>
      <c r="L14" s="26">
        <v>6634327</v>
      </c>
      <c r="M14" s="26" t="s">
        <v>135</v>
      </c>
      <c r="N14" s="25" t="s">
        <v>158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spans="1:35" ht="15" customHeight="1" x14ac:dyDescent="0.25">
      <c r="A15" s="4" t="s">
        <v>130</v>
      </c>
      <c r="B15" s="4" t="s">
        <v>131</v>
      </c>
      <c r="C15" s="4" t="s">
        <v>61</v>
      </c>
      <c r="D15" s="4">
        <f>DATEDIF(G15,C15,"M")</f>
        <v>3</v>
      </c>
      <c r="E15" s="4" t="s">
        <v>153</v>
      </c>
      <c r="F15" s="4" t="s">
        <v>154</v>
      </c>
      <c r="G15" s="4" t="s">
        <v>102</v>
      </c>
      <c r="H15" s="4" t="s">
        <v>78</v>
      </c>
      <c r="I15" s="4">
        <v>23</v>
      </c>
      <c r="J15" s="5">
        <v>142.75</v>
      </c>
      <c r="K15" s="5">
        <v>32.83</v>
      </c>
      <c r="L15" s="4" t="s">
        <v>152</v>
      </c>
      <c r="M15" s="4" t="s">
        <v>124</v>
      </c>
      <c r="N15" s="25" t="s">
        <v>158</v>
      </c>
    </row>
    <row r="16" spans="1:35" ht="15" customHeight="1" x14ac:dyDescent="0.25">
      <c r="A16" s="26" t="s">
        <v>136</v>
      </c>
      <c r="B16" s="26" t="s">
        <v>137</v>
      </c>
      <c r="C16" s="26" t="s">
        <v>61</v>
      </c>
      <c r="D16" s="26">
        <f>DATEDIF(G16,C16,"M")</f>
        <v>0</v>
      </c>
      <c r="E16" s="26" t="s">
        <v>155</v>
      </c>
      <c r="F16" s="26" t="s">
        <v>156</v>
      </c>
      <c r="G16" s="26" t="s">
        <v>61</v>
      </c>
      <c r="H16" s="26" t="s">
        <v>78</v>
      </c>
      <c r="I16" s="26">
        <v>23</v>
      </c>
      <c r="J16" s="27">
        <v>123.42</v>
      </c>
      <c r="K16" s="27">
        <v>28.39</v>
      </c>
      <c r="L16" s="26" t="s">
        <v>161</v>
      </c>
      <c r="M16" s="26" t="s">
        <v>139</v>
      </c>
      <c r="N16" s="25" t="s">
        <v>158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spans="1:35" s="28" customFormat="1" ht="15" customHeight="1" x14ac:dyDescent="0.25">
      <c r="A17" s="4" t="s">
        <v>112</v>
      </c>
      <c r="B17" s="4" t="s">
        <v>113</v>
      </c>
      <c r="C17" s="4" t="s">
        <v>114</v>
      </c>
      <c r="D17" s="4">
        <f>DATEDIF(G17,C17,"M")</f>
        <v>2</v>
      </c>
      <c r="E17" s="4" t="s">
        <v>153</v>
      </c>
      <c r="F17" s="4" t="s">
        <v>154</v>
      </c>
      <c r="G17" s="4" t="s">
        <v>115</v>
      </c>
      <c r="H17" s="4" t="s">
        <v>78</v>
      </c>
      <c r="I17" s="4">
        <v>23</v>
      </c>
      <c r="J17" s="5">
        <v>195.86</v>
      </c>
      <c r="K17" s="5">
        <v>45.05</v>
      </c>
      <c r="L17" s="4">
        <v>18754354</v>
      </c>
      <c r="M17" s="4" t="s">
        <v>117</v>
      </c>
      <c r="N17" s="25" t="s">
        <v>158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</row>
    <row r="18" spans="1:35" ht="15" customHeight="1" x14ac:dyDescent="0.25">
      <c r="A18" s="4" t="s">
        <v>119</v>
      </c>
      <c r="B18" s="4" t="s">
        <v>120</v>
      </c>
      <c r="C18" s="4" t="s">
        <v>114</v>
      </c>
      <c r="D18" s="4">
        <f>DATEDIF(G18,C18,"M")</f>
        <v>2</v>
      </c>
      <c r="E18" s="4" t="s">
        <v>153</v>
      </c>
      <c r="F18" s="4" t="s">
        <v>154</v>
      </c>
      <c r="G18" s="4" t="s">
        <v>115</v>
      </c>
      <c r="H18" s="4" t="s">
        <v>78</v>
      </c>
      <c r="I18" s="4">
        <v>23</v>
      </c>
      <c r="J18" s="5">
        <v>141.47</v>
      </c>
      <c r="K18" s="5">
        <v>32.54</v>
      </c>
      <c r="L18" s="4">
        <v>18754354</v>
      </c>
      <c r="M18" s="4" t="s">
        <v>117</v>
      </c>
      <c r="N18" s="25" t="s">
        <v>158</v>
      </c>
    </row>
    <row r="19" spans="1:35" ht="15" customHeight="1" x14ac:dyDescent="0.25">
      <c r="A19" s="4" t="s">
        <v>100</v>
      </c>
      <c r="B19" s="4" t="s">
        <v>101</v>
      </c>
      <c r="C19" s="4" t="s">
        <v>86</v>
      </c>
      <c r="D19" s="4">
        <f>DATEDIF(G19,C19,"M")</f>
        <v>2</v>
      </c>
      <c r="E19" s="4" t="s">
        <v>153</v>
      </c>
      <c r="F19" s="4" t="s">
        <v>154</v>
      </c>
      <c r="G19" s="4" t="s">
        <v>102</v>
      </c>
      <c r="H19" s="4" t="s">
        <v>82</v>
      </c>
      <c r="I19" s="4">
        <v>27</v>
      </c>
      <c r="J19" s="5">
        <v>97.86</v>
      </c>
      <c r="K19" s="5">
        <v>26.42</v>
      </c>
      <c r="L19" s="4">
        <v>17425766</v>
      </c>
      <c r="M19" s="4" t="s">
        <v>104</v>
      </c>
      <c r="N19" s="25" t="s">
        <v>159</v>
      </c>
    </row>
    <row r="20" spans="1:35" ht="15" customHeight="1" x14ac:dyDescent="0.25">
      <c r="A20" s="4" t="s">
        <v>100</v>
      </c>
      <c r="B20" s="4" t="s">
        <v>101</v>
      </c>
      <c r="C20" s="4" t="s">
        <v>61</v>
      </c>
      <c r="D20" s="4">
        <f>DATEDIF(G20,C20,"M")</f>
        <v>3</v>
      </c>
      <c r="E20" s="4" t="s">
        <v>153</v>
      </c>
      <c r="F20" s="4" t="s">
        <v>154</v>
      </c>
      <c r="G20" s="4" t="s">
        <v>102</v>
      </c>
      <c r="H20" s="4" t="s">
        <v>82</v>
      </c>
      <c r="I20" s="4">
        <v>27</v>
      </c>
      <c r="J20" s="5">
        <v>97.86</v>
      </c>
      <c r="K20" s="5">
        <v>26.42</v>
      </c>
      <c r="L20" s="4">
        <v>17425766</v>
      </c>
      <c r="M20" s="4" t="s">
        <v>104</v>
      </c>
      <c r="N20" s="25" t="s">
        <v>159</v>
      </c>
    </row>
    <row r="21" spans="1:35" ht="15" customHeight="1" x14ac:dyDescent="0.25">
      <c r="A21" s="4" t="s">
        <v>110</v>
      </c>
      <c r="B21" s="4" t="s">
        <v>111</v>
      </c>
      <c r="C21" s="4" t="s">
        <v>109</v>
      </c>
      <c r="D21" s="4">
        <f>DATEDIF(G21,C21,"M")</f>
        <v>0</v>
      </c>
      <c r="E21" s="4" t="s">
        <v>153</v>
      </c>
      <c r="F21" s="4" t="s">
        <v>154</v>
      </c>
      <c r="G21" s="4" t="s">
        <v>109</v>
      </c>
      <c r="H21" s="4" t="s">
        <v>82</v>
      </c>
      <c r="I21" s="4">
        <v>27</v>
      </c>
      <c r="J21" s="5">
        <v>97.86</v>
      </c>
      <c r="K21" s="5">
        <v>26.42</v>
      </c>
      <c r="L21" s="4">
        <v>17425766</v>
      </c>
      <c r="M21" s="4" t="s">
        <v>104</v>
      </c>
      <c r="N21" s="25" t="s">
        <v>159</v>
      </c>
    </row>
    <row r="22" spans="1:35" s="28" customFormat="1" ht="15" customHeight="1" x14ac:dyDescent="0.25">
      <c r="A22" s="4" t="s">
        <v>79</v>
      </c>
      <c r="B22" s="4" t="s">
        <v>80</v>
      </c>
      <c r="C22" s="4" t="s">
        <v>61</v>
      </c>
      <c r="D22" s="4">
        <f>DATEDIF(G22,C22,"M")</f>
        <v>9</v>
      </c>
      <c r="E22" s="4" t="s">
        <v>153</v>
      </c>
      <c r="F22" s="4" t="s">
        <v>154</v>
      </c>
      <c r="G22" s="4" t="s">
        <v>62</v>
      </c>
      <c r="H22" s="4" t="s">
        <v>82</v>
      </c>
      <c r="I22" s="4">
        <v>27</v>
      </c>
      <c r="J22" s="5">
        <v>65.66</v>
      </c>
      <c r="K22" s="5">
        <v>17.73</v>
      </c>
      <c r="L22" s="4">
        <v>17528908</v>
      </c>
      <c r="M22" s="4" t="s">
        <v>69</v>
      </c>
      <c r="N22" s="25" t="s">
        <v>159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 spans="1:35" ht="15" customHeight="1" x14ac:dyDescent="0.25">
      <c r="A23" s="4" t="s">
        <v>126</v>
      </c>
      <c r="B23" s="4" t="s">
        <v>127</v>
      </c>
      <c r="C23" s="4" t="s">
        <v>61</v>
      </c>
      <c r="D23" s="4">
        <f>DATEDIF(G23,C23,"M")</f>
        <v>9</v>
      </c>
      <c r="E23" s="4" t="s">
        <v>153</v>
      </c>
      <c r="F23" s="4" t="s">
        <v>154</v>
      </c>
      <c r="G23" s="4" t="s">
        <v>62</v>
      </c>
      <c r="H23" s="4" t="s">
        <v>82</v>
      </c>
      <c r="I23" s="4">
        <v>27</v>
      </c>
      <c r="J23" s="5">
        <v>65.66</v>
      </c>
      <c r="K23" s="5">
        <v>17.73</v>
      </c>
      <c r="L23" s="4">
        <v>18710070</v>
      </c>
      <c r="M23" s="4" t="s">
        <v>124</v>
      </c>
      <c r="N23" s="25" t="s">
        <v>159</v>
      </c>
    </row>
    <row r="24" spans="1:35" ht="15" customHeight="1" x14ac:dyDescent="0.25">
      <c r="A24" s="4" t="s">
        <v>128</v>
      </c>
      <c r="B24" s="4" t="s">
        <v>129</v>
      </c>
      <c r="C24" s="4" t="s">
        <v>61</v>
      </c>
      <c r="D24" s="4">
        <f>DATEDIF(G24,C24,"M")</f>
        <v>3</v>
      </c>
      <c r="E24" s="4" t="s">
        <v>153</v>
      </c>
      <c r="F24" s="4" t="s">
        <v>154</v>
      </c>
      <c r="G24" s="4" t="s">
        <v>102</v>
      </c>
      <c r="H24" s="4" t="s">
        <v>82</v>
      </c>
      <c r="I24" s="4">
        <v>27</v>
      </c>
      <c r="J24" s="5">
        <v>84.48</v>
      </c>
      <c r="K24" s="5">
        <v>22.81</v>
      </c>
      <c r="L24" s="4" t="s">
        <v>152</v>
      </c>
      <c r="M24" s="4" t="s">
        <v>124</v>
      </c>
      <c r="N24" s="25" t="s">
        <v>159</v>
      </c>
    </row>
  </sheetData>
  <sortState xmlns:xlrd2="http://schemas.microsoft.com/office/spreadsheetml/2017/richdata2" ref="A2:AI24">
    <sortCondition ref="I2:I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2025-10-23T14:42:19Z</dcterms:created>
  <dcterms:modified xsi:type="dcterms:W3CDTF">2025-10-23T15:12:03Z</dcterms:modified>
</cp:coreProperties>
</file>