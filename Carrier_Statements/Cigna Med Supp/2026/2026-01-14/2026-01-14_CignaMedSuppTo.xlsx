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6\1-14-26 to 1-19-26\"/>
    </mc:Choice>
  </mc:AlternateContent>
  <xr:revisionPtr revIDLastSave="0" documentId="13_ncr:1_{860F4524-B46E-4453-90C9-E4356FB42158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E3" i="6" l="1"/>
  <c r="E19" i="6"/>
  <c r="E20" i="6"/>
  <c r="E23" i="6"/>
  <c r="E4" i="6"/>
  <c r="E27" i="6"/>
  <c r="E16" i="6"/>
  <c r="E8" i="6"/>
  <c r="E5" i="6"/>
  <c r="E24" i="6"/>
  <c r="E14" i="6"/>
  <c r="E6" i="6"/>
  <c r="E26" i="6"/>
  <c r="E25" i="6"/>
  <c r="E21" i="6"/>
  <c r="E22" i="6"/>
  <c r="E13" i="6"/>
  <c r="E17" i="6"/>
  <c r="E18" i="6"/>
  <c r="E15" i="6"/>
  <c r="E12" i="6"/>
  <c r="E9" i="6"/>
  <c r="E10" i="6"/>
  <c r="E11" i="6"/>
  <c r="E7" i="6"/>
  <c r="E2" i="6"/>
</calcChain>
</file>

<file path=xl/sharedStrings.xml><?xml version="1.0" encoding="utf-8"?>
<sst xmlns="http://schemas.openxmlformats.org/spreadsheetml/2006/main" count="1149" uniqueCount="190">
  <si>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</si>
  <si>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</si>
  <si>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</si>
  <si>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</si>
  <si>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</si>
  <si>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</si>
  <si>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01/14/2026 to 01/19/2026</t>
  </si>
  <si>
    <t>Page 1 of 4</t>
  </si>
  <si>
    <t>Run Date:  1/19/2026 3:45:26 AM</t>
  </si>
  <si>
    <t>Agent ID(s): CB148613,CHLIC;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</si>
  <si>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</si>
  <si>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</si>
  <si>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</si>
  <si>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</si>
  <si>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</si>
  <si>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</si>
  <si>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</si>
  <si>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</si>
  <si>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</si>
  <si>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</si>
  <si>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</si>
  <si>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</si>
  <si>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</si>
  <si>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</si>
  <si>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</si>
  <si>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</si>
  <si>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</si>
  <si>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</si>
  <si>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</si>
  <si>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</si>
  <si>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</si>
  <si>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</si>
  <si>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</si>
  <si>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</si>
  <si>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</si>
  <si>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CHLIC</t>
  </si>
  <si>
    <t>777777777777</t>
  </si>
  <si>
    <t/>
  </si>
  <si>
    <t>Clear Advance</t>
  </si>
  <si>
    <t>01/15/2026</t>
  </si>
  <si>
    <t xml:space="preserve">  </t>
  </si>
  <si>
    <t xml:space="preserve">TFFEE2CNHIC  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</si>
  <si>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</si>
  <si>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</si>
  <si>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</si>
  <si>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</si>
  <si>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</si>
  <si>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</si>
  <si>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</si>
  <si>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</si>
  <si>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</si>
  <si>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</si>
  <si>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</si>
  <si>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</si>
  <si>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</si>
  <si>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</si>
  <si>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Bal Flush</t>
  </si>
  <si>
    <t xml:space="preserve">             </t>
  </si>
  <si>
    <t>Total Commission Paid</t>
  </si>
  <si>
    <t>Run Date:  1/19/2026 3:44:45 AM</t>
  </si>
  <si>
    <t>Agent ID(s): CB148613,LOYAL-H&amp;L;</t>
  </si>
  <si>
    <t>LOYAL-H&amp;L</t>
  </si>
  <si>
    <t>12Y0832571</t>
  </si>
  <si>
    <t>ARCURI, TRACIE</t>
  </si>
  <si>
    <t>01/01/2026</t>
  </si>
  <si>
    <t>06/01/2025</t>
  </si>
  <si>
    <t>DVH21BV600</t>
  </si>
  <si>
    <t xml:space="preserve">FLEXIBLE CHOICE DENTAL, VISION, HEARING </t>
  </si>
  <si>
    <t>1</t>
  </si>
  <si>
    <t>Earnings Paid</t>
  </si>
  <si>
    <t>01/17/2026</t>
  </si>
  <si>
    <t>CB149530</t>
  </si>
  <si>
    <t>INSKIPT,DEBORAH</t>
  </si>
  <si>
    <t>HE</t>
  </si>
  <si>
    <t>NO</t>
  </si>
  <si>
    <t>PA</t>
  </si>
  <si>
    <t>Run Date:  1/19/2026 3:44:12 AM</t>
  </si>
  <si>
    <t>Agent ID(s): CB148613,CNHIC;</t>
  </si>
  <si>
    <t>CNHIC</t>
  </si>
  <si>
    <t>Recvr Exp / Appt Fee</t>
  </si>
  <si>
    <t xml:space="preserve">CHLICFEETFR  </t>
  </si>
  <si>
    <t>60Y0298276</t>
  </si>
  <si>
    <t>WAGNER, SANDRA</t>
  </si>
  <si>
    <t>MIM20BM60N</t>
  </si>
  <si>
    <t xml:space="preserve">HNHIC MEDSUP STD PLAN N (ISSUE AGE)     </t>
  </si>
  <si>
    <t>CB149532</t>
  </si>
  <si>
    <t>FOLEY,CAROL</t>
  </si>
  <si>
    <t>OE</t>
  </si>
  <si>
    <t>01</t>
  </si>
  <si>
    <t>FL</t>
  </si>
  <si>
    <t>60Y0304714</t>
  </si>
  <si>
    <t>SWIBAKER, KATHIE</t>
  </si>
  <si>
    <t>MSM21BM60N</t>
  </si>
  <si>
    <t xml:space="preserve">HNHIC MEDSUP STD PLAN N                 </t>
  </si>
  <si>
    <t>CB149612</t>
  </si>
  <si>
    <t>DEATON,PAMELA</t>
  </si>
  <si>
    <t>UW</t>
  </si>
  <si>
    <t>ST</t>
  </si>
  <si>
    <t>IL</t>
  </si>
  <si>
    <t>60Y0353127</t>
  </si>
  <si>
    <t>GIPSON, ALICIA</t>
  </si>
  <si>
    <t>MSM21BM60G</t>
  </si>
  <si>
    <t xml:space="preserve">HNHIC MEDSUP STD PLAN G                 </t>
  </si>
  <si>
    <t>60Y0256847</t>
  </si>
  <si>
    <t>PYKA, WAYNE A</t>
  </si>
  <si>
    <t>08/01/2025</t>
  </si>
  <si>
    <t>CB149624</t>
  </si>
  <si>
    <t xml:space="preserve">PORTUGAL,STACEY,A         </t>
  </si>
  <si>
    <t>60Y0350881</t>
  </si>
  <si>
    <t>BALICK, JILL D</t>
  </si>
  <si>
    <t>02/01/2026</t>
  </si>
  <si>
    <t>Earnings Reversal</t>
  </si>
  <si>
    <t xml:space="preserve">Reissue      </t>
  </si>
  <si>
    <t>60Y0183905</t>
  </si>
  <si>
    <t>SMITH, PATRICIA</t>
  </si>
  <si>
    <t>01/01/2025</t>
  </si>
  <si>
    <t>CB149660</t>
  </si>
  <si>
    <t>DUNAVANT,MICHAEL</t>
  </si>
  <si>
    <t>60Y0184711</t>
  </si>
  <si>
    <t>SMITH, BRADFORD</t>
  </si>
  <si>
    <t>60Y0190147</t>
  </si>
  <si>
    <t>DIAMOND, DENESE JACOBY</t>
  </si>
  <si>
    <t>CB149668</t>
  </si>
  <si>
    <t>WALENGA,DALE</t>
  </si>
  <si>
    <t xml:space="preserve">Reversal     </t>
  </si>
  <si>
    <t>60Y0233208</t>
  </si>
  <si>
    <t>OLTMAN, DEBRA</t>
  </si>
  <si>
    <t>09/01/2025</t>
  </si>
  <si>
    <t>60Y0233367</t>
  </si>
  <si>
    <t>MONTRIE, MARY</t>
  </si>
  <si>
    <t>07/01/2025</t>
  </si>
  <si>
    <t>60Y0241963</t>
  </si>
  <si>
    <t>OHAGAN, MEDALIT R</t>
  </si>
  <si>
    <t>60Y0257425</t>
  </si>
  <si>
    <t>ZITRON, ERIC A</t>
  </si>
  <si>
    <t>60Y0278926</t>
  </si>
  <si>
    <t>MONTRIE, JAMES E</t>
  </si>
  <si>
    <t>11/01/2025</t>
  </si>
  <si>
    <t>60Y0309420</t>
  </si>
  <si>
    <t>DUNLEAVY, EILEEN</t>
  </si>
  <si>
    <t>12/01/2025</t>
  </si>
  <si>
    <t>60Y0309428</t>
  </si>
  <si>
    <t>DUNLEAVY, KEVIN</t>
  </si>
  <si>
    <t>60Y0324014</t>
  </si>
  <si>
    <t>HOUGHTON, SALLY</t>
  </si>
  <si>
    <t>60Y0352224</t>
  </si>
  <si>
    <t>SCHOLLE, DAVID A</t>
  </si>
  <si>
    <t>60Y0241060</t>
  </si>
  <si>
    <t>EICKSTEADT, SHIRLEY A</t>
  </si>
  <si>
    <t>CB150846</t>
  </si>
  <si>
    <t>PETRUNGARO,ANDREA</t>
  </si>
  <si>
    <t>60Y0308978</t>
  </si>
  <si>
    <t>NEWTON, LINDA</t>
  </si>
  <si>
    <t>60Y0328960</t>
  </si>
  <si>
    <t>FRISCHMANN, MYRTLE</t>
  </si>
  <si>
    <t>MSM21BM60F</t>
  </si>
  <si>
    <t xml:space="preserve">HNHIC MEDSUP STD PLAN F                 </t>
  </si>
  <si>
    <t>60Y0346751</t>
  </si>
  <si>
    <t>LESKO, YVONNE</t>
  </si>
  <si>
    <t>CB152235</t>
  </si>
  <si>
    <t>HUNSBERGER,ANTHONY</t>
  </si>
  <si>
    <t>60Y0357966</t>
  </si>
  <si>
    <t>BURGESS, KATHRYN A</t>
  </si>
  <si>
    <t>CB162374</t>
  </si>
  <si>
    <t>PORTUGAL,GARY</t>
  </si>
  <si>
    <t>999999999999</t>
  </si>
  <si>
    <t>Applied to Neg Adv</t>
  </si>
  <si>
    <t>60Y0319162</t>
  </si>
  <si>
    <t>BINNS, JAMES G</t>
  </si>
  <si>
    <t>CB165591</t>
  </si>
  <si>
    <t>REYES,JEANET</t>
  </si>
  <si>
    <t>60Y0325027</t>
  </si>
  <si>
    <t>FLORES, NICOLAS</t>
  </si>
  <si>
    <t>17528908N</t>
  </si>
  <si>
    <t>CIC MEDSUP STD PLAN N*</t>
  </si>
  <si>
    <t>CIC MEDSUP STD PLAN G, F</t>
  </si>
  <si>
    <t>Cigna DENTAL, VISION, HEARING</t>
  </si>
  <si>
    <t>CIC MEDSUP STD PLAN N</t>
  </si>
  <si>
    <t>BALICK, JILL</t>
  </si>
  <si>
    <t>SCHOLLE, DAVID</t>
  </si>
  <si>
    <t>NB</t>
  </si>
  <si>
    <t>AV</t>
  </si>
  <si>
    <t>RN</t>
  </si>
  <si>
    <t>AV1</t>
  </si>
  <si>
    <t>AE</t>
  </si>
  <si>
    <t>8244481AV6</t>
  </si>
  <si>
    <t>7146581AV6</t>
  </si>
  <si>
    <t>16912722AV6</t>
  </si>
  <si>
    <t>19645587AV6</t>
  </si>
  <si>
    <t>8325282AV6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</si>
</sst>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40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right" vertical="top" textRotation="180" wrapText="1" readingOrder="2"/>
    </xf>
    <xf numFmtId="164" fontId="2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7" fillId="0" borderId="2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6" fillId="0" borderId="4" xfId="0" applyFont="1" applyBorder="1" applyAlignment="1">
      <alignment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164" fontId="7" fillId="2" borderId="0" xfId="0" applyNumberFormat="1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  <xf numFmtId="0" fontId="7" fillId="0" borderId="0" xfId="0" applyFont="1" applyFill="1" applyAlignment="1">
      <alignment horizontal="left" vertical="top" wrapText="1" readingOrder="1"/>
    </xf>
    <xf numFmtId="164" fontId="7" fillId="0" borderId="0" xfId="0" applyNumberFormat="1" applyFont="1" applyFill="1" applyAlignment="1">
      <alignment horizontal="left" vertical="top" wrapText="1" readingOrder="1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9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spans="1:33" ht="12" customHeight="1" outlineLevel="1" x14ac:dyDescent="0.25">
      <c r="B2" s="16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ht="12" customHeight="1" outlineLevel="1" x14ac:dyDescent="0.25">
      <c r="B3" s="16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2" customHeight="1" outlineLevel="1" x14ac:dyDescent="0.25">
      <c r="B4" s="16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2"/>
  <sheetViews>
    <sheetView showGridLines="0" topLeftCell="K1" workbookViewId="0">
      <pane ySplit="5" topLeftCell="A22" activePane="bottomLeft" state="frozen"/>
      <selection pane="bottomLeft" activeCell="W31" sqref="W3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25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32" x14ac:dyDescent="0.25">
      <c r="A2" s="23" t="s">
        <v>5</v>
      </c>
      <c r="B2" s="15"/>
      <c r="C2" s="15"/>
      <c r="H2" s="22" t="s">
        <v>6</v>
      </c>
      <c r="I2" s="15"/>
      <c r="J2" s="15"/>
      <c r="K2" s="15"/>
      <c r="L2" s="15"/>
      <c r="M2" s="15"/>
      <c r="R2" s="23" t="s">
        <v>7</v>
      </c>
      <c r="S2" s="15"/>
    </row>
    <row r="3" spans="1:32" x14ac:dyDescent="0.25">
      <c r="A3" s="15"/>
      <c r="B3" s="15"/>
      <c r="C3" s="15"/>
      <c r="H3" s="15"/>
      <c r="I3" s="15"/>
      <c r="J3" s="15"/>
      <c r="K3" s="15"/>
      <c r="L3" s="15"/>
      <c r="M3" s="15"/>
      <c r="R3" s="23" t="s">
        <v>8</v>
      </c>
      <c r="S3" s="15"/>
    </row>
    <row r="4" spans="1:32" x14ac:dyDescent="0.25">
      <c r="A4" s="23" t="s">
        <v>9</v>
      </c>
      <c r="B4" s="15"/>
      <c r="C4" s="15"/>
      <c r="D4" s="15"/>
      <c r="E4" s="22" t="s">
        <v>10</v>
      </c>
      <c r="F4" s="15"/>
      <c r="G4" s="15"/>
      <c r="H4" s="15"/>
      <c r="I4" s="15"/>
      <c r="J4" s="15"/>
      <c r="K4" s="15"/>
      <c r="L4" s="15"/>
      <c r="M4" s="15"/>
      <c r="N4" s="15"/>
      <c r="O4" s="15"/>
      <c r="R4" s="15"/>
      <c r="S4" s="15"/>
    </row>
    <row r="5" spans="1:32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21" t="s">
        <v>1</v>
      </c>
      <c r="B6" s="15"/>
      <c r="C6" s="15"/>
      <c r="D6" s="15"/>
      <c r="E6" s="15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7" t="s">
        <v>13</v>
      </c>
      <c r="D8" s="18"/>
      <c r="E8" s="18"/>
      <c r="F8" s="18"/>
      <c r="G8" s="17" t="s">
        <v>14</v>
      </c>
      <c r="H8" s="18"/>
      <c r="I8" s="3" t="s">
        <v>15</v>
      </c>
      <c r="J8" s="3" t="s">
        <v>16</v>
      </c>
      <c r="K8" s="3" t="s">
        <v>17</v>
      </c>
      <c r="L8" s="3" t="s">
        <v>18</v>
      </c>
      <c r="M8" s="17" t="s">
        <v>19</v>
      </c>
      <c r="N8" s="18"/>
      <c r="O8" s="17" t="s">
        <v>20</v>
      </c>
      <c r="P8" s="18"/>
      <c r="Q8" s="17" t="s">
        <v>21</v>
      </c>
      <c r="R8" s="18"/>
      <c r="S8" s="17" t="s">
        <v>22</v>
      </c>
      <c r="T8" s="18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4" t="s">
        <v>34</v>
      </c>
      <c r="B9" s="4" t="s">
        <v>35</v>
      </c>
      <c r="C9" s="19" t="s">
        <v>36</v>
      </c>
      <c r="D9" s="15"/>
      <c r="E9" s="15"/>
      <c r="F9" s="15"/>
      <c r="G9" s="19" t="s">
        <v>37</v>
      </c>
      <c r="H9" s="15"/>
      <c r="I9" s="4"/>
      <c r="J9" s="4" t="s">
        <v>37</v>
      </c>
      <c r="K9" s="4"/>
      <c r="L9" s="4" t="s">
        <v>37</v>
      </c>
      <c r="M9" s="19">
        <v>0</v>
      </c>
      <c r="N9" s="15"/>
      <c r="O9" s="20">
        <v>0</v>
      </c>
      <c r="P9" s="15"/>
      <c r="Q9" s="20">
        <v>0</v>
      </c>
      <c r="R9" s="15"/>
      <c r="S9" s="19" t="s">
        <v>38</v>
      </c>
      <c r="T9" s="15"/>
      <c r="U9" s="5">
        <v>20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 t="s">
        <v>41</v>
      </c>
    </row>
    <row r="10" spans="1:32" x14ac:dyDescent="0.25">
      <c r="A10" s="3" t="s">
        <v>37</v>
      </c>
      <c r="B10" s="3" t="s">
        <v>37</v>
      </c>
      <c r="C10" s="17" t="s">
        <v>37</v>
      </c>
      <c r="D10" s="18"/>
      <c r="E10" s="18"/>
      <c r="F10" s="18"/>
      <c r="G10" s="17" t="s">
        <v>37</v>
      </c>
      <c r="H10" s="18"/>
      <c r="I10" s="3" t="s">
        <v>37</v>
      </c>
      <c r="J10" s="3" t="s">
        <v>37</v>
      </c>
      <c r="K10" s="3" t="s">
        <v>37</v>
      </c>
      <c r="L10" s="3" t="s">
        <v>37</v>
      </c>
      <c r="M10" s="17" t="s">
        <v>37</v>
      </c>
      <c r="N10" s="18"/>
      <c r="O10" s="17" t="s">
        <v>37</v>
      </c>
      <c r="P10" s="18"/>
      <c r="Q10" s="17" t="s">
        <v>37</v>
      </c>
      <c r="R10" s="18"/>
      <c r="S10" s="17" t="s">
        <v>42</v>
      </c>
      <c r="T10" s="18"/>
      <c r="U10" s="7">
        <v>20</v>
      </c>
      <c r="V10" s="3" t="s">
        <v>37</v>
      </c>
      <c r="W10" s="3" t="s">
        <v>37</v>
      </c>
      <c r="X10" s="3" t="s">
        <v>37</v>
      </c>
      <c r="Y10" s="3" t="s">
        <v>37</v>
      </c>
      <c r="Z10" s="3" t="s">
        <v>37</v>
      </c>
      <c r="AA10" s="3" t="s">
        <v>37</v>
      </c>
      <c r="AB10" s="3" t="s">
        <v>37</v>
      </c>
      <c r="AC10" s="3">
        <v>0</v>
      </c>
      <c r="AD10" s="3" t="s">
        <v>37</v>
      </c>
      <c r="AE10" s="3" t="s">
        <v>37</v>
      </c>
    </row>
    <row r="11" spans="1:32" ht="0" hidden="1" customHeight="1" x14ac:dyDescent="0.25"/>
    <row r="12" spans="1:32" ht="1.7" customHeight="1" x14ac:dyDescent="0.25"/>
    <row r="14" spans="1:32" ht="22.5" x14ac:dyDescent="0.25">
      <c r="A14" s="23" t="s">
        <v>5</v>
      </c>
      <c r="B14" s="15"/>
      <c r="F14" s="22" t="s">
        <v>6</v>
      </c>
      <c r="G14" s="15"/>
      <c r="H14" s="15"/>
      <c r="I14" s="15"/>
      <c r="L14" s="1" t="s">
        <v>43</v>
      </c>
    </row>
    <row r="15" spans="1:32" x14ac:dyDescent="0.25">
      <c r="A15" s="15"/>
      <c r="B15" s="15"/>
      <c r="F15" s="15"/>
      <c r="G15" s="15"/>
      <c r="H15" s="15"/>
      <c r="I15" s="15"/>
      <c r="L15" s="23" t="s">
        <v>59</v>
      </c>
    </row>
    <row r="16" spans="1:32" x14ac:dyDescent="0.25">
      <c r="A16" s="23" t="s">
        <v>60</v>
      </c>
      <c r="B16" s="15"/>
      <c r="C16" s="15"/>
      <c r="D16" s="22" t="s">
        <v>10</v>
      </c>
      <c r="E16" s="15"/>
      <c r="F16" s="15"/>
      <c r="G16" s="15"/>
      <c r="H16" s="15"/>
      <c r="I16" s="15"/>
      <c r="J16" s="15"/>
      <c r="L16" s="15"/>
    </row>
    <row r="17" spans="1:32" ht="15.75" thickBot="1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"/>
      <c r="L17" s="2"/>
      <c r="M17" s="2"/>
    </row>
    <row r="18" spans="1:32" ht="18" customHeight="1" thickTop="1" x14ac:dyDescent="0.25">
      <c r="A18" s="21" t="s">
        <v>2</v>
      </c>
      <c r="B18" s="15"/>
      <c r="C18" s="15"/>
      <c r="D18" s="15"/>
    </row>
    <row r="19" spans="1:32" ht="9" customHeight="1" x14ac:dyDescent="0.25"/>
    <row r="20" spans="1:32" ht="101.25" x14ac:dyDescent="0.25">
      <c r="A20" s="3" t="s">
        <v>12</v>
      </c>
      <c r="B20" s="17" t="s">
        <v>44</v>
      </c>
      <c r="C20" s="18"/>
      <c r="D20" s="18"/>
      <c r="E20" s="18"/>
      <c r="F20" s="18"/>
      <c r="G20" s="3" t="s">
        <v>45</v>
      </c>
      <c r="H20" s="3" t="s">
        <v>46</v>
      </c>
    </row>
    <row r="21" spans="1:32" x14ac:dyDescent="0.25">
      <c r="A21" s="4" t="s">
        <v>61</v>
      </c>
      <c r="B21" s="19" t="s">
        <v>47</v>
      </c>
      <c r="C21" s="15"/>
      <c r="D21" s="15"/>
      <c r="E21" s="15"/>
      <c r="F21" s="15"/>
      <c r="G21" s="5">
        <v>23.67</v>
      </c>
      <c r="H21" s="5">
        <v>0</v>
      </c>
    </row>
    <row r="22" spans="1:32" x14ac:dyDescent="0.25">
      <c r="A22" s="3" t="s">
        <v>48</v>
      </c>
      <c r="B22" s="17" t="s">
        <v>37</v>
      </c>
      <c r="C22" s="18"/>
      <c r="D22" s="18"/>
      <c r="E22" s="18"/>
      <c r="F22" s="18"/>
      <c r="G22" s="7">
        <v>23.67</v>
      </c>
      <c r="H22" s="7">
        <v>0</v>
      </c>
    </row>
    <row r="24" spans="1:32" x14ac:dyDescent="0.25">
      <c r="A24" s="23" t="s">
        <v>5</v>
      </c>
      <c r="B24" s="15"/>
      <c r="C24" s="15"/>
      <c r="H24" s="22" t="s">
        <v>6</v>
      </c>
      <c r="I24" s="15"/>
      <c r="J24" s="15"/>
      <c r="K24" s="15"/>
      <c r="L24" s="15"/>
      <c r="M24" s="15"/>
      <c r="R24" s="23" t="s">
        <v>7</v>
      </c>
      <c r="S24" s="15"/>
    </row>
    <row r="25" spans="1:32" x14ac:dyDescent="0.25">
      <c r="A25" s="15"/>
      <c r="B25" s="15"/>
      <c r="C25" s="15"/>
      <c r="H25" s="15"/>
      <c r="I25" s="15"/>
      <c r="J25" s="15"/>
      <c r="K25" s="15"/>
      <c r="L25" s="15"/>
      <c r="M25" s="15"/>
      <c r="R25" s="23" t="s">
        <v>76</v>
      </c>
      <c r="S25" s="15"/>
    </row>
    <row r="26" spans="1:32" x14ac:dyDescent="0.25">
      <c r="A26" s="23" t="s">
        <v>77</v>
      </c>
      <c r="B26" s="15"/>
      <c r="C26" s="15"/>
      <c r="D26" s="15"/>
      <c r="E26" s="22" t="s">
        <v>10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R26" s="15"/>
      <c r="S26" s="15"/>
    </row>
    <row r="27" spans="1:32" ht="15.75" thickBo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8" customHeight="1" thickTop="1" x14ac:dyDescent="0.25">
      <c r="A28" s="21" t="s">
        <v>1</v>
      </c>
      <c r="B28" s="15"/>
      <c r="C28" s="15"/>
      <c r="D28" s="15"/>
      <c r="E28" s="15"/>
    </row>
    <row r="29" spans="1:32" ht="9" customHeight="1" x14ac:dyDescent="0.25"/>
    <row r="30" spans="1:32" ht="33.75" x14ac:dyDescent="0.25">
      <c r="A30" s="3" t="s">
        <v>11</v>
      </c>
      <c r="B30" s="3" t="s">
        <v>12</v>
      </c>
      <c r="C30" s="17" t="s">
        <v>13</v>
      </c>
      <c r="D30" s="18"/>
      <c r="E30" s="18"/>
      <c r="F30" s="18"/>
      <c r="G30" s="17" t="s">
        <v>14</v>
      </c>
      <c r="H30" s="18"/>
      <c r="I30" s="3" t="s">
        <v>15</v>
      </c>
      <c r="J30" s="3" t="s">
        <v>16</v>
      </c>
      <c r="K30" s="3" t="s">
        <v>17</v>
      </c>
      <c r="L30" s="3" t="s">
        <v>18</v>
      </c>
      <c r="M30" s="17" t="s">
        <v>19</v>
      </c>
      <c r="N30" s="18"/>
      <c r="O30" s="17" t="s">
        <v>20</v>
      </c>
      <c r="P30" s="18"/>
      <c r="Q30" s="17" t="s">
        <v>21</v>
      </c>
      <c r="R30" s="18"/>
      <c r="S30" s="17" t="s">
        <v>22</v>
      </c>
      <c r="T30" s="18"/>
      <c r="U30" s="3" t="s">
        <v>23</v>
      </c>
      <c r="V30" s="3" t="s">
        <v>24</v>
      </c>
      <c r="W30" s="3" t="s">
        <v>25</v>
      </c>
      <c r="X30" s="3" t="s">
        <v>26</v>
      </c>
      <c r="Y30" s="3" t="s">
        <v>27</v>
      </c>
      <c r="Z30" s="3" t="s">
        <v>28</v>
      </c>
      <c r="AA30" s="3" t="s">
        <v>29</v>
      </c>
      <c r="AB30" s="3" t="s">
        <v>30</v>
      </c>
      <c r="AC30" s="3" t="s">
        <v>31</v>
      </c>
      <c r="AD30" s="3" t="s">
        <v>32</v>
      </c>
      <c r="AE30" s="3" t="s">
        <v>33</v>
      </c>
    </row>
    <row r="31" spans="1:32" x14ac:dyDescent="0.25">
      <c r="A31" s="4" t="s">
        <v>34</v>
      </c>
      <c r="B31" s="4" t="s">
        <v>78</v>
      </c>
      <c r="C31" s="19" t="s">
        <v>36</v>
      </c>
      <c r="D31" s="15"/>
      <c r="E31" s="15"/>
      <c r="F31" s="15"/>
      <c r="G31" s="19" t="s">
        <v>37</v>
      </c>
      <c r="H31" s="15"/>
      <c r="I31" s="4"/>
      <c r="J31" s="4" t="s">
        <v>37</v>
      </c>
      <c r="K31" s="4"/>
      <c r="L31" s="4" t="s">
        <v>37</v>
      </c>
      <c r="M31" s="19">
        <v>0</v>
      </c>
      <c r="N31" s="15"/>
      <c r="O31" s="20">
        <v>0</v>
      </c>
      <c r="P31" s="15"/>
      <c r="Q31" s="20">
        <v>0</v>
      </c>
      <c r="R31" s="15"/>
      <c r="S31" s="19" t="s">
        <v>79</v>
      </c>
      <c r="T31" s="15"/>
      <c r="U31" s="5">
        <v>-20</v>
      </c>
      <c r="V31" s="4" t="s">
        <v>39</v>
      </c>
      <c r="W31" s="6" t="s">
        <v>34</v>
      </c>
      <c r="X31" s="6" t="s">
        <v>37</v>
      </c>
      <c r="Y31" s="6"/>
      <c r="Z31" s="6"/>
      <c r="AA31" s="6"/>
      <c r="AB31" s="6" t="s">
        <v>40</v>
      </c>
      <c r="AC31" s="6">
        <v>0</v>
      </c>
      <c r="AD31" s="6"/>
      <c r="AE31" s="6" t="s">
        <v>80</v>
      </c>
    </row>
    <row r="32" spans="1:32" x14ac:dyDescent="0.25">
      <c r="A32" s="3" t="s">
        <v>37</v>
      </c>
      <c r="B32" s="3" t="s">
        <v>37</v>
      </c>
      <c r="C32" s="17" t="s">
        <v>37</v>
      </c>
      <c r="D32" s="18"/>
      <c r="E32" s="18"/>
      <c r="F32" s="18"/>
      <c r="G32" s="17" t="s">
        <v>37</v>
      </c>
      <c r="H32" s="18"/>
      <c r="I32" s="3" t="s">
        <v>37</v>
      </c>
      <c r="J32" s="3" t="s">
        <v>37</v>
      </c>
      <c r="K32" s="3" t="s">
        <v>37</v>
      </c>
      <c r="L32" s="3" t="s">
        <v>37</v>
      </c>
      <c r="M32" s="17" t="s">
        <v>37</v>
      </c>
      <c r="N32" s="18"/>
      <c r="O32" s="17" t="s">
        <v>37</v>
      </c>
      <c r="P32" s="18"/>
      <c r="Q32" s="17" t="s">
        <v>37</v>
      </c>
      <c r="R32" s="18"/>
      <c r="S32" s="17" t="s">
        <v>42</v>
      </c>
      <c r="T32" s="18"/>
      <c r="U32" s="7">
        <v>-20</v>
      </c>
      <c r="V32" s="3" t="s">
        <v>37</v>
      </c>
      <c r="W32" s="3" t="s">
        <v>37</v>
      </c>
      <c r="X32" s="3" t="s">
        <v>37</v>
      </c>
      <c r="Y32" s="3" t="s">
        <v>37</v>
      </c>
      <c r="Z32" s="3" t="s">
        <v>37</v>
      </c>
      <c r="AA32" s="3" t="s">
        <v>37</v>
      </c>
      <c r="AB32" s="3" t="s">
        <v>37</v>
      </c>
      <c r="AC32" s="3">
        <v>0</v>
      </c>
      <c r="AD32" s="3" t="s">
        <v>37</v>
      </c>
      <c r="AE32" s="3" t="s">
        <v>37</v>
      </c>
    </row>
  </sheetData>
  <mergeCells count="60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  <mergeCell ref="S10:T10"/>
    <mergeCell ref="A14:B15"/>
    <mergeCell ref="F14:I15"/>
    <mergeCell ref="L15:L16"/>
    <mergeCell ref="A16:C17"/>
    <mergeCell ref="D16:J17"/>
    <mergeCell ref="C10:F10"/>
    <mergeCell ref="G10:H10"/>
    <mergeCell ref="M10:N10"/>
    <mergeCell ref="O10:P10"/>
    <mergeCell ref="Q10:R10"/>
    <mergeCell ref="A18:D18"/>
    <mergeCell ref="B20:F20"/>
    <mergeCell ref="B21:F21"/>
    <mergeCell ref="B22:F22"/>
    <mergeCell ref="A24:C25"/>
    <mergeCell ref="H24:M25"/>
    <mergeCell ref="R24:S24"/>
    <mergeCell ref="R25:S26"/>
    <mergeCell ref="A26:D27"/>
    <mergeCell ref="E26:O27"/>
    <mergeCell ref="A28:E28"/>
    <mergeCell ref="C30:F30"/>
    <mergeCell ref="G30:H30"/>
    <mergeCell ref="M30:N30"/>
    <mergeCell ref="O30:P30"/>
    <mergeCell ref="Q30:R30"/>
    <mergeCell ref="S30:T30"/>
    <mergeCell ref="C31:F31"/>
    <mergeCell ref="G31:H31"/>
    <mergeCell ref="M31:N31"/>
    <mergeCell ref="O31:P31"/>
    <mergeCell ref="Q31:R31"/>
    <mergeCell ref="S31:T31"/>
    <mergeCell ref="S32:T32"/>
    <mergeCell ref="C32:F32"/>
    <mergeCell ref="G32:H32"/>
    <mergeCell ref="M32:N32"/>
    <mergeCell ref="O32:P32"/>
    <mergeCell ref="Q32:R32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showGridLines="0" workbookViewId="0">
      <pane ySplit="5" topLeftCell="A6" activePane="bottomLeft" state="frozen"/>
      <selection pane="bottomLeft" activeCell="G23" sqref="G23:H23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25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x14ac:dyDescent="0.25">
      <c r="A2" s="23" t="s">
        <v>5</v>
      </c>
      <c r="B2" s="15"/>
      <c r="F2" s="22" t="s">
        <v>6</v>
      </c>
      <c r="G2" s="15"/>
      <c r="H2" s="15"/>
      <c r="I2" s="15"/>
      <c r="L2" s="1" t="s">
        <v>43</v>
      </c>
    </row>
    <row r="3" spans="1:13" x14ac:dyDescent="0.25">
      <c r="A3" s="15"/>
      <c r="B3" s="15"/>
      <c r="F3" s="15"/>
      <c r="G3" s="15"/>
      <c r="H3" s="15"/>
      <c r="I3" s="15"/>
      <c r="L3" s="23" t="s">
        <v>8</v>
      </c>
    </row>
    <row r="4" spans="1:13" x14ac:dyDescent="0.25">
      <c r="A4" s="23" t="s">
        <v>9</v>
      </c>
      <c r="B4" s="15"/>
      <c r="C4" s="15"/>
      <c r="D4" s="22" t="s">
        <v>10</v>
      </c>
      <c r="E4" s="15"/>
      <c r="F4" s="15"/>
      <c r="G4" s="15"/>
      <c r="H4" s="15"/>
      <c r="I4" s="15"/>
      <c r="J4" s="15"/>
      <c r="L4" s="15"/>
    </row>
    <row r="5" spans="1:13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"/>
      <c r="L5" s="2"/>
      <c r="M5" s="2"/>
    </row>
    <row r="6" spans="1:13" ht="18" customHeight="1" x14ac:dyDescent="0.25">
      <c r="A6" s="21" t="s">
        <v>2</v>
      </c>
      <c r="B6" s="15"/>
      <c r="C6" s="15"/>
      <c r="D6" s="15"/>
    </row>
    <row r="7" spans="1:13" ht="9" customHeight="1" x14ac:dyDescent="0.25"/>
    <row r="8" spans="1:13" x14ac:dyDescent="0.25">
      <c r="A8" s="3" t="s">
        <v>12</v>
      </c>
      <c r="B8" s="17" t="s">
        <v>44</v>
      </c>
      <c r="C8" s="18"/>
      <c r="D8" s="18"/>
      <c r="E8" s="18"/>
      <c r="F8" s="18"/>
      <c r="G8" s="3" t="s">
        <v>45</v>
      </c>
      <c r="H8" s="3" t="s">
        <v>46</v>
      </c>
    </row>
    <row r="9" spans="1:13" x14ac:dyDescent="0.25">
      <c r="A9" s="4" t="s">
        <v>35</v>
      </c>
      <c r="B9" s="19" t="s">
        <v>47</v>
      </c>
      <c r="C9" s="15"/>
      <c r="D9" s="15"/>
      <c r="E9" s="15"/>
      <c r="F9" s="15"/>
      <c r="G9" s="5">
        <v>0</v>
      </c>
      <c r="H9" s="5">
        <v>0</v>
      </c>
    </row>
    <row r="10" spans="1:13" x14ac:dyDescent="0.25">
      <c r="A10" s="3" t="s">
        <v>48</v>
      </c>
      <c r="B10" s="17" t="s">
        <v>37</v>
      </c>
      <c r="C10" s="18"/>
      <c r="D10" s="18"/>
      <c r="E10" s="18"/>
      <c r="F10" s="18"/>
      <c r="G10" s="7">
        <v>0</v>
      </c>
      <c r="H10" s="7">
        <v>0</v>
      </c>
    </row>
    <row r="11" spans="1:13" ht="0" hidden="1" customHeight="1" x14ac:dyDescent="0.25"/>
    <row r="12" spans="1:13" ht="1.7" customHeight="1" x14ac:dyDescent="0.25"/>
    <row r="15" spans="1:13" ht="15" customHeight="1" x14ac:dyDescent="0.25">
      <c r="A15" s="23" t="s">
        <v>5</v>
      </c>
      <c r="B15" s="23"/>
      <c r="F15" s="22" t="s">
        <v>6</v>
      </c>
      <c r="G15" s="22"/>
      <c r="H15" s="22"/>
      <c r="I15" s="22"/>
      <c r="L15" s="1" t="s">
        <v>43</v>
      </c>
    </row>
    <row r="16" spans="1:13" x14ac:dyDescent="0.25">
      <c r="A16" s="23"/>
      <c r="B16" s="23"/>
      <c r="F16" s="22"/>
      <c r="G16" s="22"/>
      <c r="H16" s="22"/>
      <c r="I16" s="22"/>
      <c r="L16" s="23" t="s">
        <v>76</v>
      </c>
    </row>
    <row r="17" spans="1:13" ht="15" customHeight="1" x14ac:dyDescent="0.25">
      <c r="A17" s="23" t="s">
        <v>77</v>
      </c>
      <c r="B17" s="23"/>
      <c r="C17" s="23"/>
      <c r="D17" s="22" t="s">
        <v>10</v>
      </c>
      <c r="E17" s="22"/>
      <c r="F17" s="22"/>
      <c r="G17" s="22"/>
      <c r="H17" s="22"/>
      <c r="I17" s="22"/>
      <c r="J17" s="22"/>
      <c r="L17" s="23"/>
    </row>
    <row r="18" spans="1:13" ht="15.75" thickBot="1" x14ac:dyDescent="0.3">
      <c r="A18" s="27"/>
      <c r="B18" s="27"/>
      <c r="C18" s="27"/>
      <c r="D18" s="28"/>
      <c r="E18" s="28"/>
      <c r="F18" s="28"/>
      <c r="G18" s="28"/>
      <c r="H18" s="28"/>
      <c r="I18" s="28"/>
      <c r="J18" s="28"/>
      <c r="K18" s="2"/>
      <c r="L18" s="2"/>
      <c r="M18" s="2"/>
    </row>
    <row r="19" spans="1:13" ht="18" customHeight="1" thickTop="1" x14ac:dyDescent="0.25">
      <c r="A19" s="29" t="s">
        <v>2</v>
      </c>
      <c r="B19" s="29"/>
      <c r="C19" s="29"/>
      <c r="D19" s="29"/>
    </row>
    <row r="20" spans="1:13" ht="9" customHeight="1" x14ac:dyDescent="0.25"/>
    <row r="21" spans="1:13" x14ac:dyDescent="0.25">
      <c r="A21" s="3" t="s">
        <v>12</v>
      </c>
      <c r="B21" s="17" t="s">
        <v>44</v>
      </c>
      <c r="C21" s="17"/>
      <c r="D21" s="17"/>
      <c r="E21" s="17"/>
      <c r="F21" s="17"/>
      <c r="G21" s="3" t="s">
        <v>45</v>
      </c>
      <c r="H21" s="3" t="s">
        <v>46</v>
      </c>
    </row>
    <row r="22" spans="1:13" x14ac:dyDescent="0.25">
      <c r="A22" s="4" t="s">
        <v>78</v>
      </c>
      <c r="B22" s="26" t="s">
        <v>47</v>
      </c>
      <c r="C22" s="26"/>
      <c r="D22" s="26"/>
      <c r="E22" s="26"/>
      <c r="F22" s="26"/>
      <c r="G22" s="5">
        <v>682.31</v>
      </c>
      <c r="H22" s="5">
        <v>47.01</v>
      </c>
    </row>
    <row r="23" spans="1:13" x14ac:dyDescent="0.25">
      <c r="A23" s="3" t="s">
        <v>48</v>
      </c>
      <c r="B23" s="17" t="s">
        <v>37</v>
      </c>
      <c r="C23" s="17"/>
      <c r="D23" s="17"/>
      <c r="E23" s="17"/>
      <c r="F23" s="17"/>
      <c r="G23" s="7">
        <v>682.31</v>
      </c>
      <c r="H23" s="7">
        <v>47.01</v>
      </c>
    </row>
  </sheetData>
  <mergeCells count="19">
    <mergeCell ref="A1:L1"/>
    <mergeCell ref="A2:B3"/>
    <mergeCell ref="F2:I3"/>
    <mergeCell ref="L3:L4"/>
    <mergeCell ref="A4:C5"/>
    <mergeCell ref="D4:J5"/>
    <mergeCell ref="A6:D6"/>
    <mergeCell ref="B8:F8"/>
    <mergeCell ref="B9:F9"/>
    <mergeCell ref="B10:F10"/>
    <mergeCell ref="A15:B16"/>
    <mergeCell ref="F15:I16"/>
    <mergeCell ref="B22:F22"/>
    <mergeCell ref="B23:F23"/>
    <mergeCell ref="L16:L17"/>
    <mergeCell ref="A17:C18"/>
    <mergeCell ref="D17:J18"/>
    <mergeCell ref="A19:D19"/>
    <mergeCell ref="B21:F21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25" t="s">
        <v>4</v>
      </c>
      <c r="B1" s="15"/>
      <c r="C1" s="15"/>
      <c r="D1" s="15"/>
      <c r="E1" s="15"/>
      <c r="F1" s="15"/>
      <c r="G1" s="15"/>
    </row>
    <row r="2" spans="1:8" x14ac:dyDescent="0.25">
      <c r="A2" s="23" t="s">
        <v>5</v>
      </c>
      <c r="D2" s="22" t="s">
        <v>6</v>
      </c>
      <c r="G2" s="1" t="s">
        <v>49</v>
      </c>
    </row>
    <row r="3" spans="1:8" x14ac:dyDescent="0.25">
      <c r="A3" s="15"/>
      <c r="D3" s="15"/>
      <c r="G3" s="23" t="s">
        <v>8</v>
      </c>
    </row>
    <row r="4" spans="1:8" x14ac:dyDescent="0.25">
      <c r="A4" s="23" t="s">
        <v>9</v>
      </c>
      <c r="B4" s="15"/>
      <c r="C4" s="22" t="s">
        <v>10</v>
      </c>
      <c r="D4" s="15"/>
      <c r="E4" s="15"/>
      <c r="G4" s="15"/>
    </row>
    <row r="5" spans="1:8" x14ac:dyDescent="0.25">
      <c r="A5" s="24"/>
      <c r="B5" s="24"/>
      <c r="C5" s="24"/>
      <c r="D5" s="24"/>
      <c r="E5" s="24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44"/>
  <sheetViews>
    <sheetView showGridLines="0" workbookViewId="0">
      <pane ySplit="5" topLeftCell="A6" activePane="bottomLeft" state="frozen"/>
      <selection pane="bottomLeft" sqref="A1:XFD1048576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25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33" x14ac:dyDescent="0.25">
      <c r="A2" s="23" t="s">
        <v>5</v>
      </c>
      <c r="B2" s="15"/>
      <c r="C2" s="15"/>
      <c r="H2" s="22" t="s">
        <v>6</v>
      </c>
      <c r="I2" s="15"/>
      <c r="J2" s="15"/>
      <c r="K2" s="15"/>
      <c r="L2" s="15"/>
      <c r="M2" s="15"/>
      <c r="R2" s="23" t="s">
        <v>50</v>
      </c>
      <c r="S2" s="15"/>
      <c r="T2" s="15"/>
    </row>
    <row r="3" spans="1:33" x14ac:dyDescent="0.25">
      <c r="A3" s="15"/>
      <c r="B3" s="15"/>
      <c r="C3" s="15"/>
      <c r="H3" s="15"/>
      <c r="I3" s="15"/>
      <c r="J3" s="15"/>
      <c r="K3" s="15"/>
      <c r="L3" s="15"/>
      <c r="M3" s="15"/>
      <c r="R3" s="23" t="s">
        <v>8</v>
      </c>
      <c r="S3" s="15"/>
      <c r="T3" s="15"/>
    </row>
    <row r="4" spans="1:33" x14ac:dyDescent="0.25">
      <c r="A4" s="23" t="s">
        <v>9</v>
      </c>
      <c r="B4" s="15"/>
      <c r="C4" s="15"/>
      <c r="D4" s="15"/>
      <c r="E4" s="22" t="s">
        <v>10</v>
      </c>
      <c r="F4" s="15"/>
      <c r="G4" s="15"/>
      <c r="H4" s="15"/>
      <c r="I4" s="15"/>
      <c r="J4" s="15"/>
      <c r="K4" s="15"/>
      <c r="L4" s="15"/>
      <c r="M4" s="15"/>
      <c r="N4" s="15"/>
      <c r="O4" s="15"/>
      <c r="R4" s="15"/>
      <c r="S4" s="15"/>
      <c r="T4" s="15"/>
    </row>
    <row r="5" spans="1:33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21" t="s">
        <v>3</v>
      </c>
      <c r="B6" s="15"/>
      <c r="C6" s="15"/>
      <c r="D6" s="15"/>
      <c r="E6" s="15"/>
      <c r="F6" s="15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7" t="s">
        <v>13</v>
      </c>
      <c r="D8" s="18"/>
      <c r="E8" s="18"/>
      <c r="F8" s="17" t="s">
        <v>14</v>
      </c>
      <c r="G8" s="18"/>
      <c r="H8" s="18"/>
      <c r="I8" s="3" t="s">
        <v>51</v>
      </c>
      <c r="J8" s="3" t="s">
        <v>52</v>
      </c>
      <c r="K8" s="3" t="s">
        <v>15</v>
      </c>
      <c r="L8" s="3" t="s">
        <v>16</v>
      </c>
      <c r="M8" s="17" t="s">
        <v>17</v>
      </c>
      <c r="N8" s="18"/>
      <c r="O8" s="3" t="s">
        <v>18</v>
      </c>
      <c r="P8" s="3" t="s">
        <v>19</v>
      </c>
      <c r="Q8" s="17" t="s">
        <v>53</v>
      </c>
      <c r="R8" s="18"/>
      <c r="S8" s="3" t="s">
        <v>3</v>
      </c>
      <c r="T8" s="17" t="s">
        <v>22</v>
      </c>
      <c r="U8" s="18"/>
      <c r="V8" s="3" t="s">
        <v>23</v>
      </c>
      <c r="W8" s="3" t="s">
        <v>24</v>
      </c>
      <c r="X8" s="3" t="s">
        <v>54</v>
      </c>
      <c r="Y8" s="3" t="s">
        <v>55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34</v>
      </c>
      <c r="B9" s="4" t="s">
        <v>35</v>
      </c>
      <c r="C9" s="19" t="s">
        <v>36</v>
      </c>
      <c r="D9" s="15"/>
      <c r="E9" s="15"/>
      <c r="F9" s="19" t="s">
        <v>37</v>
      </c>
      <c r="G9" s="15"/>
      <c r="H9" s="15"/>
      <c r="I9" s="4" t="s">
        <v>39</v>
      </c>
      <c r="J9" s="4">
        <v>1</v>
      </c>
      <c r="K9" s="4"/>
      <c r="L9" s="4" t="s">
        <v>37</v>
      </c>
      <c r="M9" s="19"/>
      <c r="N9" s="15"/>
      <c r="O9" s="4" t="s">
        <v>37</v>
      </c>
      <c r="P9" s="4">
        <v>0</v>
      </c>
      <c r="Q9" s="20">
        <v>0</v>
      </c>
      <c r="R9" s="15"/>
      <c r="S9" s="5">
        <v>0</v>
      </c>
      <c r="T9" s="19" t="s">
        <v>56</v>
      </c>
      <c r="U9" s="15"/>
      <c r="V9" s="5">
        <v>0</v>
      </c>
      <c r="W9" s="4" t="s">
        <v>39</v>
      </c>
      <c r="X9" s="4" t="s">
        <v>34</v>
      </c>
      <c r="Y9" s="4" t="s">
        <v>37</v>
      </c>
      <c r="Z9" s="4"/>
      <c r="AA9" s="4"/>
      <c r="AB9" s="4"/>
      <c r="AC9" s="4" t="s">
        <v>40</v>
      </c>
      <c r="AD9" s="4">
        <v>0</v>
      </c>
      <c r="AE9" s="4"/>
      <c r="AF9" s="4" t="s">
        <v>57</v>
      </c>
    </row>
    <row r="10" spans="1:33" x14ac:dyDescent="0.25">
      <c r="A10" s="8" t="s">
        <v>37</v>
      </c>
      <c r="B10" s="8" t="s">
        <v>37</v>
      </c>
      <c r="C10" s="32" t="s">
        <v>37</v>
      </c>
      <c r="D10" s="31"/>
      <c r="E10" s="31"/>
      <c r="F10" s="32" t="s">
        <v>37</v>
      </c>
      <c r="G10" s="31"/>
      <c r="H10" s="31"/>
      <c r="I10" s="8" t="s">
        <v>37</v>
      </c>
      <c r="J10" s="8" t="s">
        <v>37</v>
      </c>
      <c r="K10" s="8" t="s">
        <v>37</v>
      </c>
      <c r="L10" s="8" t="s">
        <v>37</v>
      </c>
      <c r="M10" s="32" t="s">
        <v>37</v>
      </c>
      <c r="N10" s="31"/>
      <c r="O10" s="8" t="s">
        <v>37</v>
      </c>
      <c r="P10" s="8" t="s">
        <v>37</v>
      </c>
      <c r="Q10" s="32" t="s">
        <v>37</v>
      </c>
      <c r="R10" s="31"/>
      <c r="S10" s="9" t="s">
        <v>37</v>
      </c>
      <c r="T10" s="32" t="s">
        <v>58</v>
      </c>
      <c r="U10" s="31"/>
      <c r="V10" s="10">
        <v>0</v>
      </c>
      <c r="W10" s="8" t="s">
        <v>37</v>
      </c>
      <c r="X10" s="8" t="s">
        <v>37</v>
      </c>
      <c r="Y10" s="8" t="s">
        <v>37</v>
      </c>
      <c r="Z10" s="8" t="s">
        <v>37</v>
      </c>
      <c r="AA10" s="8" t="s">
        <v>37</v>
      </c>
      <c r="AB10" s="8" t="s">
        <v>37</v>
      </c>
      <c r="AC10" s="8" t="s">
        <v>37</v>
      </c>
      <c r="AD10" s="8">
        <v>0</v>
      </c>
      <c r="AE10" s="8" t="s">
        <v>37</v>
      </c>
      <c r="AF10" s="8" t="s">
        <v>37</v>
      </c>
    </row>
    <row r="11" spans="1:33" ht="0" hidden="1" customHeight="1" x14ac:dyDescent="0.25"/>
    <row r="12" spans="1:33" ht="1.7" customHeight="1" thickTop="1" x14ac:dyDescent="0.25"/>
    <row r="13" spans="1:33" ht="15.75" thickBot="1" x14ac:dyDescent="0.3">
      <c r="A13" s="4" t="s">
        <v>34</v>
      </c>
      <c r="B13" s="4" t="s">
        <v>61</v>
      </c>
      <c r="C13" s="19" t="s">
        <v>62</v>
      </c>
      <c r="D13" s="15"/>
      <c r="E13" s="15"/>
      <c r="F13" s="19" t="s">
        <v>63</v>
      </c>
      <c r="G13" s="15"/>
      <c r="H13" s="15"/>
      <c r="I13" s="4" t="s">
        <v>64</v>
      </c>
      <c r="J13" s="4">
        <v>1</v>
      </c>
      <c r="K13" s="4" t="s">
        <v>65</v>
      </c>
      <c r="L13" s="4" t="s">
        <v>66</v>
      </c>
      <c r="M13" s="19" t="s">
        <v>67</v>
      </c>
      <c r="N13" s="15"/>
      <c r="O13" s="4" t="s">
        <v>68</v>
      </c>
      <c r="P13" s="4">
        <v>57</v>
      </c>
      <c r="Q13" s="20">
        <v>41.53</v>
      </c>
      <c r="R13" s="15"/>
      <c r="S13" s="5">
        <v>23.67</v>
      </c>
      <c r="T13" s="19" t="s">
        <v>69</v>
      </c>
      <c r="U13" s="15"/>
      <c r="V13" s="5">
        <v>23.67</v>
      </c>
      <c r="W13" s="4" t="s">
        <v>70</v>
      </c>
      <c r="X13" s="4" t="s">
        <v>71</v>
      </c>
      <c r="Y13" s="4" t="s">
        <v>72</v>
      </c>
      <c r="Z13" s="4"/>
      <c r="AA13" s="4" t="s">
        <v>73</v>
      </c>
      <c r="AB13" s="4" t="s">
        <v>74</v>
      </c>
      <c r="AC13" s="4" t="s">
        <v>75</v>
      </c>
      <c r="AD13" s="4">
        <v>0</v>
      </c>
      <c r="AE13" s="4"/>
      <c r="AF13" s="4" t="s">
        <v>57</v>
      </c>
    </row>
    <row r="14" spans="1:33" ht="16.5" thickTop="1" thickBot="1" x14ac:dyDescent="0.3">
      <c r="A14" s="11" t="s">
        <v>37</v>
      </c>
      <c r="B14" s="11" t="s">
        <v>37</v>
      </c>
      <c r="C14" s="30" t="s">
        <v>37</v>
      </c>
      <c r="D14" s="31"/>
      <c r="E14" s="31"/>
      <c r="F14" s="30" t="s">
        <v>37</v>
      </c>
      <c r="G14" s="31"/>
      <c r="H14" s="31"/>
      <c r="I14" s="11" t="s">
        <v>37</v>
      </c>
      <c r="J14" s="11" t="s">
        <v>37</v>
      </c>
      <c r="K14" s="11" t="s">
        <v>37</v>
      </c>
      <c r="L14" s="11" t="s">
        <v>37</v>
      </c>
      <c r="M14" s="30" t="s">
        <v>37</v>
      </c>
      <c r="N14" s="31"/>
      <c r="O14" s="11" t="s">
        <v>37</v>
      </c>
      <c r="P14" s="11" t="s">
        <v>37</v>
      </c>
      <c r="Q14" s="30" t="s">
        <v>37</v>
      </c>
      <c r="R14" s="31"/>
      <c r="S14" s="12" t="s">
        <v>37</v>
      </c>
      <c r="T14" s="30" t="s">
        <v>58</v>
      </c>
      <c r="U14" s="31"/>
      <c r="V14" s="13">
        <v>23.67</v>
      </c>
      <c r="W14" s="11" t="s">
        <v>37</v>
      </c>
      <c r="X14" s="11" t="s">
        <v>37</v>
      </c>
      <c r="Y14" s="11" t="s">
        <v>37</v>
      </c>
      <c r="Z14" s="11" t="s">
        <v>37</v>
      </c>
      <c r="AA14" s="11" t="s">
        <v>37</v>
      </c>
      <c r="AB14" s="11" t="s">
        <v>37</v>
      </c>
      <c r="AC14" s="11" t="s">
        <v>37</v>
      </c>
      <c r="AD14" s="11">
        <v>0</v>
      </c>
      <c r="AE14" s="11" t="s">
        <v>37</v>
      </c>
      <c r="AF14" s="11" t="s">
        <v>37</v>
      </c>
    </row>
    <row r="15" spans="1:33" ht="15.75" thickTop="1" x14ac:dyDescent="0.25">
      <c r="A15" s="4" t="s">
        <v>34</v>
      </c>
      <c r="B15" s="4" t="s">
        <v>78</v>
      </c>
      <c r="C15" s="19" t="s">
        <v>81</v>
      </c>
      <c r="D15" s="15"/>
      <c r="E15" s="15"/>
      <c r="F15" s="19" t="s">
        <v>82</v>
      </c>
      <c r="G15" s="15"/>
      <c r="H15" s="15"/>
      <c r="I15" s="4" t="s">
        <v>64</v>
      </c>
      <c r="J15" s="4">
        <v>1</v>
      </c>
      <c r="K15" s="4" t="s">
        <v>64</v>
      </c>
      <c r="L15" s="4" t="s">
        <v>83</v>
      </c>
      <c r="M15" s="19" t="s">
        <v>84</v>
      </c>
      <c r="N15" s="15"/>
      <c r="O15" s="4" t="s">
        <v>68</v>
      </c>
      <c r="P15" s="4">
        <v>27</v>
      </c>
      <c r="Q15" s="20">
        <v>135.61000000000001</v>
      </c>
      <c r="R15" s="15"/>
      <c r="S15" s="5">
        <v>36.61</v>
      </c>
      <c r="T15" s="19" t="s">
        <v>69</v>
      </c>
      <c r="U15" s="15"/>
      <c r="V15" s="5">
        <v>36.61</v>
      </c>
      <c r="W15" s="4" t="s">
        <v>70</v>
      </c>
      <c r="X15" s="4" t="s">
        <v>85</v>
      </c>
      <c r="Y15" s="4" t="s">
        <v>86</v>
      </c>
      <c r="Z15" s="4" t="s">
        <v>87</v>
      </c>
      <c r="AA15" s="4" t="s">
        <v>88</v>
      </c>
      <c r="AB15" s="4" t="s">
        <v>74</v>
      </c>
      <c r="AC15" s="4" t="s">
        <v>89</v>
      </c>
      <c r="AD15" s="4">
        <v>0</v>
      </c>
      <c r="AE15" s="4"/>
      <c r="AF15" s="4" t="s">
        <v>57</v>
      </c>
    </row>
    <row r="16" spans="1:33" x14ac:dyDescent="0.25">
      <c r="A16" s="4" t="s">
        <v>34</v>
      </c>
      <c r="B16" s="4" t="s">
        <v>78</v>
      </c>
      <c r="C16" s="19" t="s">
        <v>90</v>
      </c>
      <c r="D16" s="15"/>
      <c r="E16" s="15"/>
      <c r="F16" s="19" t="s">
        <v>91</v>
      </c>
      <c r="G16" s="15"/>
      <c r="H16" s="15"/>
      <c r="I16" s="4" t="s">
        <v>64</v>
      </c>
      <c r="J16" s="4">
        <v>1</v>
      </c>
      <c r="K16" s="4" t="s">
        <v>64</v>
      </c>
      <c r="L16" s="4" t="s">
        <v>92</v>
      </c>
      <c r="M16" s="19" t="s">
        <v>93</v>
      </c>
      <c r="N16" s="15"/>
      <c r="O16" s="4" t="s">
        <v>68</v>
      </c>
      <c r="P16" s="4">
        <v>11</v>
      </c>
      <c r="Q16" s="20">
        <v>144.26</v>
      </c>
      <c r="R16" s="15"/>
      <c r="S16" s="5">
        <v>15.87</v>
      </c>
      <c r="T16" s="19" t="s">
        <v>69</v>
      </c>
      <c r="U16" s="15"/>
      <c r="V16" s="5">
        <v>15.87</v>
      </c>
      <c r="W16" s="4" t="s">
        <v>70</v>
      </c>
      <c r="X16" s="4" t="s">
        <v>94</v>
      </c>
      <c r="Y16" s="4" t="s">
        <v>95</v>
      </c>
      <c r="Z16" s="4" t="s">
        <v>96</v>
      </c>
      <c r="AA16" s="4" t="s">
        <v>97</v>
      </c>
      <c r="AB16" s="4" t="s">
        <v>74</v>
      </c>
      <c r="AC16" s="4" t="s">
        <v>98</v>
      </c>
      <c r="AD16" s="4">
        <v>0</v>
      </c>
      <c r="AE16" s="4"/>
      <c r="AF16" s="4" t="s">
        <v>57</v>
      </c>
    </row>
    <row r="17" spans="1:32" x14ac:dyDescent="0.25">
      <c r="A17" s="4" t="s">
        <v>34</v>
      </c>
      <c r="B17" s="4" t="s">
        <v>78</v>
      </c>
      <c r="C17" s="19" t="s">
        <v>99</v>
      </c>
      <c r="D17" s="15"/>
      <c r="E17" s="15"/>
      <c r="F17" s="19" t="s">
        <v>100</v>
      </c>
      <c r="G17" s="15"/>
      <c r="H17" s="15"/>
      <c r="I17" s="4" t="s">
        <v>64</v>
      </c>
      <c r="J17" s="4">
        <v>1</v>
      </c>
      <c r="K17" s="4" t="s">
        <v>64</v>
      </c>
      <c r="L17" s="4" t="s">
        <v>101</v>
      </c>
      <c r="M17" s="19" t="s">
        <v>102</v>
      </c>
      <c r="N17" s="15"/>
      <c r="O17" s="4" t="s">
        <v>68</v>
      </c>
      <c r="P17" s="4">
        <v>23</v>
      </c>
      <c r="Q17" s="20">
        <v>173.28</v>
      </c>
      <c r="R17" s="15"/>
      <c r="S17" s="5">
        <v>39.85</v>
      </c>
      <c r="T17" s="19" t="s">
        <v>69</v>
      </c>
      <c r="U17" s="15"/>
      <c r="V17" s="5">
        <v>39.85</v>
      </c>
      <c r="W17" s="4" t="s">
        <v>70</v>
      </c>
      <c r="X17" s="4" t="s">
        <v>94</v>
      </c>
      <c r="Y17" s="4" t="s">
        <v>95</v>
      </c>
      <c r="Z17" s="4" t="s">
        <v>96</v>
      </c>
      <c r="AA17" s="4" t="s">
        <v>88</v>
      </c>
      <c r="AB17" s="4" t="s">
        <v>74</v>
      </c>
      <c r="AC17" s="4" t="s">
        <v>98</v>
      </c>
      <c r="AD17" s="4">
        <v>0</v>
      </c>
      <c r="AE17" s="4"/>
      <c r="AF17" s="4" t="s">
        <v>57</v>
      </c>
    </row>
    <row r="18" spans="1:32" ht="22.5" x14ac:dyDescent="0.25">
      <c r="A18" s="4" t="s">
        <v>34</v>
      </c>
      <c r="B18" s="4" t="s">
        <v>78</v>
      </c>
      <c r="C18" s="19" t="s">
        <v>103</v>
      </c>
      <c r="D18" s="15"/>
      <c r="E18" s="15"/>
      <c r="F18" s="19" t="s">
        <v>104</v>
      </c>
      <c r="G18" s="15"/>
      <c r="H18" s="15"/>
      <c r="I18" s="4" t="s">
        <v>64</v>
      </c>
      <c r="J18" s="4">
        <v>1</v>
      </c>
      <c r="K18" s="4" t="s">
        <v>105</v>
      </c>
      <c r="L18" s="4" t="s">
        <v>92</v>
      </c>
      <c r="M18" s="19" t="s">
        <v>93</v>
      </c>
      <c r="N18" s="15"/>
      <c r="O18" s="4" t="s">
        <v>68</v>
      </c>
      <c r="P18" s="4">
        <v>27</v>
      </c>
      <c r="Q18" s="20">
        <v>112.24</v>
      </c>
      <c r="R18" s="15"/>
      <c r="S18" s="5">
        <v>30.3</v>
      </c>
      <c r="T18" s="19" t="s">
        <v>69</v>
      </c>
      <c r="U18" s="15"/>
      <c r="V18" s="5">
        <v>30.3</v>
      </c>
      <c r="W18" s="4" t="s">
        <v>70</v>
      </c>
      <c r="X18" s="4" t="s">
        <v>106</v>
      </c>
      <c r="Y18" s="4" t="s">
        <v>107</v>
      </c>
      <c r="Z18" s="4" t="s">
        <v>87</v>
      </c>
      <c r="AA18" s="4" t="s">
        <v>88</v>
      </c>
      <c r="AB18" s="4" t="s">
        <v>74</v>
      </c>
      <c r="AC18" s="4" t="s">
        <v>98</v>
      </c>
      <c r="AD18" s="4">
        <v>0</v>
      </c>
      <c r="AE18" s="4"/>
      <c r="AF18" s="4" t="s">
        <v>57</v>
      </c>
    </row>
    <row r="19" spans="1:32" ht="22.5" x14ac:dyDescent="0.25">
      <c r="A19" s="4" t="s">
        <v>34</v>
      </c>
      <c r="B19" s="4" t="s">
        <v>78</v>
      </c>
      <c r="C19" s="19" t="s">
        <v>108</v>
      </c>
      <c r="D19" s="15"/>
      <c r="E19" s="15"/>
      <c r="F19" s="19" t="s">
        <v>109</v>
      </c>
      <c r="G19" s="15"/>
      <c r="H19" s="15"/>
      <c r="I19" s="4" t="s">
        <v>64</v>
      </c>
      <c r="J19" s="4">
        <v>1</v>
      </c>
      <c r="K19" s="4" t="s">
        <v>110</v>
      </c>
      <c r="L19" s="4" t="s">
        <v>101</v>
      </c>
      <c r="M19" s="19" t="s">
        <v>102</v>
      </c>
      <c r="N19" s="15"/>
      <c r="O19" s="4" t="s">
        <v>68</v>
      </c>
      <c r="P19" s="4">
        <v>23</v>
      </c>
      <c r="Q19" s="20">
        <v>-141.61000000000001</v>
      </c>
      <c r="R19" s="15"/>
      <c r="S19" s="5">
        <v>-32.57</v>
      </c>
      <c r="T19" s="19" t="s">
        <v>111</v>
      </c>
      <c r="U19" s="15"/>
      <c r="V19" s="5">
        <v>-32.57</v>
      </c>
      <c r="W19" s="4" t="s">
        <v>70</v>
      </c>
      <c r="X19" s="4" t="s">
        <v>106</v>
      </c>
      <c r="Y19" s="4" t="s">
        <v>107</v>
      </c>
      <c r="Z19" s="4" t="s">
        <v>96</v>
      </c>
      <c r="AA19" s="4" t="s">
        <v>88</v>
      </c>
      <c r="AB19" s="4" t="s">
        <v>74</v>
      </c>
      <c r="AC19" s="4" t="s">
        <v>98</v>
      </c>
      <c r="AD19" s="4">
        <v>0</v>
      </c>
      <c r="AE19" s="4"/>
      <c r="AF19" s="4" t="s">
        <v>112</v>
      </c>
    </row>
    <row r="20" spans="1:32" ht="22.5" x14ac:dyDescent="0.25">
      <c r="A20" s="4" t="s">
        <v>34</v>
      </c>
      <c r="B20" s="4" t="s">
        <v>78</v>
      </c>
      <c r="C20" s="19" t="s">
        <v>108</v>
      </c>
      <c r="D20" s="15"/>
      <c r="E20" s="15"/>
      <c r="F20" s="19" t="s">
        <v>109</v>
      </c>
      <c r="G20" s="15"/>
      <c r="H20" s="15"/>
      <c r="I20" s="4" t="s">
        <v>64</v>
      </c>
      <c r="J20" s="4">
        <v>1</v>
      </c>
      <c r="K20" s="4" t="s">
        <v>110</v>
      </c>
      <c r="L20" s="4" t="s">
        <v>101</v>
      </c>
      <c r="M20" s="19" t="s">
        <v>102</v>
      </c>
      <c r="N20" s="15"/>
      <c r="O20" s="4" t="s">
        <v>68</v>
      </c>
      <c r="P20" s="4">
        <v>23</v>
      </c>
      <c r="Q20" s="20">
        <v>141.61000000000001</v>
      </c>
      <c r="R20" s="15"/>
      <c r="S20" s="5">
        <v>32.57</v>
      </c>
      <c r="T20" s="19" t="s">
        <v>69</v>
      </c>
      <c r="U20" s="15"/>
      <c r="V20" s="5">
        <v>32.57</v>
      </c>
      <c r="W20" s="4" t="s">
        <v>70</v>
      </c>
      <c r="X20" s="4" t="s">
        <v>106</v>
      </c>
      <c r="Y20" s="4" t="s">
        <v>107</v>
      </c>
      <c r="Z20" s="4" t="s">
        <v>96</v>
      </c>
      <c r="AA20" s="4" t="s">
        <v>88</v>
      </c>
      <c r="AB20" s="4" t="s">
        <v>74</v>
      </c>
      <c r="AC20" s="4" t="s">
        <v>98</v>
      </c>
      <c r="AD20" s="4">
        <v>0</v>
      </c>
      <c r="AE20" s="4"/>
      <c r="AF20" s="4" t="s">
        <v>57</v>
      </c>
    </row>
    <row r="21" spans="1:32" ht="22.5" x14ac:dyDescent="0.25">
      <c r="A21" s="4" t="s">
        <v>34</v>
      </c>
      <c r="B21" s="4" t="s">
        <v>78</v>
      </c>
      <c r="C21" s="19" t="s">
        <v>108</v>
      </c>
      <c r="D21" s="15"/>
      <c r="E21" s="15"/>
      <c r="F21" s="19" t="s">
        <v>109</v>
      </c>
      <c r="G21" s="15"/>
      <c r="H21" s="15"/>
      <c r="I21" s="4" t="s">
        <v>110</v>
      </c>
      <c r="J21" s="4">
        <v>1</v>
      </c>
      <c r="K21" s="4" t="s">
        <v>110</v>
      </c>
      <c r="L21" s="4" t="s">
        <v>101</v>
      </c>
      <c r="M21" s="19" t="s">
        <v>102</v>
      </c>
      <c r="N21" s="15"/>
      <c r="O21" s="4" t="s">
        <v>68</v>
      </c>
      <c r="P21" s="4">
        <v>23</v>
      </c>
      <c r="Q21" s="20">
        <v>141.61000000000001</v>
      </c>
      <c r="R21" s="15"/>
      <c r="S21" s="5">
        <v>32.57</v>
      </c>
      <c r="T21" s="19" t="s">
        <v>69</v>
      </c>
      <c r="U21" s="15"/>
      <c r="V21" s="5">
        <v>32.57</v>
      </c>
      <c r="W21" s="4" t="s">
        <v>70</v>
      </c>
      <c r="X21" s="4" t="s">
        <v>106</v>
      </c>
      <c r="Y21" s="4" t="s">
        <v>107</v>
      </c>
      <c r="Z21" s="4" t="s">
        <v>96</v>
      </c>
      <c r="AA21" s="4" t="s">
        <v>88</v>
      </c>
      <c r="AB21" s="4" t="s">
        <v>74</v>
      </c>
      <c r="AC21" s="4" t="s">
        <v>98</v>
      </c>
      <c r="AD21" s="4">
        <v>0</v>
      </c>
      <c r="AE21" s="4"/>
      <c r="AF21" s="4" t="s">
        <v>57</v>
      </c>
    </row>
    <row r="22" spans="1:32" x14ac:dyDescent="0.25">
      <c r="A22" s="4" t="s">
        <v>34</v>
      </c>
      <c r="B22" s="4" t="s">
        <v>78</v>
      </c>
      <c r="C22" s="19" t="s">
        <v>113</v>
      </c>
      <c r="D22" s="15"/>
      <c r="E22" s="15"/>
      <c r="F22" s="19" t="s">
        <v>114</v>
      </c>
      <c r="G22" s="15"/>
      <c r="H22" s="15"/>
      <c r="I22" s="4" t="s">
        <v>64</v>
      </c>
      <c r="J22" s="4">
        <v>2</v>
      </c>
      <c r="K22" s="4" t="s">
        <v>115</v>
      </c>
      <c r="L22" s="4" t="s">
        <v>101</v>
      </c>
      <c r="M22" s="19" t="s">
        <v>102</v>
      </c>
      <c r="N22" s="15"/>
      <c r="O22" s="4" t="s">
        <v>68</v>
      </c>
      <c r="P22" s="4">
        <v>23</v>
      </c>
      <c r="Q22" s="20">
        <v>96.08</v>
      </c>
      <c r="R22" s="15"/>
      <c r="S22" s="5">
        <v>22.1</v>
      </c>
      <c r="T22" s="19" t="s">
        <v>69</v>
      </c>
      <c r="U22" s="15"/>
      <c r="V22" s="5">
        <v>22.1</v>
      </c>
      <c r="W22" s="4" t="s">
        <v>70</v>
      </c>
      <c r="X22" s="4" t="s">
        <v>116</v>
      </c>
      <c r="Y22" s="4" t="s">
        <v>117</v>
      </c>
      <c r="Z22" s="4" t="s">
        <v>96</v>
      </c>
      <c r="AA22" s="4" t="s">
        <v>88</v>
      </c>
      <c r="AB22" s="4" t="s">
        <v>74</v>
      </c>
      <c r="AC22" s="4" t="s">
        <v>98</v>
      </c>
      <c r="AD22" s="4">
        <v>0</v>
      </c>
      <c r="AE22" s="4"/>
      <c r="AF22" s="4" t="s">
        <v>57</v>
      </c>
    </row>
    <row r="23" spans="1:32" x14ac:dyDescent="0.25">
      <c r="A23" s="4" t="s">
        <v>34</v>
      </c>
      <c r="B23" s="4" t="s">
        <v>78</v>
      </c>
      <c r="C23" s="19" t="s">
        <v>118</v>
      </c>
      <c r="D23" s="15"/>
      <c r="E23" s="15"/>
      <c r="F23" s="19" t="s">
        <v>119</v>
      </c>
      <c r="G23" s="15"/>
      <c r="H23" s="15"/>
      <c r="I23" s="4" t="s">
        <v>64</v>
      </c>
      <c r="J23" s="4">
        <v>2</v>
      </c>
      <c r="K23" s="4" t="s">
        <v>115</v>
      </c>
      <c r="L23" s="4" t="s">
        <v>101</v>
      </c>
      <c r="M23" s="19" t="s">
        <v>102</v>
      </c>
      <c r="N23" s="15"/>
      <c r="O23" s="4" t="s">
        <v>68</v>
      </c>
      <c r="P23" s="4">
        <v>23</v>
      </c>
      <c r="Q23" s="20">
        <v>108.32</v>
      </c>
      <c r="R23" s="15"/>
      <c r="S23" s="5">
        <v>24.91</v>
      </c>
      <c r="T23" s="19" t="s">
        <v>69</v>
      </c>
      <c r="U23" s="15"/>
      <c r="V23" s="5">
        <v>24.91</v>
      </c>
      <c r="W23" s="4" t="s">
        <v>70</v>
      </c>
      <c r="X23" s="4" t="s">
        <v>116</v>
      </c>
      <c r="Y23" s="4" t="s">
        <v>117</v>
      </c>
      <c r="Z23" s="4" t="s">
        <v>96</v>
      </c>
      <c r="AA23" s="4" t="s">
        <v>88</v>
      </c>
      <c r="AB23" s="4" t="s">
        <v>74</v>
      </c>
      <c r="AC23" s="4" t="s">
        <v>98</v>
      </c>
      <c r="AD23" s="4">
        <v>0</v>
      </c>
      <c r="AE23" s="4"/>
      <c r="AF23" s="4" t="s">
        <v>57</v>
      </c>
    </row>
    <row r="24" spans="1:32" x14ac:dyDescent="0.25">
      <c r="A24" s="4" t="s">
        <v>34</v>
      </c>
      <c r="B24" s="4" t="s">
        <v>78</v>
      </c>
      <c r="C24" s="19" t="s">
        <v>120</v>
      </c>
      <c r="D24" s="15"/>
      <c r="E24" s="15"/>
      <c r="F24" s="19" t="s">
        <v>121</v>
      </c>
      <c r="G24" s="15"/>
      <c r="H24" s="15"/>
      <c r="I24" s="4" t="s">
        <v>64</v>
      </c>
      <c r="J24" s="4">
        <v>2</v>
      </c>
      <c r="K24" s="4" t="s">
        <v>115</v>
      </c>
      <c r="L24" s="4" t="s">
        <v>101</v>
      </c>
      <c r="M24" s="19" t="s">
        <v>102</v>
      </c>
      <c r="N24" s="15"/>
      <c r="O24" s="4" t="s">
        <v>68</v>
      </c>
      <c r="P24" s="4">
        <v>23</v>
      </c>
      <c r="Q24" s="20">
        <v>-152.83000000000001</v>
      </c>
      <c r="R24" s="15"/>
      <c r="S24" s="5">
        <v>-35.15</v>
      </c>
      <c r="T24" s="19" t="s">
        <v>111</v>
      </c>
      <c r="U24" s="15"/>
      <c r="V24" s="5">
        <v>-35.15</v>
      </c>
      <c r="W24" s="4" t="s">
        <v>70</v>
      </c>
      <c r="X24" s="4" t="s">
        <v>122</v>
      </c>
      <c r="Y24" s="4" t="s">
        <v>123</v>
      </c>
      <c r="Z24" s="4" t="s">
        <v>96</v>
      </c>
      <c r="AA24" s="4" t="s">
        <v>88</v>
      </c>
      <c r="AB24" s="4" t="s">
        <v>74</v>
      </c>
      <c r="AC24" s="4" t="s">
        <v>98</v>
      </c>
      <c r="AD24" s="4">
        <v>0</v>
      </c>
      <c r="AE24" s="4"/>
      <c r="AF24" s="4" t="s">
        <v>124</v>
      </c>
    </row>
    <row r="25" spans="1:32" x14ac:dyDescent="0.25">
      <c r="A25" s="4" t="s">
        <v>34</v>
      </c>
      <c r="B25" s="4" t="s">
        <v>78</v>
      </c>
      <c r="C25" s="19" t="s">
        <v>120</v>
      </c>
      <c r="D25" s="15"/>
      <c r="E25" s="15"/>
      <c r="F25" s="19" t="s">
        <v>121</v>
      </c>
      <c r="G25" s="15"/>
      <c r="H25" s="15"/>
      <c r="I25" s="4" t="s">
        <v>64</v>
      </c>
      <c r="J25" s="4">
        <v>2</v>
      </c>
      <c r="K25" s="4" t="s">
        <v>115</v>
      </c>
      <c r="L25" s="4" t="s">
        <v>101</v>
      </c>
      <c r="M25" s="19" t="s">
        <v>102</v>
      </c>
      <c r="N25" s="15"/>
      <c r="O25" s="4" t="s">
        <v>68</v>
      </c>
      <c r="P25" s="4">
        <v>23</v>
      </c>
      <c r="Q25" s="20">
        <v>152.83000000000001</v>
      </c>
      <c r="R25" s="15"/>
      <c r="S25" s="5">
        <v>35.15</v>
      </c>
      <c r="T25" s="19" t="s">
        <v>69</v>
      </c>
      <c r="U25" s="15"/>
      <c r="V25" s="5">
        <v>35.15</v>
      </c>
      <c r="W25" s="4" t="s">
        <v>70</v>
      </c>
      <c r="X25" s="4" t="s">
        <v>122</v>
      </c>
      <c r="Y25" s="4" t="s">
        <v>123</v>
      </c>
      <c r="Z25" s="4" t="s">
        <v>96</v>
      </c>
      <c r="AA25" s="4" t="s">
        <v>88</v>
      </c>
      <c r="AB25" s="4" t="s">
        <v>74</v>
      </c>
      <c r="AC25" s="4" t="s">
        <v>98</v>
      </c>
      <c r="AD25" s="4">
        <v>0</v>
      </c>
      <c r="AE25" s="4"/>
      <c r="AF25" s="4" t="s">
        <v>57</v>
      </c>
    </row>
    <row r="26" spans="1:32" x14ac:dyDescent="0.25">
      <c r="A26" s="4" t="s">
        <v>34</v>
      </c>
      <c r="B26" s="4" t="s">
        <v>78</v>
      </c>
      <c r="C26" s="19" t="s">
        <v>125</v>
      </c>
      <c r="D26" s="15"/>
      <c r="E26" s="15"/>
      <c r="F26" s="19" t="s">
        <v>126</v>
      </c>
      <c r="G26" s="15"/>
      <c r="H26" s="15"/>
      <c r="I26" s="4" t="s">
        <v>64</v>
      </c>
      <c r="J26" s="4">
        <v>1</v>
      </c>
      <c r="K26" s="4" t="s">
        <v>127</v>
      </c>
      <c r="L26" s="4" t="s">
        <v>101</v>
      </c>
      <c r="M26" s="19" t="s">
        <v>102</v>
      </c>
      <c r="N26" s="15"/>
      <c r="O26" s="4" t="s">
        <v>68</v>
      </c>
      <c r="P26" s="4">
        <v>23</v>
      </c>
      <c r="Q26" s="20">
        <v>128.9</v>
      </c>
      <c r="R26" s="15"/>
      <c r="S26" s="5">
        <v>29.65</v>
      </c>
      <c r="T26" s="19" t="s">
        <v>69</v>
      </c>
      <c r="U26" s="15"/>
      <c r="V26" s="5">
        <v>29.65</v>
      </c>
      <c r="W26" s="4" t="s">
        <v>70</v>
      </c>
      <c r="X26" s="4" t="s">
        <v>122</v>
      </c>
      <c r="Y26" s="4" t="s">
        <v>123</v>
      </c>
      <c r="Z26" s="4" t="s">
        <v>87</v>
      </c>
      <c r="AA26" s="4" t="s">
        <v>88</v>
      </c>
      <c r="AB26" s="4" t="s">
        <v>74</v>
      </c>
      <c r="AC26" s="4" t="s">
        <v>98</v>
      </c>
      <c r="AD26" s="4">
        <v>0</v>
      </c>
      <c r="AE26" s="4"/>
      <c r="AF26" s="4" t="s">
        <v>57</v>
      </c>
    </row>
    <row r="27" spans="1:32" x14ac:dyDescent="0.25">
      <c r="A27" s="4" t="s">
        <v>34</v>
      </c>
      <c r="B27" s="4" t="s">
        <v>78</v>
      </c>
      <c r="C27" s="19" t="s">
        <v>128</v>
      </c>
      <c r="D27" s="15"/>
      <c r="E27" s="15"/>
      <c r="F27" s="19" t="s">
        <v>129</v>
      </c>
      <c r="G27" s="15"/>
      <c r="H27" s="15"/>
      <c r="I27" s="4" t="s">
        <v>64</v>
      </c>
      <c r="J27" s="4">
        <v>1</v>
      </c>
      <c r="K27" s="4" t="s">
        <v>130</v>
      </c>
      <c r="L27" s="4" t="s">
        <v>101</v>
      </c>
      <c r="M27" s="19" t="s">
        <v>102</v>
      </c>
      <c r="N27" s="15"/>
      <c r="O27" s="4" t="s">
        <v>68</v>
      </c>
      <c r="P27" s="4">
        <v>23</v>
      </c>
      <c r="Q27" s="20">
        <v>128.9</v>
      </c>
      <c r="R27" s="15"/>
      <c r="S27" s="5">
        <v>29.65</v>
      </c>
      <c r="T27" s="19" t="s">
        <v>69</v>
      </c>
      <c r="U27" s="15"/>
      <c r="V27" s="5">
        <v>29.65</v>
      </c>
      <c r="W27" s="4" t="s">
        <v>70</v>
      </c>
      <c r="X27" s="4" t="s">
        <v>122</v>
      </c>
      <c r="Y27" s="4" t="s">
        <v>123</v>
      </c>
      <c r="Z27" s="4" t="s">
        <v>87</v>
      </c>
      <c r="AA27" s="4" t="s">
        <v>88</v>
      </c>
      <c r="AB27" s="4" t="s">
        <v>74</v>
      </c>
      <c r="AC27" s="4" t="s">
        <v>98</v>
      </c>
      <c r="AD27" s="4">
        <v>0</v>
      </c>
      <c r="AE27" s="4"/>
      <c r="AF27" s="4" t="s">
        <v>57</v>
      </c>
    </row>
    <row r="28" spans="1:32" x14ac:dyDescent="0.25">
      <c r="A28" s="4" t="s">
        <v>34</v>
      </c>
      <c r="B28" s="4" t="s">
        <v>78</v>
      </c>
      <c r="C28" s="19" t="s">
        <v>131</v>
      </c>
      <c r="D28" s="15"/>
      <c r="E28" s="15"/>
      <c r="F28" s="19" t="s">
        <v>132</v>
      </c>
      <c r="G28" s="15"/>
      <c r="H28" s="15"/>
      <c r="I28" s="4" t="s">
        <v>64</v>
      </c>
      <c r="J28" s="4">
        <v>1</v>
      </c>
      <c r="K28" s="4" t="s">
        <v>130</v>
      </c>
      <c r="L28" s="4" t="s">
        <v>101</v>
      </c>
      <c r="M28" s="19" t="s">
        <v>102</v>
      </c>
      <c r="N28" s="15"/>
      <c r="O28" s="4" t="s">
        <v>68</v>
      </c>
      <c r="P28" s="4">
        <v>23</v>
      </c>
      <c r="Q28" s="20">
        <v>128.9</v>
      </c>
      <c r="R28" s="15"/>
      <c r="S28" s="5">
        <v>29.65</v>
      </c>
      <c r="T28" s="19" t="s">
        <v>69</v>
      </c>
      <c r="U28" s="15"/>
      <c r="V28" s="5">
        <v>29.65</v>
      </c>
      <c r="W28" s="4" t="s">
        <v>70</v>
      </c>
      <c r="X28" s="4" t="s">
        <v>122</v>
      </c>
      <c r="Y28" s="4" t="s">
        <v>123</v>
      </c>
      <c r="Z28" s="4" t="s">
        <v>87</v>
      </c>
      <c r="AA28" s="4" t="s">
        <v>88</v>
      </c>
      <c r="AB28" s="4" t="s">
        <v>74</v>
      </c>
      <c r="AC28" s="4" t="s">
        <v>98</v>
      </c>
      <c r="AD28" s="4">
        <v>0</v>
      </c>
      <c r="AE28" s="4"/>
      <c r="AF28" s="4" t="s">
        <v>57</v>
      </c>
    </row>
    <row r="29" spans="1:32" x14ac:dyDescent="0.25">
      <c r="A29" s="4" t="s">
        <v>34</v>
      </c>
      <c r="B29" s="4" t="s">
        <v>78</v>
      </c>
      <c r="C29" s="19" t="s">
        <v>133</v>
      </c>
      <c r="D29" s="15"/>
      <c r="E29" s="15"/>
      <c r="F29" s="19" t="s">
        <v>134</v>
      </c>
      <c r="G29" s="15"/>
      <c r="H29" s="15"/>
      <c r="I29" s="4" t="s">
        <v>64</v>
      </c>
      <c r="J29" s="4">
        <v>1</v>
      </c>
      <c r="K29" s="4" t="s">
        <v>105</v>
      </c>
      <c r="L29" s="4" t="s">
        <v>101</v>
      </c>
      <c r="M29" s="19" t="s">
        <v>102</v>
      </c>
      <c r="N29" s="15"/>
      <c r="O29" s="4" t="s">
        <v>68</v>
      </c>
      <c r="P29" s="4">
        <v>23</v>
      </c>
      <c r="Q29" s="20">
        <v>174.61</v>
      </c>
      <c r="R29" s="15"/>
      <c r="S29" s="5">
        <v>40.159999999999997</v>
      </c>
      <c r="T29" s="19" t="s">
        <v>69</v>
      </c>
      <c r="U29" s="15"/>
      <c r="V29" s="5">
        <v>40.159999999999997</v>
      </c>
      <c r="W29" s="4" t="s">
        <v>70</v>
      </c>
      <c r="X29" s="4" t="s">
        <v>122</v>
      </c>
      <c r="Y29" s="4" t="s">
        <v>123</v>
      </c>
      <c r="Z29" s="4" t="s">
        <v>87</v>
      </c>
      <c r="AA29" s="4" t="s">
        <v>88</v>
      </c>
      <c r="AB29" s="4" t="s">
        <v>74</v>
      </c>
      <c r="AC29" s="4" t="s">
        <v>98</v>
      </c>
      <c r="AD29" s="4">
        <v>0</v>
      </c>
      <c r="AE29" s="4"/>
      <c r="AF29" s="4" t="s">
        <v>57</v>
      </c>
    </row>
    <row r="30" spans="1:32" x14ac:dyDescent="0.25">
      <c r="A30" s="4" t="s">
        <v>34</v>
      </c>
      <c r="B30" s="4" t="s">
        <v>78</v>
      </c>
      <c r="C30" s="19" t="s">
        <v>135</v>
      </c>
      <c r="D30" s="15"/>
      <c r="E30" s="15"/>
      <c r="F30" s="19" t="s">
        <v>136</v>
      </c>
      <c r="G30" s="15"/>
      <c r="H30" s="15"/>
      <c r="I30" s="4" t="s">
        <v>64</v>
      </c>
      <c r="J30" s="4">
        <v>1</v>
      </c>
      <c r="K30" s="4" t="s">
        <v>137</v>
      </c>
      <c r="L30" s="4" t="s">
        <v>101</v>
      </c>
      <c r="M30" s="19" t="s">
        <v>102</v>
      </c>
      <c r="N30" s="15"/>
      <c r="O30" s="4" t="s">
        <v>68</v>
      </c>
      <c r="P30" s="4">
        <v>23</v>
      </c>
      <c r="Q30" s="20">
        <v>135.88</v>
      </c>
      <c r="R30" s="15"/>
      <c r="S30" s="5">
        <v>31.25</v>
      </c>
      <c r="T30" s="19" t="s">
        <v>69</v>
      </c>
      <c r="U30" s="15"/>
      <c r="V30" s="5">
        <v>31.25</v>
      </c>
      <c r="W30" s="4" t="s">
        <v>70</v>
      </c>
      <c r="X30" s="4" t="s">
        <v>122</v>
      </c>
      <c r="Y30" s="4" t="s">
        <v>123</v>
      </c>
      <c r="Z30" s="4" t="s">
        <v>87</v>
      </c>
      <c r="AA30" s="4" t="s">
        <v>88</v>
      </c>
      <c r="AB30" s="4" t="s">
        <v>74</v>
      </c>
      <c r="AC30" s="4" t="s">
        <v>98</v>
      </c>
      <c r="AD30" s="4">
        <v>0</v>
      </c>
      <c r="AE30" s="4"/>
      <c r="AF30" s="4" t="s">
        <v>57</v>
      </c>
    </row>
    <row r="31" spans="1:32" x14ac:dyDescent="0.25">
      <c r="A31" s="4" t="s">
        <v>34</v>
      </c>
      <c r="B31" s="4" t="s">
        <v>78</v>
      </c>
      <c r="C31" s="19" t="s">
        <v>138</v>
      </c>
      <c r="D31" s="15"/>
      <c r="E31" s="15"/>
      <c r="F31" s="19" t="s">
        <v>139</v>
      </c>
      <c r="G31" s="15"/>
      <c r="H31" s="15"/>
      <c r="I31" s="4" t="s">
        <v>64</v>
      </c>
      <c r="J31" s="4">
        <v>1</v>
      </c>
      <c r="K31" s="4" t="s">
        <v>140</v>
      </c>
      <c r="L31" s="4" t="s">
        <v>101</v>
      </c>
      <c r="M31" s="19" t="s">
        <v>102</v>
      </c>
      <c r="N31" s="15"/>
      <c r="O31" s="4" t="s">
        <v>68</v>
      </c>
      <c r="P31" s="4">
        <v>23</v>
      </c>
      <c r="Q31" s="20">
        <v>118.15</v>
      </c>
      <c r="R31" s="15"/>
      <c r="S31" s="5">
        <v>27.17</v>
      </c>
      <c r="T31" s="19" t="s">
        <v>69</v>
      </c>
      <c r="U31" s="15"/>
      <c r="V31" s="5">
        <v>27.17</v>
      </c>
      <c r="W31" s="4" t="s">
        <v>70</v>
      </c>
      <c r="X31" s="4" t="s">
        <v>122</v>
      </c>
      <c r="Y31" s="4" t="s">
        <v>123</v>
      </c>
      <c r="Z31" s="4" t="s">
        <v>96</v>
      </c>
      <c r="AA31" s="4" t="s">
        <v>88</v>
      </c>
      <c r="AB31" s="4" t="s">
        <v>74</v>
      </c>
      <c r="AC31" s="4" t="s">
        <v>98</v>
      </c>
      <c r="AD31" s="4">
        <v>0</v>
      </c>
      <c r="AE31" s="4"/>
      <c r="AF31" s="4" t="s">
        <v>57</v>
      </c>
    </row>
    <row r="32" spans="1:32" x14ac:dyDescent="0.25">
      <c r="A32" s="4" t="s">
        <v>34</v>
      </c>
      <c r="B32" s="4" t="s">
        <v>78</v>
      </c>
      <c r="C32" s="19" t="s">
        <v>141</v>
      </c>
      <c r="D32" s="15"/>
      <c r="E32" s="15"/>
      <c r="F32" s="19" t="s">
        <v>142</v>
      </c>
      <c r="G32" s="15"/>
      <c r="H32" s="15"/>
      <c r="I32" s="4" t="s">
        <v>64</v>
      </c>
      <c r="J32" s="4">
        <v>1</v>
      </c>
      <c r="K32" s="4" t="s">
        <v>140</v>
      </c>
      <c r="L32" s="4" t="s">
        <v>101</v>
      </c>
      <c r="M32" s="19" t="s">
        <v>102</v>
      </c>
      <c r="N32" s="15"/>
      <c r="O32" s="4" t="s">
        <v>68</v>
      </c>
      <c r="P32" s="4">
        <v>23</v>
      </c>
      <c r="Q32" s="20">
        <v>135.88</v>
      </c>
      <c r="R32" s="15"/>
      <c r="S32" s="5">
        <v>31.25</v>
      </c>
      <c r="T32" s="19" t="s">
        <v>69</v>
      </c>
      <c r="U32" s="15"/>
      <c r="V32" s="5">
        <v>31.25</v>
      </c>
      <c r="W32" s="4" t="s">
        <v>70</v>
      </c>
      <c r="X32" s="4" t="s">
        <v>122</v>
      </c>
      <c r="Y32" s="4" t="s">
        <v>123</v>
      </c>
      <c r="Z32" s="4" t="s">
        <v>96</v>
      </c>
      <c r="AA32" s="4" t="s">
        <v>88</v>
      </c>
      <c r="AB32" s="4" t="s">
        <v>74</v>
      </c>
      <c r="AC32" s="4" t="s">
        <v>98</v>
      </c>
      <c r="AD32" s="4">
        <v>0</v>
      </c>
      <c r="AE32" s="4"/>
      <c r="AF32" s="4" t="s">
        <v>57</v>
      </c>
    </row>
    <row r="33" spans="1:32" x14ac:dyDescent="0.25">
      <c r="A33" s="4" t="s">
        <v>34</v>
      </c>
      <c r="B33" s="4" t="s">
        <v>78</v>
      </c>
      <c r="C33" s="19" t="s">
        <v>143</v>
      </c>
      <c r="D33" s="15"/>
      <c r="E33" s="15"/>
      <c r="F33" s="19" t="s">
        <v>144</v>
      </c>
      <c r="G33" s="15"/>
      <c r="H33" s="15"/>
      <c r="I33" s="4" t="s">
        <v>64</v>
      </c>
      <c r="J33" s="4">
        <v>1</v>
      </c>
      <c r="K33" s="4" t="s">
        <v>140</v>
      </c>
      <c r="L33" s="4" t="s">
        <v>101</v>
      </c>
      <c r="M33" s="19" t="s">
        <v>102</v>
      </c>
      <c r="N33" s="15"/>
      <c r="O33" s="4" t="s">
        <v>68</v>
      </c>
      <c r="P33" s="4">
        <v>23</v>
      </c>
      <c r="Q33" s="20">
        <v>154.72999999999999</v>
      </c>
      <c r="R33" s="15"/>
      <c r="S33" s="5">
        <v>35.590000000000003</v>
      </c>
      <c r="T33" s="19" t="s">
        <v>69</v>
      </c>
      <c r="U33" s="15"/>
      <c r="V33" s="5">
        <v>35.590000000000003</v>
      </c>
      <c r="W33" s="4" t="s">
        <v>70</v>
      </c>
      <c r="X33" s="4" t="s">
        <v>122</v>
      </c>
      <c r="Y33" s="4" t="s">
        <v>123</v>
      </c>
      <c r="Z33" s="4" t="s">
        <v>96</v>
      </c>
      <c r="AA33" s="4" t="s">
        <v>88</v>
      </c>
      <c r="AB33" s="4" t="s">
        <v>74</v>
      </c>
      <c r="AC33" s="4" t="s">
        <v>98</v>
      </c>
      <c r="AD33" s="4">
        <v>0</v>
      </c>
      <c r="AE33" s="4"/>
      <c r="AF33" s="4" t="s">
        <v>57</v>
      </c>
    </row>
    <row r="34" spans="1:32" x14ac:dyDescent="0.25">
      <c r="A34" s="4" t="s">
        <v>34</v>
      </c>
      <c r="B34" s="4" t="s">
        <v>78</v>
      </c>
      <c r="C34" s="19" t="s">
        <v>145</v>
      </c>
      <c r="D34" s="15"/>
      <c r="E34" s="15"/>
      <c r="F34" s="19" t="s">
        <v>146</v>
      </c>
      <c r="G34" s="15"/>
      <c r="H34" s="15"/>
      <c r="I34" s="4" t="s">
        <v>64</v>
      </c>
      <c r="J34" s="4">
        <v>1</v>
      </c>
      <c r="K34" s="4" t="s">
        <v>64</v>
      </c>
      <c r="L34" s="4" t="s">
        <v>101</v>
      </c>
      <c r="M34" s="19" t="s">
        <v>102</v>
      </c>
      <c r="N34" s="15"/>
      <c r="O34" s="4" t="s">
        <v>68</v>
      </c>
      <c r="P34" s="4">
        <v>23</v>
      </c>
      <c r="Q34" s="20">
        <v>135.88</v>
      </c>
      <c r="R34" s="15"/>
      <c r="S34" s="5">
        <v>31.25</v>
      </c>
      <c r="T34" s="19" t="s">
        <v>69</v>
      </c>
      <c r="U34" s="15"/>
      <c r="V34" s="5">
        <v>31.25</v>
      </c>
      <c r="W34" s="4" t="s">
        <v>70</v>
      </c>
      <c r="X34" s="4" t="s">
        <v>122</v>
      </c>
      <c r="Y34" s="4" t="s">
        <v>123</v>
      </c>
      <c r="Z34" s="4" t="s">
        <v>96</v>
      </c>
      <c r="AA34" s="4" t="s">
        <v>88</v>
      </c>
      <c r="AB34" s="4" t="s">
        <v>74</v>
      </c>
      <c r="AC34" s="4" t="s">
        <v>98</v>
      </c>
      <c r="AD34" s="4">
        <v>0</v>
      </c>
      <c r="AE34" s="4"/>
      <c r="AF34" s="4" t="s">
        <v>57</v>
      </c>
    </row>
    <row r="35" spans="1:32" ht="22.5" x14ac:dyDescent="0.25">
      <c r="A35" s="4" t="s">
        <v>34</v>
      </c>
      <c r="B35" s="4" t="s">
        <v>78</v>
      </c>
      <c r="C35" s="19" t="s">
        <v>147</v>
      </c>
      <c r="D35" s="15"/>
      <c r="E35" s="15"/>
      <c r="F35" s="19" t="s">
        <v>148</v>
      </c>
      <c r="G35" s="15"/>
      <c r="H35" s="15"/>
      <c r="I35" s="4" t="s">
        <v>64</v>
      </c>
      <c r="J35" s="4">
        <v>1</v>
      </c>
      <c r="K35" s="4" t="s">
        <v>130</v>
      </c>
      <c r="L35" s="4" t="s">
        <v>101</v>
      </c>
      <c r="M35" s="19" t="s">
        <v>102</v>
      </c>
      <c r="N35" s="15"/>
      <c r="O35" s="4" t="s">
        <v>68</v>
      </c>
      <c r="P35" s="4">
        <v>23</v>
      </c>
      <c r="Q35" s="20">
        <v>198.23</v>
      </c>
      <c r="R35" s="15"/>
      <c r="S35" s="5">
        <v>45.59</v>
      </c>
      <c r="T35" s="19" t="s">
        <v>69</v>
      </c>
      <c r="U35" s="15"/>
      <c r="V35" s="5">
        <v>45.59</v>
      </c>
      <c r="W35" s="4" t="s">
        <v>70</v>
      </c>
      <c r="X35" s="4" t="s">
        <v>149</v>
      </c>
      <c r="Y35" s="4" t="s">
        <v>150</v>
      </c>
      <c r="Z35" s="4" t="s">
        <v>96</v>
      </c>
      <c r="AA35" s="4" t="s">
        <v>88</v>
      </c>
      <c r="AB35" s="4" t="s">
        <v>74</v>
      </c>
      <c r="AC35" s="4" t="s">
        <v>98</v>
      </c>
      <c r="AD35" s="4">
        <v>0</v>
      </c>
      <c r="AE35" s="4"/>
      <c r="AF35" s="4" t="s">
        <v>57</v>
      </c>
    </row>
    <row r="36" spans="1:32" ht="22.5" x14ac:dyDescent="0.25">
      <c r="A36" s="4" t="s">
        <v>34</v>
      </c>
      <c r="B36" s="4" t="s">
        <v>78</v>
      </c>
      <c r="C36" s="19" t="s">
        <v>151</v>
      </c>
      <c r="D36" s="15"/>
      <c r="E36" s="15"/>
      <c r="F36" s="19" t="s">
        <v>152</v>
      </c>
      <c r="G36" s="15"/>
      <c r="H36" s="15"/>
      <c r="I36" s="4" t="s">
        <v>64</v>
      </c>
      <c r="J36" s="4">
        <v>1</v>
      </c>
      <c r="K36" s="4" t="s">
        <v>140</v>
      </c>
      <c r="L36" s="4" t="s">
        <v>101</v>
      </c>
      <c r="M36" s="19" t="s">
        <v>102</v>
      </c>
      <c r="N36" s="15"/>
      <c r="O36" s="4" t="s">
        <v>68</v>
      </c>
      <c r="P36" s="4">
        <v>23</v>
      </c>
      <c r="Q36" s="20">
        <v>171.55</v>
      </c>
      <c r="R36" s="15"/>
      <c r="S36" s="5">
        <v>39.46</v>
      </c>
      <c r="T36" s="19" t="s">
        <v>69</v>
      </c>
      <c r="U36" s="15"/>
      <c r="V36" s="5">
        <v>39.46</v>
      </c>
      <c r="W36" s="4" t="s">
        <v>70</v>
      </c>
      <c r="X36" s="4" t="s">
        <v>149</v>
      </c>
      <c r="Y36" s="4" t="s">
        <v>150</v>
      </c>
      <c r="Z36" s="4" t="s">
        <v>96</v>
      </c>
      <c r="AA36" s="4" t="s">
        <v>88</v>
      </c>
      <c r="AB36" s="4" t="s">
        <v>74</v>
      </c>
      <c r="AC36" s="4" t="s">
        <v>98</v>
      </c>
      <c r="AD36" s="4">
        <v>0</v>
      </c>
      <c r="AE36" s="4"/>
      <c r="AF36" s="4" t="s">
        <v>57</v>
      </c>
    </row>
    <row r="37" spans="1:32" ht="22.5" x14ac:dyDescent="0.25">
      <c r="A37" s="4" t="s">
        <v>34</v>
      </c>
      <c r="B37" s="4" t="s">
        <v>78</v>
      </c>
      <c r="C37" s="19" t="s">
        <v>153</v>
      </c>
      <c r="D37" s="15"/>
      <c r="E37" s="15"/>
      <c r="F37" s="19" t="s">
        <v>154</v>
      </c>
      <c r="G37" s="15"/>
      <c r="H37" s="15"/>
      <c r="I37" s="4" t="s">
        <v>64</v>
      </c>
      <c r="J37" s="4">
        <v>1</v>
      </c>
      <c r="K37" s="4" t="s">
        <v>64</v>
      </c>
      <c r="L37" s="4" t="s">
        <v>155</v>
      </c>
      <c r="M37" s="19" t="s">
        <v>156</v>
      </c>
      <c r="N37" s="15"/>
      <c r="O37" s="4" t="s">
        <v>68</v>
      </c>
      <c r="P37" s="4">
        <v>11.5</v>
      </c>
      <c r="Q37" s="20">
        <v>302.01</v>
      </c>
      <c r="R37" s="15"/>
      <c r="S37" s="5">
        <v>34.729999999999997</v>
      </c>
      <c r="T37" s="19" t="s">
        <v>69</v>
      </c>
      <c r="U37" s="15"/>
      <c r="V37" s="5">
        <v>34.729999999999997</v>
      </c>
      <c r="W37" s="4" t="s">
        <v>70</v>
      </c>
      <c r="X37" s="4" t="s">
        <v>149</v>
      </c>
      <c r="Y37" s="4" t="s">
        <v>150</v>
      </c>
      <c r="Z37" s="4" t="s">
        <v>96</v>
      </c>
      <c r="AA37" s="4" t="s">
        <v>88</v>
      </c>
      <c r="AB37" s="4" t="s">
        <v>74</v>
      </c>
      <c r="AC37" s="4" t="s">
        <v>98</v>
      </c>
      <c r="AD37" s="4">
        <v>0</v>
      </c>
      <c r="AE37" s="4"/>
      <c r="AF37" s="4" t="s">
        <v>57</v>
      </c>
    </row>
    <row r="38" spans="1:32" ht="22.5" x14ac:dyDescent="0.25">
      <c r="A38" s="4" t="s">
        <v>34</v>
      </c>
      <c r="B38" s="4" t="s">
        <v>78</v>
      </c>
      <c r="C38" s="19" t="s">
        <v>157</v>
      </c>
      <c r="D38" s="15"/>
      <c r="E38" s="15"/>
      <c r="F38" s="19" t="s">
        <v>158</v>
      </c>
      <c r="G38" s="15"/>
      <c r="H38" s="15"/>
      <c r="I38" s="4" t="s">
        <v>64</v>
      </c>
      <c r="J38" s="4">
        <v>1</v>
      </c>
      <c r="K38" s="4" t="s">
        <v>64</v>
      </c>
      <c r="L38" s="4" t="s">
        <v>101</v>
      </c>
      <c r="M38" s="19" t="s">
        <v>102</v>
      </c>
      <c r="N38" s="15"/>
      <c r="O38" s="4" t="s">
        <v>68</v>
      </c>
      <c r="P38" s="4">
        <v>23</v>
      </c>
      <c r="Q38" s="20">
        <v>176.33</v>
      </c>
      <c r="R38" s="15"/>
      <c r="S38" s="5">
        <v>40.56</v>
      </c>
      <c r="T38" s="19" t="s">
        <v>69</v>
      </c>
      <c r="U38" s="15"/>
      <c r="V38" s="5">
        <v>40.56</v>
      </c>
      <c r="W38" s="4" t="s">
        <v>70</v>
      </c>
      <c r="X38" s="4" t="s">
        <v>159</v>
      </c>
      <c r="Y38" s="4" t="s">
        <v>160</v>
      </c>
      <c r="Z38" s="4" t="s">
        <v>96</v>
      </c>
      <c r="AA38" s="4" t="s">
        <v>88</v>
      </c>
      <c r="AB38" s="4" t="s">
        <v>74</v>
      </c>
      <c r="AC38" s="4" t="s">
        <v>98</v>
      </c>
      <c r="AD38" s="4">
        <v>0</v>
      </c>
      <c r="AE38" s="4"/>
      <c r="AF38" s="4" t="s">
        <v>57</v>
      </c>
    </row>
    <row r="39" spans="1:32" x14ac:dyDescent="0.25">
      <c r="A39" s="4" t="s">
        <v>34</v>
      </c>
      <c r="B39" s="4" t="s">
        <v>78</v>
      </c>
      <c r="C39" s="19" t="s">
        <v>161</v>
      </c>
      <c r="D39" s="15"/>
      <c r="E39" s="15"/>
      <c r="F39" s="19" t="s">
        <v>162</v>
      </c>
      <c r="G39" s="15"/>
      <c r="H39" s="15"/>
      <c r="I39" s="4" t="s">
        <v>64</v>
      </c>
      <c r="J39" s="4">
        <v>1</v>
      </c>
      <c r="K39" s="4" t="s">
        <v>64</v>
      </c>
      <c r="L39" s="4" t="s">
        <v>92</v>
      </c>
      <c r="M39" s="19" t="s">
        <v>93</v>
      </c>
      <c r="N39" s="15"/>
      <c r="O39" s="4" t="s">
        <v>68</v>
      </c>
      <c r="P39" s="4">
        <v>27</v>
      </c>
      <c r="Q39" s="20">
        <v>116.55</v>
      </c>
      <c r="R39" s="15"/>
      <c r="S39" s="5">
        <v>31.47</v>
      </c>
      <c r="T39" s="19" t="s">
        <v>69</v>
      </c>
      <c r="U39" s="15"/>
      <c r="V39" s="5">
        <v>31.47</v>
      </c>
      <c r="W39" s="4" t="s">
        <v>70</v>
      </c>
      <c r="X39" s="4" t="s">
        <v>163</v>
      </c>
      <c r="Y39" s="4" t="s">
        <v>164</v>
      </c>
      <c r="Z39" s="4" t="s">
        <v>96</v>
      </c>
      <c r="AA39" s="4" t="s">
        <v>88</v>
      </c>
      <c r="AB39" s="4" t="s">
        <v>74</v>
      </c>
      <c r="AC39" s="4" t="s">
        <v>98</v>
      </c>
      <c r="AD39" s="4">
        <v>0</v>
      </c>
      <c r="AE39" s="4"/>
      <c r="AF39" s="4" t="s">
        <v>57</v>
      </c>
    </row>
    <row r="40" spans="1:32" x14ac:dyDescent="0.25">
      <c r="A40" s="4" t="s">
        <v>34</v>
      </c>
      <c r="B40" s="4" t="s">
        <v>78</v>
      </c>
      <c r="C40" s="19" t="s">
        <v>165</v>
      </c>
      <c r="D40" s="15"/>
      <c r="E40" s="15"/>
      <c r="F40" s="19" t="s">
        <v>37</v>
      </c>
      <c r="G40" s="15"/>
      <c r="H40" s="15"/>
      <c r="I40" s="4" t="s">
        <v>64</v>
      </c>
      <c r="J40" s="4">
        <v>1</v>
      </c>
      <c r="K40" s="4"/>
      <c r="L40" s="4" t="s">
        <v>92</v>
      </c>
      <c r="M40" s="19"/>
      <c r="N40" s="15"/>
      <c r="O40" s="4" t="s">
        <v>37</v>
      </c>
      <c r="P40" s="4">
        <v>0</v>
      </c>
      <c r="Q40" s="20">
        <v>0</v>
      </c>
      <c r="R40" s="15"/>
      <c r="S40" s="5">
        <v>0</v>
      </c>
      <c r="T40" s="19" t="s">
        <v>166</v>
      </c>
      <c r="U40" s="15"/>
      <c r="V40" s="5">
        <v>-20</v>
      </c>
      <c r="W40" s="4" t="s">
        <v>70</v>
      </c>
      <c r="X40" s="4" t="s">
        <v>163</v>
      </c>
      <c r="Y40" s="4" t="s">
        <v>37</v>
      </c>
      <c r="Z40" s="4"/>
      <c r="AA40" s="4"/>
      <c r="AB40" s="4"/>
      <c r="AC40" s="4" t="s">
        <v>98</v>
      </c>
      <c r="AD40" s="4">
        <v>0</v>
      </c>
      <c r="AE40" s="4"/>
      <c r="AF40" s="4" t="s">
        <v>57</v>
      </c>
    </row>
    <row r="41" spans="1:32" x14ac:dyDescent="0.25">
      <c r="A41" s="4" t="s">
        <v>34</v>
      </c>
      <c r="B41" s="4" t="s">
        <v>78</v>
      </c>
      <c r="C41" s="19" t="s">
        <v>167</v>
      </c>
      <c r="D41" s="15"/>
      <c r="E41" s="15"/>
      <c r="F41" s="19" t="s">
        <v>168</v>
      </c>
      <c r="G41" s="15"/>
      <c r="H41" s="15"/>
      <c r="I41" s="4" t="s">
        <v>64</v>
      </c>
      <c r="J41" s="4">
        <v>1</v>
      </c>
      <c r="K41" s="4" t="s">
        <v>64</v>
      </c>
      <c r="L41" s="4" t="s">
        <v>101</v>
      </c>
      <c r="M41" s="19" t="s">
        <v>102</v>
      </c>
      <c r="N41" s="15"/>
      <c r="O41" s="4" t="s">
        <v>68</v>
      </c>
      <c r="P41" s="4">
        <v>23</v>
      </c>
      <c r="Q41" s="20">
        <v>159.65</v>
      </c>
      <c r="R41" s="15"/>
      <c r="S41" s="5">
        <v>36.72</v>
      </c>
      <c r="T41" s="19" t="s">
        <v>69</v>
      </c>
      <c r="U41" s="15"/>
      <c r="V41" s="5">
        <v>36.72</v>
      </c>
      <c r="W41" s="4" t="s">
        <v>70</v>
      </c>
      <c r="X41" s="4" t="s">
        <v>169</v>
      </c>
      <c r="Y41" s="4" t="s">
        <v>170</v>
      </c>
      <c r="Z41" s="4" t="s">
        <v>87</v>
      </c>
      <c r="AA41" s="4" t="s">
        <v>88</v>
      </c>
      <c r="AB41" s="4" t="s">
        <v>74</v>
      </c>
      <c r="AC41" s="4" t="s">
        <v>98</v>
      </c>
      <c r="AD41" s="4">
        <v>0</v>
      </c>
      <c r="AE41" s="4"/>
      <c r="AF41" s="4" t="s">
        <v>57</v>
      </c>
    </row>
    <row r="42" spans="1:32" ht="15.75" thickBot="1" x14ac:dyDescent="0.3">
      <c r="A42" s="4" t="s">
        <v>34</v>
      </c>
      <c r="B42" s="4" t="s">
        <v>78</v>
      </c>
      <c r="C42" s="19" t="s">
        <v>171</v>
      </c>
      <c r="D42" s="15"/>
      <c r="E42" s="15"/>
      <c r="F42" s="19" t="s">
        <v>172</v>
      </c>
      <c r="G42" s="15"/>
      <c r="H42" s="15"/>
      <c r="I42" s="4" t="s">
        <v>64</v>
      </c>
      <c r="J42" s="4">
        <v>1</v>
      </c>
      <c r="K42" s="4" t="s">
        <v>64</v>
      </c>
      <c r="L42" s="4" t="s">
        <v>101</v>
      </c>
      <c r="M42" s="19" t="s">
        <v>102</v>
      </c>
      <c r="N42" s="15"/>
      <c r="O42" s="4" t="s">
        <v>68</v>
      </c>
      <c r="P42" s="4">
        <v>11.5</v>
      </c>
      <c r="Q42" s="20">
        <v>286.60000000000002</v>
      </c>
      <c r="R42" s="15"/>
      <c r="S42" s="5">
        <v>32.96</v>
      </c>
      <c r="T42" s="19" t="s">
        <v>69</v>
      </c>
      <c r="U42" s="15"/>
      <c r="V42" s="5">
        <v>32.96</v>
      </c>
      <c r="W42" s="4" t="s">
        <v>70</v>
      </c>
      <c r="X42" s="4" t="s">
        <v>169</v>
      </c>
      <c r="Y42" s="4" t="s">
        <v>170</v>
      </c>
      <c r="Z42" s="4" t="s">
        <v>96</v>
      </c>
      <c r="AA42" s="4" t="s">
        <v>88</v>
      </c>
      <c r="AB42" s="4" t="s">
        <v>74</v>
      </c>
      <c r="AC42" s="4" t="s">
        <v>98</v>
      </c>
      <c r="AD42" s="4">
        <v>0</v>
      </c>
      <c r="AE42" s="4"/>
      <c r="AF42" s="4" t="s">
        <v>57</v>
      </c>
    </row>
    <row r="43" spans="1:32" ht="16.5" thickTop="1" thickBot="1" x14ac:dyDescent="0.3">
      <c r="A43" s="11" t="s">
        <v>37</v>
      </c>
      <c r="B43" s="11" t="s">
        <v>37</v>
      </c>
      <c r="C43" s="30" t="s">
        <v>37</v>
      </c>
      <c r="D43" s="31"/>
      <c r="E43" s="31"/>
      <c r="F43" s="30" t="s">
        <v>37</v>
      </c>
      <c r="G43" s="31"/>
      <c r="H43" s="31"/>
      <c r="I43" s="11" t="s">
        <v>37</v>
      </c>
      <c r="J43" s="11" t="s">
        <v>37</v>
      </c>
      <c r="K43" s="11" t="s">
        <v>37</v>
      </c>
      <c r="L43" s="11" t="s">
        <v>37</v>
      </c>
      <c r="M43" s="30" t="s">
        <v>37</v>
      </c>
      <c r="N43" s="31"/>
      <c r="O43" s="11" t="s">
        <v>37</v>
      </c>
      <c r="P43" s="11" t="s">
        <v>37</v>
      </c>
      <c r="Q43" s="30" t="s">
        <v>37</v>
      </c>
      <c r="R43" s="31"/>
      <c r="S43" s="12" t="s">
        <v>37</v>
      </c>
      <c r="T43" s="30" t="s">
        <v>58</v>
      </c>
      <c r="U43" s="31"/>
      <c r="V43" s="13">
        <v>729.32</v>
      </c>
      <c r="W43" s="11" t="s">
        <v>37</v>
      </c>
      <c r="X43" s="11" t="s">
        <v>37</v>
      </c>
      <c r="Y43" s="11" t="s">
        <v>37</v>
      </c>
      <c r="Z43" s="11" t="s">
        <v>37</v>
      </c>
      <c r="AA43" s="11" t="s">
        <v>37</v>
      </c>
      <c r="AB43" s="11" t="s">
        <v>37</v>
      </c>
      <c r="AC43" s="11" t="s">
        <v>37</v>
      </c>
      <c r="AD43" s="11">
        <v>0</v>
      </c>
      <c r="AE43" s="11" t="s">
        <v>37</v>
      </c>
      <c r="AF43" s="11" t="s">
        <v>37</v>
      </c>
    </row>
    <row r="44" spans="1:32" ht="15.75" thickTop="1" x14ac:dyDescent="0.25"/>
  </sheetData>
  <mergeCells count="178">
    <mergeCell ref="A1:T1"/>
    <mergeCell ref="A2:C3"/>
    <mergeCell ref="H2:M3"/>
    <mergeCell ref="R2:T2"/>
    <mergeCell ref="R3:T4"/>
    <mergeCell ref="A4:D5"/>
    <mergeCell ref="E4:O5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C13:E13"/>
    <mergeCell ref="F13:H13"/>
    <mergeCell ref="M13:N13"/>
    <mergeCell ref="Q13:R13"/>
    <mergeCell ref="T13:U13"/>
    <mergeCell ref="C10:E10"/>
    <mergeCell ref="F10:H10"/>
    <mergeCell ref="M10:N10"/>
    <mergeCell ref="Q10:R10"/>
    <mergeCell ref="T10:U10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33:E33"/>
    <mergeCell ref="F33:H33"/>
    <mergeCell ref="M33:N33"/>
    <mergeCell ref="Q33:R33"/>
    <mergeCell ref="T33:U33"/>
    <mergeCell ref="C32:E32"/>
    <mergeCell ref="F32:H32"/>
    <mergeCell ref="M32:N32"/>
    <mergeCell ref="Q32:R32"/>
    <mergeCell ref="T32:U32"/>
    <mergeCell ref="C35:E35"/>
    <mergeCell ref="F35:H35"/>
    <mergeCell ref="M35:N35"/>
    <mergeCell ref="Q35:R35"/>
    <mergeCell ref="T35:U35"/>
    <mergeCell ref="C34:E34"/>
    <mergeCell ref="F34:H34"/>
    <mergeCell ref="M34:N34"/>
    <mergeCell ref="Q34:R34"/>
    <mergeCell ref="T34:U34"/>
    <mergeCell ref="C37:E37"/>
    <mergeCell ref="F37:H37"/>
    <mergeCell ref="M37:N37"/>
    <mergeCell ref="Q37:R37"/>
    <mergeCell ref="T37:U37"/>
    <mergeCell ref="C36:E36"/>
    <mergeCell ref="F36:H36"/>
    <mergeCell ref="M36:N36"/>
    <mergeCell ref="Q36:R36"/>
    <mergeCell ref="T36:U36"/>
    <mergeCell ref="C39:E39"/>
    <mergeCell ref="F39:H39"/>
    <mergeCell ref="M39:N39"/>
    <mergeCell ref="Q39:R39"/>
    <mergeCell ref="T39:U39"/>
    <mergeCell ref="C38:E38"/>
    <mergeCell ref="F38:H38"/>
    <mergeCell ref="M38:N38"/>
    <mergeCell ref="Q38:R38"/>
    <mergeCell ref="T38:U38"/>
    <mergeCell ref="C41:E41"/>
    <mergeCell ref="F41:H41"/>
    <mergeCell ref="M41:N41"/>
    <mergeCell ref="Q41:R41"/>
    <mergeCell ref="T41:U41"/>
    <mergeCell ref="C40:E40"/>
    <mergeCell ref="F40:H40"/>
    <mergeCell ref="M40:N40"/>
    <mergeCell ref="Q40:R40"/>
    <mergeCell ref="T40:U40"/>
    <mergeCell ref="C43:E43"/>
    <mergeCell ref="F43:H43"/>
    <mergeCell ref="M43:N43"/>
    <mergeCell ref="Q43:R43"/>
    <mergeCell ref="T43:U43"/>
    <mergeCell ref="C42:E42"/>
    <mergeCell ref="F42:H42"/>
    <mergeCell ref="M42:N42"/>
    <mergeCell ref="Q42:R42"/>
    <mergeCell ref="T42:U42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AA6D-3240-4A1C-A906-688DC4FC6971}">
  <dimension ref="A1:AK27"/>
  <sheetViews>
    <sheetView tabSelected="1" workbookViewId="0">
      <selection activeCell="H29" sqref="H29"/>
    </sheetView>
  </sheetViews>
  <sheetFormatPr defaultRowHeight="15" x14ac:dyDescent="0.25"/>
  <cols>
    <col min="1" max="1" width="17.140625" style="33" customWidth="1"/>
    <col min="2" max="2" width="21" style="33" bestFit="1" customWidth="1"/>
    <col min="3" max="3" width="13.7109375" style="33" customWidth="1"/>
    <col min="4" max="4" width="10.28515625" style="33" customWidth="1"/>
    <col min="5" max="7" width="10.85546875" style="33" customWidth="1"/>
    <col min="8" max="8" width="15.42578125" style="33" customWidth="1"/>
    <col min="9" max="9" width="25.28515625" style="33" customWidth="1"/>
    <col min="10" max="10" width="12" style="33" customWidth="1"/>
    <col min="11" max="11" width="7.7109375" style="33" bestFit="1" customWidth="1"/>
    <col min="12" max="12" width="13.7109375" style="33" customWidth="1"/>
    <col min="13" max="13" width="13.7109375" style="33" bestFit="1" customWidth="1"/>
    <col min="14" max="14" width="12" style="33" customWidth="1"/>
    <col min="15" max="15" width="10.7109375" style="33" customWidth="1"/>
    <col min="16" max="16" width="18.85546875" style="33" bestFit="1" customWidth="1"/>
    <col min="17" max="17" width="8" style="33" customWidth="1"/>
    <col min="18" max="16384" width="9.140625" style="33"/>
  </cols>
  <sheetData>
    <row r="1" spans="1:37" ht="33.75" customHeight="1" x14ac:dyDescent="0.25">
      <c r="A1" s="3" t="s">
        <v>13</v>
      </c>
      <c r="B1" s="3" t="s">
        <v>14</v>
      </c>
      <c r="C1" s="3" t="s">
        <v>51</v>
      </c>
      <c r="D1" s="3" t="s">
        <v>15</v>
      </c>
      <c r="E1" s="3" t="s">
        <v>52</v>
      </c>
      <c r="F1" s="3"/>
      <c r="G1" s="3"/>
      <c r="H1" s="3" t="s">
        <v>16</v>
      </c>
      <c r="I1" s="3" t="s">
        <v>17</v>
      </c>
      <c r="J1" s="3" t="s">
        <v>19</v>
      </c>
      <c r="K1" s="3" t="s">
        <v>53</v>
      </c>
      <c r="L1" s="3" t="s">
        <v>3</v>
      </c>
      <c r="M1" s="3" t="s">
        <v>22</v>
      </c>
      <c r="N1" s="3" t="s">
        <v>23</v>
      </c>
      <c r="O1" s="3" t="s">
        <v>54</v>
      </c>
      <c r="P1" s="3" t="s">
        <v>55</v>
      </c>
      <c r="Q1" s="3" t="s">
        <v>30</v>
      </c>
    </row>
    <row r="2" spans="1:37" s="36" customFormat="1" ht="15" customHeight="1" x14ac:dyDescent="0.25">
      <c r="A2" s="34" t="s">
        <v>90</v>
      </c>
      <c r="B2" s="34" t="s">
        <v>91</v>
      </c>
      <c r="C2" s="34" t="s">
        <v>64</v>
      </c>
      <c r="D2" s="34" t="s">
        <v>64</v>
      </c>
      <c r="E2" s="34">
        <f>DATEDIF(D2,C2,"M")</f>
        <v>0</v>
      </c>
      <c r="F2" s="34" t="s">
        <v>180</v>
      </c>
      <c r="G2" s="34" t="s">
        <v>181</v>
      </c>
      <c r="H2" s="34" t="s">
        <v>92</v>
      </c>
      <c r="I2" s="34" t="s">
        <v>93</v>
      </c>
      <c r="J2" s="34">
        <v>11</v>
      </c>
      <c r="K2" s="35">
        <v>144.26</v>
      </c>
      <c r="L2" s="35">
        <v>15.87</v>
      </c>
      <c r="M2" s="34" t="s">
        <v>69</v>
      </c>
      <c r="N2" s="35">
        <v>15.87</v>
      </c>
      <c r="O2" s="34" t="s">
        <v>185</v>
      </c>
      <c r="P2" s="34" t="s">
        <v>95</v>
      </c>
      <c r="Q2" s="34" t="s">
        <v>98</v>
      </c>
      <c r="R2" s="36" t="s">
        <v>174</v>
      </c>
    </row>
    <row r="3" spans="1:37" s="36" customFormat="1" ht="15" customHeight="1" x14ac:dyDescent="0.25">
      <c r="A3" s="34" t="s">
        <v>99</v>
      </c>
      <c r="B3" s="34" t="s">
        <v>100</v>
      </c>
      <c r="C3" s="34" t="s">
        <v>64</v>
      </c>
      <c r="D3" s="34" t="s">
        <v>64</v>
      </c>
      <c r="E3" s="34">
        <f>DATEDIF(D3,C3,"M")</f>
        <v>0</v>
      </c>
      <c r="F3" s="34" t="s">
        <v>180</v>
      </c>
      <c r="G3" s="34" t="s">
        <v>181</v>
      </c>
      <c r="H3" s="34" t="s">
        <v>101</v>
      </c>
      <c r="I3" s="34" t="s">
        <v>102</v>
      </c>
      <c r="J3" s="34">
        <v>23</v>
      </c>
      <c r="K3" s="35">
        <v>173.28</v>
      </c>
      <c r="L3" s="35">
        <v>39.85</v>
      </c>
      <c r="M3" s="34" t="s">
        <v>69</v>
      </c>
      <c r="N3" s="35">
        <v>39.85</v>
      </c>
      <c r="O3" s="34" t="s">
        <v>185</v>
      </c>
      <c r="P3" s="34" t="s">
        <v>95</v>
      </c>
      <c r="Q3" s="34" t="s">
        <v>98</v>
      </c>
      <c r="R3" s="36" t="s">
        <v>175</v>
      </c>
    </row>
    <row r="4" spans="1:37" s="36" customFormat="1" ht="15" customHeight="1" x14ac:dyDescent="0.25">
      <c r="A4" s="34" t="s">
        <v>157</v>
      </c>
      <c r="B4" s="34" t="s">
        <v>158</v>
      </c>
      <c r="C4" s="34" t="s">
        <v>64</v>
      </c>
      <c r="D4" s="34" t="s">
        <v>64</v>
      </c>
      <c r="E4" s="34">
        <f>DATEDIF(D4,C4,"M")</f>
        <v>0</v>
      </c>
      <c r="F4" s="34" t="s">
        <v>180</v>
      </c>
      <c r="G4" s="34" t="s">
        <v>181</v>
      </c>
      <c r="H4" s="34" t="s">
        <v>101</v>
      </c>
      <c r="I4" s="34" t="s">
        <v>102</v>
      </c>
      <c r="J4" s="34">
        <v>23</v>
      </c>
      <c r="K4" s="35">
        <v>176.33</v>
      </c>
      <c r="L4" s="35">
        <v>40.56</v>
      </c>
      <c r="M4" s="34" t="s">
        <v>69</v>
      </c>
      <c r="N4" s="35">
        <v>40.56</v>
      </c>
      <c r="O4" s="34" t="s">
        <v>186</v>
      </c>
      <c r="P4" s="34" t="s">
        <v>160</v>
      </c>
      <c r="Q4" s="34" t="s">
        <v>98</v>
      </c>
      <c r="R4" s="36" t="s">
        <v>175</v>
      </c>
      <c r="AK4" s="33"/>
    </row>
    <row r="5" spans="1:37" s="36" customFormat="1" ht="15" customHeight="1" x14ac:dyDescent="0.25">
      <c r="A5" s="34" t="s">
        <v>153</v>
      </c>
      <c r="B5" s="34" t="s">
        <v>154</v>
      </c>
      <c r="C5" s="34" t="s">
        <v>64</v>
      </c>
      <c r="D5" s="34" t="s">
        <v>64</v>
      </c>
      <c r="E5" s="34">
        <f>DATEDIF(D5,C5,"M")</f>
        <v>0</v>
      </c>
      <c r="F5" s="34" t="s">
        <v>180</v>
      </c>
      <c r="G5" s="34" t="s">
        <v>181</v>
      </c>
      <c r="H5" s="34" t="s">
        <v>155</v>
      </c>
      <c r="I5" s="34" t="s">
        <v>156</v>
      </c>
      <c r="J5" s="34">
        <v>11.5</v>
      </c>
      <c r="K5" s="35">
        <v>302.01</v>
      </c>
      <c r="L5" s="35">
        <v>34.729999999999997</v>
      </c>
      <c r="M5" s="34" t="s">
        <v>69</v>
      </c>
      <c r="N5" s="35">
        <v>34.729999999999997</v>
      </c>
      <c r="O5" s="34" t="s">
        <v>187</v>
      </c>
      <c r="P5" s="34" t="s">
        <v>150</v>
      </c>
      <c r="Q5" s="34" t="s">
        <v>98</v>
      </c>
      <c r="R5" s="36" t="s">
        <v>175</v>
      </c>
    </row>
    <row r="6" spans="1:37" ht="15" customHeight="1" x14ac:dyDescent="0.25">
      <c r="A6" s="34" t="s">
        <v>108</v>
      </c>
      <c r="B6" s="34" t="s">
        <v>178</v>
      </c>
      <c r="C6" s="34" t="s">
        <v>110</v>
      </c>
      <c r="D6" s="34" t="s">
        <v>110</v>
      </c>
      <c r="E6" s="34">
        <f>DATEDIF(D6,C6,"M")</f>
        <v>0</v>
      </c>
      <c r="F6" s="34" t="s">
        <v>180</v>
      </c>
      <c r="G6" s="34" t="s">
        <v>181</v>
      </c>
      <c r="H6" s="34" t="s">
        <v>101</v>
      </c>
      <c r="I6" s="34" t="s">
        <v>102</v>
      </c>
      <c r="J6" s="34">
        <v>23</v>
      </c>
      <c r="K6" s="35">
        <v>141.61000000000001</v>
      </c>
      <c r="L6" s="35">
        <v>32.57</v>
      </c>
      <c r="M6" s="34" t="s">
        <v>69</v>
      </c>
      <c r="N6" s="35">
        <v>32.57</v>
      </c>
      <c r="O6" s="34" t="s">
        <v>188</v>
      </c>
      <c r="P6" s="34" t="s">
        <v>107</v>
      </c>
      <c r="Q6" s="34" t="s">
        <v>98</v>
      </c>
      <c r="R6" s="36" t="s">
        <v>175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</row>
    <row r="7" spans="1:37" s="36" customFormat="1" ht="15" customHeight="1" x14ac:dyDescent="0.25">
      <c r="A7" s="34" t="s">
        <v>145</v>
      </c>
      <c r="B7" s="34" t="s">
        <v>179</v>
      </c>
      <c r="C7" s="34" t="s">
        <v>64</v>
      </c>
      <c r="D7" s="34" t="s">
        <v>64</v>
      </c>
      <c r="E7" s="34">
        <f>DATEDIF(D7,C7,"M")</f>
        <v>0</v>
      </c>
      <c r="F7" s="34" t="s">
        <v>180</v>
      </c>
      <c r="G7" s="34" t="s">
        <v>181</v>
      </c>
      <c r="H7" s="34" t="s">
        <v>101</v>
      </c>
      <c r="I7" s="34" t="s">
        <v>102</v>
      </c>
      <c r="J7" s="34">
        <v>23</v>
      </c>
      <c r="K7" s="35">
        <v>135.88</v>
      </c>
      <c r="L7" s="35">
        <v>31.25</v>
      </c>
      <c r="M7" s="34" t="s">
        <v>69</v>
      </c>
      <c r="N7" s="35">
        <v>31.25</v>
      </c>
      <c r="O7" s="34" t="s">
        <v>189</v>
      </c>
      <c r="P7" s="34" t="s">
        <v>123</v>
      </c>
      <c r="Q7" s="34" t="s">
        <v>98</v>
      </c>
      <c r="R7" s="36" t="s">
        <v>175</v>
      </c>
    </row>
    <row r="8" spans="1:37" s="36" customFormat="1" ht="15" customHeight="1" x14ac:dyDescent="0.25">
      <c r="A8" s="34" t="s">
        <v>151</v>
      </c>
      <c r="B8" s="34" t="s">
        <v>152</v>
      </c>
      <c r="C8" s="34" t="s">
        <v>64</v>
      </c>
      <c r="D8" s="34" t="s">
        <v>140</v>
      </c>
      <c r="E8" s="34">
        <f>DATEDIF(D8,C8,"M")</f>
        <v>1</v>
      </c>
      <c r="F8" s="34" t="s">
        <v>182</v>
      </c>
      <c r="G8" s="34" t="s">
        <v>183</v>
      </c>
      <c r="H8" s="34" t="s">
        <v>101</v>
      </c>
      <c r="I8" s="34" t="s">
        <v>102</v>
      </c>
      <c r="J8" s="34">
        <v>23</v>
      </c>
      <c r="K8" s="35">
        <v>171.55</v>
      </c>
      <c r="L8" s="35">
        <v>39.46</v>
      </c>
      <c r="M8" s="34" t="s">
        <v>69</v>
      </c>
      <c r="N8" s="35">
        <v>39.46</v>
      </c>
      <c r="O8" s="34">
        <v>16912722</v>
      </c>
      <c r="P8" s="34" t="s">
        <v>150</v>
      </c>
      <c r="Q8" s="34" t="s">
        <v>98</v>
      </c>
      <c r="R8" s="36" t="s">
        <v>175</v>
      </c>
    </row>
    <row r="9" spans="1:37" s="36" customFormat="1" ht="15" customHeight="1" x14ac:dyDescent="0.25">
      <c r="A9" s="34" t="s">
        <v>138</v>
      </c>
      <c r="B9" s="34" t="s">
        <v>139</v>
      </c>
      <c r="C9" s="34" t="s">
        <v>64</v>
      </c>
      <c r="D9" s="34" t="s">
        <v>140</v>
      </c>
      <c r="E9" s="34">
        <f>DATEDIF(D9,C9,"M")</f>
        <v>1</v>
      </c>
      <c r="F9" s="34" t="s">
        <v>182</v>
      </c>
      <c r="G9" s="34" t="s">
        <v>183</v>
      </c>
      <c r="H9" s="34" t="s">
        <v>101</v>
      </c>
      <c r="I9" s="34" t="s">
        <v>102</v>
      </c>
      <c r="J9" s="34">
        <v>23</v>
      </c>
      <c r="K9" s="35">
        <v>118.15</v>
      </c>
      <c r="L9" s="35">
        <v>27.17</v>
      </c>
      <c r="M9" s="34" t="s">
        <v>69</v>
      </c>
      <c r="N9" s="35">
        <v>27.17</v>
      </c>
      <c r="O9" s="34">
        <v>8325282</v>
      </c>
      <c r="P9" s="34" t="s">
        <v>123</v>
      </c>
      <c r="Q9" s="34" t="s">
        <v>98</v>
      </c>
      <c r="R9" s="36" t="s">
        <v>175</v>
      </c>
    </row>
    <row r="10" spans="1:37" ht="15" customHeight="1" x14ac:dyDescent="0.25">
      <c r="A10" s="34" t="s">
        <v>141</v>
      </c>
      <c r="B10" s="34" t="s">
        <v>142</v>
      </c>
      <c r="C10" s="34" t="s">
        <v>64</v>
      </c>
      <c r="D10" s="34" t="s">
        <v>140</v>
      </c>
      <c r="E10" s="34">
        <f>DATEDIF(D10,C10,"M")</f>
        <v>1</v>
      </c>
      <c r="F10" s="34" t="s">
        <v>182</v>
      </c>
      <c r="G10" s="34" t="s">
        <v>183</v>
      </c>
      <c r="H10" s="34" t="s">
        <v>101</v>
      </c>
      <c r="I10" s="34" t="s">
        <v>102</v>
      </c>
      <c r="J10" s="34">
        <v>23</v>
      </c>
      <c r="K10" s="35">
        <v>135.88</v>
      </c>
      <c r="L10" s="35">
        <v>31.25</v>
      </c>
      <c r="M10" s="34" t="s">
        <v>69</v>
      </c>
      <c r="N10" s="35">
        <v>31.25</v>
      </c>
      <c r="O10" s="34">
        <v>8325282</v>
      </c>
      <c r="P10" s="34" t="s">
        <v>123</v>
      </c>
      <c r="Q10" s="34" t="s">
        <v>98</v>
      </c>
      <c r="R10" s="36" t="s">
        <v>175</v>
      </c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</row>
    <row r="11" spans="1:37" s="36" customFormat="1" ht="15" customHeight="1" x14ac:dyDescent="0.25">
      <c r="A11" s="34" t="s">
        <v>143</v>
      </c>
      <c r="B11" s="34" t="s">
        <v>144</v>
      </c>
      <c r="C11" s="34" t="s">
        <v>64</v>
      </c>
      <c r="D11" s="34" t="s">
        <v>140</v>
      </c>
      <c r="E11" s="34">
        <f>DATEDIF(D11,C11,"M")</f>
        <v>1</v>
      </c>
      <c r="F11" s="34" t="s">
        <v>182</v>
      </c>
      <c r="G11" s="34" t="s">
        <v>183</v>
      </c>
      <c r="H11" s="34" t="s">
        <v>101</v>
      </c>
      <c r="I11" s="34" t="s">
        <v>102</v>
      </c>
      <c r="J11" s="34">
        <v>23</v>
      </c>
      <c r="K11" s="35">
        <v>154.72999999999999</v>
      </c>
      <c r="L11" s="35">
        <v>35.590000000000003</v>
      </c>
      <c r="M11" s="34" t="s">
        <v>69</v>
      </c>
      <c r="N11" s="35">
        <v>35.590000000000003</v>
      </c>
      <c r="O11" s="34">
        <v>8325282</v>
      </c>
      <c r="P11" s="34" t="s">
        <v>123</v>
      </c>
      <c r="Q11" s="34" t="s">
        <v>98</v>
      </c>
      <c r="R11" s="36" t="s">
        <v>175</v>
      </c>
    </row>
    <row r="12" spans="1:37" s="36" customFormat="1" ht="15" customHeight="1" x14ac:dyDescent="0.25">
      <c r="A12" s="34" t="s">
        <v>135</v>
      </c>
      <c r="B12" s="34" t="s">
        <v>136</v>
      </c>
      <c r="C12" s="34" t="s">
        <v>64</v>
      </c>
      <c r="D12" s="34" t="s">
        <v>137</v>
      </c>
      <c r="E12" s="34">
        <f>DATEDIF(D12,C12,"M")</f>
        <v>2</v>
      </c>
      <c r="F12" s="34" t="s">
        <v>182</v>
      </c>
      <c r="G12" s="34" t="s">
        <v>183</v>
      </c>
      <c r="H12" s="34" t="s">
        <v>101</v>
      </c>
      <c r="I12" s="34" t="s">
        <v>102</v>
      </c>
      <c r="J12" s="34">
        <v>23</v>
      </c>
      <c r="K12" s="35">
        <v>135.88</v>
      </c>
      <c r="L12" s="35">
        <v>31.25</v>
      </c>
      <c r="M12" s="34" t="s">
        <v>69</v>
      </c>
      <c r="N12" s="35">
        <v>31.25</v>
      </c>
      <c r="O12" s="34">
        <v>8325282</v>
      </c>
      <c r="P12" s="34" t="s">
        <v>123</v>
      </c>
      <c r="Q12" s="34" t="s">
        <v>98</v>
      </c>
      <c r="R12" s="36" t="s">
        <v>175</v>
      </c>
    </row>
    <row r="13" spans="1:37" s="36" customFormat="1" ht="15" customHeight="1" x14ac:dyDescent="0.25">
      <c r="A13" s="34" t="s">
        <v>125</v>
      </c>
      <c r="B13" s="34" t="s">
        <v>126</v>
      </c>
      <c r="C13" s="34" t="s">
        <v>64</v>
      </c>
      <c r="D13" s="34" t="s">
        <v>127</v>
      </c>
      <c r="E13" s="34">
        <f>DATEDIF(D13,C13,"M")</f>
        <v>4</v>
      </c>
      <c r="F13" s="34" t="s">
        <v>182</v>
      </c>
      <c r="G13" s="34" t="s">
        <v>183</v>
      </c>
      <c r="H13" s="34" t="s">
        <v>101</v>
      </c>
      <c r="I13" s="34" t="s">
        <v>102</v>
      </c>
      <c r="J13" s="34">
        <v>23</v>
      </c>
      <c r="K13" s="35">
        <v>128.9</v>
      </c>
      <c r="L13" s="35">
        <v>29.65</v>
      </c>
      <c r="M13" s="34" t="s">
        <v>69</v>
      </c>
      <c r="N13" s="35">
        <v>29.65</v>
      </c>
      <c r="O13" s="34">
        <v>8325282</v>
      </c>
      <c r="P13" s="34" t="s">
        <v>123</v>
      </c>
      <c r="Q13" s="34" t="s">
        <v>98</v>
      </c>
      <c r="R13" s="36" t="s">
        <v>175</v>
      </c>
      <c r="AK13" s="33"/>
    </row>
    <row r="14" spans="1:37" s="36" customFormat="1" ht="15" customHeight="1" x14ac:dyDescent="0.25">
      <c r="A14" s="34" t="s">
        <v>103</v>
      </c>
      <c r="B14" s="34" t="s">
        <v>104</v>
      </c>
      <c r="C14" s="34" t="s">
        <v>64</v>
      </c>
      <c r="D14" s="34" t="s">
        <v>105</v>
      </c>
      <c r="E14" s="34">
        <f>DATEDIF(D14,C14,"M")</f>
        <v>5</v>
      </c>
      <c r="F14" s="34" t="s">
        <v>182</v>
      </c>
      <c r="G14" s="34" t="s">
        <v>183</v>
      </c>
      <c r="H14" s="34" t="s">
        <v>92</v>
      </c>
      <c r="I14" s="34" t="s">
        <v>93</v>
      </c>
      <c r="J14" s="34">
        <v>27</v>
      </c>
      <c r="K14" s="35">
        <v>112.24</v>
      </c>
      <c r="L14" s="35">
        <v>30.3</v>
      </c>
      <c r="M14" s="34" t="s">
        <v>69</v>
      </c>
      <c r="N14" s="35">
        <v>30.3</v>
      </c>
      <c r="O14" s="34">
        <v>19645587</v>
      </c>
      <c r="P14" s="34" t="s">
        <v>107</v>
      </c>
      <c r="Q14" s="34" t="s">
        <v>98</v>
      </c>
      <c r="R14" s="36" t="s">
        <v>177</v>
      </c>
    </row>
    <row r="15" spans="1:37" ht="15" customHeight="1" x14ac:dyDescent="0.25">
      <c r="A15" s="34" t="s">
        <v>133</v>
      </c>
      <c r="B15" s="34" t="s">
        <v>134</v>
      </c>
      <c r="C15" s="34" t="s">
        <v>64</v>
      </c>
      <c r="D15" s="34" t="s">
        <v>105</v>
      </c>
      <c r="E15" s="34">
        <f>DATEDIF(D15,C15,"M")</f>
        <v>5</v>
      </c>
      <c r="F15" s="34" t="s">
        <v>182</v>
      </c>
      <c r="G15" s="34" t="s">
        <v>183</v>
      </c>
      <c r="H15" s="34" t="s">
        <v>101</v>
      </c>
      <c r="I15" s="34" t="s">
        <v>102</v>
      </c>
      <c r="J15" s="34">
        <v>23</v>
      </c>
      <c r="K15" s="35">
        <v>174.61</v>
      </c>
      <c r="L15" s="35">
        <v>40.159999999999997</v>
      </c>
      <c r="M15" s="34" t="s">
        <v>69</v>
      </c>
      <c r="N15" s="35">
        <v>40.159999999999997</v>
      </c>
      <c r="O15" s="34">
        <v>8325282</v>
      </c>
      <c r="P15" s="34" t="s">
        <v>123</v>
      </c>
      <c r="Q15" s="34" t="s">
        <v>98</v>
      </c>
      <c r="R15" s="36" t="s">
        <v>175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</row>
    <row r="16" spans="1:37" ht="15" customHeight="1" x14ac:dyDescent="0.25">
      <c r="A16" s="34" t="s">
        <v>147</v>
      </c>
      <c r="B16" s="34" t="s">
        <v>148</v>
      </c>
      <c r="C16" s="34" t="s">
        <v>64</v>
      </c>
      <c r="D16" s="34" t="s">
        <v>130</v>
      </c>
      <c r="E16" s="34">
        <f>DATEDIF(D16,C16,"M")</f>
        <v>6</v>
      </c>
      <c r="F16" s="34" t="s">
        <v>182</v>
      </c>
      <c r="G16" s="34" t="s">
        <v>184</v>
      </c>
      <c r="H16" s="34" t="s">
        <v>101</v>
      </c>
      <c r="I16" s="34" t="s">
        <v>102</v>
      </c>
      <c r="J16" s="34">
        <v>23</v>
      </c>
      <c r="K16" s="35">
        <v>198.23</v>
      </c>
      <c r="L16" s="35">
        <v>45.59</v>
      </c>
      <c r="M16" s="34" t="s">
        <v>69</v>
      </c>
      <c r="N16" s="35">
        <v>45.59</v>
      </c>
      <c r="O16" s="34">
        <v>16912722</v>
      </c>
      <c r="P16" s="34" t="s">
        <v>150</v>
      </c>
      <c r="Q16" s="34" t="s">
        <v>98</v>
      </c>
      <c r="R16" s="36" t="s">
        <v>175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</row>
    <row r="17" spans="1:37" s="36" customFormat="1" ht="15" customHeight="1" x14ac:dyDescent="0.25">
      <c r="A17" s="34" t="s">
        <v>128</v>
      </c>
      <c r="B17" s="34" t="s">
        <v>129</v>
      </c>
      <c r="C17" s="34" t="s">
        <v>64</v>
      </c>
      <c r="D17" s="34" t="s">
        <v>130</v>
      </c>
      <c r="E17" s="34">
        <f>DATEDIF(D17,C17,"M")</f>
        <v>6</v>
      </c>
      <c r="F17" s="34" t="s">
        <v>182</v>
      </c>
      <c r="G17" s="34" t="s">
        <v>184</v>
      </c>
      <c r="H17" s="34" t="s">
        <v>101</v>
      </c>
      <c r="I17" s="34" t="s">
        <v>102</v>
      </c>
      <c r="J17" s="34">
        <v>23</v>
      </c>
      <c r="K17" s="35">
        <v>128.9</v>
      </c>
      <c r="L17" s="35">
        <v>29.65</v>
      </c>
      <c r="M17" s="34" t="s">
        <v>69</v>
      </c>
      <c r="N17" s="35">
        <v>29.65</v>
      </c>
      <c r="O17" s="34">
        <v>8325282</v>
      </c>
      <c r="P17" s="34" t="s">
        <v>123</v>
      </c>
      <c r="Q17" s="34" t="s">
        <v>98</v>
      </c>
      <c r="R17" s="36" t="s">
        <v>175</v>
      </c>
      <c r="AK17" s="33"/>
    </row>
    <row r="18" spans="1:37" s="36" customFormat="1" ht="15" customHeight="1" x14ac:dyDescent="0.25">
      <c r="A18" s="34" t="s">
        <v>131</v>
      </c>
      <c r="B18" s="34" t="s">
        <v>132</v>
      </c>
      <c r="C18" s="34" t="s">
        <v>64</v>
      </c>
      <c r="D18" s="34" t="s">
        <v>130</v>
      </c>
      <c r="E18" s="34">
        <f>DATEDIF(D18,C18,"M")</f>
        <v>6</v>
      </c>
      <c r="F18" s="34" t="s">
        <v>182</v>
      </c>
      <c r="G18" s="34" t="s">
        <v>184</v>
      </c>
      <c r="H18" s="34" t="s">
        <v>101</v>
      </c>
      <c r="I18" s="34" t="s">
        <v>102</v>
      </c>
      <c r="J18" s="34">
        <v>23</v>
      </c>
      <c r="K18" s="35">
        <v>128.9</v>
      </c>
      <c r="L18" s="35">
        <v>29.65</v>
      </c>
      <c r="M18" s="34" t="s">
        <v>69</v>
      </c>
      <c r="N18" s="35">
        <v>29.65</v>
      </c>
      <c r="O18" s="34">
        <v>8325282</v>
      </c>
      <c r="P18" s="34" t="s">
        <v>123</v>
      </c>
      <c r="Q18" s="34" t="s">
        <v>98</v>
      </c>
      <c r="R18" s="36" t="s">
        <v>175</v>
      </c>
    </row>
    <row r="19" spans="1:37" s="36" customFormat="1" ht="15" customHeight="1" x14ac:dyDescent="0.25">
      <c r="A19" s="34" t="s">
        <v>113</v>
      </c>
      <c r="B19" s="34" t="s">
        <v>114</v>
      </c>
      <c r="C19" s="34" t="s">
        <v>64</v>
      </c>
      <c r="D19" s="34" t="s">
        <v>115</v>
      </c>
      <c r="E19" s="34">
        <f>DATEDIF(D19,C19,"M")</f>
        <v>12</v>
      </c>
      <c r="F19" s="34" t="s">
        <v>182</v>
      </c>
      <c r="G19" s="34" t="s">
        <v>184</v>
      </c>
      <c r="H19" s="34" t="s">
        <v>101</v>
      </c>
      <c r="I19" s="34" t="s">
        <v>102</v>
      </c>
      <c r="J19" s="34">
        <v>23</v>
      </c>
      <c r="K19" s="35">
        <v>96.08</v>
      </c>
      <c r="L19" s="35">
        <v>22.1</v>
      </c>
      <c r="M19" s="34" t="s">
        <v>69</v>
      </c>
      <c r="N19" s="35">
        <v>22.1</v>
      </c>
      <c r="O19" s="34">
        <v>18828278</v>
      </c>
      <c r="P19" s="34" t="s">
        <v>117</v>
      </c>
      <c r="Q19" s="34" t="s">
        <v>98</v>
      </c>
      <c r="R19" s="36" t="s">
        <v>175</v>
      </c>
      <c r="AK19" s="33"/>
    </row>
    <row r="20" spans="1:37" s="36" customFormat="1" ht="15" customHeight="1" x14ac:dyDescent="0.25">
      <c r="A20" s="34" t="s">
        <v>118</v>
      </c>
      <c r="B20" s="34" t="s">
        <v>119</v>
      </c>
      <c r="C20" s="34" t="s">
        <v>64</v>
      </c>
      <c r="D20" s="34" t="s">
        <v>115</v>
      </c>
      <c r="E20" s="34">
        <f>DATEDIF(D20,C20,"M")</f>
        <v>12</v>
      </c>
      <c r="F20" s="34" t="s">
        <v>182</v>
      </c>
      <c r="G20" s="34" t="s">
        <v>184</v>
      </c>
      <c r="H20" s="34" t="s">
        <v>101</v>
      </c>
      <c r="I20" s="34" t="s">
        <v>102</v>
      </c>
      <c r="J20" s="34">
        <v>23</v>
      </c>
      <c r="K20" s="35">
        <v>108.32</v>
      </c>
      <c r="L20" s="35">
        <v>24.91</v>
      </c>
      <c r="M20" s="34" t="s">
        <v>69</v>
      </c>
      <c r="N20" s="35">
        <v>24.91</v>
      </c>
      <c r="O20" s="34">
        <v>18828278</v>
      </c>
      <c r="P20" s="34" t="s">
        <v>117</v>
      </c>
      <c r="Q20" s="34" t="s">
        <v>98</v>
      </c>
      <c r="R20" s="36" t="s">
        <v>175</v>
      </c>
    </row>
    <row r="21" spans="1:37" s="36" customFormat="1" ht="15" customHeight="1" x14ac:dyDescent="0.25">
      <c r="A21" s="34" t="s">
        <v>120</v>
      </c>
      <c r="B21" s="34" t="s">
        <v>121</v>
      </c>
      <c r="C21" s="34" t="s">
        <v>64</v>
      </c>
      <c r="D21" s="34" t="s">
        <v>115</v>
      </c>
      <c r="E21" s="34">
        <f>DATEDIF(D21,C21,"M")</f>
        <v>12</v>
      </c>
      <c r="F21" s="34" t="s">
        <v>182</v>
      </c>
      <c r="G21" s="34" t="s">
        <v>184</v>
      </c>
      <c r="H21" s="34" t="s">
        <v>101</v>
      </c>
      <c r="I21" s="34" t="s">
        <v>102</v>
      </c>
      <c r="J21" s="34">
        <v>23</v>
      </c>
      <c r="K21" s="35">
        <v>-152.83000000000001</v>
      </c>
      <c r="L21" s="35">
        <v>-35.15</v>
      </c>
      <c r="M21" s="34" t="s">
        <v>111</v>
      </c>
      <c r="N21" s="35">
        <v>-35.15</v>
      </c>
      <c r="O21" s="34">
        <v>8325282</v>
      </c>
      <c r="P21" s="34" t="s">
        <v>123</v>
      </c>
      <c r="Q21" s="34" t="s">
        <v>98</v>
      </c>
      <c r="R21" s="36" t="s">
        <v>175</v>
      </c>
    </row>
    <row r="22" spans="1:37" s="36" customFormat="1" ht="15" customHeight="1" x14ac:dyDescent="0.25">
      <c r="A22" s="34" t="s">
        <v>120</v>
      </c>
      <c r="B22" s="34" t="s">
        <v>121</v>
      </c>
      <c r="C22" s="34" t="s">
        <v>64</v>
      </c>
      <c r="D22" s="34" t="s">
        <v>115</v>
      </c>
      <c r="E22" s="34">
        <f>DATEDIF(D22,C22,"M")</f>
        <v>12</v>
      </c>
      <c r="F22" s="34" t="s">
        <v>182</v>
      </c>
      <c r="G22" s="34" t="s">
        <v>184</v>
      </c>
      <c r="H22" s="34" t="s">
        <v>101</v>
      </c>
      <c r="I22" s="34" t="s">
        <v>102</v>
      </c>
      <c r="J22" s="34">
        <v>23</v>
      </c>
      <c r="K22" s="35">
        <v>152.83000000000001</v>
      </c>
      <c r="L22" s="35">
        <v>35.15</v>
      </c>
      <c r="M22" s="34" t="s">
        <v>69</v>
      </c>
      <c r="N22" s="35">
        <v>35.15</v>
      </c>
      <c r="O22" s="34">
        <v>8325282</v>
      </c>
      <c r="P22" s="34" t="s">
        <v>123</v>
      </c>
      <c r="Q22" s="34" t="s">
        <v>98</v>
      </c>
      <c r="R22" s="36" t="s">
        <v>175</v>
      </c>
    </row>
    <row r="23" spans="1:37" s="39" customFormat="1" ht="15" customHeight="1" x14ac:dyDescent="0.25">
      <c r="A23" s="37" t="s">
        <v>81</v>
      </c>
      <c r="B23" s="37" t="s">
        <v>82</v>
      </c>
      <c r="C23" s="37" t="s">
        <v>64</v>
      </c>
      <c r="D23" s="37" t="s">
        <v>64</v>
      </c>
      <c r="E23" s="37">
        <f>DATEDIF(D23,C23,"M")</f>
        <v>0</v>
      </c>
      <c r="F23" s="37" t="s">
        <v>182</v>
      </c>
      <c r="G23" s="37" t="s">
        <v>184</v>
      </c>
      <c r="H23" s="37" t="s">
        <v>83</v>
      </c>
      <c r="I23" s="37" t="s">
        <v>84</v>
      </c>
      <c r="J23" s="37">
        <v>27</v>
      </c>
      <c r="K23" s="38">
        <v>135.61000000000001</v>
      </c>
      <c r="L23" s="38">
        <v>36.61</v>
      </c>
      <c r="M23" s="37" t="s">
        <v>69</v>
      </c>
      <c r="N23" s="38">
        <v>36.61</v>
      </c>
      <c r="O23" s="37">
        <v>17425766</v>
      </c>
      <c r="P23" s="37" t="s">
        <v>86</v>
      </c>
      <c r="Q23" s="37" t="s">
        <v>89</v>
      </c>
      <c r="R23" s="39" t="s">
        <v>177</v>
      </c>
    </row>
    <row r="24" spans="1:37" s="39" customFormat="1" ht="15" customHeight="1" x14ac:dyDescent="0.25">
      <c r="A24" s="37" t="s">
        <v>161</v>
      </c>
      <c r="B24" s="37" t="s">
        <v>162</v>
      </c>
      <c r="C24" s="37" t="s">
        <v>64</v>
      </c>
      <c r="D24" s="37" t="s">
        <v>64</v>
      </c>
      <c r="E24" s="37">
        <f>DATEDIF(D24,C24,"M")</f>
        <v>0</v>
      </c>
      <c r="F24" s="37" t="s">
        <v>182</v>
      </c>
      <c r="G24" s="37" t="s">
        <v>184</v>
      </c>
      <c r="H24" s="37" t="s">
        <v>92</v>
      </c>
      <c r="I24" s="37" t="s">
        <v>93</v>
      </c>
      <c r="J24" s="37">
        <v>27</v>
      </c>
      <c r="K24" s="38">
        <v>116.55</v>
      </c>
      <c r="L24" s="38">
        <v>31.47</v>
      </c>
      <c r="M24" s="37" t="s">
        <v>69</v>
      </c>
      <c r="N24" s="38">
        <v>31.47</v>
      </c>
      <c r="O24" s="37">
        <v>9213293</v>
      </c>
      <c r="P24" s="37" t="s">
        <v>164</v>
      </c>
      <c r="Q24" s="37" t="s">
        <v>98</v>
      </c>
      <c r="R24" s="39" t="s">
        <v>177</v>
      </c>
    </row>
    <row r="25" spans="1:37" s="39" customFormat="1" ht="15" customHeight="1" x14ac:dyDescent="0.25">
      <c r="A25" s="37" t="s">
        <v>171</v>
      </c>
      <c r="B25" s="37" t="s">
        <v>172</v>
      </c>
      <c r="C25" s="37" t="s">
        <v>64</v>
      </c>
      <c r="D25" s="37" t="s">
        <v>64</v>
      </c>
      <c r="E25" s="37">
        <f>DATEDIF(D25,C25,"M")</f>
        <v>0</v>
      </c>
      <c r="F25" s="37" t="s">
        <v>182</v>
      </c>
      <c r="G25" s="37" t="s">
        <v>184</v>
      </c>
      <c r="H25" s="37" t="s">
        <v>101</v>
      </c>
      <c r="I25" s="37" t="s">
        <v>102</v>
      </c>
      <c r="J25" s="37">
        <v>11.5</v>
      </c>
      <c r="K25" s="38">
        <v>286.60000000000002</v>
      </c>
      <c r="L25" s="38">
        <v>32.96</v>
      </c>
      <c r="M25" s="37" t="s">
        <v>69</v>
      </c>
      <c r="N25" s="38">
        <v>32.96</v>
      </c>
      <c r="O25" s="37">
        <v>16997303</v>
      </c>
      <c r="P25" s="37" t="s">
        <v>170</v>
      </c>
      <c r="Q25" s="37" t="s">
        <v>98</v>
      </c>
      <c r="R25" s="39" t="s">
        <v>175</v>
      </c>
    </row>
    <row r="26" spans="1:37" s="39" customFormat="1" ht="15" customHeight="1" x14ac:dyDescent="0.25">
      <c r="A26" s="37" t="s">
        <v>167</v>
      </c>
      <c r="B26" s="37" t="s">
        <v>168</v>
      </c>
      <c r="C26" s="37" t="s">
        <v>64</v>
      </c>
      <c r="D26" s="37" t="s">
        <v>64</v>
      </c>
      <c r="E26" s="37">
        <f>DATEDIF(D26,C26,"M")</f>
        <v>0</v>
      </c>
      <c r="F26" s="37" t="s">
        <v>182</v>
      </c>
      <c r="G26" s="37" t="s">
        <v>184</v>
      </c>
      <c r="H26" s="37" t="s">
        <v>101</v>
      </c>
      <c r="I26" s="37" t="s">
        <v>102</v>
      </c>
      <c r="J26" s="37">
        <v>23</v>
      </c>
      <c r="K26" s="38">
        <v>159.65</v>
      </c>
      <c r="L26" s="38">
        <v>36.72</v>
      </c>
      <c r="M26" s="37" t="s">
        <v>69</v>
      </c>
      <c r="N26" s="38">
        <v>36.72</v>
      </c>
      <c r="O26" s="37">
        <v>16997303</v>
      </c>
      <c r="P26" s="37" t="s">
        <v>170</v>
      </c>
      <c r="Q26" s="37" t="s">
        <v>98</v>
      </c>
      <c r="R26" s="39" t="s">
        <v>175</v>
      </c>
    </row>
    <row r="27" spans="1:37" s="39" customFormat="1" ht="15" customHeight="1" x14ac:dyDescent="0.25">
      <c r="A27" s="37" t="s">
        <v>62</v>
      </c>
      <c r="B27" s="37" t="s">
        <v>63</v>
      </c>
      <c r="C27" s="37" t="s">
        <v>64</v>
      </c>
      <c r="D27" s="37" t="s">
        <v>65</v>
      </c>
      <c r="E27" s="37">
        <f>DATEDIF(D27,C27,"M")</f>
        <v>7</v>
      </c>
      <c r="F27" s="37" t="s">
        <v>182</v>
      </c>
      <c r="G27" s="37" t="s">
        <v>184</v>
      </c>
      <c r="H27" s="37" t="s">
        <v>66</v>
      </c>
      <c r="I27" s="37" t="s">
        <v>67</v>
      </c>
      <c r="J27" s="37">
        <v>57</v>
      </c>
      <c r="K27" s="38">
        <v>41.53</v>
      </c>
      <c r="L27" s="38">
        <v>23.67</v>
      </c>
      <c r="M27" s="37" t="s">
        <v>69</v>
      </c>
      <c r="N27" s="38">
        <v>23.67</v>
      </c>
      <c r="O27" s="37" t="s">
        <v>173</v>
      </c>
      <c r="P27" s="37" t="s">
        <v>72</v>
      </c>
      <c r="Q27" s="37" t="s">
        <v>75</v>
      </c>
      <c r="R27" s="39" t="s">
        <v>176</v>
      </c>
    </row>
  </sheetData>
  <sortState xmlns:xlrd2="http://schemas.microsoft.com/office/spreadsheetml/2017/richdata2" ref="A2:AK27">
    <sortCondition sortBy="cellColor" ref="J2:J27" dxfId="1"/>
    <sortCondition ref="E2:E27"/>
    <sortCondition ref="P2:P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2026-01-19T09:49:18Z</dcterms:created>
  <dcterms:modified xsi:type="dcterms:W3CDTF">2026-01-21T16:01:19Z</dcterms:modified>
</cp:coreProperties>
</file>