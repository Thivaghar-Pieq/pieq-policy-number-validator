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Transamerica Employer group\2026\April\"/>
    </mc:Choice>
  </mc:AlternateContent>
  <xr:revisionPtr revIDLastSave="0" documentId="13_ncr:1_{AAD16040-DDAC-4605-868D-3060FB074F92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I14" i="1"/>
  <c r="J9" i="1"/>
  <c r="J15" i="1" s="1"/>
  <c r="I9" i="1"/>
  <c r="I15" i="1" s="1"/>
  <c r="A2" i="1"/>
  <c r="B4" i="1"/>
  <c r="F4" i="1" s="1"/>
</calcChain>
</file>

<file path=xl/sharedStrings.xml><?xml version="1.0" encoding="utf-8"?>
<sst xmlns="http://schemas.openxmlformats.org/spreadsheetml/2006/main" count="54" uniqueCount="27">
  <si>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</si>
  <si>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</si>
  <si>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</si>
  <si>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</si>
  <si>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</si>
  <si>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</si>
  <si>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</si>
  <si>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</si>
  <si>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</si>
  <si>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</si>
  <si>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</si>
  <si>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</si>
  <si>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</si>
  <si>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Boulder Valley Plastic Surgery</t>
  </si>
  <si>
    <t>40606</t>
  </si>
  <si>
    <t>Transamerica</t>
  </si>
  <si>
    <t>TC3 CW 5000/2500 Plan (IP, OP, 2500AMB, INF, EC)</t>
  </si>
  <si>
    <t>Essence Painting &amp; Restoration Inc</t>
  </si>
  <si>
    <t>38765</t>
  </si>
  <si>
    <t>TC3 CW 5000/5000 Plan (IP, OP, 2500AMB, INF, EC)</t>
  </si>
  <si>
    <t>1297697</t>
  </si>
  <si>
    <t>1297689</t>
  </si>
  <si>
    <t>1297690</t>
  </si>
  <si>
    <t>1297699</t>
  </si>
  <si>
    <t>Boulder Valley Plastic Surgery Total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</si>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</sst>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</font>
    <font>
      <sz val="11"/>
      <color theme="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  <xf numFmtId="0" fontId="12" fillId="0" borderId="2" xfId="0" applyNumberFormat="1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11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2420710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5"/>
  <sheetViews>
    <sheetView tabSelected="1" zoomScale="70" zoomScaleNormal="70" zoomScaleSheetLayoutView="80" workbookViewId="0">
      <selection activeCell="N11" sqref="N11"/>
    </sheetView>
  </sheetViews>
  <sheetFormatPr defaultColWidth="9.140625" defaultRowHeight="15.75" outlineLevelRow="2" x14ac:dyDescent="0.25"/>
  <cols>
    <col min="1" max="1" width="2.570312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9" t="str">
        <f>ImportStart</f>
        <v>Main Line Benefits LLC-Malvern</v>
      </c>
      <c r="B2" s="39"/>
      <c r="C2" s="39"/>
      <c r="D2" s="39"/>
      <c r="E2" s="39"/>
      <c r="F2" s="39"/>
      <c r="G2" s="39"/>
      <c r="H2" s="39"/>
      <c r="I2" s="39"/>
      <c r="J2" s="39"/>
    </row>
    <row r="3" spans="1:11" s="5" customFormat="1" ht="36.75" customHeight="1" x14ac:dyDescent="0.35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15"/>
    </row>
    <row r="4" spans="1:11" s="6" customFormat="1" ht="44.25" x14ac:dyDescent="0.55000000000000004">
      <c r="B4" s="13">
        <f>MAX(G6:G1048576)</f>
        <v>46113</v>
      </c>
      <c r="C4" s="9"/>
      <c r="D4" s="9"/>
      <c r="E4" s="9"/>
      <c r="F4" s="37" t="str">
        <f>TEXT(B4,"mmmm yyyy")</f>
        <v>April 2026</v>
      </c>
      <c r="G4" s="38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46023</v>
      </c>
      <c r="D6" s="23" t="s">
        <v>14</v>
      </c>
      <c r="E6" s="23" t="s">
        <v>15</v>
      </c>
      <c r="F6" s="23" t="s">
        <v>16</v>
      </c>
      <c r="G6" s="25">
        <v>46113</v>
      </c>
      <c r="H6" s="40">
        <v>1409701</v>
      </c>
      <c r="I6" s="26">
        <v>61.57</v>
      </c>
      <c r="J6" s="26">
        <v>7.3883999999999999</v>
      </c>
      <c r="K6" s="18">
        <v>0.12</v>
      </c>
    </row>
    <row r="7" spans="1:11" ht="15" outlineLevel="2" x14ac:dyDescent="0.2">
      <c r="A7" s="27" t="s">
        <v>12</v>
      </c>
      <c r="B7" s="23" t="s">
        <v>13</v>
      </c>
      <c r="C7" s="24">
        <v>46023</v>
      </c>
      <c r="D7" s="23" t="s">
        <v>14</v>
      </c>
      <c r="E7" s="23" t="s">
        <v>15</v>
      </c>
      <c r="F7" s="23" t="s">
        <v>16</v>
      </c>
      <c r="G7" s="25">
        <v>46113</v>
      </c>
      <c r="H7" s="40">
        <v>1409702</v>
      </c>
      <c r="I7" s="26">
        <v>61.57</v>
      </c>
      <c r="J7" s="26">
        <v>7.3883999999999999</v>
      </c>
      <c r="K7" s="18">
        <v>0.12</v>
      </c>
    </row>
    <row r="8" spans="1:11" ht="15" outlineLevel="2" x14ac:dyDescent="0.2">
      <c r="A8" s="27" t="s">
        <v>12</v>
      </c>
      <c r="B8" s="23" t="s">
        <v>13</v>
      </c>
      <c r="C8" s="24">
        <v>46023</v>
      </c>
      <c r="D8" s="23" t="s">
        <v>14</v>
      </c>
      <c r="E8" s="23" t="s">
        <v>15</v>
      </c>
      <c r="F8" s="23" t="s">
        <v>16</v>
      </c>
      <c r="G8" s="25">
        <v>46113</v>
      </c>
      <c r="H8" s="40">
        <v>1409658</v>
      </c>
      <c r="I8" s="26">
        <v>61.57</v>
      </c>
      <c r="J8" s="26">
        <v>7.3883999999999999</v>
      </c>
      <c r="K8" s="18">
        <v>0.12</v>
      </c>
    </row>
    <row r="9" spans="1:11" ht="15" outlineLevel="1" x14ac:dyDescent="0.2">
      <c r="A9" s="27"/>
      <c r="B9" s="28" t="s">
        <v>24</v>
      </c>
      <c r="C9" s="24"/>
      <c r="D9" s="23"/>
      <c r="E9" s="23"/>
      <c r="F9" s="23"/>
      <c r="G9" s="25"/>
      <c r="H9" s="23"/>
      <c r="I9" s="26">
        <f>SUBTOTAL(9,I6:I8)</f>
        <v>184.71</v>
      </c>
      <c r="J9" s="26">
        <f>SUBTOTAL(9,J6:J8)</f>
        <v>22.165199999999999</v>
      </c>
      <c r="K9" s="18"/>
    </row>
    <row r="10" spans="1:11" ht="15" outlineLevel="2" x14ac:dyDescent="0.2">
      <c r="A10" s="27" t="s">
        <v>12</v>
      </c>
      <c r="B10" s="23" t="s">
        <v>17</v>
      </c>
      <c r="C10" s="24">
        <v>45474</v>
      </c>
      <c r="D10" s="23" t="s">
        <v>18</v>
      </c>
      <c r="E10" s="23" t="s">
        <v>15</v>
      </c>
      <c r="F10" s="23" t="s">
        <v>19</v>
      </c>
      <c r="G10" s="25">
        <v>46113</v>
      </c>
      <c r="H10" s="23" t="s">
        <v>20</v>
      </c>
      <c r="I10" s="26">
        <v>250.21</v>
      </c>
      <c r="J10" s="26">
        <v>37.531500000000001</v>
      </c>
      <c r="K10" s="18">
        <v>0.15</v>
      </c>
    </row>
    <row r="11" spans="1:11" ht="15" outlineLevel="2" x14ac:dyDescent="0.2">
      <c r="A11" s="27" t="s">
        <v>12</v>
      </c>
      <c r="B11" s="23" t="s">
        <v>17</v>
      </c>
      <c r="C11" s="24">
        <v>45474</v>
      </c>
      <c r="D11" s="23" t="s">
        <v>18</v>
      </c>
      <c r="E11" s="23" t="s">
        <v>15</v>
      </c>
      <c r="F11" s="23" t="s">
        <v>19</v>
      </c>
      <c r="G11" s="25">
        <v>46113</v>
      </c>
      <c r="H11" s="23" t="s">
        <v>21</v>
      </c>
      <c r="I11" s="26">
        <v>82.98</v>
      </c>
      <c r="J11" s="26">
        <v>12.446999999999999</v>
      </c>
      <c r="K11" s="18">
        <v>0.15</v>
      </c>
    </row>
    <row r="12" spans="1:11" ht="15" outlineLevel="2" x14ac:dyDescent="0.2">
      <c r="A12" s="27" t="s">
        <v>12</v>
      </c>
      <c r="B12" s="23" t="s">
        <v>17</v>
      </c>
      <c r="C12" s="24">
        <v>45474</v>
      </c>
      <c r="D12" s="23" t="s">
        <v>18</v>
      </c>
      <c r="E12" s="23" t="s">
        <v>15</v>
      </c>
      <c r="F12" s="23" t="s">
        <v>19</v>
      </c>
      <c r="G12" s="25">
        <v>46113</v>
      </c>
      <c r="H12" s="23" t="s">
        <v>22</v>
      </c>
      <c r="I12" s="26">
        <v>82.98</v>
      </c>
      <c r="J12" s="26">
        <v>12.446999999999999</v>
      </c>
      <c r="K12" s="18">
        <v>0.15</v>
      </c>
    </row>
    <row r="13" spans="1:11" ht="15" outlineLevel="2" x14ac:dyDescent="0.2">
      <c r="A13" s="27" t="s">
        <v>12</v>
      </c>
      <c r="B13" s="23" t="s">
        <v>17</v>
      </c>
      <c r="C13" s="24">
        <v>45474</v>
      </c>
      <c r="D13" s="23" t="s">
        <v>18</v>
      </c>
      <c r="E13" s="23" t="s">
        <v>15</v>
      </c>
      <c r="F13" s="23" t="s">
        <v>19</v>
      </c>
      <c r="G13" s="25">
        <v>46113</v>
      </c>
      <c r="H13" s="23" t="s">
        <v>23</v>
      </c>
      <c r="I13" s="26">
        <v>175.57</v>
      </c>
      <c r="J13" s="26">
        <v>26.3355</v>
      </c>
      <c r="K13" s="18">
        <v>0.15</v>
      </c>
    </row>
    <row r="14" spans="1:11" ht="15" outlineLevel="1" x14ac:dyDescent="0.2">
      <c r="A14" s="29"/>
      <c r="B14" s="35" t="s">
        <v>25</v>
      </c>
      <c r="C14" s="31"/>
      <c r="D14" s="30"/>
      <c r="E14" s="30"/>
      <c r="F14" s="30"/>
      <c r="G14" s="32"/>
      <c r="H14" s="30"/>
      <c r="I14" s="33">
        <f>SUBTOTAL(9,I10:I13)</f>
        <v>591.74</v>
      </c>
      <c r="J14" s="33">
        <f>SUBTOTAL(9,J10:J13)</f>
        <v>88.760999999999996</v>
      </c>
      <c r="K14" s="34"/>
    </row>
    <row r="15" spans="1:11" ht="15" x14ac:dyDescent="0.2">
      <c r="A15" s="29"/>
      <c r="B15" s="35" t="s">
        <v>26</v>
      </c>
      <c r="C15" s="31"/>
      <c r="D15" s="30"/>
      <c r="E15" s="30"/>
      <c r="F15" s="30"/>
      <c r="G15" s="32"/>
      <c r="H15" s="30"/>
      <c r="I15" s="33">
        <f>SUBTOTAL(9,I6:I13)</f>
        <v>776.45</v>
      </c>
      <c r="J15" s="33">
        <f>SUBTOTAL(9,J6:J13)</f>
        <v>110.92619999999999</v>
      </c>
      <c r="K15" s="34"/>
    </row>
  </sheetData>
  <mergeCells count="3">
    <mergeCell ref="A3:J3"/>
    <mergeCell ref="F4:G4"/>
    <mergeCell ref="A2:J2"/>
  </mergeCells>
  <conditionalFormatting sqref="A2:J2">
    <cfRule type="expression" dxfId="10" priority="2">
      <formula>RIGHT($A2,5)="Total"</formula>
    </cfRule>
  </conditionalFormatting>
  <conditionalFormatting sqref="A3:K3 A5:K5 B7:K1048576">
    <cfRule type="expression" dxfId="9" priority="19">
      <formula>RIGHT($A3,5)="Total"</formula>
    </cfRule>
  </conditionalFormatting>
  <conditionalFormatting sqref="B7:D1048576">
    <cfRule type="expression" dxfId="8" priority="15">
      <formula>$B7=#REF!</formula>
    </cfRule>
  </conditionalFormatting>
  <conditionalFormatting sqref="B8227:D8228">
    <cfRule type="expression" dxfId="7" priority="49">
      <formula>$B8227=$B7</formula>
    </cfRule>
  </conditionalFormatting>
  <conditionalFormatting sqref="B8229:D8232">
    <cfRule type="expression" dxfId="6" priority="40">
      <formula>$B8229=$B10</formula>
    </cfRule>
  </conditionalFormatting>
  <conditionalFormatting sqref="B8233:D1048576">
    <cfRule type="expression" dxfId="5" priority="20">
      <formula>$B8233=$B16</formula>
    </cfRule>
  </conditionalFormatting>
  <conditionalFormatting sqref="B1:E1 A2:A3 A5">
    <cfRule type="expression" dxfId="4" priority="18">
      <formula>RIGHT(A1,5)="Total"</formula>
    </cfRule>
  </conditionalFormatting>
  <conditionalFormatting sqref="B5:K15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Janki Patel</cp:lastModifiedBy>
  <dcterms:created xsi:type="dcterms:W3CDTF">2020-08-13T20:27:46Z</dcterms:created>
  <dcterms:modified xsi:type="dcterms:W3CDTF">2026-06-04T14:02:05Z</dcterms:modified>
</cp:coreProperties>
</file>