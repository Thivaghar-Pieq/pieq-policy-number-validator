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Transamerica_Employer_Group\2026\June\"/>
    </mc:Choice>
  </mc:AlternateContent>
  <xr:revisionPtr revIDLastSave="0" documentId="13_ncr:1_{7008046B-7C44-4572-86B2-D7A3FAC212EE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1" i="1" l="1"/>
  <c r="I51" i="1"/>
  <c r="J48" i="1"/>
  <c r="I48" i="1"/>
  <c r="J43" i="1"/>
  <c r="I43" i="1"/>
  <c r="J29" i="1"/>
  <c r="I29" i="1"/>
  <c r="J12" i="1"/>
  <c r="J52" i="1" s="1"/>
  <c r="I12" i="1"/>
  <c r="I52" i="1" s="1"/>
  <c r="A2" i="1"/>
  <c r="B4" i="1"/>
  <c r="F4" i="1" s="1"/>
</calcChain>
</file>

<file path=xl/sharedStrings.xml><?xml version="1.0" encoding="utf-8"?>
<sst xmlns="http://schemas.openxmlformats.org/spreadsheetml/2006/main" count="264" uniqueCount="61">
  <si>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</si>
  <si>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</si>
  <si>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</si>
  <si>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</si>
  <si>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</si>
  <si>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</si>
  <si>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</si>
  <si>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</si>
  <si>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</si>
  <si>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</si>
  <si>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</si>
  <si>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</si>
  <si>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</si>
  <si>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Boulder Valley Plastic Surgery</t>
  </si>
  <si>
    <t>40606</t>
  </si>
  <si>
    <t>Transamerica</t>
  </si>
  <si>
    <t>TC3 CW 5000/2500 Plan (IP, OP, 2500AMB, INF, EC)</t>
  </si>
  <si>
    <t>1409702</t>
  </si>
  <si>
    <t>1409658</t>
  </si>
  <si>
    <t>1409701</t>
  </si>
  <si>
    <t>Essence Painting &amp; Restoration Inc</t>
  </si>
  <si>
    <t>38765</t>
  </si>
  <si>
    <t>TC3 CW 5000/5000 Plan (IP, OP, 2500AMB, INF, EC)</t>
  </si>
  <si>
    <t>1297690</t>
  </si>
  <si>
    <t>1297689</t>
  </si>
  <si>
    <t>1297699</t>
  </si>
  <si>
    <t>1297697</t>
  </si>
  <si>
    <t>JBR Inc-Creative Millworks</t>
  </si>
  <si>
    <t>37136</t>
  </si>
  <si>
    <t>TC3 CW 6500/6500 Plan (IP, OP, 2500AMB)</t>
  </si>
  <si>
    <t>1006828</t>
  </si>
  <si>
    <t>1006547</t>
  </si>
  <si>
    <t>1006599</t>
  </si>
  <si>
    <t>1335129</t>
  </si>
  <si>
    <t>1007058</t>
  </si>
  <si>
    <t>1263410</t>
  </si>
  <si>
    <t>1007123</t>
  </si>
  <si>
    <t>1006981</t>
  </si>
  <si>
    <t>1006556</t>
  </si>
  <si>
    <t>1006943</t>
  </si>
  <si>
    <t>1007135</t>
  </si>
  <si>
    <t>1006725</t>
  </si>
  <si>
    <t>1007082</t>
  </si>
  <si>
    <t>Provectus Environmental Products Inc</t>
  </si>
  <si>
    <t>41136</t>
  </si>
  <si>
    <t>TC3 CW 3500/3500 Plan (IP, OP, 2500AMB, INF, 1000PT, DME, ILAB, DRLAB)</t>
  </si>
  <si>
    <t>1439986</t>
  </si>
  <si>
    <t>1439991</t>
  </si>
  <si>
    <t>1439984</t>
  </si>
  <si>
    <t>1439985</t>
  </si>
  <si>
    <t>Serko USA</t>
  </si>
  <si>
    <t>36488</t>
  </si>
  <si>
    <t>TC3 CW 1000/1000 Plan (IP, OP, 2000AMB, INF)</t>
  </si>
  <si>
    <t>950611</t>
  </si>
  <si>
    <t>950679</t>
  </si>
  <si>
    <t>Boulder Valley Plastic Surgery Total</t>
  </si>
  <si>
    <t>Essence Painting &amp; Restoration Inc Total</t>
  </si>
  <si>
    <t>JBR Inc-Creative Millworks Total</t>
  </si>
  <si>
    <t>Provectus Environmental Products Inc Total</t>
  </si>
  <si>
    <t>Serko USA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</si>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</sst>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4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52"/>
  <sheetViews>
    <sheetView tabSelected="1" topLeftCell="A7" zoomScale="85" zoomScaleNormal="85" zoomScaleSheetLayoutView="80" workbookViewId="0">
      <selection activeCell="H4" sqref="H4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67.42578125" style="1" bestFit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9" t="str">
        <f>ImportStart</f>
        <v>Main Line Benefits LLC-Malvern</v>
      </c>
      <c r="B2" s="39"/>
      <c r="C2" s="39"/>
      <c r="D2" s="39"/>
      <c r="E2" s="39"/>
      <c r="F2" s="39"/>
      <c r="G2" s="39"/>
      <c r="H2" s="39"/>
      <c r="I2" s="39"/>
      <c r="J2" s="39"/>
    </row>
    <row r="3" spans="1:11" s="5" customFormat="1" ht="36.75" customHeight="1" x14ac:dyDescent="0.3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15"/>
    </row>
    <row r="4" spans="1:11" s="6" customFormat="1" ht="44.25" x14ac:dyDescent="0.55000000000000004">
      <c r="B4" s="13">
        <f>MAX(G6:G1048576)</f>
        <v>46174</v>
      </c>
      <c r="C4" s="9"/>
      <c r="D4" s="9"/>
      <c r="E4" s="9"/>
      <c r="F4" s="37" t="str">
        <f>TEXT(B4,"mmmm yyyy")</f>
        <v>June 2026</v>
      </c>
      <c r="G4" s="38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46023</v>
      </c>
      <c r="D6" s="23" t="s">
        <v>14</v>
      </c>
      <c r="E6" s="23" t="s">
        <v>15</v>
      </c>
      <c r="F6" s="23" t="s">
        <v>16</v>
      </c>
      <c r="G6" s="25">
        <v>46174</v>
      </c>
      <c r="H6" s="23" t="s">
        <v>17</v>
      </c>
      <c r="I6" s="26">
        <v>61.57</v>
      </c>
      <c r="J6" s="26">
        <v>7.3883999999999999</v>
      </c>
      <c r="K6" s="18">
        <v>0.12</v>
      </c>
    </row>
    <row r="7" spans="1:11" ht="15" outlineLevel="2" x14ac:dyDescent="0.2">
      <c r="A7" s="27" t="s">
        <v>12</v>
      </c>
      <c r="B7" s="23" t="s">
        <v>13</v>
      </c>
      <c r="C7" s="24">
        <v>46023</v>
      </c>
      <c r="D7" s="23" t="s">
        <v>14</v>
      </c>
      <c r="E7" s="23" t="s">
        <v>15</v>
      </c>
      <c r="F7" s="23" t="s">
        <v>16</v>
      </c>
      <c r="G7" s="25">
        <v>46174</v>
      </c>
      <c r="H7" s="23" t="s">
        <v>18</v>
      </c>
      <c r="I7" s="26">
        <v>61.57</v>
      </c>
      <c r="J7" s="26">
        <v>7.3883999999999999</v>
      </c>
      <c r="K7" s="18">
        <v>0.12</v>
      </c>
    </row>
    <row r="8" spans="1:11" ht="15" outlineLevel="2" x14ac:dyDescent="0.2">
      <c r="A8" s="27" t="s">
        <v>12</v>
      </c>
      <c r="B8" s="23" t="s">
        <v>13</v>
      </c>
      <c r="C8" s="24">
        <v>46023</v>
      </c>
      <c r="D8" s="23" t="s">
        <v>14</v>
      </c>
      <c r="E8" s="23" t="s">
        <v>15</v>
      </c>
      <c r="F8" s="23" t="s">
        <v>16</v>
      </c>
      <c r="G8" s="25">
        <v>46174</v>
      </c>
      <c r="H8" s="23" t="s">
        <v>19</v>
      </c>
      <c r="I8" s="26">
        <v>61.57</v>
      </c>
      <c r="J8" s="26">
        <v>7.3883999999999999</v>
      </c>
      <c r="K8" s="18">
        <v>0.12</v>
      </c>
    </row>
    <row r="9" spans="1:11" ht="15" outlineLevel="2" x14ac:dyDescent="0.2">
      <c r="A9" s="27" t="s">
        <v>12</v>
      </c>
      <c r="B9" s="23" t="s">
        <v>13</v>
      </c>
      <c r="C9" s="24">
        <v>46023</v>
      </c>
      <c r="D9" s="23" t="s">
        <v>14</v>
      </c>
      <c r="E9" s="23" t="s">
        <v>15</v>
      </c>
      <c r="F9" s="23" t="s">
        <v>16</v>
      </c>
      <c r="G9" s="25">
        <v>46143</v>
      </c>
      <c r="H9" s="23" t="s">
        <v>18</v>
      </c>
      <c r="I9" s="26">
        <v>61.57</v>
      </c>
      <c r="J9" s="26">
        <v>7.3883999999999999</v>
      </c>
      <c r="K9" s="18">
        <v>0.12</v>
      </c>
    </row>
    <row r="10" spans="1:11" ht="15" outlineLevel="2" x14ac:dyDescent="0.2">
      <c r="A10" s="27" t="s">
        <v>12</v>
      </c>
      <c r="B10" s="23" t="s">
        <v>13</v>
      </c>
      <c r="C10" s="24">
        <v>46023</v>
      </c>
      <c r="D10" s="23" t="s">
        <v>14</v>
      </c>
      <c r="E10" s="23" t="s">
        <v>15</v>
      </c>
      <c r="F10" s="23" t="s">
        <v>16</v>
      </c>
      <c r="G10" s="25">
        <v>46143</v>
      </c>
      <c r="H10" s="23" t="s">
        <v>17</v>
      </c>
      <c r="I10" s="26">
        <v>61.57</v>
      </c>
      <c r="J10" s="26">
        <v>7.3883999999999999</v>
      </c>
      <c r="K10" s="18">
        <v>0.12</v>
      </c>
    </row>
    <row r="11" spans="1:11" ht="15" outlineLevel="2" x14ac:dyDescent="0.2">
      <c r="A11" s="27" t="s">
        <v>12</v>
      </c>
      <c r="B11" s="23" t="s">
        <v>13</v>
      </c>
      <c r="C11" s="24">
        <v>46023</v>
      </c>
      <c r="D11" s="23" t="s">
        <v>14</v>
      </c>
      <c r="E11" s="23" t="s">
        <v>15</v>
      </c>
      <c r="F11" s="23" t="s">
        <v>16</v>
      </c>
      <c r="G11" s="25">
        <v>46143</v>
      </c>
      <c r="H11" s="23" t="s">
        <v>19</v>
      </c>
      <c r="I11" s="26">
        <v>61.57</v>
      </c>
      <c r="J11" s="26">
        <v>7.3883999999999999</v>
      </c>
      <c r="K11" s="18">
        <v>0.12</v>
      </c>
    </row>
    <row r="12" spans="1:11" ht="15" outlineLevel="1" x14ac:dyDescent="0.2">
      <c r="A12" s="27"/>
      <c r="B12" s="28" t="s">
        <v>55</v>
      </c>
      <c r="C12" s="24"/>
      <c r="D12" s="23"/>
      <c r="E12" s="23"/>
      <c r="F12" s="23"/>
      <c r="G12" s="25"/>
      <c r="H12" s="23"/>
      <c r="I12" s="26">
        <f>SUBTOTAL(9,I6:I11)</f>
        <v>369.42</v>
      </c>
      <c r="J12" s="26">
        <f>SUBTOTAL(9,J6:J11)</f>
        <v>44.330399999999997</v>
      </c>
      <c r="K12" s="18"/>
    </row>
    <row r="13" spans="1:11" ht="15" outlineLevel="2" x14ac:dyDescent="0.2">
      <c r="A13" s="27" t="s">
        <v>12</v>
      </c>
      <c r="B13" s="23" t="s">
        <v>20</v>
      </c>
      <c r="C13" s="24">
        <v>45474</v>
      </c>
      <c r="D13" s="23" t="s">
        <v>21</v>
      </c>
      <c r="E13" s="23" t="s">
        <v>15</v>
      </c>
      <c r="F13" s="23" t="s">
        <v>22</v>
      </c>
      <c r="G13" s="25">
        <v>46054</v>
      </c>
      <c r="H13" s="23" t="s">
        <v>23</v>
      </c>
      <c r="I13" s="26">
        <v>-82.98</v>
      </c>
      <c r="J13" s="26">
        <v>-12.446999999999999</v>
      </c>
      <c r="K13" s="18">
        <v>0.15</v>
      </c>
    </row>
    <row r="14" spans="1:11" ht="15" outlineLevel="2" x14ac:dyDescent="0.2">
      <c r="A14" s="27" t="s">
        <v>12</v>
      </c>
      <c r="B14" s="23" t="s">
        <v>20</v>
      </c>
      <c r="C14" s="24">
        <v>45474</v>
      </c>
      <c r="D14" s="23" t="s">
        <v>21</v>
      </c>
      <c r="E14" s="23" t="s">
        <v>15</v>
      </c>
      <c r="F14" s="23" t="s">
        <v>22</v>
      </c>
      <c r="G14" s="25">
        <v>46082</v>
      </c>
      <c r="H14" s="23" t="s">
        <v>23</v>
      </c>
      <c r="I14" s="26">
        <v>-82.98</v>
      </c>
      <c r="J14" s="26">
        <v>-12.446999999999999</v>
      </c>
      <c r="K14" s="18">
        <v>0.15</v>
      </c>
    </row>
    <row r="15" spans="1:11" ht="15" outlineLevel="2" x14ac:dyDescent="0.2">
      <c r="A15" s="27" t="s">
        <v>12</v>
      </c>
      <c r="B15" s="23" t="s">
        <v>20</v>
      </c>
      <c r="C15" s="24">
        <v>45474</v>
      </c>
      <c r="D15" s="23" t="s">
        <v>21</v>
      </c>
      <c r="E15" s="23" t="s">
        <v>15</v>
      </c>
      <c r="F15" s="23" t="s">
        <v>22</v>
      </c>
      <c r="G15" s="25">
        <v>46113</v>
      </c>
      <c r="H15" s="23" t="s">
        <v>23</v>
      </c>
      <c r="I15" s="26">
        <v>-82.98</v>
      </c>
      <c r="J15" s="26">
        <v>-12.446999999999999</v>
      </c>
      <c r="K15" s="18">
        <v>0.15</v>
      </c>
    </row>
    <row r="16" spans="1:11" ht="15" outlineLevel="2" x14ac:dyDescent="0.2">
      <c r="A16" s="27" t="s">
        <v>12</v>
      </c>
      <c r="B16" s="23" t="s">
        <v>20</v>
      </c>
      <c r="C16" s="24">
        <v>45474</v>
      </c>
      <c r="D16" s="23" t="s">
        <v>21</v>
      </c>
      <c r="E16" s="23" t="s">
        <v>15</v>
      </c>
      <c r="F16" s="23" t="s">
        <v>22</v>
      </c>
      <c r="G16" s="25">
        <v>46023</v>
      </c>
      <c r="H16" s="23" t="s">
        <v>24</v>
      </c>
      <c r="I16" s="26">
        <v>-82.98</v>
      </c>
      <c r="J16" s="26">
        <v>-12.446999999999999</v>
      </c>
      <c r="K16" s="18">
        <v>0.15</v>
      </c>
    </row>
    <row r="17" spans="1:11" ht="15" outlineLevel="2" x14ac:dyDescent="0.2">
      <c r="A17" s="27" t="s">
        <v>12</v>
      </c>
      <c r="B17" s="23" t="s">
        <v>20</v>
      </c>
      <c r="C17" s="24">
        <v>45474</v>
      </c>
      <c r="D17" s="23" t="s">
        <v>21</v>
      </c>
      <c r="E17" s="23" t="s">
        <v>15</v>
      </c>
      <c r="F17" s="23" t="s">
        <v>22</v>
      </c>
      <c r="G17" s="25">
        <v>46054</v>
      </c>
      <c r="H17" s="23" t="s">
        <v>24</v>
      </c>
      <c r="I17" s="26">
        <v>-82.98</v>
      </c>
      <c r="J17" s="26">
        <v>-12.446999999999999</v>
      </c>
      <c r="K17" s="18">
        <v>0.15</v>
      </c>
    </row>
    <row r="18" spans="1:11" ht="15" outlineLevel="2" x14ac:dyDescent="0.2">
      <c r="A18" s="27" t="s">
        <v>12</v>
      </c>
      <c r="B18" s="23" t="s">
        <v>20</v>
      </c>
      <c r="C18" s="24">
        <v>45474</v>
      </c>
      <c r="D18" s="23" t="s">
        <v>21</v>
      </c>
      <c r="E18" s="23" t="s">
        <v>15</v>
      </c>
      <c r="F18" s="23" t="s">
        <v>22</v>
      </c>
      <c r="G18" s="25">
        <v>46054</v>
      </c>
      <c r="H18" s="23" t="s">
        <v>25</v>
      </c>
      <c r="I18" s="26">
        <v>-175.57</v>
      </c>
      <c r="J18" s="26">
        <v>-26.3355</v>
      </c>
      <c r="K18" s="18">
        <v>0.15</v>
      </c>
    </row>
    <row r="19" spans="1:11" ht="15" outlineLevel="2" x14ac:dyDescent="0.2">
      <c r="A19" s="27" t="s">
        <v>12</v>
      </c>
      <c r="B19" s="23" t="s">
        <v>20</v>
      </c>
      <c r="C19" s="24">
        <v>45474</v>
      </c>
      <c r="D19" s="23" t="s">
        <v>21</v>
      </c>
      <c r="E19" s="23" t="s">
        <v>15</v>
      </c>
      <c r="F19" s="23" t="s">
        <v>22</v>
      </c>
      <c r="G19" s="25">
        <v>46023</v>
      </c>
      <c r="H19" s="23" t="s">
        <v>23</v>
      </c>
      <c r="I19" s="26">
        <v>-82.98</v>
      </c>
      <c r="J19" s="26">
        <v>-12.446999999999999</v>
      </c>
      <c r="K19" s="18">
        <v>0.15</v>
      </c>
    </row>
    <row r="20" spans="1:11" ht="15" outlineLevel="2" x14ac:dyDescent="0.2">
      <c r="A20" s="27" t="s">
        <v>12</v>
      </c>
      <c r="B20" s="23" t="s">
        <v>20</v>
      </c>
      <c r="C20" s="24">
        <v>45474</v>
      </c>
      <c r="D20" s="23" t="s">
        <v>21</v>
      </c>
      <c r="E20" s="23" t="s">
        <v>15</v>
      </c>
      <c r="F20" s="23" t="s">
        <v>22</v>
      </c>
      <c r="G20" s="25">
        <v>46082</v>
      </c>
      <c r="H20" s="23" t="s">
        <v>24</v>
      </c>
      <c r="I20" s="26">
        <v>-82.98</v>
      </c>
      <c r="J20" s="26">
        <v>-12.446999999999999</v>
      </c>
      <c r="K20" s="18">
        <v>0.15</v>
      </c>
    </row>
    <row r="21" spans="1:11" ht="15" outlineLevel="2" x14ac:dyDescent="0.2">
      <c r="A21" s="27" t="s">
        <v>12</v>
      </c>
      <c r="B21" s="23" t="s">
        <v>20</v>
      </c>
      <c r="C21" s="24">
        <v>45474</v>
      </c>
      <c r="D21" s="23" t="s">
        <v>21</v>
      </c>
      <c r="E21" s="23" t="s">
        <v>15</v>
      </c>
      <c r="F21" s="23" t="s">
        <v>22</v>
      </c>
      <c r="G21" s="25">
        <v>46082</v>
      </c>
      <c r="H21" s="23" t="s">
        <v>25</v>
      </c>
      <c r="I21" s="26">
        <v>-175.57</v>
      </c>
      <c r="J21" s="26">
        <v>-26.3355</v>
      </c>
      <c r="K21" s="18">
        <v>0.15</v>
      </c>
    </row>
    <row r="22" spans="1:11" ht="15" outlineLevel="2" x14ac:dyDescent="0.2">
      <c r="A22" s="27" t="s">
        <v>12</v>
      </c>
      <c r="B22" s="23" t="s">
        <v>20</v>
      </c>
      <c r="C22" s="24">
        <v>45474</v>
      </c>
      <c r="D22" s="23" t="s">
        <v>21</v>
      </c>
      <c r="E22" s="23" t="s">
        <v>15</v>
      </c>
      <c r="F22" s="23" t="s">
        <v>22</v>
      </c>
      <c r="G22" s="25">
        <v>46023</v>
      </c>
      <c r="H22" s="23" t="s">
        <v>25</v>
      </c>
      <c r="I22" s="26">
        <v>-175.57</v>
      </c>
      <c r="J22" s="26">
        <v>-26.3355</v>
      </c>
      <c r="K22" s="18">
        <v>0.15</v>
      </c>
    </row>
    <row r="23" spans="1:11" ht="15" outlineLevel="2" x14ac:dyDescent="0.2">
      <c r="A23" s="27" t="s">
        <v>12</v>
      </c>
      <c r="B23" s="23" t="s">
        <v>20</v>
      </c>
      <c r="C23" s="24">
        <v>45474</v>
      </c>
      <c r="D23" s="23" t="s">
        <v>21</v>
      </c>
      <c r="E23" s="23" t="s">
        <v>15</v>
      </c>
      <c r="F23" s="23" t="s">
        <v>22</v>
      </c>
      <c r="G23" s="25">
        <v>46113</v>
      </c>
      <c r="H23" s="23" t="s">
        <v>26</v>
      </c>
      <c r="I23" s="26">
        <v>-250.21</v>
      </c>
      <c r="J23" s="26">
        <v>-37.531500000000001</v>
      </c>
      <c r="K23" s="18">
        <v>0.15</v>
      </c>
    </row>
    <row r="24" spans="1:11" ht="15" outlineLevel="2" x14ac:dyDescent="0.2">
      <c r="A24" s="27" t="s">
        <v>12</v>
      </c>
      <c r="B24" s="23" t="s">
        <v>20</v>
      </c>
      <c r="C24" s="24">
        <v>45474</v>
      </c>
      <c r="D24" s="23" t="s">
        <v>21</v>
      </c>
      <c r="E24" s="23" t="s">
        <v>15</v>
      </c>
      <c r="F24" s="23" t="s">
        <v>22</v>
      </c>
      <c r="G24" s="25">
        <v>46082</v>
      </c>
      <c r="H24" s="23" t="s">
        <v>26</v>
      </c>
      <c r="I24" s="26">
        <v>-250.21</v>
      </c>
      <c r="J24" s="26">
        <v>-37.531500000000001</v>
      </c>
      <c r="K24" s="18">
        <v>0.15</v>
      </c>
    </row>
    <row r="25" spans="1:11" ht="15" outlineLevel="2" x14ac:dyDescent="0.2">
      <c r="A25" s="27" t="s">
        <v>12</v>
      </c>
      <c r="B25" s="23" t="s">
        <v>20</v>
      </c>
      <c r="C25" s="24">
        <v>45474</v>
      </c>
      <c r="D25" s="23" t="s">
        <v>21</v>
      </c>
      <c r="E25" s="23" t="s">
        <v>15</v>
      </c>
      <c r="F25" s="23" t="s">
        <v>22</v>
      </c>
      <c r="G25" s="25">
        <v>46054</v>
      </c>
      <c r="H25" s="23" t="s">
        <v>26</v>
      </c>
      <c r="I25" s="26">
        <v>-250.21</v>
      </c>
      <c r="J25" s="26">
        <v>-37.531500000000001</v>
      </c>
      <c r="K25" s="18">
        <v>0.15</v>
      </c>
    </row>
    <row r="26" spans="1:11" ht="15" outlineLevel="2" x14ac:dyDescent="0.2">
      <c r="A26" s="27" t="s">
        <v>12</v>
      </c>
      <c r="B26" s="23" t="s">
        <v>20</v>
      </c>
      <c r="C26" s="24">
        <v>45474</v>
      </c>
      <c r="D26" s="23" t="s">
        <v>21</v>
      </c>
      <c r="E26" s="23" t="s">
        <v>15</v>
      </c>
      <c r="F26" s="23" t="s">
        <v>22</v>
      </c>
      <c r="G26" s="25">
        <v>46023</v>
      </c>
      <c r="H26" s="23" t="s">
        <v>26</v>
      </c>
      <c r="I26" s="26">
        <v>-250.21</v>
      </c>
      <c r="J26" s="26">
        <v>-37.531500000000001</v>
      </c>
      <c r="K26" s="18">
        <v>0.15</v>
      </c>
    </row>
    <row r="27" spans="1:11" ht="15" outlineLevel="2" x14ac:dyDescent="0.2">
      <c r="A27" s="27" t="s">
        <v>12</v>
      </c>
      <c r="B27" s="23" t="s">
        <v>20</v>
      </c>
      <c r="C27" s="24">
        <v>45474</v>
      </c>
      <c r="D27" s="23" t="s">
        <v>21</v>
      </c>
      <c r="E27" s="23" t="s">
        <v>15</v>
      </c>
      <c r="F27" s="23" t="s">
        <v>22</v>
      </c>
      <c r="G27" s="25">
        <v>46113</v>
      </c>
      <c r="H27" s="23" t="s">
        <v>24</v>
      </c>
      <c r="I27" s="26">
        <v>-82.98</v>
      </c>
      <c r="J27" s="26">
        <v>-12.446999999999999</v>
      </c>
      <c r="K27" s="18">
        <v>0.15</v>
      </c>
    </row>
    <row r="28" spans="1:11" ht="15" outlineLevel="2" x14ac:dyDescent="0.2">
      <c r="A28" s="27" t="s">
        <v>12</v>
      </c>
      <c r="B28" s="23" t="s">
        <v>20</v>
      </c>
      <c r="C28" s="24">
        <v>45474</v>
      </c>
      <c r="D28" s="23" t="s">
        <v>21</v>
      </c>
      <c r="E28" s="23" t="s">
        <v>15</v>
      </c>
      <c r="F28" s="23" t="s">
        <v>22</v>
      </c>
      <c r="G28" s="25">
        <v>46113</v>
      </c>
      <c r="H28" s="23" t="s">
        <v>25</v>
      </c>
      <c r="I28" s="26">
        <v>-175.57</v>
      </c>
      <c r="J28" s="26">
        <v>-26.3355</v>
      </c>
      <c r="K28" s="18">
        <v>0.15</v>
      </c>
    </row>
    <row r="29" spans="1:11" ht="15" outlineLevel="1" x14ac:dyDescent="0.2">
      <c r="A29" s="27"/>
      <c r="B29" s="28" t="s">
        <v>56</v>
      </c>
      <c r="C29" s="24"/>
      <c r="D29" s="23"/>
      <c r="E29" s="23"/>
      <c r="F29" s="23"/>
      <c r="G29" s="25"/>
      <c r="H29" s="23"/>
      <c r="I29" s="26">
        <f>SUBTOTAL(9,I13:I28)</f>
        <v>-2366.96</v>
      </c>
      <c r="J29" s="26">
        <f>SUBTOTAL(9,J13:J28)</f>
        <v>-355.04400000000004</v>
      </c>
      <c r="K29" s="18"/>
    </row>
    <row r="30" spans="1:11" ht="15" outlineLevel="2" x14ac:dyDescent="0.2">
      <c r="A30" s="27" t="s">
        <v>12</v>
      </c>
      <c r="B30" s="23" t="s">
        <v>27</v>
      </c>
      <c r="C30" s="24">
        <v>44896</v>
      </c>
      <c r="D30" s="23" t="s">
        <v>28</v>
      </c>
      <c r="E30" s="23" t="s">
        <v>15</v>
      </c>
      <c r="F30" s="23" t="s">
        <v>29</v>
      </c>
      <c r="G30" s="25">
        <v>46174</v>
      </c>
      <c r="H30" s="23" t="s">
        <v>30</v>
      </c>
      <c r="I30" s="26">
        <v>88.94</v>
      </c>
      <c r="J30" s="26">
        <v>13.340999999999999</v>
      </c>
      <c r="K30" s="18">
        <v>0.15</v>
      </c>
    </row>
    <row r="31" spans="1:11" ht="15" outlineLevel="2" x14ac:dyDescent="0.2">
      <c r="A31" s="27" t="s">
        <v>12</v>
      </c>
      <c r="B31" s="23" t="s">
        <v>27</v>
      </c>
      <c r="C31" s="24">
        <v>44896</v>
      </c>
      <c r="D31" s="23" t="s">
        <v>28</v>
      </c>
      <c r="E31" s="23" t="s">
        <v>15</v>
      </c>
      <c r="F31" s="23" t="s">
        <v>29</v>
      </c>
      <c r="G31" s="25">
        <v>46174</v>
      </c>
      <c r="H31" s="23" t="s">
        <v>31</v>
      </c>
      <c r="I31" s="26">
        <v>88.94</v>
      </c>
      <c r="J31" s="26">
        <v>13.340999999999999</v>
      </c>
      <c r="K31" s="18">
        <v>0.15</v>
      </c>
    </row>
    <row r="32" spans="1:11" ht="15" outlineLevel="2" x14ac:dyDescent="0.2">
      <c r="A32" s="27" t="s">
        <v>12</v>
      </c>
      <c r="B32" s="23" t="s">
        <v>27</v>
      </c>
      <c r="C32" s="24">
        <v>44896</v>
      </c>
      <c r="D32" s="23" t="s">
        <v>28</v>
      </c>
      <c r="E32" s="23" t="s">
        <v>15</v>
      </c>
      <c r="F32" s="23" t="s">
        <v>29</v>
      </c>
      <c r="G32" s="25">
        <v>46174</v>
      </c>
      <c r="H32" s="23" t="s">
        <v>32</v>
      </c>
      <c r="I32" s="26">
        <v>194.63</v>
      </c>
      <c r="J32" s="26">
        <v>29.194500000000001</v>
      </c>
      <c r="K32" s="18">
        <v>0.15</v>
      </c>
    </row>
    <row r="33" spans="1:11" ht="15" outlineLevel="2" x14ac:dyDescent="0.2">
      <c r="A33" s="27" t="s">
        <v>12</v>
      </c>
      <c r="B33" s="23" t="s">
        <v>27</v>
      </c>
      <c r="C33" s="24">
        <v>44896</v>
      </c>
      <c r="D33" s="23" t="s">
        <v>28</v>
      </c>
      <c r="E33" s="23" t="s">
        <v>15</v>
      </c>
      <c r="F33" s="23" t="s">
        <v>29</v>
      </c>
      <c r="G33" s="25">
        <v>46174</v>
      </c>
      <c r="H33" s="23" t="s">
        <v>33</v>
      </c>
      <c r="I33" s="26">
        <v>88.94</v>
      </c>
      <c r="J33" s="26">
        <v>13.340999999999999</v>
      </c>
      <c r="K33" s="18">
        <v>0.15</v>
      </c>
    </row>
    <row r="34" spans="1:11" ht="15" outlineLevel="2" x14ac:dyDescent="0.2">
      <c r="A34" s="27" t="s">
        <v>12</v>
      </c>
      <c r="B34" s="23" t="s">
        <v>27</v>
      </c>
      <c r="C34" s="24">
        <v>44896</v>
      </c>
      <c r="D34" s="23" t="s">
        <v>28</v>
      </c>
      <c r="E34" s="23" t="s">
        <v>15</v>
      </c>
      <c r="F34" s="23" t="s">
        <v>29</v>
      </c>
      <c r="G34" s="25">
        <v>46174</v>
      </c>
      <c r="H34" s="23" t="s">
        <v>34</v>
      </c>
      <c r="I34" s="26">
        <v>88.94</v>
      </c>
      <c r="J34" s="26">
        <v>13.340999999999999</v>
      </c>
      <c r="K34" s="18">
        <v>0.15</v>
      </c>
    </row>
    <row r="35" spans="1:11" ht="15" outlineLevel="2" x14ac:dyDescent="0.2">
      <c r="A35" s="27" t="s">
        <v>12</v>
      </c>
      <c r="B35" s="23" t="s">
        <v>27</v>
      </c>
      <c r="C35" s="24">
        <v>44896</v>
      </c>
      <c r="D35" s="23" t="s">
        <v>28</v>
      </c>
      <c r="E35" s="23" t="s">
        <v>15</v>
      </c>
      <c r="F35" s="23" t="s">
        <v>29</v>
      </c>
      <c r="G35" s="25">
        <v>46174</v>
      </c>
      <c r="H35" s="23" t="s">
        <v>35</v>
      </c>
      <c r="I35" s="26">
        <v>88.94</v>
      </c>
      <c r="J35" s="26">
        <v>13.340999999999999</v>
      </c>
      <c r="K35" s="18">
        <v>0.15</v>
      </c>
    </row>
    <row r="36" spans="1:11" ht="15" outlineLevel="2" x14ac:dyDescent="0.2">
      <c r="A36" s="27" t="s">
        <v>12</v>
      </c>
      <c r="B36" s="23" t="s">
        <v>27</v>
      </c>
      <c r="C36" s="24">
        <v>44896</v>
      </c>
      <c r="D36" s="23" t="s">
        <v>28</v>
      </c>
      <c r="E36" s="23" t="s">
        <v>15</v>
      </c>
      <c r="F36" s="23" t="s">
        <v>29</v>
      </c>
      <c r="G36" s="25">
        <v>46174</v>
      </c>
      <c r="H36" s="23" t="s">
        <v>36</v>
      </c>
      <c r="I36" s="26">
        <v>88.94</v>
      </c>
      <c r="J36" s="26">
        <v>13.340999999999999</v>
      </c>
      <c r="K36" s="18">
        <v>0.15</v>
      </c>
    </row>
    <row r="37" spans="1:11" ht="15" outlineLevel="2" x14ac:dyDescent="0.2">
      <c r="A37" s="27" t="s">
        <v>12</v>
      </c>
      <c r="B37" s="23" t="s">
        <v>27</v>
      </c>
      <c r="C37" s="24">
        <v>44896</v>
      </c>
      <c r="D37" s="23" t="s">
        <v>28</v>
      </c>
      <c r="E37" s="23" t="s">
        <v>15</v>
      </c>
      <c r="F37" s="23" t="s">
        <v>29</v>
      </c>
      <c r="G37" s="25">
        <v>46174</v>
      </c>
      <c r="H37" s="23" t="s">
        <v>37</v>
      </c>
      <c r="I37" s="26">
        <v>88.94</v>
      </c>
      <c r="J37" s="26">
        <v>13.340999999999999</v>
      </c>
      <c r="K37" s="18">
        <v>0.15</v>
      </c>
    </row>
    <row r="38" spans="1:11" ht="15" outlineLevel="2" x14ac:dyDescent="0.2">
      <c r="A38" s="27" t="s">
        <v>12</v>
      </c>
      <c r="B38" s="23" t="s">
        <v>27</v>
      </c>
      <c r="C38" s="24">
        <v>44896</v>
      </c>
      <c r="D38" s="23" t="s">
        <v>28</v>
      </c>
      <c r="E38" s="23" t="s">
        <v>15</v>
      </c>
      <c r="F38" s="23" t="s">
        <v>29</v>
      </c>
      <c r="G38" s="25">
        <v>46174</v>
      </c>
      <c r="H38" s="23" t="s">
        <v>38</v>
      </c>
      <c r="I38" s="26">
        <v>194.63</v>
      </c>
      <c r="J38" s="26">
        <v>29.194500000000001</v>
      </c>
      <c r="K38" s="18">
        <v>0.15</v>
      </c>
    </row>
    <row r="39" spans="1:11" ht="15" outlineLevel="2" x14ac:dyDescent="0.2">
      <c r="A39" s="27" t="s">
        <v>12</v>
      </c>
      <c r="B39" s="23" t="s">
        <v>27</v>
      </c>
      <c r="C39" s="24">
        <v>44896</v>
      </c>
      <c r="D39" s="23" t="s">
        <v>28</v>
      </c>
      <c r="E39" s="23" t="s">
        <v>15</v>
      </c>
      <c r="F39" s="23" t="s">
        <v>29</v>
      </c>
      <c r="G39" s="25">
        <v>46174</v>
      </c>
      <c r="H39" s="23" t="s">
        <v>39</v>
      </c>
      <c r="I39" s="26">
        <v>279.54000000000002</v>
      </c>
      <c r="J39" s="26">
        <v>41.930999999999997</v>
      </c>
      <c r="K39" s="18">
        <v>0.15</v>
      </c>
    </row>
    <row r="40" spans="1:11" ht="15" outlineLevel="2" x14ac:dyDescent="0.2">
      <c r="A40" s="27" t="s">
        <v>12</v>
      </c>
      <c r="B40" s="23" t="s">
        <v>27</v>
      </c>
      <c r="C40" s="24">
        <v>44896</v>
      </c>
      <c r="D40" s="23" t="s">
        <v>28</v>
      </c>
      <c r="E40" s="23" t="s">
        <v>15</v>
      </c>
      <c r="F40" s="23" t="s">
        <v>29</v>
      </c>
      <c r="G40" s="25">
        <v>46174</v>
      </c>
      <c r="H40" s="23" t="s">
        <v>40</v>
      </c>
      <c r="I40" s="26">
        <v>88.94</v>
      </c>
      <c r="J40" s="26">
        <v>13.340999999999999</v>
      </c>
      <c r="K40" s="18">
        <v>0.15</v>
      </c>
    </row>
    <row r="41" spans="1:11" ht="15" outlineLevel="2" x14ac:dyDescent="0.2">
      <c r="A41" s="27" t="s">
        <v>12</v>
      </c>
      <c r="B41" s="23" t="s">
        <v>27</v>
      </c>
      <c r="C41" s="24">
        <v>44896</v>
      </c>
      <c r="D41" s="23" t="s">
        <v>28</v>
      </c>
      <c r="E41" s="23" t="s">
        <v>15</v>
      </c>
      <c r="F41" s="23" t="s">
        <v>29</v>
      </c>
      <c r="G41" s="25">
        <v>46174</v>
      </c>
      <c r="H41" s="23" t="s">
        <v>41</v>
      </c>
      <c r="I41" s="26">
        <v>88.94</v>
      </c>
      <c r="J41" s="26">
        <v>13.340999999999999</v>
      </c>
      <c r="K41" s="18">
        <v>0.15</v>
      </c>
    </row>
    <row r="42" spans="1:11" ht="15" outlineLevel="2" x14ac:dyDescent="0.2">
      <c r="A42" s="27" t="s">
        <v>12</v>
      </c>
      <c r="B42" s="23" t="s">
        <v>27</v>
      </c>
      <c r="C42" s="24">
        <v>44896</v>
      </c>
      <c r="D42" s="23" t="s">
        <v>28</v>
      </c>
      <c r="E42" s="23" t="s">
        <v>15</v>
      </c>
      <c r="F42" s="23" t="s">
        <v>29</v>
      </c>
      <c r="G42" s="25">
        <v>46174</v>
      </c>
      <c r="H42" s="23" t="s">
        <v>42</v>
      </c>
      <c r="I42" s="26">
        <v>88.94</v>
      </c>
      <c r="J42" s="26">
        <v>13.340999999999999</v>
      </c>
      <c r="K42" s="18">
        <v>0.15</v>
      </c>
    </row>
    <row r="43" spans="1:11" ht="15" outlineLevel="1" x14ac:dyDescent="0.2">
      <c r="A43" s="27"/>
      <c r="B43" s="28" t="s">
        <v>57</v>
      </c>
      <c r="C43" s="24"/>
      <c r="D43" s="23"/>
      <c r="E43" s="23"/>
      <c r="F43" s="23"/>
      <c r="G43" s="25"/>
      <c r="H43" s="23"/>
      <c r="I43" s="26">
        <f>SUBTOTAL(9,I30:I42)</f>
        <v>1558.2000000000003</v>
      </c>
      <c r="J43" s="26">
        <f>SUBTOTAL(9,J30:J42)</f>
        <v>233.73000000000002</v>
      </c>
      <c r="K43" s="18"/>
    </row>
    <row r="44" spans="1:11" ht="15" outlineLevel="2" x14ac:dyDescent="0.2">
      <c r="A44" s="27" t="s">
        <v>12</v>
      </c>
      <c r="B44" s="23" t="s">
        <v>43</v>
      </c>
      <c r="C44" s="24">
        <v>46174</v>
      </c>
      <c r="D44" s="23" t="s">
        <v>44</v>
      </c>
      <c r="E44" s="23" t="s">
        <v>15</v>
      </c>
      <c r="F44" s="23" t="s">
        <v>45</v>
      </c>
      <c r="G44" s="25">
        <v>46174</v>
      </c>
      <c r="H44" s="23" t="s">
        <v>46</v>
      </c>
      <c r="I44" s="26">
        <v>232.2</v>
      </c>
      <c r="J44" s="26">
        <v>27.864000000000001</v>
      </c>
      <c r="K44" s="18">
        <v>0.12</v>
      </c>
    </row>
    <row r="45" spans="1:11" ht="15" outlineLevel="2" x14ac:dyDescent="0.2">
      <c r="A45" s="27" t="s">
        <v>12</v>
      </c>
      <c r="B45" s="23" t="s">
        <v>43</v>
      </c>
      <c r="C45" s="24">
        <v>46174</v>
      </c>
      <c r="D45" s="23" t="s">
        <v>44</v>
      </c>
      <c r="E45" s="23" t="s">
        <v>15</v>
      </c>
      <c r="F45" s="23" t="s">
        <v>45</v>
      </c>
      <c r="G45" s="25">
        <v>46174</v>
      </c>
      <c r="H45" s="23" t="s">
        <v>47</v>
      </c>
      <c r="I45" s="26">
        <v>76.5</v>
      </c>
      <c r="J45" s="26">
        <v>9.18</v>
      </c>
      <c r="K45" s="18">
        <v>0.12</v>
      </c>
    </row>
    <row r="46" spans="1:11" ht="15" outlineLevel="2" x14ac:dyDescent="0.2">
      <c r="A46" s="27" t="s">
        <v>12</v>
      </c>
      <c r="B46" s="23" t="s">
        <v>43</v>
      </c>
      <c r="C46" s="24">
        <v>46174</v>
      </c>
      <c r="D46" s="23" t="s">
        <v>44</v>
      </c>
      <c r="E46" s="23" t="s">
        <v>15</v>
      </c>
      <c r="F46" s="23" t="s">
        <v>45</v>
      </c>
      <c r="G46" s="25">
        <v>46174</v>
      </c>
      <c r="H46" s="23" t="s">
        <v>48</v>
      </c>
      <c r="I46" s="26">
        <v>76.5</v>
      </c>
      <c r="J46" s="26">
        <v>9.18</v>
      </c>
      <c r="K46" s="18">
        <v>0.12</v>
      </c>
    </row>
    <row r="47" spans="1:11" ht="15" outlineLevel="2" x14ac:dyDescent="0.2">
      <c r="A47" s="27" t="s">
        <v>12</v>
      </c>
      <c r="B47" s="23" t="s">
        <v>43</v>
      </c>
      <c r="C47" s="24">
        <v>46174</v>
      </c>
      <c r="D47" s="23" t="s">
        <v>44</v>
      </c>
      <c r="E47" s="23" t="s">
        <v>15</v>
      </c>
      <c r="F47" s="23" t="s">
        <v>45</v>
      </c>
      <c r="G47" s="25">
        <v>46174</v>
      </c>
      <c r="H47" s="23" t="s">
        <v>49</v>
      </c>
      <c r="I47" s="26">
        <v>232.2</v>
      </c>
      <c r="J47" s="26">
        <v>27.864000000000001</v>
      </c>
      <c r="K47" s="18">
        <v>0.12</v>
      </c>
    </row>
    <row r="48" spans="1:11" ht="15" outlineLevel="1" x14ac:dyDescent="0.2">
      <c r="A48" s="27"/>
      <c r="B48" s="28" t="s">
        <v>58</v>
      </c>
      <c r="C48" s="24"/>
      <c r="D48" s="23"/>
      <c r="E48" s="23"/>
      <c r="F48" s="23"/>
      <c r="G48" s="25"/>
      <c r="H48" s="23"/>
      <c r="I48" s="26">
        <f>SUBTOTAL(9,I44:I47)</f>
        <v>617.4</v>
      </c>
      <c r="J48" s="26">
        <f>SUBTOTAL(9,J44:J47)</f>
        <v>74.087999999999994</v>
      </c>
      <c r="K48" s="18"/>
    </row>
    <row r="49" spans="1:11" ht="15" outlineLevel="2" x14ac:dyDescent="0.2">
      <c r="A49" s="27" t="s">
        <v>12</v>
      </c>
      <c r="B49" s="23" t="s">
        <v>50</v>
      </c>
      <c r="C49" s="24">
        <v>44682</v>
      </c>
      <c r="D49" s="23" t="s">
        <v>51</v>
      </c>
      <c r="E49" s="23" t="s">
        <v>15</v>
      </c>
      <c r="F49" s="23" t="s">
        <v>52</v>
      </c>
      <c r="G49" s="25">
        <v>46174</v>
      </c>
      <c r="H49" s="23" t="s">
        <v>53</v>
      </c>
      <c r="I49" s="26">
        <v>24.21</v>
      </c>
      <c r="J49" s="26">
        <v>3.6315</v>
      </c>
      <c r="K49" s="18">
        <v>0.15</v>
      </c>
    </row>
    <row r="50" spans="1:11" ht="15" outlineLevel="2" x14ac:dyDescent="0.2">
      <c r="A50" s="27" t="s">
        <v>12</v>
      </c>
      <c r="B50" s="23" t="s">
        <v>50</v>
      </c>
      <c r="C50" s="24">
        <v>44682</v>
      </c>
      <c r="D50" s="23" t="s">
        <v>51</v>
      </c>
      <c r="E50" s="23" t="s">
        <v>15</v>
      </c>
      <c r="F50" s="23" t="s">
        <v>52</v>
      </c>
      <c r="G50" s="25">
        <v>46174</v>
      </c>
      <c r="H50" s="23" t="s">
        <v>54</v>
      </c>
      <c r="I50" s="26">
        <v>75.66</v>
      </c>
      <c r="J50" s="26">
        <v>11.349</v>
      </c>
      <c r="K50" s="18">
        <v>0.15</v>
      </c>
    </row>
    <row r="51" spans="1:11" ht="15" outlineLevel="1" x14ac:dyDescent="0.2">
      <c r="A51" s="29"/>
      <c r="B51" s="35" t="s">
        <v>59</v>
      </c>
      <c r="C51" s="31"/>
      <c r="D51" s="30"/>
      <c r="E51" s="30"/>
      <c r="F51" s="30"/>
      <c r="G51" s="32"/>
      <c r="H51" s="30"/>
      <c r="I51" s="33">
        <f>SUBTOTAL(9,I49:I50)</f>
        <v>99.87</v>
      </c>
      <c r="J51" s="33">
        <f>SUBTOTAL(9,J49:J50)</f>
        <v>14.980499999999999</v>
      </c>
      <c r="K51" s="34"/>
    </row>
    <row r="52" spans="1:11" ht="15" x14ac:dyDescent="0.2">
      <c r="A52" s="29"/>
      <c r="B52" s="35" t="s">
        <v>60</v>
      </c>
      <c r="C52" s="31"/>
      <c r="D52" s="30"/>
      <c r="E52" s="30"/>
      <c r="F52" s="30"/>
      <c r="G52" s="32"/>
      <c r="H52" s="30"/>
      <c r="I52" s="33">
        <f>SUBTOTAL(9,I6:I50)</f>
        <v>277.93000000000023</v>
      </c>
      <c r="J52" s="33">
        <f>SUBTOTAL(9,J6:J50)</f>
        <v>12.084900000000008</v>
      </c>
      <c r="K52" s="34"/>
    </row>
  </sheetData>
  <mergeCells count="3">
    <mergeCell ref="A3:J3"/>
    <mergeCell ref="F4:G4"/>
    <mergeCell ref="A2:J2"/>
  </mergeCells>
  <conditionalFormatting sqref="A2:J2">
    <cfRule type="expression" dxfId="13" priority="2">
      <formula>RIGHT($A2,5)="Total"</formula>
    </cfRule>
  </conditionalFormatting>
  <conditionalFormatting sqref="A3:K3 A5:K5 B7:K1048576">
    <cfRule type="expression" dxfId="12" priority="19">
      <formula>RIGHT($A3,5)="Total"</formula>
    </cfRule>
  </conditionalFormatting>
  <conditionalFormatting sqref="B7:D1048576">
    <cfRule type="expression" dxfId="11" priority="15">
      <formula>$B7=#REF!</formula>
    </cfRule>
  </conditionalFormatting>
  <conditionalFormatting sqref="B8230:D8234">
    <cfRule type="expression" dxfId="10" priority="85">
      <formula>$B8230=$B7</formula>
    </cfRule>
  </conditionalFormatting>
  <conditionalFormatting sqref="B8235:D8250">
    <cfRule type="expression" dxfId="9" priority="73">
      <formula>$B8235=$B13</formula>
    </cfRule>
  </conditionalFormatting>
  <conditionalFormatting sqref="B8251:D8263">
    <cfRule type="expression" dxfId="8" priority="61">
      <formula>$B8251=$B30</formula>
    </cfRule>
  </conditionalFormatting>
  <conditionalFormatting sqref="B8264:D8267">
    <cfRule type="expression" dxfId="7" priority="50">
      <formula>$B8264=$B44</formula>
    </cfRule>
  </conditionalFormatting>
  <conditionalFormatting sqref="B8268:D8269">
    <cfRule type="expression" dxfId="6" priority="40">
      <formula>$B8268=$B49</formula>
    </cfRule>
  </conditionalFormatting>
  <conditionalFormatting sqref="B8270:D1048576">
    <cfRule type="expression" dxfId="5" priority="20">
      <formula>$B8270=$B53</formula>
    </cfRule>
  </conditionalFormatting>
  <conditionalFormatting sqref="B1:E1 A2:A3 A5">
    <cfRule type="expression" dxfId="4" priority="18">
      <formula>RIGHT(A1,5)="Total"</formula>
    </cfRule>
  </conditionalFormatting>
  <conditionalFormatting sqref="B5:K52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Janki Patel</cp:lastModifiedBy>
  <dcterms:created xsi:type="dcterms:W3CDTF">2020-08-13T20:27:46Z</dcterms:created>
  <dcterms:modified xsi:type="dcterms:W3CDTF">2026-07-30T12:53:41Z</dcterms:modified>
</cp:coreProperties>
</file>