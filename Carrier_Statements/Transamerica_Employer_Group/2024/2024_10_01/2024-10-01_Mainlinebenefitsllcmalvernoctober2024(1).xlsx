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 small group\10-01-24\"/>
    </mc:Choice>
  </mc:AlternateContent>
  <xr:revisionPtr revIDLastSave="0" documentId="13_ncr:1_{34D32E3F-C0AA-4C14-A59E-78FEBAE557EB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CommissionStatement" sheetId="1" r:id="rId1"/>
  </sheets>
  <definedNames>
    <definedName name="_xlnm._FilterDatabase" localSheetId="0" hidden="1">CommissionStatement!$A$5:$I$5</definedName>
    <definedName name="ImportStart">CommissionStatement!#REF!</definedName>
    <definedName name="_xlnm.Print_Titles" localSheetId="0">CommissionStatement!$1:$5</definedName>
    <definedName name="StatementDate">CommissionStatement!$E$4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1" i="1" l="1"/>
  <c r="H11" i="1"/>
  <c r="I10" i="1"/>
  <c r="H10" i="1"/>
  <c r="A4" i="1"/>
  <c r="E4" i="1" s="1"/>
</calcChain>
</file>

<file path=xl/sharedStrings.xml><?xml version="1.0" encoding="utf-8"?>
<sst xmlns="http://schemas.openxmlformats.org/spreadsheetml/2006/main" count="32" uniqueCount="20">
  <si>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</si>
  <si>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</si>
  <si>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</si>
  <si>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</si>
  <si>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</si>
  <si>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</si>
  <si>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</si>
  <si>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</si>
  <si>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</si>
  <si>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</si>
  <si>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Essence Painting &amp; Restoration Inc</t>
  </si>
  <si>
    <t>38765</t>
  </si>
  <si>
    <t>Transamerica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</si>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</sst>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4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7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9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7" fillId="0" borderId="0" xfId="1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0" fillId="0" borderId="1" xfId="0" applyFont="1" applyBorder="1" applyAlignment="1">
      <alignment horizontal="left" shrinkToFit="1"/>
    </xf>
    <xf numFmtId="0" fontId="10" fillId="0" borderId="1" xfId="0" applyFont="1" applyBorder="1" applyAlignment="1">
      <alignment horizontal="center" shrinkToFit="1"/>
    </xf>
    <xf numFmtId="14" fontId="10" fillId="0" borderId="1" xfId="0" applyNumberFormat="1" applyFont="1" applyBorder="1" applyAlignment="1">
      <alignment horizontal="center"/>
    </xf>
    <xf numFmtId="8" fontId="10" fillId="0" borderId="1" xfId="0" applyNumberFormat="1" applyFont="1" applyBorder="1" applyAlignment="1">
      <alignment horizontal="right" shrinkToFit="1"/>
    </xf>
    <xf numFmtId="166" fontId="10" fillId="0" borderId="1" xfId="1" applyNumberFormat="1" applyFont="1" applyBorder="1" applyAlignment="1">
      <alignment horizontal="center" wrapText="1" shrinkToFit="1"/>
    </xf>
    <xf numFmtId="0" fontId="11" fillId="0" borderId="0" xfId="0" applyFont="1" applyAlignment="1">
      <alignment horizontal="center" wrapText="1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166" fontId="12" fillId="0" borderId="2" xfId="1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left" shrinkToFit="1"/>
    </xf>
    <xf numFmtId="0" fontId="11" fillId="0" borderId="0" xfId="0" applyFont="1" applyAlignment="1">
      <alignment shrinkToFit="1"/>
    </xf>
    <xf numFmtId="0" fontId="13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14" fontId="11" fillId="0" borderId="0" xfId="0" applyNumberFormat="1" applyFont="1" applyAlignment="1">
      <alignment horizontal="center" shrinkToFit="1"/>
    </xf>
    <xf numFmtId="8" fontId="11" fillId="0" borderId="0" xfId="0" applyNumberFormat="1" applyFont="1" applyAlignment="1">
      <alignment shrinkToFit="1"/>
    </xf>
    <xf numFmtId="166" fontId="11" fillId="0" borderId="0" xfId="1" applyNumberFormat="1" applyFont="1" applyAlignment="1">
      <alignment horizontal="center" shrinkToFit="1"/>
    </xf>
  </cellXfs>
  <cellStyles count="2">
    <cellStyle name="Normal" xfId="0" builtinId="0"/>
    <cellStyle name="Percent" xfId="1" builtinId="5"/>
  </cellStyles>
  <dxfs count="10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522513</xdr:colOff>
      <xdr:row>0</xdr:row>
      <xdr:rowOff>51707</xdr:rowOff>
    </xdr:from>
    <xdr:to>
      <xdr:col>9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2597604</xdr:colOff>
      <xdr:row>2</xdr:row>
      <xdr:rowOff>180974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2"/>
  <sheetViews>
    <sheetView tabSelected="1" zoomScale="70" zoomScaleNormal="70" zoomScaleSheetLayoutView="80" workbookViewId="0">
      <selection activeCell="C19" sqref="C19"/>
    </sheetView>
  </sheetViews>
  <sheetFormatPr defaultColWidth="9.140625" defaultRowHeight="15" outlineLevelRow="2" x14ac:dyDescent="0.2"/>
  <cols>
    <col min="1" max="1" width="61.5703125" style="3" bestFit="1" customWidth="1"/>
    <col min="2" max="2" width="36.28515625" style="3" bestFit="1" customWidth="1"/>
    <col min="3" max="3" width="26.42578125" style="3" bestFit="1" customWidth="1"/>
    <col min="4" max="4" width="21" style="3" bestFit="1" customWidth="1"/>
    <col min="5" max="5" width="77.85546875" style="1" bestFit="1" customWidth="1"/>
    <col min="6" max="6" width="24.42578125" style="2" bestFit="1" customWidth="1"/>
    <col min="7" max="7" width="24.28515625" style="3" bestFit="1" customWidth="1"/>
    <col min="8" max="8" width="16.28515625" style="4" bestFit="1" customWidth="1"/>
    <col min="9" max="9" width="24.42578125" style="4" bestFit="1" customWidth="1"/>
    <col min="10" max="10" width="10.5703125" style="12" bestFit="1" customWidth="1"/>
    <col min="11" max="16384" width="9.140625" style="3"/>
  </cols>
  <sheetData>
    <row r="1" spans="1:10" ht="66" customHeight="1" x14ac:dyDescent="0.2">
      <c r="A1" s="10"/>
      <c r="B1" s="10"/>
      <c r="C1" s="10"/>
      <c r="D1" s="10"/>
    </row>
    <row r="3" spans="1:10" s="5" customFormat="1" ht="36.75" customHeight="1" x14ac:dyDescent="0.35">
      <c r="A3" s="15"/>
      <c r="B3" s="15"/>
      <c r="C3" s="15"/>
      <c r="D3" s="15"/>
      <c r="E3" s="15"/>
      <c r="F3" s="15"/>
      <c r="G3" s="15"/>
      <c r="H3" s="15"/>
      <c r="I3" s="15"/>
      <c r="J3" s="13"/>
    </row>
    <row r="4" spans="1:10" s="6" customFormat="1" ht="44.25" x14ac:dyDescent="0.55000000000000004">
      <c r="A4" s="11">
        <f>MAX(F6:F1048576)</f>
        <v>45566</v>
      </c>
      <c r="B4" s="7"/>
      <c r="C4" s="7"/>
      <c r="D4" s="7"/>
      <c r="E4" s="16" t="str">
        <f>TEXT(A4,"mmmm yyyy")</f>
        <v>October 2024</v>
      </c>
      <c r="F4" s="17"/>
      <c r="G4" s="8"/>
      <c r="H4" s="9"/>
      <c r="I4" s="9"/>
      <c r="J4" s="14"/>
    </row>
    <row r="5" spans="1:10" s="23" customFormat="1" ht="24" thickBot="1" x14ac:dyDescent="0.4">
      <c r="A5" s="18" t="s">
        <v>0</v>
      </c>
      <c r="B5" s="18" t="s">
        <v>7</v>
      </c>
      <c r="C5" s="18" t="s">
        <v>6</v>
      </c>
      <c r="D5" s="18" t="s">
        <v>1</v>
      </c>
      <c r="E5" s="19" t="s">
        <v>2</v>
      </c>
      <c r="F5" s="20" t="s">
        <v>3</v>
      </c>
      <c r="G5" s="18" t="s">
        <v>9</v>
      </c>
      <c r="H5" s="21" t="s">
        <v>4</v>
      </c>
      <c r="I5" s="21" t="s">
        <v>5</v>
      </c>
      <c r="J5" s="22" t="s">
        <v>8</v>
      </c>
    </row>
    <row r="6" spans="1:10" s="29" customFormat="1" ht="23.25" outlineLevel="2" x14ac:dyDescent="0.35">
      <c r="A6" s="24" t="s">
        <v>10</v>
      </c>
      <c r="B6" s="25">
        <v>45474</v>
      </c>
      <c r="C6" s="24" t="s">
        <v>11</v>
      </c>
      <c r="D6" s="24" t="s">
        <v>12</v>
      </c>
      <c r="E6" s="24" t="s">
        <v>13</v>
      </c>
      <c r="F6" s="26">
        <v>45566</v>
      </c>
      <c r="G6" s="24" t="s">
        <v>14</v>
      </c>
      <c r="H6" s="27">
        <v>250.21</v>
      </c>
      <c r="I6" s="27">
        <v>37.531500000000001</v>
      </c>
      <c r="J6" s="28">
        <v>0.15</v>
      </c>
    </row>
    <row r="7" spans="1:10" s="30" customFormat="1" ht="23.25" outlineLevel="2" x14ac:dyDescent="0.35">
      <c r="A7" s="24" t="s">
        <v>10</v>
      </c>
      <c r="B7" s="25">
        <v>45474</v>
      </c>
      <c r="C7" s="24" t="s">
        <v>11</v>
      </c>
      <c r="D7" s="24" t="s">
        <v>12</v>
      </c>
      <c r="E7" s="24" t="s">
        <v>13</v>
      </c>
      <c r="F7" s="26">
        <v>45566</v>
      </c>
      <c r="G7" s="24" t="s">
        <v>15</v>
      </c>
      <c r="H7" s="27">
        <v>82.98</v>
      </c>
      <c r="I7" s="27">
        <v>12.446999999999999</v>
      </c>
      <c r="J7" s="28">
        <v>0.15</v>
      </c>
    </row>
    <row r="8" spans="1:10" s="30" customFormat="1" ht="23.25" outlineLevel="2" x14ac:dyDescent="0.35">
      <c r="A8" s="24" t="s">
        <v>10</v>
      </c>
      <c r="B8" s="25">
        <v>45474</v>
      </c>
      <c r="C8" s="24" t="s">
        <v>11</v>
      </c>
      <c r="D8" s="24" t="s">
        <v>12</v>
      </c>
      <c r="E8" s="24" t="s">
        <v>13</v>
      </c>
      <c r="F8" s="26">
        <v>45566</v>
      </c>
      <c r="G8" s="24" t="s">
        <v>16</v>
      </c>
      <c r="H8" s="27">
        <v>82.98</v>
      </c>
      <c r="I8" s="27">
        <v>12.446999999999999</v>
      </c>
      <c r="J8" s="28">
        <v>0.15</v>
      </c>
    </row>
    <row r="9" spans="1:10" s="30" customFormat="1" ht="23.25" outlineLevel="2" x14ac:dyDescent="0.35">
      <c r="A9" s="24" t="s">
        <v>10</v>
      </c>
      <c r="B9" s="25">
        <v>45474</v>
      </c>
      <c r="C9" s="24" t="s">
        <v>11</v>
      </c>
      <c r="D9" s="24" t="s">
        <v>12</v>
      </c>
      <c r="E9" s="24" t="s">
        <v>13</v>
      </c>
      <c r="F9" s="26">
        <v>45566</v>
      </c>
      <c r="G9" s="24" t="s">
        <v>17</v>
      </c>
      <c r="H9" s="27">
        <v>175.57</v>
      </c>
      <c r="I9" s="27">
        <v>26.3355</v>
      </c>
      <c r="J9" s="28">
        <v>0.15</v>
      </c>
    </row>
    <row r="10" spans="1:10" s="30" customFormat="1" ht="23.25" outlineLevel="1" x14ac:dyDescent="0.35">
      <c r="A10" s="31" t="s">
        <v>18</v>
      </c>
      <c r="B10" s="32"/>
      <c r="C10" s="33"/>
      <c r="D10" s="33"/>
      <c r="E10" s="33"/>
      <c r="F10" s="34"/>
      <c r="G10" s="33"/>
      <c r="H10" s="35">
        <f>SUBTOTAL(9,H6:H9)</f>
        <v>591.74</v>
      </c>
      <c r="I10" s="35">
        <f>SUBTOTAL(9,I6:I9)</f>
        <v>88.760999999999996</v>
      </c>
      <c r="J10" s="36"/>
    </row>
    <row r="11" spans="1:10" s="30" customFormat="1" ht="23.25" x14ac:dyDescent="0.35">
      <c r="A11" s="31" t="s">
        <v>19</v>
      </c>
      <c r="B11" s="32"/>
      <c r="C11" s="33"/>
      <c r="D11" s="33"/>
      <c r="E11" s="33"/>
      <c r="F11" s="34"/>
      <c r="G11" s="33"/>
      <c r="H11" s="35">
        <f>SUBTOTAL(9,H6:H9)</f>
        <v>591.74</v>
      </c>
      <c r="I11" s="35">
        <f>SUBTOTAL(9,I6:I9)</f>
        <v>88.760999999999996</v>
      </c>
      <c r="J11" s="36"/>
    </row>
    <row r="12" spans="1:10" s="30" customFormat="1" ht="23.25" x14ac:dyDescent="0.35">
      <c r="E12" s="29"/>
      <c r="F12" s="37"/>
      <c r="H12" s="38"/>
      <c r="I12" s="38"/>
      <c r="J12" s="39"/>
    </row>
  </sheetData>
  <mergeCells count="2">
    <mergeCell ref="A3:I3"/>
    <mergeCell ref="E4:F4"/>
  </mergeCells>
  <conditionalFormatting sqref="A7:J1048576 A3:J3 A5:J5">
    <cfRule type="expression" dxfId="9" priority="18">
      <formula>RIGHT(#REF!,5)="Total"</formula>
    </cfRule>
  </conditionalFormatting>
  <conditionalFormatting sqref="A7:C1048576">
    <cfRule type="expression" dxfId="8" priority="14">
      <formula>$A7=#REF!</formula>
    </cfRule>
    <cfRule type="expression" dxfId="7" priority="15">
      <formula>$A7=#REF!</formula>
    </cfRule>
  </conditionalFormatting>
  <conditionalFormatting sqref="A8226:C8228">
    <cfRule type="expression" dxfId="6" priority="38">
      <formula>$A8226=$A7</formula>
    </cfRule>
  </conditionalFormatting>
  <conditionalFormatting sqref="A8229:C1048576">
    <cfRule type="expression" dxfId="5" priority="19">
      <formula>$A8229=$A12</formula>
    </cfRule>
  </conditionalFormatting>
  <conditionalFormatting sqref="A1:D1">
    <cfRule type="expression" dxfId="4" priority="17">
      <formula>RIGHT(A1,5)="Total"</formula>
    </cfRule>
  </conditionalFormatting>
  <conditionalFormatting sqref="A5:J11">
    <cfRule type="expression" dxfId="3" priority="1">
      <formula>RIGHT($A5,5)="Total"</formula>
    </cfRule>
  </conditionalFormatting>
  <conditionalFormatting sqref="E4">
    <cfRule type="expression" dxfId="2" priority="16">
      <formula>RIGHT(E4,5)="Total"</formula>
    </cfRule>
    <cfRule type="expression" dxfId="1" priority="21">
      <formula>RIGHT($E4,5)="Total"</formula>
    </cfRule>
  </conditionalFormatting>
  <conditionalFormatting sqref="H4:J4">
    <cfRule type="expression" dxfId="0" priority="3">
      <formula>RIGHT(#REF!,5)="Total"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CommissionStatement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Janki Patel</cp:lastModifiedBy>
  <dcterms:created xsi:type="dcterms:W3CDTF">2020-08-13T20:27:46Z</dcterms:created>
  <dcterms:modified xsi:type="dcterms:W3CDTF">2024-12-09T19:44:59Z</dcterms:modified>
</cp:coreProperties>
</file>