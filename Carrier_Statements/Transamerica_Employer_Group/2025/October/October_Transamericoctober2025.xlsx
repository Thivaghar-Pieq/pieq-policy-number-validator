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A8AE1FBF-6CBC-4ADF-AA10-9D13353C820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ommissionStatement" sheetId="1" r:id="rId1"/>
  </sheets>
  <definedNames>
    <definedName name="_xlnm._FilterDatabase" localSheetId="0" hidden="1">CommissionStatement!$A$5:$J$5</definedName>
    <definedName name="ImportStart">CommissionStatement!$A$6</definedName>
    <definedName name="_xlnm.Print_Titles" localSheetId="0">CommissionStatement!$1:$5</definedName>
    <definedName name="StatementDate">CommissionStatement!$F$4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1" i="1" l="1"/>
  <c r="I11" i="1"/>
  <c r="J10" i="1"/>
  <c r="I10" i="1"/>
  <c r="A2" i="1"/>
  <c r="B4" i="1"/>
  <c r="F4" i="1" s="1"/>
</calcChain>
</file>

<file path=xl/sharedStrings.xml><?xml version="1.0" encoding="utf-8"?>
<sst xmlns="http://schemas.openxmlformats.org/spreadsheetml/2006/main" count="38" uniqueCount="23">
  <si>
    <t>Commission Statement</t>
  </si>
  <si>
    <t>Retailer</t>
  </si>
  <si>
    <t>Account</t>
  </si>
  <si>
    <t>Carrier</t>
  </si>
  <si>
    <t>Plan Name</t>
  </si>
  <si>
    <t>Billing Period</t>
  </si>
  <si>
    <t>Premium</t>
  </si>
  <si>
    <t>Commissions</t>
  </si>
  <si>
    <t>Group Number</t>
  </si>
  <si>
    <t>Group Effective Date</t>
  </si>
  <si>
    <t>Rate</t>
  </si>
  <si>
    <t>Subscriber ID</t>
  </si>
  <si>
    <t>Main Line Benefits LLC-Malvern</t>
  </si>
  <si>
    <t>Essence Painting &amp; Restoration Inc</t>
  </si>
  <si>
    <t>38765</t>
  </si>
  <si>
    <t>Transamerica</t>
  </si>
  <si>
    <t>TC3 CW 5000/5000 Plan (IP, OP, 2500AMB, INF, EC)</t>
  </si>
  <si>
    <t>1297697</t>
  </si>
  <si>
    <t>1297689</t>
  </si>
  <si>
    <t>1297690</t>
  </si>
  <si>
    <t>1297699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</si>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</sst>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dd\-mmm\-yy"/>
    <numFmt numFmtId="165" formatCode="\$#,##0.00;\(\$#,##0.00\)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b/>
      <sz val="14"/>
      <name val="Arial"/>
      <family val="2"/>
    </font>
    <font>
      <sz val="36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20"/>
      <name val="Arial"/>
      <family val="2"/>
    </font>
    <font>
      <sz val="11"/>
      <color rgb="FF000000"/>
      <name val="Calibri"/>
    </font>
    <font>
      <sz val="11"/>
      <color theme="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left" shrinkToFit="1"/>
    </xf>
    <xf numFmtId="14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shrinkToFit="1"/>
    </xf>
    <xf numFmtId="8" fontId="2" fillId="0" borderId="0" xfId="0" applyNumberFormat="1" applyFont="1" applyAlignment="1">
      <alignment shrinkToFit="1"/>
    </xf>
    <xf numFmtId="0" fontId="4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7" fillId="0" borderId="1" xfId="0" applyFont="1" applyBorder="1" applyAlignment="1">
      <alignment horizontal="center" shrinkToFit="1"/>
    </xf>
    <xf numFmtId="0" fontId="2" fillId="0" borderId="0" xfId="0" applyFont="1" applyAlignment="1">
      <alignment horizontal="center" wrapText="1" shrinkToFit="1"/>
    </xf>
    <xf numFmtId="49" fontId="5" fillId="0" borderId="0" xfId="0" applyNumberFormat="1" applyFont="1" applyAlignment="1">
      <alignment vertical="center" shrinkToFit="1"/>
    </xf>
    <xf numFmtId="49" fontId="5" fillId="0" borderId="0" xfId="0" applyNumberFormat="1" applyFont="1" applyAlignment="1">
      <alignment horizontal="right" vertical="center" shrinkToFit="1"/>
    </xf>
    <xf numFmtId="8" fontId="8" fillId="0" borderId="0" xfId="0" applyNumberFormat="1" applyFont="1" applyAlignment="1">
      <alignment horizontal="center" vertical="center" shrinkToFit="1"/>
    </xf>
    <xf numFmtId="0" fontId="1" fillId="0" borderId="0" xfId="0" applyFont="1"/>
    <xf numFmtId="14" fontId="10" fillId="0" borderId="0" xfId="0" applyNumberFormat="1" applyFont="1" applyAlignment="1">
      <alignment vertical="center" shrinkToFit="1"/>
    </xf>
    <xf numFmtId="166" fontId="2" fillId="0" borderId="0" xfId="1" applyNumberFormat="1" applyFont="1" applyAlignment="1">
      <alignment horizontal="center" shrinkToFit="1"/>
    </xf>
    <xf numFmtId="166" fontId="3" fillId="0" borderId="0" xfId="1" applyNumberFormat="1" applyFont="1" applyAlignment="1">
      <alignment horizontal="center" vertical="top" shrinkToFit="1"/>
    </xf>
    <xf numFmtId="166" fontId="8" fillId="0" borderId="0" xfId="1" applyNumberFormat="1" applyFont="1" applyAlignment="1">
      <alignment horizontal="center" vertical="center" shrinkToFit="1"/>
    </xf>
    <xf numFmtId="166" fontId="8" fillId="0" borderId="1" xfId="1" applyNumberFormat="1" applyFont="1" applyBorder="1" applyAlignment="1">
      <alignment horizontal="center" wrapText="1" shrinkToFit="1"/>
    </xf>
    <xf numFmtId="166" fontId="12" fillId="0" borderId="2" xfId="1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shrinkToFit="1"/>
    </xf>
    <xf numFmtId="0" fontId="8" fillId="0" borderId="1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/>
    </xf>
    <xf numFmtId="8" fontId="8" fillId="0" borderId="1" xfId="0" applyNumberFormat="1" applyFont="1" applyBorder="1" applyAlignment="1">
      <alignment horizontal="right" shrinkToFit="1"/>
    </xf>
    <xf numFmtId="0" fontId="12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horizontal="right" vertical="center"/>
    </xf>
    <xf numFmtId="14" fontId="12" fillId="0" borderId="2" xfId="0" applyNumberFormat="1" applyFont="1" applyBorder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1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6" fontId="12" fillId="0" borderId="0" xfId="1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top" shrinkToFit="1"/>
    </xf>
    <xf numFmtId="14" fontId="5" fillId="0" borderId="0" xfId="0" quotePrefix="1" applyNumberFormat="1" applyFont="1" applyAlignment="1">
      <alignment horizontal="center" vertical="center" shrinkToFit="1"/>
    </xf>
    <xf numFmtId="0" fontId="5" fillId="0" borderId="0" xfId="0" quotePrefix="1" applyFont="1" applyAlignment="1">
      <alignment horizontal="center" vertical="center" shrinkToFit="1"/>
    </xf>
    <xf numFmtId="0" fontId="11" fillId="0" borderId="0" xfId="0" applyFont="1" applyAlignment="1">
      <alignment horizontal="center" vertical="top" shrinkToFit="1"/>
    </xf>
  </cellXfs>
  <cellStyles count="2">
    <cellStyle name="Normal" xfId="0" builtinId="0"/>
    <cellStyle name="Percent" xfId="1" builtinId="5"/>
  </cellStyles>
  <dxfs count="10"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  <color auto="1"/>
      </font>
    </dxf>
    <dxf>
      <fill>
        <patternFill>
          <fgColor indexed="64"/>
          <bgColor theme="0" tint="-0.14993743705557422"/>
        </patternFill>
      </fill>
    </dxf>
    <dxf>
      <font>
        <b/>
        <i val="0"/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522513</xdr:colOff>
      <xdr:row>0</xdr:row>
      <xdr:rowOff>51707</xdr:rowOff>
    </xdr:from>
    <xdr:to>
      <xdr:col>10</xdr:col>
      <xdr:colOff>974271</xdr:colOff>
      <xdr:row>3</xdr:row>
      <xdr:rowOff>156482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041D00D-257F-49D1-B4D8-21221DCC25B8}"/>
            </a:ext>
          </a:extLst>
        </xdr:cNvPr>
        <xdr:cNvSpPr txBox="1">
          <a:spLocks noChangeArrowheads="1"/>
        </xdr:cNvSpPr>
      </xdr:nvSpPr>
      <xdr:spPr bwMode="auto">
        <a:xfrm>
          <a:off x="14034406" y="51707"/>
          <a:ext cx="1717222" cy="1601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84C90"/>
              </a:solidFill>
              <a:latin typeface="Myriad Condensed"/>
            </a:rPr>
            <a:t>Administered by Amwins Group Benefits, LLC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50 Whitecap Drive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North Kingstown, RI 02852</a:t>
          </a: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T 877.739.3330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1" i="1" u="none" strike="noStrike" baseline="0">
              <a:solidFill>
                <a:srgbClr val="084C90"/>
              </a:solidFill>
              <a:latin typeface="Myriad Condensed"/>
            </a:rPr>
            <a:t>amwins.com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2420711</xdr:colOff>
      <xdr:row>2</xdr:row>
      <xdr:rowOff>31296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9CA116-3D1C-413F-9D34-005AB7E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7150" cy="122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1"/>
  <sheetViews>
    <sheetView tabSelected="1" zoomScale="70" zoomScaleNormal="70" zoomScaleSheetLayoutView="80" workbookViewId="0">
      <selection activeCell="C5" sqref="C5"/>
    </sheetView>
  </sheetViews>
  <sheetFormatPr defaultColWidth="9.140625" defaultRowHeight="15.75" outlineLevelRow="2" x14ac:dyDescent="0.25"/>
  <cols>
    <col min="1" max="1" width="2.7109375" customWidth="1"/>
    <col min="2" max="2" width="36.85546875" style="3" customWidth="1"/>
    <col min="3" max="3" width="24.42578125" style="3" bestFit="1" customWidth="1"/>
    <col min="4" max="4" width="17.28515625" style="3" bestFit="1" customWidth="1"/>
    <col min="5" max="5" width="17.85546875" style="3" customWidth="1"/>
    <col min="6" max="6" width="38.42578125" style="1" customWidth="1"/>
    <col min="7" max="7" width="17.42578125" style="2" customWidth="1"/>
    <col min="8" max="8" width="33.140625" style="3" customWidth="1"/>
    <col min="9" max="9" width="14.85546875" style="4" bestFit="1" customWidth="1"/>
    <col min="10" max="10" width="19" style="4" customWidth="1"/>
    <col min="11" max="11" width="14.7109375" style="14" customWidth="1"/>
    <col min="12" max="16384" width="9.140625" style="3"/>
  </cols>
  <sheetData>
    <row r="1" spans="1:11" ht="66" customHeight="1" x14ac:dyDescent="0.2">
      <c r="A1" s="12"/>
      <c r="B1" s="12"/>
      <c r="C1" s="12"/>
      <c r="D1" s="12"/>
      <c r="E1" s="12"/>
    </row>
    <row r="2" spans="1:11" ht="26.25" x14ac:dyDescent="0.2">
      <c r="A2" s="38" t="str">
        <f>ImportStart</f>
        <v>Main Line Benefits LLC-Malvern</v>
      </c>
      <c r="B2" s="38"/>
      <c r="C2" s="38"/>
      <c r="D2" s="38"/>
      <c r="E2" s="38"/>
      <c r="F2" s="38"/>
      <c r="G2" s="38"/>
      <c r="H2" s="38"/>
      <c r="I2" s="38"/>
      <c r="J2" s="38"/>
    </row>
    <row r="3" spans="1:11" s="5" customFormat="1" ht="36.75" customHeight="1" x14ac:dyDescent="0.35">
      <c r="A3" s="35" t="s">
        <v>0</v>
      </c>
      <c r="B3" s="35"/>
      <c r="C3" s="35"/>
      <c r="D3" s="35"/>
      <c r="E3" s="35"/>
      <c r="F3" s="35"/>
      <c r="G3" s="35"/>
      <c r="H3" s="35"/>
      <c r="I3" s="35"/>
      <c r="J3" s="35"/>
      <c r="K3" s="15"/>
    </row>
    <row r="4" spans="1:11" s="6" customFormat="1" ht="44.25" x14ac:dyDescent="0.55000000000000004">
      <c r="B4" s="13">
        <f>MAX(G6:G1048576)</f>
        <v>45931</v>
      </c>
      <c r="C4" s="9"/>
      <c r="D4" s="9"/>
      <c r="E4" s="9"/>
      <c r="F4" s="36" t="str">
        <f>TEXT(B4,"mmmm yyyy")</f>
        <v>October 2025</v>
      </c>
      <c r="G4" s="37"/>
      <c r="H4" s="10"/>
      <c r="I4" s="11"/>
      <c r="J4" s="11"/>
      <c r="K4" s="16"/>
    </row>
    <row r="5" spans="1:11" s="8" customFormat="1" ht="16.5" thickBot="1" x14ac:dyDescent="0.3">
      <c r="A5" s="7" t="s">
        <v>1</v>
      </c>
      <c r="B5" s="19" t="s">
        <v>2</v>
      </c>
      <c r="C5" s="19" t="s">
        <v>9</v>
      </c>
      <c r="D5" s="19" t="s">
        <v>8</v>
      </c>
      <c r="E5" s="19" t="s">
        <v>3</v>
      </c>
      <c r="F5" s="20" t="s">
        <v>4</v>
      </c>
      <c r="G5" s="21" t="s">
        <v>5</v>
      </c>
      <c r="H5" s="19" t="s">
        <v>11</v>
      </c>
      <c r="I5" s="22" t="s">
        <v>6</v>
      </c>
      <c r="J5" s="22" t="s">
        <v>7</v>
      </c>
      <c r="K5" s="17" t="s">
        <v>10</v>
      </c>
    </row>
    <row r="6" spans="1:11" s="1" customFormat="1" ht="15" outlineLevel="2" x14ac:dyDescent="0.2">
      <c r="A6" s="27" t="s">
        <v>12</v>
      </c>
      <c r="B6" s="23" t="s">
        <v>13</v>
      </c>
      <c r="C6" s="24">
        <v>45474</v>
      </c>
      <c r="D6" s="23" t="s">
        <v>14</v>
      </c>
      <c r="E6" s="23" t="s">
        <v>15</v>
      </c>
      <c r="F6" s="23" t="s">
        <v>16</v>
      </c>
      <c r="G6" s="25">
        <v>45931</v>
      </c>
      <c r="H6" s="23" t="s">
        <v>17</v>
      </c>
      <c r="I6" s="26">
        <v>250.21</v>
      </c>
      <c r="J6" s="26">
        <v>37.531500000000001</v>
      </c>
      <c r="K6" s="18">
        <v>0.15</v>
      </c>
    </row>
    <row r="7" spans="1:11" ht="15" outlineLevel="2" x14ac:dyDescent="0.2">
      <c r="A7" s="27" t="s">
        <v>12</v>
      </c>
      <c r="B7" s="23" t="s">
        <v>13</v>
      </c>
      <c r="C7" s="24">
        <v>45474</v>
      </c>
      <c r="D7" s="23" t="s">
        <v>14</v>
      </c>
      <c r="E7" s="23" t="s">
        <v>15</v>
      </c>
      <c r="F7" s="23" t="s">
        <v>16</v>
      </c>
      <c r="G7" s="25">
        <v>45931</v>
      </c>
      <c r="H7" s="23" t="s">
        <v>18</v>
      </c>
      <c r="I7" s="26">
        <v>82.98</v>
      </c>
      <c r="J7" s="26">
        <v>12.446999999999999</v>
      </c>
      <c r="K7" s="18">
        <v>0.15</v>
      </c>
    </row>
    <row r="8" spans="1:11" ht="15" outlineLevel="2" x14ac:dyDescent="0.2">
      <c r="A8" s="27" t="s">
        <v>12</v>
      </c>
      <c r="B8" s="23" t="s">
        <v>13</v>
      </c>
      <c r="C8" s="24">
        <v>45474</v>
      </c>
      <c r="D8" s="23" t="s">
        <v>14</v>
      </c>
      <c r="E8" s="23" t="s">
        <v>15</v>
      </c>
      <c r="F8" s="23" t="s">
        <v>16</v>
      </c>
      <c r="G8" s="25">
        <v>45931</v>
      </c>
      <c r="H8" s="23" t="s">
        <v>19</v>
      </c>
      <c r="I8" s="26">
        <v>82.98</v>
      </c>
      <c r="J8" s="26">
        <v>12.446999999999999</v>
      </c>
      <c r="K8" s="18">
        <v>0.15</v>
      </c>
    </row>
    <row r="9" spans="1:11" ht="15" outlineLevel="2" x14ac:dyDescent="0.2">
      <c r="A9" s="27" t="s">
        <v>12</v>
      </c>
      <c r="B9" s="23" t="s">
        <v>13</v>
      </c>
      <c r="C9" s="24">
        <v>45474</v>
      </c>
      <c r="D9" s="23" t="s">
        <v>14</v>
      </c>
      <c r="E9" s="23" t="s">
        <v>15</v>
      </c>
      <c r="F9" s="23" t="s">
        <v>16</v>
      </c>
      <c r="G9" s="25">
        <v>45931</v>
      </c>
      <c r="H9" s="23" t="s">
        <v>20</v>
      </c>
      <c r="I9" s="26">
        <v>175.57</v>
      </c>
      <c r="J9" s="26">
        <v>26.3355</v>
      </c>
      <c r="K9" s="18">
        <v>0.15</v>
      </c>
    </row>
    <row r="10" spans="1:11" ht="15" outlineLevel="1" x14ac:dyDescent="0.2">
      <c r="A10" s="28"/>
      <c r="B10" s="34" t="s">
        <v>21</v>
      </c>
      <c r="C10" s="30"/>
      <c r="D10" s="29"/>
      <c r="E10" s="29"/>
      <c r="F10" s="29"/>
      <c r="G10" s="31"/>
      <c r="H10" s="29"/>
      <c r="I10" s="32">
        <f>SUBTOTAL(9,I6:I9)</f>
        <v>591.74</v>
      </c>
      <c r="J10" s="32">
        <f>SUBTOTAL(9,J6:J9)</f>
        <v>88.760999999999996</v>
      </c>
      <c r="K10" s="33"/>
    </row>
    <row r="11" spans="1:11" ht="15" x14ac:dyDescent="0.2">
      <c r="A11" s="28"/>
      <c r="B11" s="34" t="s">
        <v>22</v>
      </c>
      <c r="C11" s="30"/>
      <c r="D11" s="29"/>
      <c r="E11" s="29"/>
      <c r="F11" s="29"/>
      <c r="G11" s="31"/>
      <c r="H11" s="29"/>
      <c r="I11" s="32">
        <f>SUBTOTAL(9,I6:I9)</f>
        <v>591.74</v>
      </c>
      <c r="J11" s="32">
        <f>SUBTOTAL(9,J6:J9)</f>
        <v>88.760999999999996</v>
      </c>
      <c r="K11" s="33"/>
    </row>
  </sheetData>
  <mergeCells count="3">
    <mergeCell ref="A3:J3"/>
    <mergeCell ref="F4:G4"/>
    <mergeCell ref="A2:J2"/>
  </mergeCells>
  <conditionalFormatting sqref="A2:J2">
    <cfRule type="expression" dxfId="9" priority="2">
      <formula>RIGHT($A2,5)="Total"</formula>
    </cfRule>
  </conditionalFormatting>
  <conditionalFormatting sqref="A3:K3 A5:K5 B7:K1048576">
    <cfRule type="expression" dxfId="8" priority="19">
      <formula>RIGHT($A3,5)="Total"</formula>
    </cfRule>
  </conditionalFormatting>
  <conditionalFormatting sqref="B7:D1048576">
    <cfRule type="expression" dxfId="7" priority="15">
      <formula>$B7=#REF!</formula>
    </cfRule>
  </conditionalFormatting>
  <conditionalFormatting sqref="B8226:D8228">
    <cfRule type="expression" dxfId="6" priority="39">
      <formula>$B8226=$B7</formula>
    </cfRule>
  </conditionalFormatting>
  <conditionalFormatting sqref="B8229:D1048576">
    <cfRule type="expression" dxfId="5" priority="20">
      <formula>$B8229=$B12</formula>
    </cfRule>
  </conditionalFormatting>
  <conditionalFormatting sqref="B1:E1 A2:A3 A5">
    <cfRule type="expression" dxfId="4" priority="18">
      <formula>RIGHT(A1,5)="Total"</formula>
    </cfRule>
  </conditionalFormatting>
  <conditionalFormatting sqref="B5:K11">
    <cfRule type="expression" dxfId="3" priority="1">
      <formula>RIGHT($B5,5)="Total"</formula>
    </cfRule>
  </conditionalFormatting>
  <conditionalFormatting sqref="F4">
    <cfRule type="expression" dxfId="2" priority="17">
      <formula>RIGHT(F4,5)="Total"</formula>
    </cfRule>
    <cfRule type="expression" dxfId="1" priority="22">
      <formula>RIGHT($F4,5)="Total"</formula>
    </cfRule>
  </conditionalFormatting>
  <conditionalFormatting sqref="I4:K4">
    <cfRule type="expression" dxfId="0" priority="4">
      <formula>RIGHT($A4,5)="Total"</formula>
    </cfRule>
  </conditionalFormatting>
  <printOptions horizontalCentered="1"/>
  <pageMargins left="0.25" right="0.25" top="0.75" bottom="0.75" header="0.3" footer="0.3"/>
  <pageSetup scale="5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9F93E-32DC-4D54-A4C0-E0A7BCB1A13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CommissionStatement</vt:lpstr>
      <vt:lpstr>ImportStart</vt:lpstr>
      <vt:lpstr>CommissionStatement!Print_Titles</vt:lpstr>
      <vt:lpstr>StatementDate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Palmisiciano</dc:creator>
  <cp:lastModifiedBy>paras69</cp:lastModifiedBy>
  <dcterms:created xsi:type="dcterms:W3CDTF">2020-08-13T20:27:46Z</dcterms:created>
  <dcterms:modified xsi:type="dcterms:W3CDTF">2025-12-05T15:55:09Z</dcterms:modified>
</cp:coreProperties>
</file>