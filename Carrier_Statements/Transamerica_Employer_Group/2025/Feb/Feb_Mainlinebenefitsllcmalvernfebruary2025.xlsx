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Access Databases\TransConnect\Check Export\"/>
    </mc:Choice>
  </mc:AlternateContent>
  <xr:revisionPtr revIDLastSave="0" documentId="8_{B22C9C1C-D392-439D-85E1-047750E28704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<sst xmlns="http://schemas.openxmlformats.org/spreadsheetml/2006/main" count="38" uniqueCount="23">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</sst>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5" formatCode="dd\-mmm\-yy"/>
    <numFmt numFmtId="166" formatCode="\$#,##0.00;\(\$#,##0.00\)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 applyAlignment="1"/>
    <xf numFmtId="0" fontId="0" fillId="0" borderId="0" xfId="0" applyAlignment="1"/>
    <xf numFmtId="14" fontId="10" fillId="0" borderId="0" xfId="0" applyNumberFormat="1" applyFont="1" applyAlignment="1">
      <alignment vertical="center" shrinkToFit="1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167" fontId="2" fillId="0" borderId="0" xfId="1" applyNumberFormat="1" applyFont="1" applyAlignment="1">
      <alignment horizontal="center" shrinkToFit="1"/>
    </xf>
    <xf numFmtId="167" fontId="3" fillId="0" borderId="0" xfId="1" applyNumberFormat="1" applyFont="1" applyAlignment="1">
      <alignment horizontal="center" vertical="top" shrinkToFit="1"/>
    </xf>
    <xf numFmtId="167" fontId="8" fillId="0" borderId="0" xfId="1" applyNumberFormat="1" applyFont="1" applyAlignment="1">
      <alignment horizontal="center" vertical="center" shrinkToFit="1"/>
    </xf>
    <xf numFmtId="167" fontId="8" fillId="0" borderId="1" xfId="1" applyNumberFormat="1" applyFont="1" applyBorder="1" applyAlignment="1">
      <alignment horizontal="center" wrapText="1" shrinkToFit="1"/>
    </xf>
    <xf numFmtId="167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5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65" fontId="12" fillId="0" borderId="0" xfId="0" applyNumberFormat="1" applyFont="1" applyBorder="1" applyAlignment="1">
      <alignment horizontal="right" vertical="center"/>
    </xf>
    <xf numFmtId="14" fontId="12" fillId="0" borderId="0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horizontal="right" vertical="center"/>
    </xf>
    <xf numFmtId="167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12">
    <dxf>
      <fill>
        <patternFill>
          <fgColor indexed="64"/>
          <bgColor theme="0" tint="-0.14993743705557422"/>
        </patternFill>
      </fill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B5" sqref="B5:K11"/>
    </sheetView>
  </sheetViews>
  <sheetFormatPr defaultColWidth="9.140625" defaultRowHeight="15.75" outlineLevelRow="2" x14ac:dyDescent="0.25"/>
  <cols>
    <col min="1" max="1" width="2.7109375" style="13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9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18" t="str">
        <f>ImportStart</f>
        <v>Main Line Benefits LLC-Malvern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s="5" customFormat="1" ht="36.75" customHeight="1" x14ac:dyDescent="0.3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20"/>
    </row>
    <row r="4" spans="1:11" s="6" customFormat="1" ht="44.25" x14ac:dyDescent="0.55000000000000004">
      <c r="B4" s="14">
        <f>MAX(G6:G1048576)</f>
        <v>45689</v>
      </c>
      <c r="C4" s="9"/>
      <c r="D4" s="9"/>
      <c r="E4" s="9"/>
      <c r="F4" s="16" t="str">
        <f>TEXT(B4,"mmmm yyyy")</f>
        <v>February 2025</v>
      </c>
      <c r="G4" s="17"/>
      <c r="H4" s="10"/>
      <c r="I4" s="11"/>
      <c r="J4" s="11"/>
      <c r="K4" s="21"/>
    </row>
    <row r="5" spans="1:11" s="8" customFormat="1" ht="16.5" thickBot="1" x14ac:dyDescent="0.3">
      <c r="A5" s="7" t="s">
        <v>1</v>
      </c>
      <c r="B5" s="24" t="s">
        <v>2</v>
      </c>
      <c r="C5" s="24" t="s">
        <v>9</v>
      </c>
      <c r="D5" s="24" t="s">
        <v>8</v>
      </c>
      <c r="E5" s="24" t="s">
        <v>3</v>
      </c>
      <c r="F5" s="25" t="s">
        <v>4</v>
      </c>
      <c r="G5" s="26" t="s">
        <v>5</v>
      </c>
      <c r="H5" s="24" t="s">
        <v>11</v>
      </c>
      <c r="I5" s="27" t="s">
        <v>6</v>
      </c>
      <c r="J5" s="27" t="s">
        <v>7</v>
      </c>
      <c r="K5" s="22" t="s">
        <v>10</v>
      </c>
    </row>
    <row r="6" spans="1:11" s="1" customFormat="1" ht="15" outlineLevel="2" x14ac:dyDescent="0.2">
      <c r="A6" s="32" t="s">
        <v>12</v>
      </c>
      <c r="B6" s="28" t="s">
        <v>13</v>
      </c>
      <c r="C6" s="29">
        <v>45474</v>
      </c>
      <c r="D6" s="28" t="s">
        <v>14</v>
      </c>
      <c r="E6" s="28" t="s">
        <v>15</v>
      </c>
      <c r="F6" s="28" t="s">
        <v>16</v>
      </c>
      <c r="G6" s="30">
        <v>45689</v>
      </c>
      <c r="H6" s="28" t="s">
        <v>17</v>
      </c>
      <c r="I6" s="31">
        <v>250.21</v>
      </c>
      <c r="J6" s="31">
        <v>37.531500000000001</v>
      </c>
      <c r="K6" s="23">
        <v>0.15</v>
      </c>
    </row>
    <row r="7" spans="1:11" ht="15" outlineLevel="2" x14ac:dyDescent="0.2">
      <c r="A7" s="32" t="s">
        <v>12</v>
      </c>
      <c r="B7" s="28" t="s">
        <v>13</v>
      </c>
      <c r="C7" s="29">
        <v>45474</v>
      </c>
      <c r="D7" s="28" t="s">
        <v>14</v>
      </c>
      <c r="E7" s="28" t="s">
        <v>15</v>
      </c>
      <c r="F7" s="28" t="s">
        <v>16</v>
      </c>
      <c r="G7" s="30">
        <v>45689</v>
      </c>
      <c r="H7" s="28" t="s">
        <v>18</v>
      </c>
      <c r="I7" s="31">
        <v>82.98</v>
      </c>
      <c r="J7" s="31">
        <v>12.446999999999999</v>
      </c>
      <c r="K7" s="23">
        <v>0.15</v>
      </c>
    </row>
    <row r="8" spans="1:11" ht="15" outlineLevel="2" x14ac:dyDescent="0.2">
      <c r="A8" s="32" t="s">
        <v>12</v>
      </c>
      <c r="B8" s="28" t="s">
        <v>13</v>
      </c>
      <c r="C8" s="29">
        <v>45474</v>
      </c>
      <c r="D8" s="28" t="s">
        <v>14</v>
      </c>
      <c r="E8" s="28" t="s">
        <v>15</v>
      </c>
      <c r="F8" s="28" t="s">
        <v>16</v>
      </c>
      <c r="G8" s="30">
        <v>45689</v>
      </c>
      <c r="H8" s="28" t="s">
        <v>19</v>
      </c>
      <c r="I8" s="31">
        <v>82.98</v>
      </c>
      <c r="J8" s="31">
        <v>12.446999999999999</v>
      </c>
      <c r="K8" s="23">
        <v>0.15</v>
      </c>
    </row>
    <row r="9" spans="1:11" ht="15" outlineLevel="2" x14ac:dyDescent="0.2">
      <c r="A9" s="32" t="s">
        <v>12</v>
      </c>
      <c r="B9" s="28" t="s">
        <v>13</v>
      </c>
      <c r="C9" s="29">
        <v>45474</v>
      </c>
      <c r="D9" s="28" t="s">
        <v>14</v>
      </c>
      <c r="E9" s="28" t="s">
        <v>15</v>
      </c>
      <c r="F9" s="28" t="s">
        <v>16</v>
      </c>
      <c r="G9" s="30">
        <v>45689</v>
      </c>
      <c r="H9" s="28" t="s">
        <v>20</v>
      </c>
      <c r="I9" s="31">
        <v>175.57</v>
      </c>
      <c r="J9" s="31">
        <v>26.3355</v>
      </c>
      <c r="K9" s="23">
        <v>0.15</v>
      </c>
    </row>
    <row r="10" spans="1:11" ht="15" outlineLevel="1" x14ac:dyDescent="0.2">
      <c r="A10" s="33"/>
      <c r="B10" s="39" t="s">
        <v>21</v>
      </c>
      <c r="C10" s="35"/>
      <c r="D10" s="34"/>
      <c r="E10" s="34"/>
      <c r="F10" s="34"/>
      <c r="G10" s="36"/>
      <c r="H10" s="34"/>
      <c r="I10" s="37">
        <f>SUBTOTAL(9,I6:I9)</f>
        <v>591.74</v>
      </c>
      <c r="J10" s="37">
        <f>SUBTOTAL(9,J6:J9)</f>
        <v>88.760999999999996</v>
      </c>
      <c r="K10" s="38"/>
    </row>
    <row r="11" spans="1:11" ht="15" x14ac:dyDescent="0.2">
      <c r="A11" s="33"/>
      <c r="B11" s="39" t="s">
        <v>22</v>
      </c>
      <c r="C11" s="35"/>
      <c r="D11" s="34"/>
      <c r="E11" s="34"/>
      <c r="F11" s="34"/>
      <c r="G11" s="36"/>
      <c r="H11" s="34"/>
      <c r="I11" s="37">
        <f>SUBTOTAL(9,I6:I9)</f>
        <v>591.74</v>
      </c>
      <c r="J11" s="37">
        <f>SUBTOTAL(9,J6:J9)</f>
        <v>88.760999999999996</v>
      </c>
      <c r="K11" s="38"/>
    </row>
  </sheetData>
  <mergeCells count="3">
    <mergeCell ref="A3:J3"/>
    <mergeCell ref="F4:G4"/>
    <mergeCell ref="A2:J2"/>
  </mergeCells>
  <conditionalFormatting sqref="A3:K3 A5:K5 B7:K1048576">
    <cfRule type="expression" dxfId="11" priority="19">
      <formula>RIGHT($A3,5)="Total"</formula>
    </cfRule>
  </conditionalFormatting>
  <conditionalFormatting sqref="B1:E1 A5 A2:A3">
    <cfRule type="expression" dxfId="10" priority="18">
      <formula>RIGHT(A1,5)="Total"</formula>
    </cfRule>
  </conditionalFormatting>
  <conditionalFormatting sqref="F4">
    <cfRule type="expression" dxfId="9" priority="17">
      <formula>RIGHT(F4,5)="Total"</formula>
    </cfRule>
  </conditionalFormatting>
  <conditionalFormatting sqref="B7:D1048576">
    <cfRule type="expression" dxfId="8" priority="16">
      <formula>$B7=#REF!</formula>
    </cfRule>
  </conditionalFormatting>
  <conditionalFormatting sqref="B7:D1048576">
    <cfRule type="expression" dxfId="7" priority="15">
      <formula>$B7=#REF!</formula>
    </cfRule>
  </conditionalFormatting>
  <conditionalFormatting sqref="B8229:D1048576">
    <cfRule type="expression" dxfId="6" priority="20">
      <formula>$B8229=$B12</formula>
    </cfRule>
  </conditionalFormatting>
  <conditionalFormatting sqref="F4">
    <cfRule type="expression" dxfId="5" priority="22">
      <formula>RIGHT($F4,5)="Total"</formula>
    </cfRule>
  </conditionalFormatting>
  <conditionalFormatting sqref="I4:K4">
    <cfRule type="expression" dxfId="4" priority="4">
      <formula>RIGHT($A4,5)="Total"</formula>
    </cfRule>
  </conditionalFormatting>
  <conditionalFormatting sqref="B7:D8225">
    <cfRule type="expression" dxfId="3" priority="24">
      <formula>$B7=#REF!</formula>
    </cfRule>
  </conditionalFormatting>
  <conditionalFormatting sqref="A2:J2">
    <cfRule type="expression" dxfId="2" priority="2">
      <formula>RIGHT($A2,5)="Total"</formula>
    </cfRule>
  </conditionalFormatting>
  <conditionalFormatting sqref="B8226:D8228">
    <cfRule type="expression" dxfId="1" priority="39">
      <formula>$B8226=$B7</formula>
    </cfRule>
  </conditionalFormatting>
  <conditionalFormatting sqref="B5:K11">
    <cfRule type="expression" dxfId="0" priority="1">
      <formula>RIGHT($B5,5)="Total"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Cameron Palmisciano</cp:lastModifiedBy>
  <dcterms:created xsi:type="dcterms:W3CDTF">2020-08-13T20:27:46Z</dcterms:created>
  <dcterms:modified xsi:type="dcterms:W3CDTF">2025-03-20T22:24:31Z</dcterms:modified>
</cp:coreProperties>
</file>