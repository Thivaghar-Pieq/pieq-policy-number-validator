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7-16-25 to 07-19-25\"/>
    </mc:Choice>
  </mc:AlternateContent>
  <xr:revisionPtr revIDLastSave="0" documentId="13_ncr:1_{A159C666-DBD3-454B-925A-FDECD3678E6E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 Summary" sheetId="1" r:id="rId1"/>
    <sheet name="Commission Details" sheetId="2" r:id="rId2"/>
    <sheet name="clean sheet" sheetId="3" r:id="rId3"/>
    <sheet name="Sheet2" sheetId="4" r:id="rId4"/>
  </sheets>
  <externalReferences>
    <externalReference r:id="rId5"/>
  </externalReferences>
  <definedNames>
    <definedName name="_xlnm._FilterDatabase" localSheetId="2" hidden="1">'clean sheet'!$A$1:$Q$188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29" i="3"/>
  <c r="L31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5" i="3"/>
  <c r="L66" i="3"/>
  <c r="L67" i="3"/>
  <c r="L68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100" i="3"/>
  <c r="L101" i="3"/>
  <c r="L102" i="3"/>
  <c r="L103" i="3"/>
  <c r="L129" i="3"/>
  <c r="L131" i="3"/>
  <c r="L132" i="3"/>
  <c r="L133" i="3"/>
  <c r="L137" i="3"/>
  <c r="L138" i="3"/>
  <c r="L139" i="3"/>
  <c r="L140" i="3"/>
  <c r="L141" i="3"/>
  <c r="L142" i="3"/>
  <c r="L143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70" i="3"/>
  <c r="L171" i="3"/>
  <c r="L177" i="3"/>
  <c r="L178" i="3"/>
  <c r="L179" i="3"/>
  <c r="L180" i="3"/>
  <c r="L181" i="3"/>
  <c r="L187" i="3"/>
  <c r="L188" i="3"/>
  <c r="L10" i="3"/>
  <c r="L32" i="3"/>
  <c r="L33" i="3"/>
  <c r="L34" i="3"/>
  <c r="L35" i="3"/>
  <c r="L69" i="3"/>
  <c r="L70" i="3"/>
  <c r="L91" i="3"/>
  <c r="L92" i="3"/>
  <c r="L93" i="3"/>
  <c r="L94" i="3"/>
  <c r="L95" i="3"/>
  <c r="L96" i="3"/>
  <c r="L97" i="3"/>
  <c r="L98" i="3"/>
  <c r="L99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30" i="3"/>
  <c r="L144" i="3"/>
  <c r="L145" i="3"/>
  <c r="L146" i="3"/>
  <c r="L147" i="3"/>
  <c r="L148" i="3"/>
  <c r="L172" i="3"/>
  <c r="L173" i="3"/>
  <c r="L174" i="3"/>
  <c r="L175" i="3"/>
  <c r="L176" i="3"/>
  <c r="L182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30" i="3"/>
  <c r="L63" i="3"/>
  <c r="L64" i="3"/>
  <c r="L119" i="3"/>
  <c r="L120" i="3"/>
  <c r="L121" i="3"/>
  <c r="L122" i="3"/>
  <c r="L123" i="3"/>
  <c r="L124" i="3"/>
  <c r="L125" i="3"/>
  <c r="L126" i="3"/>
  <c r="L127" i="3"/>
  <c r="L128" i="3"/>
  <c r="L134" i="3"/>
  <c r="L135" i="3"/>
  <c r="L136" i="3"/>
  <c r="L167" i="3"/>
  <c r="L168" i="3"/>
  <c r="L169" i="3"/>
  <c r="L183" i="3"/>
  <c r="L184" i="3"/>
  <c r="L185" i="3"/>
  <c r="L186" i="3"/>
  <c r="L2" i="3"/>
  <c r="B1" i="4" a="1"/>
  <c r="B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<sst xmlns="http://schemas.openxmlformats.org/spreadsheetml/2006/main" count="6094" uniqueCount="616">
  <si>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</si>
  <si>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</si>
  <si>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</si>
  <si>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</si>
  <si>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</si>
  <si>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</si>
  <si>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</si>
  <si>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07/19/2025</t>
  </si>
  <si>
    <t>Day of Week</t>
  </si>
  <si>
    <t>FRIDAY</t>
  </si>
  <si>
    <t>Aetna Health Ins Company(AHIC)</t>
  </si>
  <si>
    <t>$159.93</t>
  </si>
  <si>
    <t>CONTINENTAL LIFE INSURANCE CO(CLI)</t>
  </si>
  <si>
    <t>$1,343.33</t>
  </si>
  <si>
    <t>Total Commission Paid</t>
  </si>
  <si>
    <t>$1,503.26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</si>
  <si>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</si>
  <si>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</si>
  <si>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</si>
  <si>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</si>
  <si>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</si>
  <si>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</si>
  <si>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</si>
  <si>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</si>
  <si>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</si>
  <si>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</si>
  <si>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$363.53</t>
  </si>
  <si>
    <t>First Year Total:</t>
  </si>
  <si>
    <t>First Year Override:</t>
  </si>
  <si>
    <t>$954.93</t>
  </si>
  <si>
    <t>Renewal Total:</t>
  </si>
  <si>
    <t>Renewal Override:</t>
  </si>
  <si>
    <t>$24.87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</si>
  <si>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</si>
  <si>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</si>
  <si>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</si>
  <si>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</si>
  <si>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</si>
  <si>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</si>
  <si>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</si>
  <si>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</si>
  <si>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</si>
  <si>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</si>
  <si>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</si>
  <si>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</si>
  <si>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</si>
  <si>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</si>
  <si>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</si>
  <si>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</si>
  <si>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</si>
  <si>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</si>
  <si>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</si>
  <si>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</si>
  <si>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</si>
  <si>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</si>
  <si>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</si>
  <si>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</si>
  <si>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</si>
  <si>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</si>
  <si>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GNW5021656</t>
  </si>
  <si>
    <t>GARY PORTUGAL</t>
  </si>
  <si>
    <t>BRIAN SPISAK</t>
  </si>
  <si>
    <t>CLI7288107</t>
  </si>
  <si>
    <t>First Year</t>
  </si>
  <si>
    <t>12/15/2024</t>
  </si>
  <si>
    <t>IL</t>
  </si>
  <si>
    <t>Cancer Insurance with Recurrence Benefit</t>
  </si>
  <si>
    <t>07/15/2025</t>
  </si>
  <si>
    <t>0.00</t>
  </si>
  <si>
    <t>100.00%</t>
  </si>
  <si>
    <t>000</t>
  </si>
  <si>
    <t>Monthly</t>
  </si>
  <si>
    <t>CHAS PLUS CANCER ONLY W/ RECUR</t>
  </si>
  <si>
    <t>GNW5015801</t>
  </si>
  <si>
    <t>RONALD MAX</t>
  </si>
  <si>
    <t>JERE KATES</t>
  </si>
  <si>
    <t>CLI7288154</t>
  </si>
  <si>
    <t>12/16/2024</t>
  </si>
  <si>
    <t>MD</t>
  </si>
  <si>
    <t>Dental Only 2000</t>
  </si>
  <si>
    <t>12/17/2024</t>
  </si>
  <si>
    <t>07/17/2025</t>
  </si>
  <si>
    <t>57.00%</t>
  </si>
  <si>
    <t xml:space="preserve">Dental Only 2000 MD           </t>
  </si>
  <si>
    <t>CLI7288156</t>
  </si>
  <si>
    <t>Heart Attack or Stroke Insurance</t>
  </si>
  <si>
    <t>91.00%</t>
  </si>
  <si>
    <t xml:space="preserve">CHAS PLUS Heart/Stroke        </t>
  </si>
  <si>
    <t>DAISY GARCIA</t>
  </si>
  <si>
    <t>CLI7356536</t>
  </si>
  <si>
    <t>05/07/2025</t>
  </si>
  <si>
    <t>HIP Flex Daily Hospital Indemnity</t>
  </si>
  <si>
    <t>06/18/2025</t>
  </si>
  <si>
    <t>07/18/2025</t>
  </si>
  <si>
    <t>65.00%</t>
  </si>
  <si>
    <t xml:space="preserve">DAILY HOSPITAL INDEMNITY      </t>
  </si>
  <si>
    <t>Refund of Unearned Commissions</t>
  </si>
  <si>
    <t>GNW5014099</t>
  </si>
  <si>
    <t>HEATHER GESKE</t>
  </si>
  <si>
    <t>JOHN HIGHAM</t>
  </si>
  <si>
    <t>CLI7243839</t>
  </si>
  <si>
    <t>10/11/2024</t>
  </si>
  <si>
    <t>CO</t>
  </si>
  <si>
    <t>Recovery Care</t>
  </si>
  <si>
    <t>11/01/2024</t>
  </si>
  <si>
    <t>08/01/2025</t>
  </si>
  <si>
    <t>58.00%</t>
  </si>
  <si>
    <t xml:space="preserve">RC - Nursing Facility         </t>
  </si>
  <si>
    <t>GNW5005221</t>
  </si>
  <si>
    <t>THOMAS KUCAN</t>
  </si>
  <si>
    <t>JACK EDDINGER</t>
  </si>
  <si>
    <t>CLI7205046</t>
  </si>
  <si>
    <t>07/25/2024</t>
  </si>
  <si>
    <t>07/26/2024</t>
  </si>
  <si>
    <t>07/26/2025</t>
  </si>
  <si>
    <t>Quarterly</t>
  </si>
  <si>
    <t>GNW5020386</t>
  </si>
  <si>
    <t>FRANK LISKOVEC</t>
  </si>
  <si>
    <t>GREGORY THOMAS</t>
  </si>
  <si>
    <t>CLI7268681</t>
  </si>
  <si>
    <t>11/15/2024</t>
  </si>
  <si>
    <t>Dental Vision Hearing 2000</t>
  </si>
  <si>
    <t>12/01/2024</t>
  </si>
  <si>
    <t>Dental, Vision, &amp; Hearing 2000</t>
  </si>
  <si>
    <t>CLI7268684</t>
  </si>
  <si>
    <t>Heart Attack or Stroke Insurance with Recurrence Benefit</t>
  </si>
  <si>
    <t xml:space="preserve">CHAS PLUS Heart/Strk w/ recuc </t>
  </si>
  <si>
    <t>GNW0089770</t>
  </si>
  <si>
    <t>ADAM RICHTER</t>
  </si>
  <si>
    <t>DELCI MARTINEZ</t>
  </si>
  <si>
    <t>CLI7270667</t>
  </si>
  <si>
    <t>11/19/2024</t>
  </si>
  <si>
    <t>NANCY MASCHMEYER</t>
  </si>
  <si>
    <t>CLI7393995</t>
  </si>
  <si>
    <t>Initial</t>
  </si>
  <si>
    <t>07/16/2025</t>
  </si>
  <si>
    <t>WI</t>
  </si>
  <si>
    <t>09/01/2025</t>
  </si>
  <si>
    <t>GNW5019542</t>
  </si>
  <si>
    <t>RICHARD YALE</t>
  </si>
  <si>
    <t>SHERYL SLOAN</t>
  </si>
  <si>
    <t>CLI7393938</t>
  </si>
  <si>
    <t>105.00%</t>
  </si>
  <si>
    <t>DEAURA CARR</t>
  </si>
  <si>
    <t>CLI7201846</t>
  </si>
  <si>
    <t>Renewal</t>
  </si>
  <si>
    <t>07/19/2024</t>
  </si>
  <si>
    <t>3.75%</t>
  </si>
  <si>
    <t>GNW0089678</t>
  </si>
  <si>
    <t>RYAN CALTAGIRONE</t>
  </si>
  <si>
    <t>SARA ABUKHDEIR</t>
  </si>
  <si>
    <t>CLI7113909</t>
  </si>
  <si>
    <t>01/11/2024</t>
  </si>
  <si>
    <t>MI</t>
  </si>
  <si>
    <t>01/20/2024</t>
  </si>
  <si>
    <t>07/20/2025</t>
  </si>
  <si>
    <t>3.50%</t>
  </si>
  <si>
    <t>IRMA HERNAIZ RAMOS</t>
  </si>
  <si>
    <t>CLI7201343</t>
  </si>
  <si>
    <t>IRMA BAEZ HERNAIZ</t>
  </si>
  <si>
    <t>CLI7201339</t>
  </si>
  <si>
    <t>GNW5014846</t>
  </si>
  <si>
    <t>RICARDO SANTOS</t>
  </si>
  <si>
    <t>DARLINO FUSILERO</t>
  </si>
  <si>
    <t>CLI7393807</t>
  </si>
  <si>
    <t>GNW5021353</t>
  </si>
  <si>
    <t>JACOB YALE</t>
  </si>
  <si>
    <t>MARISSA WOODS</t>
  </si>
  <si>
    <t>CLI7393702</t>
  </si>
  <si>
    <t>CLI7393701</t>
  </si>
  <si>
    <t>ELLIS DANIELS</t>
  </si>
  <si>
    <t>CLI7325934</t>
  </si>
  <si>
    <t>03/10/2025</t>
  </si>
  <si>
    <t>07/10/2025</t>
  </si>
  <si>
    <t>95.00%</t>
  </si>
  <si>
    <t>AUDREY LEWIS</t>
  </si>
  <si>
    <t>CLI7382088</t>
  </si>
  <si>
    <t>06/24/2025</t>
  </si>
  <si>
    <t>07/01/2025</t>
  </si>
  <si>
    <t>GNW5013701</t>
  </si>
  <si>
    <t>JARED KINYUA</t>
  </si>
  <si>
    <t>KEHINDE OLU AJAYI</t>
  </si>
  <si>
    <t>CLI7390296</t>
  </si>
  <si>
    <t>07/09/2025</t>
  </si>
  <si>
    <t>HIP Flex Hospital Admission Indemnity</t>
  </si>
  <si>
    <t>08/10/2025</t>
  </si>
  <si>
    <t>60.00%</t>
  </si>
  <si>
    <t>HOSPITAL CONFINEMENT INDEMNITY</t>
  </si>
  <si>
    <t>PAULA STONE  BOND</t>
  </si>
  <si>
    <t>CLI7317896</t>
  </si>
  <si>
    <t>02/20/2025</t>
  </si>
  <si>
    <t>GA</t>
  </si>
  <si>
    <t>GNW0089726</t>
  </si>
  <si>
    <t>KELLY CARRYER</t>
  </si>
  <si>
    <t>DOUGLAS WAXLER</t>
  </si>
  <si>
    <t>CLI7017561</t>
  </si>
  <si>
    <t>06/08/2023</t>
  </si>
  <si>
    <t>PA</t>
  </si>
  <si>
    <t>07/01/2023</t>
  </si>
  <si>
    <t>7.50%</t>
  </si>
  <si>
    <t>CLI7268682</t>
  </si>
  <si>
    <t>GNW5019378</t>
  </si>
  <si>
    <t>CHRIS TAUGNER</t>
  </si>
  <si>
    <t>CAROLYN FINAZZO</t>
  </si>
  <si>
    <t>CLI7361902</t>
  </si>
  <si>
    <t>05/16/2025</t>
  </si>
  <si>
    <t>05/17/2025</t>
  </si>
  <si>
    <t>GNW5002639</t>
  </si>
  <si>
    <t>MATTHEW DAUGHERTY</t>
  </si>
  <si>
    <t>MAGDALENA CASTANON</t>
  </si>
  <si>
    <t>CLI7289945</t>
  </si>
  <si>
    <t>12/18/2024</t>
  </si>
  <si>
    <t>TX</t>
  </si>
  <si>
    <t>01/18/2025</t>
  </si>
  <si>
    <t>YOLANDA WOJTASZEK</t>
  </si>
  <si>
    <t>CLI7288867</t>
  </si>
  <si>
    <t>Dental Vision Hearing 1000</t>
  </si>
  <si>
    <t>Dental, Vision, &amp; Hearing 1000</t>
  </si>
  <si>
    <t>GNW5008239</t>
  </si>
  <si>
    <t>CAROL FOLEY</t>
  </si>
  <si>
    <t>SHAWN TOWEY</t>
  </si>
  <si>
    <t>CLI7392358</t>
  </si>
  <si>
    <t>07/14/2025</t>
  </si>
  <si>
    <t>GNW5016123</t>
  </si>
  <si>
    <t>WILLIAM SCHAEFFER</t>
  </si>
  <si>
    <t>MARY TOWNSEND</t>
  </si>
  <si>
    <t>CLI7299984</t>
  </si>
  <si>
    <t>01/15/2025</t>
  </si>
  <si>
    <t>DVH PLUS 5000</t>
  </si>
  <si>
    <t>02/01/2025</t>
  </si>
  <si>
    <t xml:space="preserve">DVH PLUS PA 5000 100 DED      </t>
  </si>
  <si>
    <t>GNW5002731</t>
  </si>
  <si>
    <t>LANEECE WHITE</t>
  </si>
  <si>
    <t>WINTHA FESSUH</t>
  </si>
  <si>
    <t>CLI7111284</t>
  </si>
  <si>
    <t>01/05/2024</t>
  </si>
  <si>
    <t>Dental Only 1000</t>
  </si>
  <si>
    <t>01/09/2024</t>
  </si>
  <si>
    <t xml:space="preserve">Dental Only 1000 MD           </t>
  </si>
  <si>
    <t>BRADLEY BARNEY</t>
  </si>
  <si>
    <t>CLI7362063</t>
  </si>
  <si>
    <t>AL</t>
  </si>
  <si>
    <t>GNW5030443</t>
  </si>
  <si>
    <t>JENNIFER HALSAVER</t>
  </si>
  <si>
    <t>JOHN HOUY</t>
  </si>
  <si>
    <t>CLI7394333</t>
  </si>
  <si>
    <t>OH</t>
  </si>
  <si>
    <t>CLI7394335</t>
  </si>
  <si>
    <t>SHAWN KELLER</t>
  </si>
  <si>
    <t>CLI7057971</t>
  </si>
  <si>
    <t>09/19/2023</t>
  </si>
  <si>
    <t>10/01/2023</t>
  </si>
  <si>
    <t>DARRELL KINDER</t>
  </si>
  <si>
    <t>CLI7082000</t>
  </si>
  <si>
    <t>11/07/2023</t>
  </si>
  <si>
    <t>11/18/2023</t>
  </si>
  <si>
    <t>11.00%</t>
  </si>
  <si>
    <t>CLI7081999</t>
  </si>
  <si>
    <t>Dental Only 1500</t>
  </si>
  <si>
    <t xml:space="preserve">Dental Only 1500 MD           </t>
  </si>
  <si>
    <t>KATHERINE ESPARRA</t>
  </si>
  <si>
    <t>CLI7388176</t>
  </si>
  <si>
    <t>07/07/2025</t>
  </si>
  <si>
    <t>FL</t>
  </si>
  <si>
    <t>07/11/2025</t>
  </si>
  <si>
    <t>08/11/2025</t>
  </si>
  <si>
    <t>GNW5007313</t>
  </si>
  <si>
    <t>DEBORAH INSKIPT</t>
  </si>
  <si>
    <t>WILLIAM SCHALLER</t>
  </si>
  <si>
    <t>AHC6731790</t>
  </si>
  <si>
    <t>06/06/2024</t>
  </si>
  <si>
    <t>Medicare Supplement Plan G</t>
  </si>
  <si>
    <t>08/01/2024</t>
  </si>
  <si>
    <t>25.00%</t>
  </si>
  <si>
    <t xml:space="preserve">Med Supp Plan G 2010          </t>
  </si>
  <si>
    <t>CIANA BREDEN</t>
  </si>
  <si>
    <t>CLI7199839</t>
  </si>
  <si>
    <t>07/17/2024</t>
  </si>
  <si>
    <t>THERESA PARKS</t>
  </si>
  <si>
    <t>CLI7395456</t>
  </si>
  <si>
    <t>11/01/2025</t>
  </si>
  <si>
    <t>CLI7288155</t>
  </si>
  <si>
    <t>Cancer Insurance</t>
  </si>
  <si>
    <t xml:space="preserve">CHAS PLUS CANCER ONLY         </t>
  </si>
  <si>
    <t>GNW0087421</t>
  </si>
  <si>
    <t>ANNE KOZACHECK</t>
  </si>
  <si>
    <t>CATHLEEN GREENHOW</t>
  </si>
  <si>
    <t>AHC6711278</t>
  </si>
  <si>
    <t>10/17/2023</t>
  </si>
  <si>
    <t>Medicare Supplement Plan N</t>
  </si>
  <si>
    <t>11/01/2023</t>
  </si>
  <si>
    <t>29.00%</t>
  </si>
  <si>
    <t xml:space="preserve">Med Supp Plan N 2010          </t>
  </si>
  <si>
    <t>KAYLAN GOODWIN</t>
  </si>
  <si>
    <t>CLI7288737</t>
  </si>
  <si>
    <t>DENTAL ONLY PLUS 1000</t>
  </si>
  <si>
    <t>01/17/2025</t>
  </si>
  <si>
    <t xml:space="preserve">DEN ONLY PLUS FL 1000 100 DED </t>
  </si>
  <si>
    <t>THOMAS VON BERG</t>
  </si>
  <si>
    <t>CLI7391293</t>
  </si>
  <si>
    <t>LEONARD PINAULT</t>
  </si>
  <si>
    <t>CLI7007951</t>
  </si>
  <si>
    <t>05/17/2023</t>
  </si>
  <si>
    <t>05/18/2023</t>
  </si>
  <si>
    <t>CLI7388175</t>
  </si>
  <si>
    <t>FRANCES AROKE</t>
  </si>
  <si>
    <t>CLI7214119</t>
  </si>
  <si>
    <t>08/13/2024</t>
  </si>
  <si>
    <t>08/15/2024</t>
  </si>
  <si>
    <t>EMILY EHA</t>
  </si>
  <si>
    <t>CLI7361478</t>
  </si>
  <si>
    <t>CLI7361476</t>
  </si>
  <si>
    <t>CLI7361477</t>
  </si>
  <si>
    <t>ALFRED CHESTNUT</t>
  </si>
  <si>
    <t>CLI7199928</t>
  </si>
  <si>
    <t>KELLY LASKY</t>
  </si>
  <si>
    <t>CLI7074729</t>
  </si>
  <si>
    <t>10/25/2023</t>
  </si>
  <si>
    <t>CLI7007952</t>
  </si>
  <si>
    <t>07/05/2025</t>
  </si>
  <si>
    <t>03/05/2024</t>
  </si>
  <si>
    <t>02/28/2024</t>
  </si>
  <si>
    <t>CLI7133384</t>
  </si>
  <si>
    <t>ERIKA STALLINGS</t>
  </si>
  <si>
    <t xml:space="preserve">CHAS PLUS Hrt/Strk w/recuc WA </t>
  </si>
  <si>
    <t>WA</t>
  </si>
  <si>
    <t>CLI7392819</t>
  </si>
  <si>
    <t>BONNIE KRAMER</t>
  </si>
  <si>
    <t xml:space="preserve">DVH PLUS 5000 100 DEDUCTIBLE  </t>
  </si>
  <si>
    <t>CLI7288079</t>
  </si>
  <si>
    <t>DOUG ROBERTSON</t>
  </si>
  <si>
    <t>CHAS PLUS CANCER ONLY W/REC WA</t>
  </si>
  <si>
    <t>CLI7392818</t>
  </si>
  <si>
    <t>CLI7390295</t>
  </si>
  <si>
    <t>08/01/2023</t>
  </si>
  <si>
    <t>05/24/2023</t>
  </si>
  <si>
    <t>AHC6697954</t>
  </si>
  <si>
    <t>PATRICIA OSBORN</t>
  </si>
  <si>
    <t>LAURIE CASTA</t>
  </si>
  <si>
    <t>GNW5000567</t>
  </si>
  <si>
    <t>CLI7392552</t>
  </si>
  <si>
    <t>VICTORIA DAILEY</t>
  </si>
  <si>
    <t>01/01/2025</t>
  </si>
  <si>
    <t>12/30/2024</t>
  </si>
  <si>
    <t>CLI7292674</t>
  </si>
  <si>
    <t>ERICA BANUELOS</t>
  </si>
  <si>
    <t>10/16/2023</t>
  </si>
  <si>
    <t>CLI7069464</t>
  </si>
  <si>
    <t>VASILIOS KARELAS</t>
  </si>
  <si>
    <t>CLI7069465</t>
  </si>
  <si>
    <t xml:space="preserve">DVH PLUS 2000 100 DEDUCTIBLE  </t>
  </si>
  <si>
    <t>04/15/2025</t>
  </si>
  <si>
    <t>DVH PLUS 2000</t>
  </si>
  <si>
    <t>04/14/2025</t>
  </si>
  <si>
    <t>CLI7344062</t>
  </si>
  <si>
    <t>LUZ ESTER VALERA</t>
  </si>
  <si>
    <t>62.50%</t>
  </si>
  <si>
    <t>07/08/2025</t>
  </si>
  <si>
    <t>01/08/2025</t>
  </si>
  <si>
    <t>01/07/2025</t>
  </si>
  <si>
    <t>CLI7295290</t>
  </si>
  <si>
    <t>THOMAS FROCK</t>
  </si>
  <si>
    <t>30.00%</t>
  </si>
  <si>
    <t>11/26/2024</t>
  </si>
  <si>
    <t>AHC6742262</t>
  </si>
  <si>
    <t>NANCY SEDDON</t>
  </si>
  <si>
    <t>08/02/2024</t>
  </si>
  <si>
    <t>AHC6734480</t>
  </si>
  <si>
    <t>BONNIE CARNEY</t>
  </si>
  <si>
    <t>11/14/2024</t>
  </si>
  <si>
    <t>CLI7267631</t>
  </si>
  <si>
    <t>CHARLES PARTAIN</t>
  </si>
  <si>
    <t>06/01/2025</t>
  </si>
  <si>
    <t>05/14/2025</t>
  </si>
  <si>
    <t>CLI7360623</t>
  </si>
  <si>
    <t>HOWARD BOONE</t>
  </si>
  <si>
    <t>STEPHANIE DRAPAC</t>
  </si>
  <si>
    <t>GNW5013630</t>
  </si>
  <si>
    <t xml:space="preserve">Dental,Vision,Hearing 2000 PA </t>
  </si>
  <si>
    <t>01/01/2024</t>
  </si>
  <si>
    <t>12/14/2023</t>
  </si>
  <si>
    <t>CLI7104793</t>
  </si>
  <si>
    <t>MARK KESSLER</t>
  </si>
  <si>
    <t>PETER RICHTER</t>
  </si>
  <si>
    <t>GNW5000839</t>
  </si>
  <si>
    <t>11/04/2024</t>
  </si>
  <si>
    <t>CLI7259966</t>
  </si>
  <si>
    <t>KATHLEEN HERRITY</t>
  </si>
  <si>
    <t>BARRY SCHUMANN</t>
  </si>
  <si>
    <t>GNW5013451</t>
  </si>
  <si>
    <t>10/17/2024</t>
  </si>
  <si>
    <t>CLI7247846</t>
  </si>
  <si>
    <t>GLENN MCNALLY</t>
  </si>
  <si>
    <t>01/15/2024</t>
  </si>
  <si>
    <t>01/12/2024</t>
  </si>
  <si>
    <t>CLI7114504</t>
  </si>
  <si>
    <t>BRIAN WHITE</t>
  </si>
  <si>
    <t>03/15/2024</t>
  </si>
  <si>
    <t>02/12/2024</t>
  </si>
  <si>
    <t>CLI7126946</t>
  </si>
  <si>
    <t>JINA HALL</t>
  </si>
  <si>
    <t>10/01/2024</t>
  </si>
  <si>
    <t>09/05/2024</t>
  </si>
  <si>
    <t>CLI7225345</t>
  </si>
  <si>
    <t>DEBORAH COSTANZO</t>
  </si>
  <si>
    <t xml:space="preserve">Home Care Plus                </t>
  </si>
  <si>
    <t>Home Care Plus</t>
  </si>
  <si>
    <t>10/29/2024</t>
  </si>
  <si>
    <t>CLI7255295</t>
  </si>
  <si>
    <t>CONSTANCE FIPPINGER</t>
  </si>
  <si>
    <t>DALE WALENGA</t>
  </si>
  <si>
    <t>GNW5019932</t>
  </si>
  <si>
    <t>24.00%</t>
  </si>
  <si>
    <t>06/01/2023</t>
  </si>
  <si>
    <t>05/26/2023</t>
  </si>
  <si>
    <t>AHC6698232</t>
  </si>
  <si>
    <t>LINDA DEANTONIO</t>
  </si>
  <si>
    <t>10/30/2023</t>
  </si>
  <si>
    <t>CLI7077075</t>
  </si>
  <si>
    <t>RONALD COSTANZO</t>
  </si>
  <si>
    <t>06/27/2023</t>
  </si>
  <si>
    <t>CLI7024785</t>
  </si>
  <si>
    <t>ROBERT SLANEY</t>
  </si>
  <si>
    <t>CLI7024787</t>
  </si>
  <si>
    <t>12/10/2024</t>
  </si>
  <si>
    <t>CLI7285738</t>
  </si>
  <si>
    <t>PAUL FARLEY</t>
  </si>
  <si>
    <t>CHAD YALE</t>
  </si>
  <si>
    <t>GNW5020131</t>
  </si>
  <si>
    <t xml:space="preserve">Dental Only 2000              </t>
  </si>
  <si>
    <t>CLI7289580</t>
  </si>
  <si>
    <t>CATHERINE SOTACK</t>
  </si>
  <si>
    <t>52.00%</t>
  </si>
  <si>
    <t>CLI7268487</t>
  </si>
  <si>
    <t>MANUEL RIVERA</t>
  </si>
  <si>
    <t>06/16/2023</t>
  </si>
  <si>
    <t>CLI7021094</t>
  </si>
  <si>
    <t>MICHAEL JETT</t>
  </si>
  <si>
    <t>8.00%</t>
  </si>
  <si>
    <t>07/18/2024</t>
  </si>
  <si>
    <t>CLI7201001</t>
  </si>
  <si>
    <t>LESLIE SCHOFFSTALL</t>
  </si>
  <si>
    <t>12/01/2023</t>
  </si>
  <si>
    <t>10/11/2023</t>
  </si>
  <si>
    <t>CLI7067136</t>
  </si>
  <si>
    <t>CHERYL LITTLE</t>
  </si>
  <si>
    <t>06/17/2025</t>
  </si>
  <si>
    <t>06/16/2025</t>
  </si>
  <si>
    <t>CLI7376880</t>
  </si>
  <si>
    <t>MARK BOWERS</t>
  </si>
  <si>
    <t>01/16/2025</t>
  </si>
  <si>
    <t>CLI7300298</t>
  </si>
  <si>
    <t>STACY OLSEN</t>
  </si>
  <si>
    <t>CLI7285739</t>
  </si>
  <si>
    <t>CHARLOTTE FARLEY</t>
  </si>
  <si>
    <t>01/27/2025</t>
  </si>
  <si>
    <t>CLI7304977</t>
  </si>
  <si>
    <t>KAREN KLAGES</t>
  </si>
  <si>
    <t>07/23/2025</t>
  </si>
  <si>
    <t>06/23/2025</t>
  </si>
  <si>
    <t>CLI7380854</t>
  </si>
  <si>
    <t>JUAN MERCADO</t>
  </si>
  <si>
    <t xml:space="preserve">DEN ONLY PLUS FL 5000 100 DED </t>
  </si>
  <si>
    <t>DENTAL ONLY PLUS 5000</t>
  </si>
  <si>
    <t>12/06/2024</t>
  </si>
  <si>
    <t>CLI7283146</t>
  </si>
  <si>
    <t>MARYANNE NICKEL</t>
  </si>
  <si>
    <t>STACEY PORTUGAL</t>
  </si>
  <si>
    <t>GNW5020580</t>
  </si>
  <si>
    <t>IN</t>
  </si>
  <si>
    <t>01/02/2025</t>
  </si>
  <si>
    <t>CLI7293753</t>
  </si>
  <si>
    <t>BRIDGET CARTER</t>
  </si>
  <si>
    <t>CLI7390183</t>
  </si>
  <si>
    <t>JOYCE COUCH</t>
  </si>
  <si>
    <t>10/15/2024</t>
  </si>
  <si>
    <t>CLI7243696</t>
  </si>
  <si>
    <t>JADA MCKENNA</t>
  </si>
  <si>
    <t>CLI7243804</t>
  </si>
  <si>
    <t>ARNOLD GAMBLE</t>
  </si>
  <si>
    <t>CATHY LEMON</t>
  </si>
  <si>
    <t>GNW5005484</t>
  </si>
  <si>
    <t>07/14/2023</t>
  </si>
  <si>
    <t>07/13/2023</t>
  </si>
  <si>
    <t>CLI7031278</t>
  </si>
  <si>
    <t>LOGAN NENCIONI</t>
  </si>
  <si>
    <t>CLI7259791</t>
  </si>
  <si>
    <t>THOMAS RIPLEY</t>
  </si>
  <si>
    <t>06/05/2025</t>
  </si>
  <si>
    <t>CLI7372163</t>
  </si>
  <si>
    <t>DEBRA HARNEY</t>
  </si>
  <si>
    <t xml:space="preserve">DEN ONLY PLUS FL 3000 100 DED </t>
  </si>
  <si>
    <t>DENTAL ONLY PLUS 3000</t>
  </si>
  <si>
    <t>12/09/2024</t>
  </si>
  <si>
    <t>CLI7284679</t>
  </si>
  <si>
    <t>JACQUELINE GOLLAY</t>
  </si>
  <si>
    <t>06/10/2025</t>
  </si>
  <si>
    <t>06/09/2025</t>
  </si>
  <si>
    <t>CLI7373737</t>
  </si>
  <si>
    <t>GLORIA HARRIS</t>
  </si>
  <si>
    <t>CLI7259787</t>
  </si>
  <si>
    <t>BRENDA RIPLEY</t>
  </si>
  <si>
    <t>CLI7259790</t>
  </si>
  <si>
    <t>CLI7237845</t>
  </si>
  <si>
    <t>ROBERT GRIMES</t>
  </si>
  <si>
    <t>PAMELA DEATON</t>
  </si>
  <si>
    <t>GNW5014631</t>
  </si>
  <si>
    <t>05/01/2025</t>
  </si>
  <si>
    <t>04/17/2025</t>
  </si>
  <si>
    <t>CLI7346098</t>
  </si>
  <si>
    <t>BETH ANN PIELIN</t>
  </si>
  <si>
    <t>CLI7299675</t>
  </si>
  <si>
    <t>MICHAEL GOODMAN</t>
  </si>
  <si>
    <t>07/12/2025</t>
  </si>
  <si>
    <t>12/12/2024</t>
  </si>
  <si>
    <t>CLI7287144</t>
  </si>
  <si>
    <t>KENNETH SPINNER</t>
  </si>
  <si>
    <t>11/13/2024</t>
  </si>
  <si>
    <t>CLI7266057</t>
  </si>
  <si>
    <t>SHARON FORREST</t>
  </si>
  <si>
    <t>12/14/2024</t>
  </si>
  <si>
    <t>CLI7288060</t>
  </si>
  <si>
    <t>RUTH LINDO JONES</t>
  </si>
  <si>
    <t>CLI7067135</t>
  </si>
  <si>
    <t>CLI7115300</t>
  </si>
  <si>
    <t>TIMOTHY KUHN JR</t>
  </si>
  <si>
    <t>CLI7259785</t>
  </si>
  <si>
    <t>1.50%</t>
  </si>
  <si>
    <t>10/23/2024</t>
  </si>
  <si>
    <t>AHC6738690</t>
  </si>
  <si>
    <t>ALBERTA GREEN</t>
  </si>
  <si>
    <t>CAROLYN WILSON SMITH</t>
  </si>
  <si>
    <t>GNW5005086</t>
  </si>
  <si>
    <t>CLI7299676</t>
  </si>
  <si>
    <t>CLI7304978</t>
  </si>
  <si>
    <t>12/15/2022</t>
  </si>
  <si>
    <t>CLI6941284</t>
  </si>
  <si>
    <t>RICK UHLER</t>
  </si>
  <si>
    <t>KIMBERLY DICKERSON</t>
  </si>
  <si>
    <t>GNW6114443</t>
  </si>
  <si>
    <t>02/15/2025</t>
  </si>
  <si>
    <t>MS</t>
  </si>
  <si>
    <t>02/06/2025</t>
  </si>
  <si>
    <t>CLI7311105</t>
  </si>
  <si>
    <t>LUCY BARTLETT</t>
  </si>
  <si>
    <t>06/19/2025</t>
  </si>
  <si>
    <t>CLI7379447</t>
  </si>
  <si>
    <t>TEOFILA CALINGA</t>
  </si>
  <si>
    <t xml:space="preserve">DVH PLUS 1500 100 DEDUCTIBLE  </t>
  </si>
  <si>
    <t>DVH PLUS 1500</t>
  </si>
  <si>
    <t>CLI0023170</t>
  </si>
  <si>
    <t>MILOS RADOVANOVIC</t>
  </si>
  <si>
    <t>09/01/2023</t>
  </si>
  <si>
    <t>08/24/2023</t>
  </si>
  <si>
    <t>CLI7048588</t>
  </si>
  <si>
    <t>JENNIFER JAMISON</t>
  </si>
  <si>
    <t>06/26/2025</t>
  </si>
  <si>
    <t>CLI7383439</t>
  </si>
  <si>
    <t>IZJAIR DORSEY</t>
  </si>
  <si>
    <t>10/01/2025</t>
  </si>
  <si>
    <t>CLI7393394</t>
  </si>
  <si>
    <t>RICHARD AMOS</t>
  </si>
  <si>
    <t>03/01/2024</t>
  </si>
  <si>
    <t>02/09/2024</t>
  </si>
  <si>
    <t>CLI7126409</t>
  </si>
  <si>
    <t>NJEGOS PAUNIC</t>
  </si>
  <si>
    <t>31.00%</t>
  </si>
  <si>
    <t>AHC6750220</t>
  </si>
  <si>
    <t>DANIEL MOORE</t>
  </si>
  <si>
    <t>AHC6741008</t>
  </si>
  <si>
    <t>STEVEN SMITH</t>
  </si>
  <si>
    <t>CLI7361745</t>
  </si>
  <si>
    <t>SOPHIA POOLE</t>
  </si>
  <si>
    <t>CLI7361746</t>
  </si>
  <si>
    <t>04/01/2025</t>
  </si>
  <si>
    <t>03/31/2025</t>
  </si>
  <si>
    <t>CLI7336613</t>
  </si>
  <si>
    <t>VICTORIA STEVENSON</t>
  </si>
  <si>
    <t>26.00%</t>
  </si>
  <si>
    <t>03/01/2025</t>
  </si>
  <si>
    <t>02/12/2025</t>
  </si>
  <si>
    <t>AHC6746928</t>
  </si>
  <si>
    <t>ANN DELLARCO</t>
  </si>
  <si>
    <t>06/01/2024</t>
  </si>
  <si>
    <t>05/21/2024</t>
  </si>
  <si>
    <t>CLI7170749</t>
  </si>
  <si>
    <t>MOHAMMAD KABIR</t>
  </si>
  <si>
    <t>Cancer and Heart</t>
  </si>
  <si>
    <t>Cancer and Heart Attack or Stroke 100%</t>
  </si>
  <si>
    <t>Hospital Indemnity-AL, AR, DE, GA, ID, IL, IN, KS, KY, etc.</t>
  </si>
  <si>
    <t>Dental, Vision, and Hearing Plus</t>
  </si>
  <si>
    <t>DVH PLUS 3000</t>
  </si>
  <si>
    <t>Hospital Indemnity Flex: AZ, CT, FL, IA, MA, MD, MI, ND, NH, SC, UT, VA, VT</t>
  </si>
  <si>
    <t>Cancer and Heart Attack or Stroke 105</t>
  </si>
  <si>
    <t>Medicare Supplement Plan N 30%</t>
  </si>
  <si>
    <t>Cancer and Heart Attack or Stroke Plus</t>
  </si>
  <si>
    <t>Medicare Supplement Plan- KS &amp; MD 1.5</t>
  </si>
  <si>
    <t>Cancer &amp; Heart Attack/Stroke +AZ, DE, FL, IN, MI, ND, OH, SC, UT, VT</t>
  </si>
  <si>
    <t>Cancer &amp; Heart Attack/Stroke</t>
  </si>
  <si>
    <t>Hospital Indemnity AZ CT FL IA MA MD MI ND NH SC UT VA VT</t>
  </si>
  <si>
    <t>Medicare Supplement Plan G 2024</t>
  </si>
  <si>
    <t>IL (all Marketed Plans except Plan N) Ages 65 to 79</t>
  </si>
  <si>
    <t>DVH Plus AL AR AZ CT DE FL GA IA ID IL</t>
  </si>
  <si>
    <t>Home Recovery Hospital Nursing Care 65</t>
  </si>
  <si>
    <t>Carolyn  Wilson Smith</t>
  </si>
  <si>
    <t>8814784AV8</t>
  </si>
  <si>
    <t>21564088AV8</t>
  </si>
  <si>
    <t>19200754AV8</t>
  </si>
  <si>
    <t>16633294AV8</t>
  </si>
  <si>
    <t>19645587AV8</t>
  </si>
  <si>
    <t>16202925AV8</t>
  </si>
  <si>
    <t>months</t>
  </si>
  <si>
    <t>paycode</t>
  </si>
  <si>
    <t>AE</t>
  </si>
  <si>
    <t>AV1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</si>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</sst>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sz val="10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0" fontId="0" fillId="3" borderId="0" xfId="0" applyNumberFormat="1" applyFill="1" applyAlignment="1">
      <alignment horizontal="left"/>
    </xf>
    <xf numFmtId="10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  <xf numFmtId="0" fontId="0" fillId="4" borderId="0" xfId="0" applyFill="1"/>
    <xf numFmtId="0" fontId="10" fillId="0" borderId="0" xfId="0" applyFont="1" applyAlignment="1">
      <alignment horizontal="left"/>
    </xf>
    <xf numFmtId="0" fontId="1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t roster"/>
      <sheetName val="Sheet1"/>
      <sheetName val="last name first"/>
      <sheetName val="Sheet2"/>
    </sheetNames>
    <sheetDataSet>
      <sheetData sheetId="0"/>
      <sheetData sheetId="1"/>
      <sheetData sheetId="2"/>
      <sheetData sheetId="3">
        <row r="1">
          <cell r="A1" t="str">
            <v>Abbie  Hall</v>
          </cell>
          <cell r="B1"/>
        </row>
        <row r="2">
          <cell r="A2" t="str">
            <v>Adam Richter</v>
          </cell>
          <cell r="B2">
            <v>9079571</v>
          </cell>
        </row>
        <row r="3">
          <cell r="A3" t="str">
            <v>Aidan  Barber</v>
          </cell>
          <cell r="B3">
            <v>20769090</v>
          </cell>
        </row>
        <row r="4">
          <cell r="A4" t="str">
            <v>Alan Cousar</v>
          </cell>
          <cell r="B4">
            <v>9544903</v>
          </cell>
        </row>
        <row r="5">
          <cell r="A5" t="str">
            <v>Alison Luse</v>
          </cell>
          <cell r="B5">
            <v>9254978</v>
          </cell>
        </row>
        <row r="6">
          <cell r="A6" t="str">
            <v>Ami De Rama</v>
          </cell>
          <cell r="B6">
            <v>5859730</v>
          </cell>
        </row>
        <row r="7">
          <cell r="A7" t="str">
            <v>Anand Munkhbaatar</v>
          </cell>
          <cell r="B7" t="str">
            <v>NA</v>
          </cell>
        </row>
        <row r="8">
          <cell r="A8" t="str">
            <v>Andrea Petrungaro</v>
          </cell>
          <cell r="B8">
            <v>16912722</v>
          </cell>
        </row>
        <row r="9">
          <cell r="A9" t="str">
            <v>Andrew  Goodman</v>
          </cell>
          <cell r="B9">
            <v>593918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ANNE KOZACHECK</v>
          </cell>
          <cell r="B11">
            <v>19278370</v>
          </cell>
        </row>
        <row r="12">
          <cell r="A12" t="str">
            <v>Anthony Hunsberger</v>
          </cell>
          <cell r="B12">
            <v>7146581</v>
          </cell>
        </row>
        <row r="13">
          <cell r="A13" t="str">
            <v>Antonia Nevaraz</v>
          </cell>
          <cell r="B13">
            <v>21646325</v>
          </cell>
        </row>
        <row r="14">
          <cell r="A14" t="str">
            <v>Arnold  Aloff</v>
          </cell>
          <cell r="B14">
            <v>3475518</v>
          </cell>
        </row>
        <row r="15">
          <cell r="A15" t="str">
            <v>Ashley Teipel</v>
          </cell>
          <cell r="B15">
            <v>20436925</v>
          </cell>
        </row>
        <row r="16">
          <cell r="A16" t="str">
            <v>Barry Brenner</v>
          </cell>
          <cell r="B16">
            <v>21348299</v>
          </cell>
        </row>
        <row r="17">
          <cell r="A17" t="str">
            <v>Barry Schumann</v>
          </cell>
          <cell r="B17">
            <v>19586992</v>
          </cell>
        </row>
        <row r="18">
          <cell r="A18" t="str">
            <v>Brian  Strohman</v>
          </cell>
          <cell r="B18">
            <v>21104854</v>
          </cell>
        </row>
        <row r="19">
          <cell r="A19" t="str">
            <v>Brian Raughter</v>
          </cell>
          <cell r="B19">
            <v>18406006</v>
          </cell>
        </row>
        <row r="20">
          <cell r="A20" t="str">
            <v>Brittany Oliver</v>
          </cell>
          <cell r="B20">
            <v>17554531</v>
          </cell>
        </row>
        <row r="21">
          <cell r="A21" t="str">
            <v>Carol Foley</v>
          </cell>
          <cell r="B21">
            <v>17425766</v>
          </cell>
        </row>
        <row r="22">
          <cell r="A22" t="str">
            <v>Carol Fritz</v>
          </cell>
          <cell r="B22">
            <v>19268643</v>
          </cell>
        </row>
        <row r="23">
          <cell r="A23" t="str">
            <v>Carolyn  Wilson Smith</v>
          </cell>
          <cell r="B23">
            <v>7387433</v>
          </cell>
        </row>
        <row r="24">
          <cell r="A24" t="str">
            <v>Cathy Lemon</v>
          </cell>
          <cell r="B24">
            <v>17195620</v>
          </cell>
        </row>
        <row r="25">
          <cell r="A25" t="str">
            <v>Chad Bender</v>
          </cell>
          <cell r="B25">
            <v>18598357</v>
          </cell>
        </row>
        <row r="26">
          <cell r="A26" t="str">
            <v>Chad Yale</v>
          </cell>
          <cell r="B26">
            <v>20003537</v>
          </cell>
        </row>
        <row r="27">
          <cell r="A27" t="str">
            <v>Cheryl Frazier</v>
          </cell>
          <cell r="B27">
            <v>8499606</v>
          </cell>
        </row>
        <row r="28">
          <cell r="A28" t="str">
            <v>CHRIS TAUGNER</v>
          </cell>
          <cell r="B28">
            <v>19681796</v>
          </cell>
        </row>
        <row r="29">
          <cell r="A29" t="str">
            <v>Christopher Brousseau</v>
          </cell>
          <cell r="B29">
            <v>21435997</v>
          </cell>
        </row>
        <row r="30">
          <cell r="A30" t="str">
            <v>Clarissa Powell</v>
          </cell>
          <cell r="B30">
            <v>17785596</v>
          </cell>
        </row>
        <row r="31">
          <cell r="A31" t="str">
            <v>Colleen Finnigan</v>
          </cell>
          <cell r="B31">
            <v>17437820</v>
          </cell>
        </row>
        <row r="32">
          <cell r="A32" t="str">
            <v>Colleen Jerger</v>
          </cell>
          <cell r="B32">
            <v>3333476</v>
          </cell>
        </row>
        <row r="33">
          <cell r="A33" t="str">
            <v>Connor  Green</v>
          </cell>
          <cell r="B33">
            <v>20811434</v>
          </cell>
        </row>
        <row r="34">
          <cell r="A34" t="str">
            <v>Cora Kuykendall</v>
          </cell>
          <cell r="B34">
            <v>22021577</v>
          </cell>
        </row>
        <row r="35">
          <cell r="A35" t="str">
            <v>Curtis Dodd</v>
          </cell>
          <cell r="B35">
            <v>10599300</v>
          </cell>
        </row>
        <row r="36">
          <cell r="A36" t="str">
            <v>Dale Walenga</v>
          </cell>
          <cell r="B36">
            <v>8325282</v>
          </cell>
        </row>
        <row r="37">
          <cell r="A37" t="str">
            <v>Danna Green</v>
          </cell>
          <cell r="B37">
            <v>16849453</v>
          </cell>
        </row>
        <row r="38">
          <cell r="A38" t="str">
            <v>Deborah Inskipt</v>
          </cell>
          <cell r="B38">
            <v>17528908</v>
          </cell>
        </row>
        <row r="39">
          <cell r="A39" t="str">
            <v>Deborah Powers</v>
          </cell>
          <cell r="B39">
            <v>19606009</v>
          </cell>
        </row>
        <row r="40">
          <cell r="A40" t="str">
            <v>Dennis Holyn</v>
          </cell>
          <cell r="B40">
            <v>7152559</v>
          </cell>
        </row>
        <row r="41">
          <cell r="A41" t="str">
            <v>Diana Zimmerman</v>
          </cell>
          <cell r="B41">
            <v>17640026</v>
          </cell>
        </row>
        <row r="42">
          <cell r="A42" t="str">
            <v>Dolores Dunbar</v>
          </cell>
          <cell r="B42">
            <v>17774994</v>
          </cell>
        </row>
        <row r="43">
          <cell r="A43" t="str">
            <v xml:space="preserve">Eliseo Tajanlangit </v>
          </cell>
          <cell r="B43">
            <v>18207434</v>
          </cell>
        </row>
        <row r="44">
          <cell r="A44" t="str">
            <v>Erica Solivan</v>
          </cell>
          <cell r="B44">
            <v>21605264</v>
          </cell>
        </row>
        <row r="45">
          <cell r="A45" t="str">
            <v>Esther "Estee" Herrera-Larsen</v>
          </cell>
          <cell r="B45">
            <v>17301495</v>
          </cell>
        </row>
        <row r="46">
          <cell r="A46" t="str">
            <v>Frank Liskovec</v>
          </cell>
          <cell r="B46">
            <v>8814784</v>
          </cell>
        </row>
        <row r="47">
          <cell r="A47" t="str">
            <v>GARY PORTUGAL</v>
          </cell>
          <cell r="B47">
            <v>9213293</v>
          </cell>
        </row>
        <row r="48">
          <cell r="A48" t="str">
            <v>Greg Teipel</v>
          </cell>
          <cell r="B48">
            <v>8307933</v>
          </cell>
        </row>
        <row r="49">
          <cell r="A49" t="str">
            <v>Gregg Arenson</v>
          </cell>
          <cell r="B49">
            <v>20776610</v>
          </cell>
        </row>
        <row r="50">
          <cell r="A50" t="str">
            <v>Gregory Hansford</v>
          </cell>
          <cell r="B50">
            <v>17094718</v>
          </cell>
        </row>
        <row r="51">
          <cell r="A51" t="str">
            <v>Heather Geske</v>
          </cell>
          <cell r="B51">
            <v>16865615</v>
          </cell>
        </row>
        <row r="52">
          <cell r="A52" t="str">
            <v>Heidi Berthelsen</v>
          </cell>
          <cell r="B52">
            <v>19617796</v>
          </cell>
        </row>
        <row r="53">
          <cell r="A53" t="str">
            <v>Ines Berg</v>
          </cell>
          <cell r="B53">
            <v>17117649</v>
          </cell>
        </row>
        <row r="54">
          <cell r="A54" t="str">
            <v>Jack  Jerger</v>
          </cell>
          <cell r="B54" t="str">
            <v>NA</v>
          </cell>
        </row>
        <row r="55">
          <cell r="A55" t="str">
            <v>Jacob Yale</v>
          </cell>
          <cell r="B55">
            <v>18754354</v>
          </cell>
        </row>
        <row r="56">
          <cell r="A56" t="str">
            <v>Jake Shulman</v>
          </cell>
          <cell r="B56">
            <v>18201929</v>
          </cell>
        </row>
        <row r="57">
          <cell r="A57" t="str">
            <v>Jalyne Vogel</v>
          </cell>
          <cell r="B57" t="str">
            <v>?</v>
          </cell>
        </row>
        <row r="58">
          <cell r="A58" t="str">
            <v>James Allen</v>
          </cell>
          <cell r="B58">
            <v>17143996</v>
          </cell>
        </row>
        <row r="59">
          <cell r="A59" t="str">
            <v>Jared Kinyua</v>
          </cell>
          <cell r="B59">
            <v>19279958</v>
          </cell>
        </row>
        <row r="60">
          <cell r="A60" t="str">
            <v>Jason Hoffmann</v>
          </cell>
          <cell r="B60">
            <v>15278437</v>
          </cell>
        </row>
        <row r="61">
          <cell r="A61" t="str">
            <v>Jason Roller</v>
          </cell>
          <cell r="B61">
            <v>16228684</v>
          </cell>
        </row>
        <row r="62">
          <cell r="A62" t="str">
            <v>Jeffrey Horn</v>
          </cell>
          <cell r="B62">
            <v>2158366</v>
          </cell>
        </row>
        <row r="63">
          <cell r="A63" t="str">
            <v>JENNIFER HALSAVER</v>
          </cell>
          <cell r="B63">
            <v>21564088</v>
          </cell>
        </row>
        <row r="64">
          <cell r="A64" t="str">
            <v>Jennifer  Hunsberger</v>
          </cell>
          <cell r="B64" t="str">
            <v>?</v>
          </cell>
        </row>
        <row r="65">
          <cell r="A65" t="str">
            <v>Jessica Sandifer</v>
          </cell>
          <cell r="B65">
            <v>6115727</v>
          </cell>
        </row>
        <row r="66">
          <cell r="A66" t="str">
            <v>Joel Lee</v>
          </cell>
          <cell r="B66">
            <v>6634327</v>
          </cell>
        </row>
        <row r="67">
          <cell r="A67" t="str">
            <v>John  Karns</v>
          </cell>
          <cell r="B67">
            <v>21128342</v>
          </cell>
        </row>
        <row r="68">
          <cell r="A68" t="str">
            <v>John Kelly</v>
          </cell>
          <cell r="B68" t="str">
            <v>working on license</v>
          </cell>
        </row>
        <row r="69">
          <cell r="A69" t="str">
            <v>John Risely</v>
          </cell>
          <cell r="B69">
            <v>20551344</v>
          </cell>
        </row>
        <row r="70">
          <cell r="A70" t="str">
            <v>John Roken</v>
          </cell>
          <cell r="B70">
            <v>18781057</v>
          </cell>
        </row>
        <row r="71">
          <cell r="A71" t="str">
            <v>Jonathan Aloff</v>
          </cell>
          <cell r="B71">
            <v>16683808</v>
          </cell>
        </row>
        <row r="72">
          <cell r="A72" t="str">
            <v>Jose Torres</v>
          </cell>
          <cell r="B72">
            <v>20212926</v>
          </cell>
        </row>
        <row r="73">
          <cell r="A73" t="str">
            <v>Joseph Sexton</v>
          </cell>
          <cell r="B73">
            <v>21505953</v>
          </cell>
        </row>
        <row r="74">
          <cell r="A74" t="str">
            <v>Josiah  Luse</v>
          </cell>
          <cell r="B74">
            <v>20405298</v>
          </cell>
        </row>
        <row r="75">
          <cell r="A75" t="str">
            <v>Karen  Flowers</v>
          </cell>
          <cell r="B75"/>
        </row>
        <row r="76">
          <cell r="A76" t="str">
            <v>Kasandra Holland</v>
          </cell>
          <cell r="B76">
            <v>21284072</v>
          </cell>
        </row>
        <row r="77">
          <cell r="A77" t="str">
            <v>Katelan Wick</v>
          </cell>
          <cell r="B77">
            <v>19271047</v>
          </cell>
        </row>
        <row r="78">
          <cell r="A78" t="str">
            <v xml:space="preserve">Katelenn Caltagirone </v>
          </cell>
          <cell r="B78">
            <v>20436896</v>
          </cell>
        </row>
        <row r="79">
          <cell r="A79" t="str">
            <v>Kenneth Weitzman</v>
          </cell>
          <cell r="B79">
            <v>17516272</v>
          </cell>
        </row>
        <row r="80">
          <cell r="A80" t="str">
            <v>Kimberly Dickerson</v>
          </cell>
          <cell r="B80">
            <v>16243811</v>
          </cell>
        </row>
        <row r="81">
          <cell r="A81" t="str">
            <v>Kimberly Edwards</v>
          </cell>
          <cell r="B81">
            <v>21128256</v>
          </cell>
        </row>
        <row r="82">
          <cell r="A82" t="str">
            <v>Kimberly Foley</v>
          </cell>
          <cell r="B82">
            <v>21577652</v>
          </cell>
        </row>
        <row r="83">
          <cell r="A83" t="str">
            <v>Kirk Tigue</v>
          </cell>
          <cell r="B83">
            <v>21421111</v>
          </cell>
        </row>
        <row r="84">
          <cell r="A84" t="str">
            <v>KLAUS HERCHENRODER</v>
          </cell>
          <cell r="B84">
            <v>14936854</v>
          </cell>
        </row>
        <row r="85">
          <cell r="A85" t="str">
            <v>LaNeece White</v>
          </cell>
          <cell r="B85">
            <v>13496370</v>
          </cell>
        </row>
        <row r="86">
          <cell r="A86" t="str">
            <v>Latesha Rose</v>
          </cell>
          <cell r="B86">
            <v>21436172</v>
          </cell>
        </row>
        <row r="87">
          <cell r="A87" t="str">
            <v>Laurie Casta</v>
          </cell>
          <cell r="B87">
            <v>20697692</v>
          </cell>
        </row>
        <row r="88">
          <cell r="A88" t="str">
            <v>Leandrus Gaskins</v>
          </cell>
          <cell r="B88">
            <v>19642342</v>
          </cell>
        </row>
        <row r="89">
          <cell r="A89" t="str">
            <v>Lensie Gonzalez</v>
          </cell>
          <cell r="B89">
            <v>17859093</v>
          </cell>
        </row>
        <row r="90">
          <cell r="A90" t="str">
            <v>Linda  Wolfson</v>
          </cell>
          <cell r="B90" t="str">
            <v>NA</v>
          </cell>
        </row>
        <row r="91">
          <cell r="A91" t="str">
            <v>Lori Tunstall</v>
          </cell>
          <cell r="B91">
            <v>18134413</v>
          </cell>
        </row>
        <row r="92">
          <cell r="A92" t="str">
            <v>Luis Ybanez</v>
          </cell>
          <cell r="B92">
            <v>15735937</v>
          </cell>
        </row>
        <row r="93">
          <cell r="A93" t="str">
            <v>Maggie Smith</v>
          </cell>
          <cell r="B93">
            <v>20253958</v>
          </cell>
        </row>
        <row r="94">
          <cell r="A94" t="str">
            <v>Margaret Finnegan</v>
          </cell>
          <cell r="B94">
            <v>19861194</v>
          </cell>
        </row>
        <row r="95">
          <cell r="A95" t="str">
            <v>Marina Obrien</v>
          </cell>
          <cell r="B95">
            <v>16865242</v>
          </cell>
        </row>
        <row r="96">
          <cell r="A96" t="str">
            <v>Marissa Porraz</v>
          </cell>
          <cell r="B96" t="str">
            <v>?</v>
          </cell>
        </row>
        <row r="97">
          <cell r="A97" t="str">
            <v>Mark  Roccia</v>
          </cell>
          <cell r="B97">
            <v>21618313</v>
          </cell>
        </row>
        <row r="98">
          <cell r="A98" t="str">
            <v>Marsha  Sanderock</v>
          </cell>
          <cell r="B98">
            <v>20724564</v>
          </cell>
        </row>
        <row r="99">
          <cell r="A99" t="str">
            <v>MATTHEW DAUGHERTY</v>
          </cell>
          <cell r="B99">
            <v>1706194</v>
          </cell>
        </row>
        <row r="100">
          <cell r="A100" t="str">
            <v>Matthew Wasserman</v>
          </cell>
          <cell r="B100">
            <v>21247158</v>
          </cell>
        </row>
        <row r="101">
          <cell r="A101" t="str">
            <v>Melissa  Tatro</v>
          </cell>
          <cell r="B101">
            <v>14177521</v>
          </cell>
        </row>
        <row r="102">
          <cell r="A102" t="str">
            <v>Michael Dunavant</v>
          </cell>
          <cell r="B102">
            <v>18828278</v>
          </cell>
        </row>
        <row r="103">
          <cell r="A103" t="str">
            <v>Michael Foley</v>
          </cell>
          <cell r="B103">
            <v>20995076</v>
          </cell>
        </row>
        <row r="104">
          <cell r="A104" t="str">
            <v>Michael Garnett</v>
          </cell>
          <cell r="B104">
            <v>21222981</v>
          </cell>
        </row>
        <row r="105">
          <cell r="A105" t="str">
            <v>Michael Lutz</v>
          </cell>
          <cell r="B105">
            <v>16751785</v>
          </cell>
        </row>
        <row r="106">
          <cell r="A106" t="str">
            <v>Michael Semprevivo</v>
          </cell>
          <cell r="B106">
            <v>6375605</v>
          </cell>
        </row>
        <row r="107">
          <cell r="A107" t="str">
            <v xml:space="preserve">Michael Wilston </v>
          </cell>
          <cell r="B107">
            <v>20178878</v>
          </cell>
        </row>
        <row r="108">
          <cell r="A108" t="str">
            <v>Michelle Hamel</v>
          </cell>
          <cell r="B108">
            <v>20591229</v>
          </cell>
        </row>
        <row r="109">
          <cell r="A109" t="str">
            <v>Michelle McCorkle</v>
          </cell>
          <cell r="B109">
            <v>18710070</v>
          </cell>
        </row>
        <row r="110">
          <cell r="A110" t="str">
            <v>Murray  Sterner</v>
          </cell>
          <cell r="B110">
            <v>16212649</v>
          </cell>
        </row>
        <row r="111">
          <cell r="A111" t="str">
            <v>Mya Fritchman</v>
          </cell>
          <cell r="B111" t="str">
            <v>?</v>
          </cell>
        </row>
        <row r="112">
          <cell r="A112" t="str">
            <v>Nasandelger Zana</v>
          </cell>
          <cell r="B112">
            <v>20220688</v>
          </cell>
        </row>
        <row r="113">
          <cell r="A113" t="str">
            <v>Nava Livne</v>
          </cell>
          <cell r="B113">
            <v>20552652</v>
          </cell>
        </row>
        <row r="114">
          <cell r="A114" t="str">
            <v>Noah Dionesotes</v>
          </cell>
          <cell r="B114">
            <v>21607778</v>
          </cell>
        </row>
        <row r="115">
          <cell r="A115" t="str">
            <v>Odeny  Fernandez</v>
          </cell>
          <cell r="B115">
            <v>18155813</v>
          </cell>
        </row>
        <row r="116">
          <cell r="A116" t="str">
            <v>Odmaa "Emma" Enkhtur</v>
          </cell>
          <cell r="B116">
            <v>20999157</v>
          </cell>
        </row>
        <row r="117">
          <cell r="A117" t="str">
            <v>Pamela Deaton</v>
          </cell>
          <cell r="B117">
            <v>8244481</v>
          </cell>
        </row>
        <row r="118">
          <cell r="A118" t="str">
            <v>Patricia  Long</v>
          </cell>
          <cell r="B118">
            <v>18794740</v>
          </cell>
        </row>
        <row r="119">
          <cell r="A119" t="str">
            <v>Patrick Byrne</v>
          </cell>
          <cell r="B119">
            <v>16615811</v>
          </cell>
        </row>
        <row r="120">
          <cell r="A120" t="str">
            <v>Patsamon Thanadabouth</v>
          </cell>
          <cell r="B120">
            <v>8405446</v>
          </cell>
        </row>
        <row r="121">
          <cell r="A121" t="str">
            <v>Paul Berk</v>
          </cell>
          <cell r="B121">
            <v>2048099</v>
          </cell>
        </row>
        <row r="122">
          <cell r="A122" t="str">
            <v>Paul Robinson</v>
          </cell>
          <cell r="B122">
            <v>16983460</v>
          </cell>
        </row>
        <row r="123">
          <cell r="A123" t="str">
            <v>Peggy Kolanko</v>
          </cell>
          <cell r="B123">
            <v>1250871</v>
          </cell>
        </row>
        <row r="124">
          <cell r="A124" t="str">
            <v>Peter Elvart</v>
          </cell>
          <cell r="B124">
            <v>6778759</v>
          </cell>
        </row>
        <row r="125">
          <cell r="A125" t="str">
            <v>Peter Richter</v>
          </cell>
          <cell r="B125">
            <v>16509456</v>
          </cell>
        </row>
        <row r="126">
          <cell r="A126" t="str">
            <v>Randy Tapper</v>
          </cell>
          <cell r="B126">
            <v>18935660</v>
          </cell>
        </row>
        <row r="127">
          <cell r="A127" t="str">
            <v>RICARDO SANTOS</v>
          </cell>
          <cell r="B127">
            <v>19200754</v>
          </cell>
        </row>
        <row r="128">
          <cell r="A128" t="str">
            <v>RICHARD YALE</v>
          </cell>
          <cell r="B128">
            <v>16633294</v>
          </cell>
        </row>
        <row r="129">
          <cell r="A129" t="str">
            <v>Richard Skarnulis</v>
          </cell>
          <cell r="B129">
            <v>13374569</v>
          </cell>
        </row>
        <row r="130">
          <cell r="A130" t="str">
            <v>Richard Wuensch</v>
          </cell>
          <cell r="B130">
            <v>19615078</v>
          </cell>
        </row>
        <row r="131">
          <cell r="A131" t="str">
            <v>Robert  Sievewright</v>
          </cell>
          <cell r="B131">
            <v>7307857</v>
          </cell>
        </row>
        <row r="132">
          <cell r="A132" t="str">
            <v>Robert Adcock</v>
          </cell>
          <cell r="B132">
            <v>20872981</v>
          </cell>
        </row>
        <row r="133">
          <cell r="A133" t="str">
            <v>Robert Shapiro</v>
          </cell>
          <cell r="B133">
            <v>7565575</v>
          </cell>
        </row>
        <row r="134">
          <cell r="A134" t="str">
            <v>RONALD MAX</v>
          </cell>
          <cell r="B134">
            <v>5442438</v>
          </cell>
        </row>
        <row r="135">
          <cell r="A135" t="str">
            <v>RYAN CALTAGIRONE</v>
          </cell>
          <cell r="B135">
            <v>8977234</v>
          </cell>
        </row>
        <row r="136">
          <cell r="A136" t="str">
            <v>Ryan Stocker</v>
          </cell>
          <cell r="B136">
            <v>15950276</v>
          </cell>
        </row>
        <row r="137">
          <cell r="A137" t="str">
            <v>Saadia Abdul</v>
          </cell>
          <cell r="B137">
            <v>19396223</v>
          </cell>
        </row>
        <row r="138">
          <cell r="A138" t="str">
            <v>Sandra Sentman</v>
          </cell>
          <cell r="B138">
            <v>21475206</v>
          </cell>
        </row>
        <row r="139">
          <cell r="A139" t="str">
            <v>Scott Aguglia</v>
          </cell>
          <cell r="B139">
            <v>8971826</v>
          </cell>
        </row>
        <row r="140">
          <cell r="A140" t="str">
            <v>Scott Fine</v>
          </cell>
          <cell r="B140">
            <v>19106640</v>
          </cell>
        </row>
        <row r="141">
          <cell r="A141" t="str">
            <v>Shannon Stump</v>
          </cell>
          <cell r="B141">
            <v>18943687</v>
          </cell>
        </row>
        <row r="142">
          <cell r="A142" t="str">
            <v>Shawn Gastelo</v>
          </cell>
          <cell r="B142">
            <v>21122864</v>
          </cell>
        </row>
        <row r="143">
          <cell r="A143" t="str">
            <v>Stacey Portugal</v>
          </cell>
          <cell r="B143">
            <v>19645587</v>
          </cell>
        </row>
        <row r="144">
          <cell r="A144" t="str">
            <v>Stephanie Drapac</v>
          </cell>
          <cell r="B144">
            <v>17126004</v>
          </cell>
        </row>
        <row r="145">
          <cell r="A145" t="str">
            <v>Steven  Brandt</v>
          </cell>
          <cell r="B145">
            <v>19491313</v>
          </cell>
        </row>
        <row r="146">
          <cell r="A146" t="str">
            <v>Steven  Levin</v>
          </cell>
          <cell r="B146">
            <v>1592053</v>
          </cell>
        </row>
        <row r="147">
          <cell r="A147" t="str">
            <v>Steven Werner</v>
          </cell>
          <cell r="B147">
            <v>19481808</v>
          </cell>
        </row>
        <row r="148">
          <cell r="A148" t="str">
            <v>Taliah  Ferguson</v>
          </cell>
          <cell r="B148">
            <v>21561165</v>
          </cell>
        </row>
        <row r="149">
          <cell r="A149" t="str">
            <v>Teri Foster</v>
          </cell>
          <cell r="B149">
            <v>20098658</v>
          </cell>
        </row>
        <row r="150">
          <cell r="A150" t="str">
            <v>Thomas Bentley</v>
          </cell>
          <cell r="B150">
            <v>2118374</v>
          </cell>
        </row>
        <row r="151">
          <cell r="A151" t="str">
            <v>Thomas Ervolina</v>
          </cell>
          <cell r="B151">
            <v>8477730</v>
          </cell>
        </row>
        <row r="152">
          <cell r="A152" t="str">
            <v>Thomas Kucan</v>
          </cell>
          <cell r="B152">
            <v>16202925</v>
          </cell>
        </row>
        <row r="153">
          <cell r="A153" t="str">
            <v>Thomas Serio</v>
          </cell>
          <cell r="B153">
            <v>20490188</v>
          </cell>
        </row>
        <row r="154">
          <cell r="A154" t="str">
            <v>Timothy Hodgman</v>
          </cell>
          <cell r="B154">
            <v>18581063</v>
          </cell>
        </row>
        <row r="155">
          <cell r="A155" t="str">
            <v>Timothy Merced</v>
          </cell>
          <cell r="B155">
            <v>17418075</v>
          </cell>
        </row>
        <row r="156">
          <cell r="A156" t="str">
            <v>Timothy Powers</v>
          </cell>
          <cell r="B156">
            <v>17886092</v>
          </cell>
        </row>
        <row r="157">
          <cell r="A157" t="str">
            <v>Tom Pardue</v>
          </cell>
          <cell r="B157">
            <v>371819</v>
          </cell>
        </row>
        <row r="158">
          <cell r="A158" t="str">
            <v>Traci Barton</v>
          </cell>
          <cell r="B158">
            <v>20678727</v>
          </cell>
        </row>
        <row r="159">
          <cell r="A159" t="str">
            <v>Victor  Fuentes</v>
          </cell>
          <cell r="B159">
            <v>21283956</v>
          </cell>
        </row>
        <row r="160">
          <cell r="A160" t="str">
            <v>Wesley Ellis</v>
          </cell>
          <cell r="B160">
            <v>19396919</v>
          </cell>
        </row>
        <row r="161">
          <cell r="A161" t="str">
            <v>William  Geske</v>
          </cell>
          <cell r="B161">
            <v>21313588</v>
          </cell>
        </row>
        <row r="162">
          <cell r="A162" t="str">
            <v>William Schaeffer</v>
          </cell>
          <cell r="B162">
            <v>18010408</v>
          </cell>
        </row>
        <row r="163">
          <cell r="A163" t="str">
            <v>Zameer  Kotadia</v>
          </cell>
          <cell r="B163">
            <v>21101146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1" t="s">
        <v>0</v>
      </c>
      <c r="E1" s="22"/>
      <c r="F1" s="22"/>
    </row>
    <row r="2" spans="1:19" x14ac:dyDescent="0.25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23" t="s">
        <v>17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21</v>
      </c>
      <c r="E21" s="1" t="s">
        <v>29</v>
      </c>
    </row>
    <row r="22" spans="3:5" x14ac:dyDescent="0.25">
      <c r="C22" s="2" t="s">
        <v>30</v>
      </c>
      <c r="D22" s="1" t="s">
        <v>21</v>
      </c>
      <c r="E22" s="1" t="s">
        <v>21</v>
      </c>
    </row>
    <row r="23" spans="3:5" x14ac:dyDescent="0.25">
      <c r="C23" s="2" t="s">
        <v>31</v>
      </c>
      <c r="D23" s="1" t="s">
        <v>11</v>
      </c>
      <c r="E23" s="1" t="s">
        <v>32</v>
      </c>
    </row>
    <row r="24" spans="3:5" x14ac:dyDescent="0.25">
      <c r="C24" s="2" t="s">
        <v>33</v>
      </c>
      <c r="D24" s="1" t="s">
        <v>21</v>
      </c>
      <c r="E24" s="1" t="s">
        <v>21</v>
      </c>
    </row>
    <row r="25" spans="3:5" x14ac:dyDescent="0.25">
      <c r="C25" s="2" t="s">
        <v>34</v>
      </c>
      <c r="D25" s="1" t="s">
        <v>21</v>
      </c>
      <c r="E25" s="1" t="s">
        <v>21</v>
      </c>
    </row>
    <row r="26" spans="3:5" x14ac:dyDescent="0.25">
      <c r="C26" s="4" t="s">
        <v>35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9"/>
  <sheetViews>
    <sheetView tabSelected="1" workbookViewId="0">
      <pane ySplit="2" topLeftCell="A36" activePane="bottomLeft" state="frozen"/>
      <selection pane="bottomLeft" activeCell="E52" sqref="E52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24" t="s">
        <v>36</v>
      </c>
      <c r="E1" s="22"/>
      <c r="F1" s="22"/>
    </row>
    <row r="2" spans="1:21" x14ac:dyDescent="0.25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8" t="s">
        <v>57</v>
      </c>
    </row>
    <row r="3" spans="1:21" x14ac:dyDescent="0.25">
      <c r="A3" s="9" t="s">
        <v>19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 t="s">
        <v>64</v>
      </c>
      <c r="L3" s="9" t="s">
        <v>67</v>
      </c>
      <c r="M3" s="11">
        <v>22.5</v>
      </c>
      <c r="N3" s="9" t="s">
        <v>68</v>
      </c>
      <c r="O3" s="9" t="s">
        <v>69</v>
      </c>
      <c r="P3" s="9" t="s">
        <v>70</v>
      </c>
      <c r="Q3" s="11">
        <v>22.5</v>
      </c>
      <c r="R3" s="9" t="s">
        <v>71</v>
      </c>
      <c r="S3" s="9" t="s">
        <v>0</v>
      </c>
      <c r="T3" s="9" t="s">
        <v>0</v>
      </c>
      <c r="U3" s="9" t="s">
        <v>72</v>
      </c>
    </row>
    <row r="4" spans="1:21" x14ac:dyDescent="0.25">
      <c r="A4" s="10" t="s">
        <v>19</v>
      </c>
      <c r="B4" s="10" t="s">
        <v>58</v>
      </c>
      <c r="C4" s="10" t="s">
        <v>73</v>
      </c>
      <c r="D4" s="10" t="s">
        <v>74</v>
      </c>
      <c r="E4" s="10" t="s">
        <v>75</v>
      </c>
      <c r="F4" s="10" t="s">
        <v>76</v>
      </c>
      <c r="G4" s="10" t="s">
        <v>63</v>
      </c>
      <c r="H4" s="10" t="s">
        <v>77</v>
      </c>
      <c r="I4" s="10" t="s">
        <v>78</v>
      </c>
      <c r="J4" s="10" t="s">
        <v>79</v>
      </c>
      <c r="K4" s="10" t="s">
        <v>80</v>
      </c>
      <c r="L4" s="10" t="s">
        <v>81</v>
      </c>
      <c r="M4" s="12">
        <v>32.130000000000003</v>
      </c>
      <c r="N4" s="10" t="s">
        <v>68</v>
      </c>
      <c r="O4" s="10" t="s">
        <v>82</v>
      </c>
      <c r="P4" s="10" t="s">
        <v>70</v>
      </c>
      <c r="Q4" s="12">
        <v>18.309999999999999</v>
      </c>
      <c r="R4" s="10" t="s">
        <v>71</v>
      </c>
      <c r="S4" s="10" t="s">
        <v>0</v>
      </c>
      <c r="T4" s="10" t="s">
        <v>0</v>
      </c>
      <c r="U4" s="10" t="s">
        <v>83</v>
      </c>
    </row>
    <row r="5" spans="1:21" x14ac:dyDescent="0.25">
      <c r="A5" s="9" t="s">
        <v>19</v>
      </c>
      <c r="B5" s="9" t="s">
        <v>58</v>
      </c>
      <c r="C5" s="9" t="s">
        <v>73</v>
      </c>
      <c r="D5" s="9" t="s">
        <v>74</v>
      </c>
      <c r="E5" s="9" t="s">
        <v>75</v>
      </c>
      <c r="F5" s="9" t="s">
        <v>84</v>
      </c>
      <c r="G5" s="9" t="s">
        <v>63</v>
      </c>
      <c r="H5" s="9" t="s">
        <v>77</v>
      </c>
      <c r="I5" s="9" t="s">
        <v>78</v>
      </c>
      <c r="J5" s="9" t="s">
        <v>85</v>
      </c>
      <c r="K5" s="9" t="s">
        <v>80</v>
      </c>
      <c r="L5" s="9" t="s">
        <v>81</v>
      </c>
      <c r="M5" s="11">
        <v>164.12</v>
      </c>
      <c r="N5" s="9" t="s">
        <v>68</v>
      </c>
      <c r="O5" s="9" t="s">
        <v>86</v>
      </c>
      <c r="P5" s="9" t="s">
        <v>70</v>
      </c>
      <c r="Q5" s="11">
        <v>149.35</v>
      </c>
      <c r="R5" s="9" t="s">
        <v>71</v>
      </c>
      <c r="S5" s="9" t="s">
        <v>0</v>
      </c>
      <c r="T5" s="9" t="s">
        <v>0</v>
      </c>
      <c r="U5" s="9" t="s">
        <v>87</v>
      </c>
    </row>
    <row r="6" spans="1:21" x14ac:dyDescent="0.25">
      <c r="A6" s="10" t="s">
        <v>19</v>
      </c>
      <c r="B6" s="10" t="s">
        <v>58</v>
      </c>
      <c r="C6" s="10" t="s">
        <v>59</v>
      </c>
      <c r="D6" s="10" t="s">
        <v>60</v>
      </c>
      <c r="E6" s="10" t="s">
        <v>88</v>
      </c>
      <c r="F6" s="10" t="s">
        <v>89</v>
      </c>
      <c r="G6" s="10" t="s">
        <v>63</v>
      </c>
      <c r="H6" s="10" t="s">
        <v>90</v>
      </c>
      <c r="I6" s="10" t="s">
        <v>65</v>
      </c>
      <c r="J6" s="10" t="s">
        <v>91</v>
      </c>
      <c r="K6" s="10" t="s">
        <v>92</v>
      </c>
      <c r="L6" s="10" t="s">
        <v>93</v>
      </c>
      <c r="M6" s="12">
        <v>7.08</v>
      </c>
      <c r="N6" s="10" t="s">
        <v>68</v>
      </c>
      <c r="O6" s="10" t="s">
        <v>94</v>
      </c>
      <c r="P6" s="10" t="s">
        <v>70</v>
      </c>
      <c r="Q6" s="12">
        <v>4.5999999999999996</v>
      </c>
      <c r="R6" s="10" t="s">
        <v>71</v>
      </c>
      <c r="S6" s="10" t="s">
        <v>0</v>
      </c>
      <c r="T6" s="10" t="s">
        <v>0</v>
      </c>
      <c r="U6" s="10" t="s">
        <v>95</v>
      </c>
    </row>
    <row r="7" spans="1:21" x14ac:dyDescent="0.25">
      <c r="A7" s="9" t="s">
        <v>19</v>
      </c>
      <c r="B7" s="9" t="s">
        <v>96</v>
      </c>
      <c r="C7" s="9" t="s">
        <v>97</v>
      </c>
      <c r="D7" s="9" t="s">
        <v>98</v>
      </c>
      <c r="E7" s="9" t="s">
        <v>99</v>
      </c>
      <c r="F7" s="9" t="s">
        <v>100</v>
      </c>
      <c r="G7" s="9" t="s">
        <v>63</v>
      </c>
      <c r="H7" s="9" t="s">
        <v>101</v>
      </c>
      <c r="I7" s="9" t="s">
        <v>102</v>
      </c>
      <c r="J7" s="9" t="s">
        <v>103</v>
      </c>
      <c r="K7" s="9" t="s">
        <v>104</v>
      </c>
      <c r="L7" s="9" t="s">
        <v>105</v>
      </c>
      <c r="M7" s="11">
        <v>-24.36</v>
      </c>
      <c r="N7" s="9" t="s">
        <v>68</v>
      </c>
      <c r="O7" s="9" t="s">
        <v>106</v>
      </c>
      <c r="P7" s="9" t="s">
        <v>70</v>
      </c>
      <c r="Q7" s="11">
        <v>-14.13</v>
      </c>
      <c r="R7" s="9" t="s">
        <v>71</v>
      </c>
      <c r="S7" s="9" t="s">
        <v>0</v>
      </c>
      <c r="T7" s="9" t="s">
        <v>0</v>
      </c>
      <c r="U7" s="9" t="s">
        <v>107</v>
      </c>
    </row>
    <row r="8" spans="1:21" x14ac:dyDescent="0.25">
      <c r="A8" s="10" t="s">
        <v>19</v>
      </c>
      <c r="B8" s="10" t="s">
        <v>96</v>
      </c>
      <c r="C8" s="10" t="s">
        <v>97</v>
      </c>
      <c r="D8" s="10" t="s">
        <v>98</v>
      </c>
      <c r="E8" s="10" t="s">
        <v>99</v>
      </c>
      <c r="F8" s="10" t="s">
        <v>100</v>
      </c>
      <c r="G8" s="10" t="s">
        <v>63</v>
      </c>
      <c r="H8" s="10" t="s">
        <v>101</v>
      </c>
      <c r="I8" s="10" t="s">
        <v>102</v>
      </c>
      <c r="J8" s="10" t="s">
        <v>103</v>
      </c>
      <c r="K8" s="10" t="s">
        <v>104</v>
      </c>
      <c r="L8" s="10" t="s">
        <v>105</v>
      </c>
      <c r="M8" s="12">
        <v>-73.91</v>
      </c>
      <c r="N8" s="10" t="s">
        <v>68</v>
      </c>
      <c r="O8" s="10" t="s">
        <v>106</v>
      </c>
      <c r="P8" s="10" t="s">
        <v>70</v>
      </c>
      <c r="Q8" s="12">
        <v>-42.87</v>
      </c>
      <c r="R8" s="10" t="s">
        <v>71</v>
      </c>
      <c r="S8" s="10" t="s">
        <v>0</v>
      </c>
      <c r="T8" s="10" t="s">
        <v>0</v>
      </c>
      <c r="U8" s="10" t="s">
        <v>107</v>
      </c>
    </row>
    <row r="9" spans="1:21" x14ac:dyDescent="0.25">
      <c r="A9" s="9" t="s">
        <v>19</v>
      </c>
      <c r="B9" s="9" t="s">
        <v>96</v>
      </c>
      <c r="C9" s="9" t="s">
        <v>97</v>
      </c>
      <c r="D9" s="9" t="s">
        <v>98</v>
      </c>
      <c r="E9" s="9" t="s">
        <v>99</v>
      </c>
      <c r="F9" s="9" t="s">
        <v>100</v>
      </c>
      <c r="G9" s="9" t="s">
        <v>63</v>
      </c>
      <c r="H9" s="9" t="s">
        <v>101</v>
      </c>
      <c r="I9" s="9" t="s">
        <v>102</v>
      </c>
      <c r="J9" s="9" t="s">
        <v>103</v>
      </c>
      <c r="K9" s="9" t="s">
        <v>104</v>
      </c>
      <c r="L9" s="9" t="s">
        <v>105</v>
      </c>
      <c r="M9" s="11">
        <v>-0.91</v>
      </c>
      <c r="N9" s="9" t="s">
        <v>68</v>
      </c>
      <c r="O9" s="9" t="s">
        <v>106</v>
      </c>
      <c r="P9" s="9" t="s">
        <v>70</v>
      </c>
      <c r="Q9" s="11">
        <v>-0.53</v>
      </c>
      <c r="R9" s="9" t="s">
        <v>71</v>
      </c>
      <c r="S9" s="9" t="s">
        <v>0</v>
      </c>
      <c r="T9" s="9" t="s">
        <v>0</v>
      </c>
      <c r="U9" s="9" t="s">
        <v>107</v>
      </c>
    </row>
    <row r="10" spans="1:21" x14ac:dyDescent="0.25">
      <c r="A10" s="10" t="s">
        <v>19</v>
      </c>
      <c r="B10" s="10" t="s">
        <v>96</v>
      </c>
      <c r="C10" s="10" t="s">
        <v>108</v>
      </c>
      <c r="D10" s="10" t="s">
        <v>109</v>
      </c>
      <c r="E10" s="10" t="s">
        <v>110</v>
      </c>
      <c r="F10" s="10" t="s">
        <v>111</v>
      </c>
      <c r="G10" s="10" t="s">
        <v>63</v>
      </c>
      <c r="H10" s="10" t="s">
        <v>112</v>
      </c>
      <c r="I10" s="10" t="s">
        <v>78</v>
      </c>
      <c r="J10" s="10" t="s">
        <v>79</v>
      </c>
      <c r="K10" s="10" t="s">
        <v>113</v>
      </c>
      <c r="L10" s="10" t="s">
        <v>114</v>
      </c>
      <c r="M10" s="12">
        <v>-27.63</v>
      </c>
      <c r="N10" s="10" t="s">
        <v>68</v>
      </c>
      <c r="O10" s="10" t="s">
        <v>82</v>
      </c>
      <c r="P10" s="10" t="s">
        <v>70</v>
      </c>
      <c r="Q10" s="12">
        <v>-15.75</v>
      </c>
      <c r="R10" s="10" t="s">
        <v>115</v>
      </c>
      <c r="S10" s="10" t="s">
        <v>0</v>
      </c>
      <c r="T10" s="10" t="s">
        <v>0</v>
      </c>
      <c r="U10" s="10" t="s">
        <v>83</v>
      </c>
    </row>
    <row r="11" spans="1:21" x14ac:dyDescent="0.25">
      <c r="A11" s="9" t="s">
        <v>19</v>
      </c>
      <c r="B11" s="9" t="s">
        <v>96</v>
      </c>
      <c r="C11" s="9" t="s">
        <v>116</v>
      </c>
      <c r="D11" s="9" t="s">
        <v>117</v>
      </c>
      <c r="E11" s="9" t="s">
        <v>118</v>
      </c>
      <c r="F11" s="9" t="s">
        <v>119</v>
      </c>
      <c r="G11" s="9" t="s">
        <v>63</v>
      </c>
      <c r="H11" s="9" t="s">
        <v>120</v>
      </c>
      <c r="I11" s="9" t="s">
        <v>65</v>
      </c>
      <c r="J11" s="9" t="s">
        <v>121</v>
      </c>
      <c r="K11" s="9" t="s">
        <v>122</v>
      </c>
      <c r="L11" s="9" t="s">
        <v>105</v>
      </c>
      <c r="M11" s="11">
        <v>-42.5</v>
      </c>
      <c r="N11" s="9" t="s">
        <v>68</v>
      </c>
      <c r="O11" s="9" t="s">
        <v>82</v>
      </c>
      <c r="P11" s="9" t="s">
        <v>70</v>
      </c>
      <c r="Q11" s="11">
        <v>-24.23</v>
      </c>
      <c r="R11" s="9" t="s">
        <v>71</v>
      </c>
      <c r="S11" s="9" t="s">
        <v>0</v>
      </c>
      <c r="T11" s="9" t="s">
        <v>0</v>
      </c>
      <c r="U11" s="9" t="s">
        <v>123</v>
      </c>
    </row>
    <row r="12" spans="1:21" x14ac:dyDescent="0.25">
      <c r="A12" s="10" t="s">
        <v>19</v>
      </c>
      <c r="B12" s="10" t="s">
        <v>96</v>
      </c>
      <c r="C12" s="10" t="s">
        <v>116</v>
      </c>
      <c r="D12" s="10" t="s">
        <v>117</v>
      </c>
      <c r="E12" s="10" t="s">
        <v>118</v>
      </c>
      <c r="F12" s="10" t="s">
        <v>124</v>
      </c>
      <c r="G12" s="10" t="s">
        <v>63</v>
      </c>
      <c r="H12" s="10" t="s">
        <v>120</v>
      </c>
      <c r="I12" s="10" t="s">
        <v>65</v>
      </c>
      <c r="J12" s="10" t="s">
        <v>125</v>
      </c>
      <c r="K12" s="10" t="s">
        <v>122</v>
      </c>
      <c r="L12" s="10" t="s">
        <v>105</v>
      </c>
      <c r="M12" s="12">
        <v>-15.8</v>
      </c>
      <c r="N12" s="10" t="s">
        <v>68</v>
      </c>
      <c r="O12" s="10" t="s">
        <v>69</v>
      </c>
      <c r="P12" s="10" t="s">
        <v>70</v>
      </c>
      <c r="Q12" s="12">
        <v>-15.8</v>
      </c>
      <c r="R12" s="10" t="s">
        <v>71</v>
      </c>
      <c r="S12" s="10" t="s">
        <v>0</v>
      </c>
      <c r="T12" s="10" t="s">
        <v>0</v>
      </c>
      <c r="U12" s="10" t="s">
        <v>126</v>
      </c>
    </row>
    <row r="13" spans="1:21" x14ac:dyDescent="0.25">
      <c r="A13" s="9" t="s">
        <v>19</v>
      </c>
      <c r="B13" s="9" t="s">
        <v>58</v>
      </c>
      <c r="C13" s="9" t="s">
        <v>127</v>
      </c>
      <c r="D13" s="9" t="s">
        <v>128</v>
      </c>
      <c r="E13" s="9" t="s">
        <v>129</v>
      </c>
      <c r="F13" s="9" t="s">
        <v>130</v>
      </c>
      <c r="G13" s="9" t="s">
        <v>63</v>
      </c>
      <c r="H13" s="9" t="s">
        <v>131</v>
      </c>
      <c r="I13" s="9" t="s">
        <v>78</v>
      </c>
      <c r="J13" s="9" t="s">
        <v>66</v>
      </c>
      <c r="K13" s="9" t="s">
        <v>131</v>
      </c>
      <c r="L13" s="9" t="s">
        <v>7</v>
      </c>
      <c r="M13" s="11">
        <v>28.27</v>
      </c>
      <c r="N13" s="9" t="s">
        <v>68</v>
      </c>
      <c r="O13" s="9" t="s">
        <v>86</v>
      </c>
      <c r="P13" s="9" t="s">
        <v>70</v>
      </c>
      <c r="Q13" s="11">
        <v>25.73</v>
      </c>
      <c r="R13" s="9" t="s">
        <v>71</v>
      </c>
      <c r="S13" s="9" t="s">
        <v>0</v>
      </c>
      <c r="T13" s="9" t="s">
        <v>0</v>
      </c>
      <c r="U13" s="9" t="s">
        <v>72</v>
      </c>
    </row>
    <row r="14" spans="1:21" x14ac:dyDescent="0.25">
      <c r="A14" s="10" t="s">
        <v>19</v>
      </c>
      <c r="B14" s="10" t="s">
        <v>58</v>
      </c>
      <c r="C14" s="10" t="s">
        <v>116</v>
      </c>
      <c r="D14" s="10" t="s">
        <v>117</v>
      </c>
      <c r="E14" s="10" t="s">
        <v>132</v>
      </c>
      <c r="F14" s="10" t="s">
        <v>133</v>
      </c>
      <c r="G14" s="10" t="s">
        <v>134</v>
      </c>
      <c r="H14" s="10" t="s">
        <v>135</v>
      </c>
      <c r="I14" s="10" t="s">
        <v>136</v>
      </c>
      <c r="J14" s="10" t="s">
        <v>91</v>
      </c>
      <c r="K14" s="10" t="s">
        <v>137</v>
      </c>
      <c r="L14" s="10" t="s">
        <v>137</v>
      </c>
      <c r="M14" s="12">
        <v>42.5</v>
      </c>
      <c r="N14" s="10" t="s">
        <v>68</v>
      </c>
      <c r="O14" s="10" t="s">
        <v>94</v>
      </c>
      <c r="P14" s="10" t="s">
        <v>70</v>
      </c>
      <c r="Q14" s="12">
        <v>27.63</v>
      </c>
      <c r="R14" s="10" t="s">
        <v>71</v>
      </c>
      <c r="S14" s="10" t="s">
        <v>0</v>
      </c>
      <c r="T14" s="10" t="s">
        <v>0</v>
      </c>
      <c r="U14" s="10" t="s">
        <v>95</v>
      </c>
    </row>
    <row r="15" spans="1:21" x14ac:dyDescent="0.25">
      <c r="A15" s="9" t="s">
        <v>19</v>
      </c>
      <c r="B15" s="9" t="s">
        <v>58</v>
      </c>
      <c r="C15" s="9" t="s">
        <v>116</v>
      </c>
      <c r="D15" s="9" t="s">
        <v>117</v>
      </c>
      <c r="E15" s="9" t="s">
        <v>132</v>
      </c>
      <c r="F15" s="9" t="s">
        <v>133</v>
      </c>
      <c r="G15" s="9" t="s">
        <v>134</v>
      </c>
      <c r="H15" s="9" t="s">
        <v>135</v>
      </c>
      <c r="I15" s="9" t="s">
        <v>136</v>
      </c>
      <c r="J15" s="9" t="s">
        <v>91</v>
      </c>
      <c r="K15" s="9" t="s">
        <v>137</v>
      </c>
      <c r="L15" s="9" t="s">
        <v>137</v>
      </c>
      <c r="M15" s="11">
        <v>25.5</v>
      </c>
      <c r="N15" s="9" t="s">
        <v>68</v>
      </c>
      <c r="O15" s="9" t="s">
        <v>94</v>
      </c>
      <c r="P15" s="9" t="s">
        <v>70</v>
      </c>
      <c r="Q15" s="11">
        <v>16.579999999999998</v>
      </c>
      <c r="R15" s="9" t="s">
        <v>71</v>
      </c>
      <c r="S15" s="9" t="s">
        <v>0</v>
      </c>
      <c r="T15" s="9" t="s">
        <v>0</v>
      </c>
      <c r="U15" s="9" t="s">
        <v>95</v>
      </c>
    </row>
    <row r="16" spans="1:21" x14ac:dyDescent="0.25">
      <c r="A16" s="10" t="s">
        <v>19</v>
      </c>
      <c r="B16" s="10" t="s">
        <v>58</v>
      </c>
      <c r="C16" s="10" t="s">
        <v>138</v>
      </c>
      <c r="D16" s="10" t="s">
        <v>139</v>
      </c>
      <c r="E16" s="10" t="s">
        <v>140</v>
      </c>
      <c r="F16" s="10" t="s">
        <v>141</v>
      </c>
      <c r="G16" s="10" t="s">
        <v>134</v>
      </c>
      <c r="H16" s="10" t="s">
        <v>135</v>
      </c>
      <c r="I16" s="10" t="s">
        <v>65</v>
      </c>
      <c r="J16" s="10" t="s">
        <v>66</v>
      </c>
      <c r="K16" s="10" t="s">
        <v>105</v>
      </c>
      <c r="L16" s="10" t="s">
        <v>105</v>
      </c>
      <c r="M16" s="12">
        <v>83.4</v>
      </c>
      <c r="N16" s="10" t="s">
        <v>68</v>
      </c>
      <c r="O16" s="10" t="s">
        <v>142</v>
      </c>
      <c r="P16" s="10" t="s">
        <v>70</v>
      </c>
      <c r="Q16" s="12">
        <v>87.57</v>
      </c>
      <c r="R16" s="10" t="s">
        <v>71</v>
      </c>
      <c r="S16" s="10" t="s">
        <v>0</v>
      </c>
      <c r="T16" s="10" t="s">
        <v>0</v>
      </c>
      <c r="U16" s="10" t="s">
        <v>72</v>
      </c>
    </row>
    <row r="17" spans="1:21" x14ac:dyDescent="0.25">
      <c r="A17" s="9" t="s">
        <v>19</v>
      </c>
      <c r="B17" s="9" t="s">
        <v>58</v>
      </c>
      <c r="C17" s="9" t="s">
        <v>127</v>
      </c>
      <c r="D17" s="9" t="s">
        <v>128</v>
      </c>
      <c r="E17" s="9" t="s">
        <v>143</v>
      </c>
      <c r="F17" s="9" t="s">
        <v>144</v>
      </c>
      <c r="G17" s="9" t="s">
        <v>145</v>
      </c>
      <c r="H17" s="9" t="s">
        <v>146</v>
      </c>
      <c r="I17" s="9" t="s">
        <v>78</v>
      </c>
      <c r="J17" s="9" t="s">
        <v>79</v>
      </c>
      <c r="K17" s="9" t="s">
        <v>146</v>
      </c>
      <c r="L17" s="9" t="s">
        <v>7</v>
      </c>
      <c r="M17" s="11">
        <v>22.42</v>
      </c>
      <c r="N17" s="9" t="s">
        <v>68</v>
      </c>
      <c r="O17" s="9" t="s">
        <v>147</v>
      </c>
      <c r="P17" s="9" t="s">
        <v>70</v>
      </c>
      <c r="Q17" s="11">
        <v>0.84</v>
      </c>
      <c r="R17" s="9" t="s">
        <v>71</v>
      </c>
      <c r="S17" s="9" t="s">
        <v>0</v>
      </c>
      <c r="T17" s="9" t="s">
        <v>0</v>
      </c>
      <c r="U17" s="9" t="s">
        <v>83</v>
      </c>
    </row>
    <row r="18" spans="1:21" x14ac:dyDescent="0.25">
      <c r="A18" s="10" t="s">
        <v>19</v>
      </c>
      <c r="B18" s="10" t="s">
        <v>58</v>
      </c>
      <c r="C18" s="10" t="s">
        <v>148</v>
      </c>
      <c r="D18" s="10" t="s">
        <v>149</v>
      </c>
      <c r="E18" s="10" t="s">
        <v>150</v>
      </c>
      <c r="F18" s="10" t="s">
        <v>151</v>
      </c>
      <c r="G18" s="10" t="s">
        <v>145</v>
      </c>
      <c r="H18" s="10" t="s">
        <v>152</v>
      </c>
      <c r="I18" s="10" t="s">
        <v>153</v>
      </c>
      <c r="J18" s="10" t="s">
        <v>85</v>
      </c>
      <c r="K18" s="10" t="s">
        <v>154</v>
      </c>
      <c r="L18" s="10" t="s">
        <v>155</v>
      </c>
      <c r="M18" s="12">
        <v>78.37</v>
      </c>
      <c r="N18" s="10" t="s">
        <v>68</v>
      </c>
      <c r="O18" s="10" t="s">
        <v>156</v>
      </c>
      <c r="P18" s="10" t="s">
        <v>70</v>
      </c>
      <c r="Q18" s="12">
        <v>2.74</v>
      </c>
      <c r="R18" s="10" t="s">
        <v>71</v>
      </c>
      <c r="S18" s="10" t="s">
        <v>0</v>
      </c>
      <c r="T18" s="10" t="s">
        <v>0</v>
      </c>
      <c r="U18" s="10" t="s">
        <v>87</v>
      </c>
    </row>
    <row r="19" spans="1:21" x14ac:dyDescent="0.25">
      <c r="A19" s="9" t="s">
        <v>19</v>
      </c>
      <c r="B19" s="9" t="s">
        <v>58</v>
      </c>
      <c r="C19" s="9" t="s">
        <v>127</v>
      </c>
      <c r="D19" s="9" t="s">
        <v>128</v>
      </c>
      <c r="E19" s="9" t="s">
        <v>157</v>
      </c>
      <c r="F19" s="9" t="s">
        <v>158</v>
      </c>
      <c r="G19" s="9" t="s">
        <v>145</v>
      </c>
      <c r="H19" s="9" t="s">
        <v>146</v>
      </c>
      <c r="I19" s="9" t="s">
        <v>78</v>
      </c>
      <c r="J19" s="9" t="s">
        <v>79</v>
      </c>
      <c r="K19" s="9" t="s">
        <v>146</v>
      </c>
      <c r="L19" s="9" t="s">
        <v>7</v>
      </c>
      <c r="M19" s="11">
        <v>42.47</v>
      </c>
      <c r="N19" s="9" t="s">
        <v>68</v>
      </c>
      <c r="O19" s="9" t="s">
        <v>147</v>
      </c>
      <c r="P19" s="9" t="s">
        <v>70</v>
      </c>
      <c r="Q19" s="11">
        <v>1.59</v>
      </c>
      <c r="R19" s="9" t="s">
        <v>71</v>
      </c>
      <c r="S19" s="9" t="s">
        <v>0</v>
      </c>
      <c r="T19" s="9" t="s">
        <v>0</v>
      </c>
      <c r="U19" s="9" t="s">
        <v>83</v>
      </c>
    </row>
    <row r="20" spans="1:21" x14ac:dyDescent="0.25">
      <c r="A20" s="10" t="s">
        <v>19</v>
      </c>
      <c r="B20" s="10" t="s">
        <v>58</v>
      </c>
      <c r="C20" s="10" t="s">
        <v>127</v>
      </c>
      <c r="D20" s="10" t="s">
        <v>128</v>
      </c>
      <c r="E20" s="10" t="s">
        <v>159</v>
      </c>
      <c r="F20" s="10" t="s">
        <v>160</v>
      </c>
      <c r="G20" s="10" t="s">
        <v>145</v>
      </c>
      <c r="H20" s="10" t="s">
        <v>146</v>
      </c>
      <c r="I20" s="10" t="s">
        <v>78</v>
      </c>
      <c r="J20" s="10" t="s">
        <v>79</v>
      </c>
      <c r="K20" s="10" t="s">
        <v>146</v>
      </c>
      <c r="L20" s="10" t="s">
        <v>7</v>
      </c>
      <c r="M20" s="12">
        <v>32.130000000000003</v>
      </c>
      <c r="N20" s="10" t="s">
        <v>68</v>
      </c>
      <c r="O20" s="10" t="s">
        <v>147</v>
      </c>
      <c r="P20" s="10" t="s">
        <v>70</v>
      </c>
      <c r="Q20" s="12">
        <v>1.2</v>
      </c>
      <c r="R20" s="10" t="s">
        <v>71</v>
      </c>
      <c r="S20" s="10" t="s">
        <v>0</v>
      </c>
      <c r="T20" s="10" t="s">
        <v>0</v>
      </c>
      <c r="U20" s="10" t="s">
        <v>83</v>
      </c>
    </row>
    <row r="21" spans="1:21" x14ac:dyDescent="0.25">
      <c r="A21" s="9" t="s">
        <v>19</v>
      </c>
      <c r="B21" s="9" t="s">
        <v>58</v>
      </c>
      <c r="C21" s="9" t="s">
        <v>161</v>
      </c>
      <c r="D21" s="9" t="s">
        <v>162</v>
      </c>
      <c r="E21" s="9" t="s">
        <v>163</v>
      </c>
      <c r="F21" s="9" t="s">
        <v>164</v>
      </c>
      <c r="G21" s="9" t="s">
        <v>134</v>
      </c>
      <c r="H21" s="9" t="s">
        <v>67</v>
      </c>
      <c r="I21" s="9" t="s">
        <v>65</v>
      </c>
      <c r="J21" s="9" t="s">
        <v>91</v>
      </c>
      <c r="K21" s="9" t="s">
        <v>105</v>
      </c>
      <c r="L21" s="9" t="s">
        <v>105</v>
      </c>
      <c r="M21" s="11">
        <v>21.52</v>
      </c>
      <c r="N21" s="9" t="s">
        <v>68</v>
      </c>
      <c r="O21" s="9" t="s">
        <v>94</v>
      </c>
      <c r="P21" s="9" t="s">
        <v>70</v>
      </c>
      <c r="Q21" s="11">
        <v>13.99</v>
      </c>
      <c r="R21" s="9" t="s">
        <v>71</v>
      </c>
      <c r="S21" s="9" t="s">
        <v>0</v>
      </c>
      <c r="T21" s="9" t="s">
        <v>0</v>
      </c>
      <c r="U21" s="9" t="s">
        <v>95</v>
      </c>
    </row>
    <row r="22" spans="1:21" x14ac:dyDescent="0.25">
      <c r="A22" s="10" t="s">
        <v>19</v>
      </c>
      <c r="B22" s="10" t="s">
        <v>58</v>
      </c>
      <c r="C22" s="10" t="s">
        <v>161</v>
      </c>
      <c r="D22" s="10" t="s">
        <v>162</v>
      </c>
      <c r="E22" s="10" t="s">
        <v>163</v>
      </c>
      <c r="F22" s="10" t="s">
        <v>164</v>
      </c>
      <c r="G22" s="10" t="s">
        <v>134</v>
      </c>
      <c r="H22" s="10" t="s">
        <v>67</v>
      </c>
      <c r="I22" s="10" t="s">
        <v>65</v>
      </c>
      <c r="J22" s="10" t="s">
        <v>91</v>
      </c>
      <c r="K22" s="10" t="s">
        <v>105</v>
      </c>
      <c r="L22" s="10" t="s">
        <v>105</v>
      </c>
      <c r="M22" s="12">
        <v>22.34</v>
      </c>
      <c r="N22" s="10" t="s">
        <v>68</v>
      </c>
      <c r="O22" s="10" t="s">
        <v>94</v>
      </c>
      <c r="P22" s="10" t="s">
        <v>70</v>
      </c>
      <c r="Q22" s="12">
        <v>14.52</v>
      </c>
      <c r="R22" s="10" t="s">
        <v>71</v>
      </c>
      <c r="S22" s="10" t="s">
        <v>0</v>
      </c>
      <c r="T22" s="10" t="s">
        <v>0</v>
      </c>
      <c r="U22" s="10" t="s">
        <v>95</v>
      </c>
    </row>
    <row r="23" spans="1:21" x14ac:dyDescent="0.25">
      <c r="A23" s="9" t="s">
        <v>19</v>
      </c>
      <c r="B23" s="9" t="s">
        <v>58</v>
      </c>
      <c r="C23" s="9" t="s">
        <v>161</v>
      </c>
      <c r="D23" s="9" t="s">
        <v>162</v>
      </c>
      <c r="E23" s="9" t="s">
        <v>163</v>
      </c>
      <c r="F23" s="9" t="s">
        <v>164</v>
      </c>
      <c r="G23" s="9" t="s">
        <v>134</v>
      </c>
      <c r="H23" s="9" t="s">
        <v>67</v>
      </c>
      <c r="I23" s="9" t="s">
        <v>65</v>
      </c>
      <c r="J23" s="9" t="s">
        <v>91</v>
      </c>
      <c r="K23" s="9" t="s">
        <v>105</v>
      </c>
      <c r="L23" s="9" t="s">
        <v>105</v>
      </c>
      <c r="M23" s="11">
        <v>9.24</v>
      </c>
      <c r="N23" s="9" t="s">
        <v>68</v>
      </c>
      <c r="O23" s="9" t="s">
        <v>94</v>
      </c>
      <c r="P23" s="9" t="s">
        <v>70</v>
      </c>
      <c r="Q23" s="11">
        <v>6.01</v>
      </c>
      <c r="R23" s="9" t="s">
        <v>71</v>
      </c>
      <c r="S23" s="9" t="s">
        <v>0</v>
      </c>
      <c r="T23" s="9" t="s">
        <v>0</v>
      </c>
      <c r="U23" s="9" t="s">
        <v>95</v>
      </c>
    </row>
    <row r="24" spans="1:21" x14ac:dyDescent="0.25">
      <c r="A24" s="10" t="s">
        <v>19</v>
      </c>
      <c r="B24" s="10" t="s">
        <v>58</v>
      </c>
      <c r="C24" s="10" t="s">
        <v>161</v>
      </c>
      <c r="D24" s="10" t="s">
        <v>162</v>
      </c>
      <c r="E24" s="10" t="s">
        <v>163</v>
      </c>
      <c r="F24" s="10" t="s">
        <v>164</v>
      </c>
      <c r="G24" s="10" t="s">
        <v>134</v>
      </c>
      <c r="H24" s="10" t="s">
        <v>67</v>
      </c>
      <c r="I24" s="10" t="s">
        <v>65</v>
      </c>
      <c r="J24" s="10" t="s">
        <v>91</v>
      </c>
      <c r="K24" s="10" t="s">
        <v>105</v>
      </c>
      <c r="L24" s="10" t="s">
        <v>105</v>
      </c>
      <c r="M24" s="12">
        <v>11.87</v>
      </c>
      <c r="N24" s="10" t="s">
        <v>68</v>
      </c>
      <c r="O24" s="10" t="s">
        <v>94</v>
      </c>
      <c r="P24" s="10" t="s">
        <v>70</v>
      </c>
      <c r="Q24" s="12">
        <v>7.72</v>
      </c>
      <c r="R24" s="10" t="s">
        <v>71</v>
      </c>
      <c r="S24" s="10" t="s">
        <v>0</v>
      </c>
      <c r="T24" s="10" t="s">
        <v>0</v>
      </c>
      <c r="U24" s="10" t="s">
        <v>95</v>
      </c>
    </row>
    <row r="25" spans="1:21" x14ac:dyDescent="0.25">
      <c r="A25" s="9" t="s">
        <v>19</v>
      </c>
      <c r="B25" s="9" t="s">
        <v>58</v>
      </c>
      <c r="C25" s="9" t="s">
        <v>165</v>
      </c>
      <c r="D25" s="9" t="s">
        <v>166</v>
      </c>
      <c r="E25" s="9" t="s">
        <v>167</v>
      </c>
      <c r="F25" s="9" t="s">
        <v>168</v>
      </c>
      <c r="G25" s="9" t="s">
        <v>134</v>
      </c>
      <c r="H25" s="9" t="s">
        <v>67</v>
      </c>
      <c r="I25" s="9" t="s">
        <v>65</v>
      </c>
      <c r="J25" s="9" t="s">
        <v>125</v>
      </c>
      <c r="K25" s="9" t="s">
        <v>105</v>
      </c>
      <c r="L25" s="9" t="s">
        <v>105</v>
      </c>
      <c r="M25" s="11">
        <v>35.17</v>
      </c>
      <c r="N25" s="9" t="s">
        <v>68</v>
      </c>
      <c r="O25" s="9" t="s">
        <v>142</v>
      </c>
      <c r="P25" s="9" t="s">
        <v>70</v>
      </c>
      <c r="Q25" s="11">
        <v>36.93</v>
      </c>
      <c r="R25" s="9" t="s">
        <v>71</v>
      </c>
      <c r="S25" s="9" t="s">
        <v>0</v>
      </c>
      <c r="T25" s="9" t="s">
        <v>0</v>
      </c>
      <c r="U25" s="9" t="s">
        <v>126</v>
      </c>
    </row>
    <row r="26" spans="1:21" x14ac:dyDescent="0.25">
      <c r="A26" s="10" t="s">
        <v>19</v>
      </c>
      <c r="B26" s="10" t="s">
        <v>58</v>
      </c>
      <c r="C26" s="10" t="s">
        <v>165</v>
      </c>
      <c r="D26" s="10" t="s">
        <v>166</v>
      </c>
      <c r="E26" s="10" t="s">
        <v>167</v>
      </c>
      <c r="F26" s="10" t="s">
        <v>169</v>
      </c>
      <c r="G26" s="10" t="s">
        <v>134</v>
      </c>
      <c r="H26" s="10" t="s">
        <v>67</v>
      </c>
      <c r="I26" s="10" t="s">
        <v>65</v>
      </c>
      <c r="J26" s="10" t="s">
        <v>66</v>
      </c>
      <c r="K26" s="10" t="s">
        <v>105</v>
      </c>
      <c r="L26" s="10" t="s">
        <v>105</v>
      </c>
      <c r="M26" s="12">
        <v>35.43</v>
      </c>
      <c r="N26" s="10" t="s">
        <v>68</v>
      </c>
      <c r="O26" s="10" t="s">
        <v>142</v>
      </c>
      <c r="P26" s="10" t="s">
        <v>70</v>
      </c>
      <c r="Q26" s="12">
        <v>37.200000000000003</v>
      </c>
      <c r="R26" s="10" t="s">
        <v>71</v>
      </c>
      <c r="S26" s="10" t="s">
        <v>0</v>
      </c>
      <c r="T26" s="10" t="s">
        <v>0</v>
      </c>
      <c r="U26" s="10" t="s">
        <v>72</v>
      </c>
    </row>
    <row r="27" spans="1:21" x14ac:dyDescent="0.25">
      <c r="A27" s="9" t="s">
        <v>19</v>
      </c>
      <c r="B27" s="9" t="s">
        <v>58</v>
      </c>
      <c r="C27" s="9" t="s">
        <v>73</v>
      </c>
      <c r="D27" s="9" t="s">
        <v>74</v>
      </c>
      <c r="E27" s="9" t="s">
        <v>170</v>
      </c>
      <c r="F27" s="9" t="s">
        <v>171</v>
      </c>
      <c r="G27" s="9" t="s">
        <v>63</v>
      </c>
      <c r="H27" s="9" t="s">
        <v>172</v>
      </c>
      <c r="I27" s="9" t="s">
        <v>78</v>
      </c>
      <c r="J27" s="9" t="s">
        <v>66</v>
      </c>
      <c r="K27" s="9" t="s">
        <v>172</v>
      </c>
      <c r="L27" s="9" t="s">
        <v>173</v>
      </c>
      <c r="M27" s="11">
        <v>59.08</v>
      </c>
      <c r="N27" s="9" t="s">
        <v>68</v>
      </c>
      <c r="O27" s="9" t="s">
        <v>174</v>
      </c>
      <c r="P27" s="9" t="s">
        <v>70</v>
      </c>
      <c r="Q27" s="11">
        <v>56.13</v>
      </c>
      <c r="R27" s="9" t="s">
        <v>71</v>
      </c>
      <c r="S27" s="9" t="s">
        <v>0</v>
      </c>
      <c r="T27" s="9" t="s">
        <v>0</v>
      </c>
      <c r="U27" s="9" t="s">
        <v>72</v>
      </c>
    </row>
    <row r="28" spans="1:21" x14ac:dyDescent="0.25">
      <c r="A28" s="10" t="s">
        <v>19</v>
      </c>
      <c r="B28" s="10" t="s">
        <v>96</v>
      </c>
      <c r="C28" s="10" t="s">
        <v>59</v>
      </c>
      <c r="D28" s="10" t="s">
        <v>60</v>
      </c>
      <c r="E28" s="10" t="s">
        <v>175</v>
      </c>
      <c r="F28" s="10" t="s">
        <v>176</v>
      </c>
      <c r="G28" s="10" t="s">
        <v>134</v>
      </c>
      <c r="H28" s="10" t="s">
        <v>177</v>
      </c>
      <c r="I28" s="10" t="s">
        <v>65</v>
      </c>
      <c r="J28" s="10" t="s">
        <v>91</v>
      </c>
      <c r="K28" s="10" t="s">
        <v>178</v>
      </c>
      <c r="L28" s="10" t="s">
        <v>105</v>
      </c>
      <c r="M28" s="12">
        <v>-26.5</v>
      </c>
      <c r="N28" s="10" t="s">
        <v>68</v>
      </c>
      <c r="O28" s="10" t="s">
        <v>94</v>
      </c>
      <c r="P28" s="10" t="s">
        <v>70</v>
      </c>
      <c r="Q28" s="12">
        <v>-17.23</v>
      </c>
      <c r="R28" s="10" t="s">
        <v>71</v>
      </c>
      <c r="S28" s="10" t="s">
        <v>0</v>
      </c>
      <c r="T28" s="10" t="s">
        <v>0</v>
      </c>
      <c r="U28" s="10" t="s">
        <v>95</v>
      </c>
    </row>
    <row r="29" spans="1:21" x14ac:dyDescent="0.25">
      <c r="A29" s="9" t="s">
        <v>19</v>
      </c>
      <c r="B29" s="9" t="s">
        <v>96</v>
      </c>
      <c r="C29" s="9" t="s">
        <v>179</v>
      </c>
      <c r="D29" s="9" t="s">
        <v>180</v>
      </c>
      <c r="E29" s="9" t="s">
        <v>181</v>
      </c>
      <c r="F29" s="9" t="s">
        <v>182</v>
      </c>
      <c r="G29" s="9" t="s">
        <v>134</v>
      </c>
      <c r="H29" s="9" t="s">
        <v>183</v>
      </c>
      <c r="I29" s="9" t="s">
        <v>78</v>
      </c>
      <c r="J29" s="9" t="s">
        <v>184</v>
      </c>
      <c r="K29" s="9" t="s">
        <v>173</v>
      </c>
      <c r="L29" s="9" t="s">
        <v>185</v>
      </c>
      <c r="M29" s="11">
        <v>-11.83</v>
      </c>
      <c r="N29" s="9" t="s">
        <v>68</v>
      </c>
      <c r="O29" s="9" t="s">
        <v>186</v>
      </c>
      <c r="P29" s="9" t="s">
        <v>70</v>
      </c>
      <c r="Q29" s="11">
        <v>-7.1</v>
      </c>
      <c r="R29" s="9" t="s">
        <v>115</v>
      </c>
      <c r="S29" s="9" t="s">
        <v>0</v>
      </c>
      <c r="T29" s="9" t="s">
        <v>0</v>
      </c>
      <c r="U29" s="9" t="s">
        <v>187</v>
      </c>
    </row>
    <row r="30" spans="1:21" x14ac:dyDescent="0.25">
      <c r="A30" s="10" t="s">
        <v>19</v>
      </c>
      <c r="B30" s="10" t="s">
        <v>58</v>
      </c>
      <c r="C30" s="10" t="s">
        <v>59</v>
      </c>
      <c r="D30" s="10" t="s">
        <v>60</v>
      </c>
      <c r="E30" s="10" t="s">
        <v>188</v>
      </c>
      <c r="F30" s="10" t="s">
        <v>189</v>
      </c>
      <c r="G30" s="10" t="s">
        <v>63</v>
      </c>
      <c r="H30" s="10" t="s">
        <v>190</v>
      </c>
      <c r="I30" s="10" t="s">
        <v>191</v>
      </c>
      <c r="J30" s="10" t="s">
        <v>91</v>
      </c>
      <c r="K30" s="10" t="s">
        <v>190</v>
      </c>
      <c r="L30" s="10" t="s">
        <v>155</v>
      </c>
      <c r="M30" s="12">
        <v>28.33</v>
      </c>
      <c r="N30" s="10" t="s">
        <v>68</v>
      </c>
      <c r="O30" s="10" t="s">
        <v>94</v>
      </c>
      <c r="P30" s="10" t="s">
        <v>70</v>
      </c>
      <c r="Q30" s="12">
        <v>18.41</v>
      </c>
      <c r="R30" s="10" t="s">
        <v>71</v>
      </c>
      <c r="S30" s="10" t="s">
        <v>0</v>
      </c>
      <c r="T30" s="10" t="s">
        <v>0</v>
      </c>
      <c r="U30" s="10" t="s">
        <v>95</v>
      </c>
    </row>
    <row r="31" spans="1:21" x14ac:dyDescent="0.25">
      <c r="A31" s="9" t="s">
        <v>19</v>
      </c>
      <c r="B31" s="9" t="s">
        <v>96</v>
      </c>
      <c r="C31" s="9" t="s">
        <v>179</v>
      </c>
      <c r="D31" s="9" t="s">
        <v>180</v>
      </c>
      <c r="E31" s="9" t="s">
        <v>181</v>
      </c>
      <c r="F31" s="9" t="s">
        <v>182</v>
      </c>
      <c r="G31" s="9" t="s">
        <v>134</v>
      </c>
      <c r="H31" s="9" t="s">
        <v>183</v>
      </c>
      <c r="I31" s="9" t="s">
        <v>78</v>
      </c>
      <c r="J31" s="9" t="s">
        <v>184</v>
      </c>
      <c r="K31" s="9" t="s">
        <v>173</v>
      </c>
      <c r="L31" s="9" t="s">
        <v>185</v>
      </c>
      <c r="M31" s="11">
        <v>-7.18</v>
      </c>
      <c r="N31" s="9" t="s">
        <v>68</v>
      </c>
      <c r="O31" s="9" t="s">
        <v>186</v>
      </c>
      <c r="P31" s="9" t="s">
        <v>70</v>
      </c>
      <c r="Q31" s="11">
        <v>-4.3099999999999996</v>
      </c>
      <c r="R31" s="9" t="s">
        <v>115</v>
      </c>
      <c r="S31" s="9" t="s">
        <v>0</v>
      </c>
      <c r="T31" s="9" t="s">
        <v>0</v>
      </c>
      <c r="U31" s="9" t="s">
        <v>187</v>
      </c>
    </row>
    <row r="32" spans="1:21" x14ac:dyDescent="0.25">
      <c r="A32" s="10" t="s">
        <v>19</v>
      </c>
      <c r="B32" s="10" t="s">
        <v>96</v>
      </c>
      <c r="C32" s="10" t="s">
        <v>179</v>
      </c>
      <c r="D32" s="10" t="s">
        <v>180</v>
      </c>
      <c r="E32" s="10" t="s">
        <v>181</v>
      </c>
      <c r="F32" s="10" t="s">
        <v>182</v>
      </c>
      <c r="G32" s="10" t="s">
        <v>134</v>
      </c>
      <c r="H32" s="10" t="s">
        <v>183</v>
      </c>
      <c r="I32" s="10" t="s">
        <v>78</v>
      </c>
      <c r="J32" s="10" t="s">
        <v>184</v>
      </c>
      <c r="K32" s="10" t="s">
        <v>173</v>
      </c>
      <c r="L32" s="10" t="s">
        <v>185</v>
      </c>
      <c r="M32" s="12">
        <v>-28.44</v>
      </c>
      <c r="N32" s="10" t="s">
        <v>68</v>
      </c>
      <c r="O32" s="10" t="s">
        <v>186</v>
      </c>
      <c r="P32" s="10" t="s">
        <v>70</v>
      </c>
      <c r="Q32" s="12">
        <v>-17.059999999999999</v>
      </c>
      <c r="R32" s="10" t="s">
        <v>115</v>
      </c>
      <c r="S32" s="10" t="s">
        <v>0</v>
      </c>
      <c r="T32" s="10" t="s">
        <v>0</v>
      </c>
      <c r="U32" s="10" t="s">
        <v>187</v>
      </c>
    </row>
    <row r="33" spans="1:21" x14ac:dyDescent="0.25">
      <c r="A33" s="9" t="s">
        <v>19</v>
      </c>
      <c r="B33" s="9" t="s">
        <v>58</v>
      </c>
      <c r="C33" s="9" t="s">
        <v>59</v>
      </c>
      <c r="D33" s="9" t="s">
        <v>60</v>
      </c>
      <c r="E33" s="9" t="s">
        <v>188</v>
      </c>
      <c r="F33" s="9" t="s">
        <v>189</v>
      </c>
      <c r="G33" s="9" t="s">
        <v>63</v>
      </c>
      <c r="H33" s="9" t="s">
        <v>190</v>
      </c>
      <c r="I33" s="9" t="s">
        <v>191</v>
      </c>
      <c r="J33" s="9" t="s">
        <v>91</v>
      </c>
      <c r="K33" s="9" t="s">
        <v>190</v>
      </c>
      <c r="L33" s="9" t="s">
        <v>155</v>
      </c>
      <c r="M33" s="11">
        <v>15.8</v>
      </c>
      <c r="N33" s="9" t="s">
        <v>68</v>
      </c>
      <c r="O33" s="9" t="s">
        <v>94</v>
      </c>
      <c r="P33" s="9" t="s">
        <v>70</v>
      </c>
      <c r="Q33" s="11">
        <v>10.27</v>
      </c>
      <c r="R33" s="9" t="s">
        <v>71</v>
      </c>
      <c r="S33" s="9" t="s">
        <v>0</v>
      </c>
      <c r="T33" s="9" t="s">
        <v>0</v>
      </c>
      <c r="U33" s="9" t="s">
        <v>95</v>
      </c>
    </row>
    <row r="34" spans="1:21" x14ac:dyDescent="0.25">
      <c r="A34" s="10" t="s">
        <v>19</v>
      </c>
      <c r="B34" s="10" t="s">
        <v>58</v>
      </c>
      <c r="C34" s="10" t="s">
        <v>59</v>
      </c>
      <c r="D34" s="10" t="s">
        <v>60</v>
      </c>
      <c r="E34" s="10" t="s">
        <v>188</v>
      </c>
      <c r="F34" s="10" t="s">
        <v>189</v>
      </c>
      <c r="G34" s="10" t="s">
        <v>63</v>
      </c>
      <c r="H34" s="10" t="s">
        <v>190</v>
      </c>
      <c r="I34" s="10" t="s">
        <v>191</v>
      </c>
      <c r="J34" s="10" t="s">
        <v>91</v>
      </c>
      <c r="K34" s="10" t="s">
        <v>190</v>
      </c>
      <c r="L34" s="10" t="s">
        <v>155</v>
      </c>
      <c r="M34" s="12">
        <v>22.08</v>
      </c>
      <c r="N34" s="10" t="s">
        <v>68</v>
      </c>
      <c r="O34" s="10" t="s">
        <v>94</v>
      </c>
      <c r="P34" s="10" t="s">
        <v>70</v>
      </c>
      <c r="Q34" s="12">
        <v>14.35</v>
      </c>
      <c r="R34" s="10" t="s">
        <v>71</v>
      </c>
      <c r="S34" s="10" t="s">
        <v>0</v>
      </c>
      <c r="T34" s="10" t="s">
        <v>0</v>
      </c>
      <c r="U34" s="10" t="s">
        <v>95</v>
      </c>
    </row>
    <row r="35" spans="1:21" x14ac:dyDescent="0.25">
      <c r="A35" s="9" t="s">
        <v>19</v>
      </c>
      <c r="B35" s="9" t="s">
        <v>58</v>
      </c>
      <c r="C35" s="9" t="s">
        <v>59</v>
      </c>
      <c r="D35" s="9" t="s">
        <v>60</v>
      </c>
      <c r="E35" s="9" t="s">
        <v>188</v>
      </c>
      <c r="F35" s="9" t="s">
        <v>189</v>
      </c>
      <c r="G35" s="9" t="s">
        <v>63</v>
      </c>
      <c r="H35" s="9" t="s">
        <v>190</v>
      </c>
      <c r="I35" s="9" t="s">
        <v>191</v>
      </c>
      <c r="J35" s="9" t="s">
        <v>91</v>
      </c>
      <c r="K35" s="9" t="s">
        <v>190</v>
      </c>
      <c r="L35" s="9" t="s">
        <v>155</v>
      </c>
      <c r="M35" s="11">
        <v>13.38</v>
      </c>
      <c r="N35" s="9" t="s">
        <v>68</v>
      </c>
      <c r="O35" s="9" t="s">
        <v>94</v>
      </c>
      <c r="P35" s="9" t="s">
        <v>70</v>
      </c>
      <c r="Q35" s="11">
        <v>8.6999999999999993</v>
      </c>
      <c r="R35" s="9" t="s">
        <v>71</v>
      </c>
      <c r="S35" s="9" t="s">
        <v>0</v>
      </c>
      <c r="T35" s="9" t="s">
        <v>0</v>
      </c>
      <c r="U35" s="9" t="s">
        <v>95</v>
      </c>
    </row>
    <row r="36" spans="1:21" x14ac:dyDescent="0.25">
      <c r="A36" s="10" t="s">
        <v>19</v>
      </c>
      <c r="B36" s="10" t="s">
        <v>58</v>
      </c>
      <c r="C36" s="10" t="s">
        <v>59</v>
      </c>
      <c r="D36" s="10" t="s">
        <v>60</v>
      </c>
      <c r="E36" s="10" t="s">
        <v>188</v>
      </c>
      <c r="F36" s="10" t="s">
        <v>189</v>
      </c>
      <c r="G36" s="10" t="s">
        <v>63</v>
      </c>
      <c r="H36" s="10" t="s">
        <v>190</v>
      </c>
      <c r="I36" s="10" t="s">
        <v>191</v>
      </c>
      <c r="J36" s="10" t="s">
        <v>91</v>
      </c>
      <c r="K36" s="10" t="s">
        <v>190</v>
      </c>
      <c r="L36" s="10" t="s">
        <v>155</v>
      </c>
      <c r="M36" s="12">
        <v>37.369999999999997</v>
      </c>
      <c r="N36" s="10" t="s">
        <v>68</v>
      </c>
      <c r="O36" s="10" t="s">
        <v>94</v>
      </c>
      <c r="P36" s="10" t="s">
        <v>70</v>
      </c>
      <c r="Q36" s="12">
        <v>24.29</v>
      </c>
      <c r="R36" s="10" t="s">
        <v>71</v>
      </c>
      <c r="S36" s="10" t="s">
        <v>0</v>
      </c>
      <c r="T36" s="10" t="s">
        <v>0</v>
      </c>
      <c r="U36" s="10" t="s">
        <v>95</v>
      </c>
    </row>
    <row r="37" spans="1:21" x14ac:dyDescent="0.25">
      <c r="A37" s="9" t="s">
        <v>19</v>
      </c>
      <c r="B37" s="9" t="s">
        <v>58</v>
      </c>
      <c r="C37" s="9" t="s">
        <v>192</v>
      </c>
      <c r="D37" s="9" t="s">
        <v>193</v>
      </c>
      <c r="E37" s="9" t="s">
        <v>194</v>
      </c>
      <c r="F37" s="9" t="s">
        <v>195</v>
      </c>
      <c r="G37" s="9" t="s">
        <v>145</v>
      </c>
      <c r="H37" s="9" t="s">
        <v>196</v>
      </c>
      <c r="I37" s="9" t="s">
        <v>197</v>
      </c>
      <c r="J37" s="9" t="s">
        <v>66</v>
      </c>
      <c r="K37" s="9" t="s">
        <v>198</v>
      </c>
      <c r="L37" s="9" t="s">
        <v>105</v>
      </c>
      <c r="M37" s="11">
        <v>41.7</v>
      </c>
      <c r="N37" s="9" t="s">
        <v>68</v>
      </c>
      <c r="O37" s="9" t="s">
        <v>199</v>
      </c>
      <c r="P37" s="9" t="s">
        <v>70</v>
      </c>
      <c r="Q37" s="11">
        <v>3.13</v>
      </c>
      <c r="R37" s="9" t="s">
        <v>71</v>
      </c>
      <c r="S37" s="9" t="s">
        <v>0</v>
      </c>
      <c r="T37" s="9" t="s">
        <v>0</v>
      </c>
      <c r="U37" s="9" t="s">
        <v>72</v>
      </c>
    </row>
    <row r="38" spans="1:21" x14ac:dyDescent="0.25">
      <c r="A38" s="10" t="s">
        <v>19</v>
      </c>
      <c r="B38" s="10" t="s">
        <v>96</v>
      </c>
      <c r="C38" s="10" t="s">
        <v>116</v>
      </c>
      <c r="D38" s="10" t="s">
        <v>117</v>
      </c>
      <c r="E38" s="10" t="s">
        <v>118</v>
      </c>
      <c r="F38" s="10" t="s">
        <v>200</v>
      </c>
      <c r="G38" s="10" t="s">
        <v>63</v>
      </c>
      <c r="H38" s="10" t="s">
        <v>120</v>
      </c>
      <c r="I38" s="10" t="s">
        <v>65</v>
      </c>
      <c r="J38" s="10" t="s">
        <v>66</v>
      </c>
      <c r="K38" s="10" t="s">
        <v>122</v>
      </c>
      <c r="L38" s="10" t="s">
        <v>105</v>
      </c>
      <c r="M38" s="12">
        <v>-27.8</v>
      </c>
      <c r="N38" s="10" t="s">
        <v>68</v>
      </c>
      <c r="O38" s="10" t="s">
        <v>69</v>
      </c>
      <c r="P38" s="10" t="s">
        <v>70</v>
      </c>
      <c r="Q38" s="12">
        <v>-27.8</v>
      </c>
      <c r="R38" s="10" t="s">
        <v>71</v>
      </c>
      <c r="S38" s="10" t="s">
        <v>0</v>
      </c>
      <c r="T38" s="10" t="s">
        <v>0</v>
      </c>
      <c r="U38" s="10" t="s">
        <v>72</v>
      </c>
    </row>
    <row r="39" spans="1:21" x14ac:dyDescent="0.25">
      <c r="A39" s="9" t="s">
        <v>19</v>
      </c>
      <c r="B39" s="9" t="s">
        <v>58</v>
      </c>
      <c r="C39" s="9" t="s">
        <v>201</v>
      </c>
      <c r="D39" s="9" t="s">
        <v>202</v>
      </c>
      <c r="E39" s="9" t="s">
        <v>203</v>
      </c>
      <c r="F39" s="9" t="s">
        <v>204</v>
      </c>
      <c r="G39" s="9" t="s">
        <v>63</v>
      </c>
      <c r="H39" s="9" t="s">
        <v>205</v>
      </c>
      <c r="I39" s="9" t="s">
        <v>65</v>
      </c>
      <c r="J39" s="9" t="s">
        <v>103</v>
      </c>
      <c r="K39" s="9" t="s">
        <v>206</v>
      </c>
      <c r="L39" s="9" t="s">
        <v>81</v>
      </c>
      <c r="M39" s="11">
        <v>2.52</v>
      </c>
      <c r="N39" s="9" t="s">
        <v>68</v>
      </c>
      <c r="O39" s="9" t="s">
        <v>94</v>
      </c>
      <c r="P39" s="9" t="s">
        <v>70</v>
      </c>
      <c r="Q39" s="11">
        <v>1.64</v>
      </c>
      <c r="R39" s="9" t="s">
        <v>71</v>
      </c>
      <c r="S39" s="9" t="s">
        <v>0</v>
      </c>
      <c r="T39" s="9" t="s">
        <v>0</v>
      </c>
      <c r="U39" s="9" t="s">
        <v>107</v>
      </c>
    </row>
    <row r="40" spans="1:21" x14ac:dyDescent="0.25">
      <c r="A40" s="10" t="s">
        <v>19</v>
      </c>
      <c r="B40" s="10" t="s">
        <v>58</v>
      </c>
      <c r="C40" s="10" t="s">
        <v>207</v>
      </c>
      <c r="D40" s="10" t="s">
        <v>208</v>
      </c>
      <c r="E40" s="10" t="s">
        <v>209</v>
      </c>
      <c r="F40" s="10" t="s">
        <v>210</v>
      </c>
      <c r="G40" s="10" t="s">
        <v>63</v>
      </c>
      <c r="H40" s="10" t="s">
        <v>211</v>
      </c>
      <c r="I40" s="10" t="s">
        <v>212</v>
      </c>
      <c r="J40" s="10" t="s">
        <v>125</v>
      </c>
      <c r="K40" s="10" t="s">
        <v>213</v>
      </c>
      <c r="L40" s="10" t="s">
        <v>93</v>
      </c>
      <c r="M40" s="12">
        <v>142.16</v>
      </c>
      <c r="N40" s="10" t="s">
        <v>68</v>
      </c>
      <c r="O40" s="10" t="s">
        <v>69</v>
      </c>
      <c r="P40" s="10" t="s">
        <v>70</v>
      </c>
      <c r="Q40" s="12">
        <v>142.16</v>
      </c>
      <c r="R40" s="10" t="s">
        <v>71</v>
      </c>
      <c r="S40" s="10" t="s">
        <v>0</v>
      </c>
      <c r="T40" s="10" t="s">
        <v>0</v>
      </c>
      <c r="U40" s="10" t="s">
        <v>126</v>
      </c>
    </row>
    <row r="41" spans="1:21" x14ac:dyDescent="0.25">
      <c r="A41" s="9" t="s">
        <v>19</v>
      </c>
      <c r="B41" s="9" t="s">
        <v>58</v>
      </c>
      <c r="C41" s="9" t="s">
        <v>116</v>
      </c>
      <c r="D41" s="9" t="s">
        <v>117</v>
      </c>
      <c r="E41" s="9" t="s">
        <v>214</v>
      </c>
      <c r="F41" s="9" t="s">
        <v>215</v>
      </c>
      <c r="G41" s="9" t="s">
        <v>63</v>
      </c>
      <c r="H41" s="9" t="s">
        <v>80</v>
      </c>
      <c r="I41" s="9" t="s">
        <v>65</v>
      </c>
      <c r="J41" s="9" t="s">
        <v>216</v>
      </c>
      <c r="K41" s="9" t="s">
        <v>211</v>
      </c>
      <c r="L41" s="9" t="s">
        <v>93</v>
      </c>
      <c r="M41" s="11">
        <v>34</v>
      </c>
      <c r="N41" s="9" t="s">
        <v>68</v>
      </c>
      <c r="O41" s="9" t="s">
        <v>82</v>
      </c>
      <c r="P41" s="9" t="s">
        <v>70</v>
      </c>
      <c r="Q41" s="11">
        <v>19.38</v>
      </c>
      <c r="R41" s="9" t="s">
        <v>71</v>
      </c>
      <c r="S41" s="9" t="s">
        <v>0</v>
      </c>
      <c r="T41" s="9" t="s">
        <v>0</v>
      </c>
      <c r="U41" s="9" t="s">
        <v>217</v>
      </c>
    </row>
    <row r="42" spans="1:21" x14ac:dyDescent="0.25">
      <c r="A42" s="10" t="s">
        <v>19</v>
      </c>
      <c r="B42" s="10" t="s">
        <v>58</v>
      </c>
      <c r="C42" s="10" t="s">
        <v>218</v>
      </c>
      <c r="D42" s="10" t="s">
        <v>219</v>
      </c>
      <c r="E42" s="10" t="s">
        <v>220</v>
      </c>
      <c r="F42" s="10" t="s">
        <v>221</v>
      </c>
      <c r="G42" s="10" t="s">
        <v>134</v>
      </c>
      <c r="H42" s="10" t="s">
        <v>222</v>
      </c>
      <c r="I42" s="10" t="s">
        <v>197</v>
      </c>
      <c r="J42" s="10" t="s">
        <v>91</v>
      </c>
      <c r="K42" s="10" t="s">
        <v>105</v>
      </c>
      <c r="L42" s="10" t="s">
        <v>105</v>
      </c>
      <c r="M42" s="12">
        <v>6.04</v>
      </c>
      <c r="N42" s="10" t="s">
        <v>68</v>
      </c>
      <c r="O42" s="10" t="s">
        <v>94</v>
      </c>
      <c r="P42" s="10" t="s">
        <v>70</v>
      </c>
      <c r="Q42" s="12">
        <v>3.93</v>
      </c>
      <c r="R42" s="10" t="s">
        <v>71</v>
      </c>
      <c r="S42" s="10" t="s">
        <v>0</v>
      </c>
      <c r="T42" s="10" t="s">
        <v>0</v>
      </c>
      <c r="U42" s="10" t="s">
        <v>95</v>
      </c>
    </row>
    <row r="43" spans="1:21" x14ac:dyDescent="0.25">
      <c r="A43" s="9" t="s">
        <v>19</v>
      </c>
      <c r="B43" s="9" t="s">
        <v>58</v>
      </c>
      <c r="C43" s="9" t="s">
        <v>218</v>
      </c>
      <c r="D43" s="9" t="s">
        <v>219</v>
      </c>
      <c r="E43" s="9" t="s">
        <v>220</v>
      </c>
      <c r="F43" s="9" t="s">
        <v>221</v>
      </c>
      <c r="G43" s="9" t="s">
        <v>134</v>
      </c>
      <c r="H43" s="9" t="s">
        <v>222</v>
      </c>
      <c r="I43" s="9" t="s">
        <v>197</v>
      </c>
      <c r="J43" s="9" t="s">
        <v>91</v>
      </c>
      <c r="K43" s="9" t="s">
        <v>105</v>
      </c>
      <c r="L43" s="9" t="s">
        <v>105</v>
      </c>
      <c r="M43" s="11">
        <v>18.329999999999998</v>
      </c>
      <c r="N43" s="9" t="s">
        <v>68</v>
      </c>
      <c r="O43" s="9" t="s">
        <v>94</v>
      </c>
      <c r="P43" s="9" t="s">
        <v>70</v>
      </c>
      <c r="Q43" s="11">
        <v>11.91</v>
      </c>
      <c r="R43" s="9" t="s">
        <v>71</v>
      </c>
      <c r="S43" s="9" t="s">
        <v>0</v>
      </c>
      <c r="T43" s="9" t="s">
        <v>0</v>
      </c>
      <c r="U43" s="9" t="s">
        <v>95</v>
      </c>
    </row>
    <row r="44" spans="1:21" x14ac:dyDescent="0.25">
      <c r="A44" s="10" t="s">
        <v>19</v>
      </c>
      <c r="B44" s="10" t="s">
        <v>58</v>
      </c>
      <c r="C44" s="10" t="s">
        <v>218</v>
      </c>
      <c r="D44" s="10" t="s">
        <v>219</v>
      </c>
      <c r="E44" s="10" t="s">
        <v>220</v>
      </c>
      <c r="F44" s="10" t="s">
        <v>221</v>
      </c>
      <c r="G44" s="10" t="s">
        <v>134</v>
      </c>
      <c r="H44" s="10" t="s">
        <v>222</v>
      </c>
      <c r="I44" s="10" t="s">
        <v>197</v>
      </c>
      <c r="J44" s="10" t="s">
        <v>91</v>
      </c>
      <c r="K44" s="10" t="s">
        <v>105</v>
      </c>
      <c r="L44" s="10" t="s">
        <v>105</v>
      </c>
      <c r="M44" s="12">
        <v>3.3</v>
      </c>
      <c r="N44" s="10" t="s">
        <v>68</v>
      </c>
      <c r="O44" s="10" t="s">
        <v>94</v>
      </c>
      <c r="P44" s="10" t="s">
        <v>70</v>
      </c>
      <c r="Q44" s="12">
        <v>2.15</v>
      </c>
      <c r="R44" s="10" t="s">
        <v>71</v>
      </c>
      <c r="S44" s="10" t="s">
        <v>0</v>
      </c>
      <c r="T44" s="10" t="s">
        <v>0</v>
      </c>
      <c r="U44" s="10" t="s">
        <v>95</v>
      </c>
    </row>
    <row r="45" spans="1:21" x14ac:dyDescent="0.25">
      <c r="A45" s="9" t="s">
        <v>19</v>
      </c>
      <c r="B45" s="9" t="s">
        <v>58</v>
      </c>
      <c r="C45" s="9" t="s">
        <v>218</v>
      </c>
      <c r="D45" s="9" t="s">
        <v>219</v>
      </c>
      <c r="E45" s="9" t="s">
        <v>220</v>
      </c>
      <c r="F45" s="9" t="s">
        <v>221</v>
      </c>
      <c r="G45" s="9" t="s">
        <v>134</v>
      </c>
      <c r="H45" s="9" t="s">
        <v>222</v>
      </c>
      <c r="I45" s="9" t="s">
        <v>197</v>
      </c>
      <c r="J45" s="9" t="s">
        <v>91</v>
      </c>
      <c r="K45" s="9" t="s">
        <v>105</v>
      </c>
      <c r="L45" s="9" t="s">
        <v>105</v>
      </c>
      <c r="M45" s="11">
        <v>31.67</v>
      </c>
      <c r="N45" s="9" t="s">
        <v>68</v>
      </c>
      <c r="O45" s="9" t="s">
        <v>94</v>
      </c>
      <c r="P45" s="9" t="s">
        <v>70</v>
      </c>
      <c r="Q45" s="11">
        <v>20.59</v>
      </c>
      <c r="R45" s="9" t="s">
        <v>71</v>
      </c>
      <c r="S45" s="9" t="s">
        <v>0</v>
      </c>
      <c r="T45" s="9" t="s">
        <v>0</v>
      </c>
      <c r="U45" s="9" t="s">
        <v>95</v>
      </c>
    </row>
    <row r="46" spans="1:21" x14ac:dyDescent="0.25">
      <c r="A46" s="10" t="s">
        <v>19</v>
      </c>
      <c r="B46" s="10" t="s">
        <v>58</v>
      </c>
      <c r="C46" s="10" t="s">
        <v>223</v>
      </c>
      <c r="D46" s="10" t="s">
        <v>224</v>
      </c>
      <c r="E46" s="10" t="s">
        <v>225</v>
      </c>
      <c r="F46" s="10" t="s">
        <v>226</v>
      </c>
      <c r="G46" s="10" t="s">
        <v>63</v>
      </c>
      <c r="H46" s="10" t="s">
        <v>227</v>
      </c>
      <c r="I46" s="10" t="s">
        <v>197</v>
      </c>
      <c r="J46" s="10" t="s">
        <v>228</v>
      </c>
      <c r="K46" s="10" t="s">
        <v>229</v>
      </c>
      <c r="L46" s="10" t="s">
        <v>178</v>
      </c>
      <c r="M46" s="12">
        <v>64.77</v>
      </c>
      <c r="N46" s="10" t="s">
        <v>68</v>
      </c>
      <c r="O46" s="10" t="s">
        <v>82</v>
      </c>
      <c r="P46" s="10" t="s">
        <v>70</v>
      </c>
      <c r="Q46" s="12">
        <v>36.92</v>
      </c>
      <c r="R46" s="10" t="s">
        <v>71</v>
      </c>
      <c r="S46" s="10" t="s">
        <v>0</v>
      </c>
      <c r="T46" s="10" t="s">
        <v>0</v>
      </c>
      <c r="U46" s="10" t="s">
        <v>230</v>
      </c>
    </row>
    <row r="47" spans="1:21" x14ac:dyDescent="0.25">
      <c r="A47" s="9" t="s">
        <v>19</v>
      </c>
      <c r="B47" s="9" t="s">
        <v>58</v>
      </c>
      <c r="C47" s="9" t="s">
        <v>231</v>
      </c>
      <c r="D47" s="9" t="s">
        <v>232</v>
      </c>
      <c r="E47" s="9" t="s">
        <v>233</v>
      </c>
      <c r="F47" s="9" t="s">
        <v>234</v>
      </c>
      <c r="G47" s="9" t="s">
        <v>145</v>
      </c>
      <c r="H47" s="9" t="s">
        <v>235</v>
      </c>
      <c r="I47" s="9" t="s">
        <v>78</v>
      </c>
      <c r="J47" s="9" t="s">
        <v>236</v>
      </c>
      <c r="K47" s="9" t="s">
        <v>237</v>
      </c>
      <c r="L47" s="9" t="s">
        <v>183</v>
      </c>
      <c r="M47" s="11">
        <v>21.68</v>
      </c>
      <c r="N47" s="9" t="s">
        <v>68</v>
      </c>
      <c r="O47" s="9" t="s">
        <v>156</v>
      </c>
      <c r="P47" s="9" t="s">
        <v>70</v>
      </c>
      <c r="Q47" s="11">
        <v>0.76</v>
      </c>
      <c r="R47" s="9" t="s">
        <v>71</v>
      </c>
      <c r="S47" s="9" t="s">
        <v>0</v>
      </c>
      <c r="T47" s="9" t="s">
        <v>0</v>
      </c>
      <c r="U47" s="9" t="s">
        <v>238</v>
      </c>
    </row>
    <row r="48" spans="1:21" x14ac:dyDescent="0.25">
      <c r="A48" s="10" t="s">
        <v>19</v>
      </c>
      <c r="B48" s="10" t="s">
        <v>58</v>
      </c>
      <c r="C48" s="10" t="s">
        <v>59</v>
      </c>
      <c r="D48" s="10" t="s">
        <v>60</v>
      </c>
      <c r="E48" s="10" t="s">
        <v>239</v>
      </c>
      <c r="F48" s="10" t="s">
        <v>240</v>
      </c>
      <c r="G48" s="10" t="s">
        <v>63</v>
      </c>
      <c r="H48" s="10" t="s">
        <v>206</v>
      </c>
      <c r="I48" s="10" t="s">
        <v>241</v>
      </c>
      <c r="J48" s="10" t="s">
        <v>66</v>
      </c>
      <c r="K48" s="10" t="s">
        <v>206</v>
      </c>
      <c r="L48" s="10" t="s">
        <v>81</v>
      </c>
      <c r="M48" s="12">
        <v>48.45</v>
      </c>
      <c r="N48" s="10" t="s">
        <v>68</v>
      </c>
      <c r="O48" s="10" t="s">
        <v>142</v>
      </c>
      <c r="P48" s="10" t="s">
        <v>70</v>
      </c>
      <c r="Q48" s="12">
        <v>50.87</v>
      </c>
      <c r="R48" s="10" t="s">
        <v>71</v>
      </c>
      <c r="S48" s="10" t="s">
        <v>0</v>
      </c>
      <c r="T48" s="10" t="s">
        <v>0</v>
      </c>
      <c r="U48" s="10" t="s">
        <v>72</v>
      </c>
    </row>
    <row r="49" spans="1:21" x14ac:dyDescent="0.25">
      <c r="A49" s="9" t="s">
        <v>19</v>
      </c>
      <c r="B49" s="9" t="s">
        <v>58</v>
      </c>
      <c r="C49" s="9" t="s">
        <v>59</v>
      </c>
      <c r="D49" s="9" t="s">
        <v>60</v>
      </c>
      <c r="E49" s="9" t="s">
        <v>88</v>
      </c>
      <c r="F49" s="9" t="s">
        <v>89</v>
      </c>
      <c r="G49" s="9" t="s">
        <v>63</v>
      </c>
      <c r="H49" s="9" t="s">
        <v>90</v>
      </c>
      <c r="I49" s="9" t="s">
        <v>65</v>
      </c>
      <c r="J49" s="9" t="s">
        <v>91</v>
      </c>
      <c r="K49" s="9" t="s">
        <v>92</v>
      </c>
      <c r="L49" s="9" t="s">
        <v>93</v>
      </c>
      <c r="M49" s="11">
        <v>15.8</v>
      </c>
      <c r="N49" s="9" t="s">
        <v>68</v>
      </c>
      <c r="O49" s="9" t="s">
        <v>94</v>
      </c>
      <c r="P49" s="9" t="s">
        <v>70</v>
      </c>
      <c r="Q49" s="11">
        <v>10.27</v>
      </c>
      <c r="R49" s="9" t="s">
        <v>71</v>
      </c>
      <c r="S49" s="9" t="s">
        <v>0</v>
      </c>
      <c r="T49" s="9" t="s">
        <v>0</v>
      </c>
      <c r="U49" s="9" t="s">
        <v>95</v>
      </c>
    </row>
    <row r="50" spans="1:21" x14ac:dyDescent="0.25">
      <c r="A50" s="10" t="s">
        <v>19</v>
      </c>
      <c r="B50" s="10" t="s">
        <v>58</v>
      </c>
      <c r="C50" s="10" t="s">
        <v>59</v>
      </c>
      <c r="D50" s="10" t="s">
        <v>60</v>
      </c>
      <c r="E50" s="10" t="s">
        <v>88</v>
      </c>
      <c r="F50" s="10" t="s">
        <v>89</v>
      </c>
      <c r="G50" s="10" t="s">
        <v>63</v>
      </c>
      <c r="H50" s="10" t="s">
        <v>90</v>
      </c>
      <c r="I50" s="10" t="s">
        <v>65</v>
      </c>
      <c r="J50" s="10" t="s">
        <v>91</v>
      </c>
      <c r="K50" s="10" t="s">
        <v>92</v>
      </c>
      <c r="L50" s="10" t="s">
        <v>93</v>
      </c>
      <c r="M50" s="12">
        <v>23.6</v>
      </c>
      <c r="N50" s="10" t="s">
        <v>68</v>
      </c>
      <c r="O50" s="10" t="s">
        <v>94</v>
      </c>
      <c r="P50" s="10" t="s">
        <v>70</v>
      </c>
      <c r="Q50" s="12">
        <v>15.34</v>
      </c>
      <c r="R50" s="10" t="s">
        <v>71</v>
      </c>
      <c r="S50" s="10" t="s">
        <v>0</v>
      </c>
      <c r="T50" s="10" t="s">
        <v>0</v>
      </c>
      <c r="U50" s="10" t="s">
        <v>95</v>
      </c>
    </row>
    <row r="51" spans="1:21" x14ac:dyDescent="0.25">
      <c r="A51" s="9" t="s">
        <v>19</v>
      </c>
      <c r="B51" s="9" t="s">
        <v>58</v>
      </c>
      <c r="C51" s="9" t="s">
        <v>242</v>
      </c>
      <c r="D51" s="9" t="s">
        <v>243</v>
      </c>
      <c r="E51" s="9" t="s">
        <v>244</v>
      </c>
      <c r="F51" s="9" t="s">
        <v>245</v>
      </c>
      <c r="G51" s="9" t="s">
        <v>134</v>
      </c>
      <c r="H51" s="9" t="s">
        <v>135</v>
      </c>
      <c r="I51" s="9" t="s">
        <v>246</v>
      </c>
      <c r="J51" s="9" t="s">
        <v>66</v>
      </c>
      <c r="K51" s="9" t="s">
        <v>81</v>
      </c>
      <c r="L51" s="9" t="s">
        <v>81</v>
      </c>
      <c r="M51" s="11">
        <v>69.52</v>
      </c>
      <c r="N51" s="9" t="s">
        <v>68</v>
      </c>
      <c r="O51" s="9" t="s">
        <v>69</v>
      </c>
      <c r="P51" s="9" t="s">
        <v>70</v>
      </c>
      <c r="Q51" s="11">
        <v>69.52</v>
      </c>
      <c r="R51" s="9" t="s">
        <v>71</v>
      </c>
      <c r="S51" s="9" t="s">
        <v>0</v>
      </c>
      <c r="T51" s="9" t="s">
        <v>0</v>
      </c>
      <c r="U51" s="9" t="s">
        <v>72</v>
      </c>
    </row>
    <row r="52" spans="1:21" x14ac:dyDescent="0.25">
      <c r="A52" s="10" t="s">
        <v>19</v>
      </c>
      <c r="B52" s="10" t="s">
        <v>58</v>
      </c>
      <c r="C52" s="10" t="s">
        <v>242</v>
      </c>
      <c r="D52" s="10" t="s">
        <v>243</v>
      </c>
      <c r="E52" s="10" t="s">
        <v>244</v>
      </c>
      <c r="F52" s="10" t="s">
        <v>247</v>
      </c>
      <c r="G52" s="10" t="s">
        <v>134</v>
      </c>
      <c r="H52" s="10" t="s">
        <v>135</v>
      </c>
      <c r="I52" s="10" t="s">
        <v>246</v>
      </c>
      <c r="J52" s="10" t="s">
        <v>125</v>
      </c>
      <c r="K52" s="10" t="s">
        <v>81</v>
      </c>
      <c r="L52" s="10" t="s">
        <v>81</v>
      </c>
      <c r="M52" s="12">
        <v>72</v>
      </c>
      <c r="N52" s="10" t="s">
        <v>68</v>
      </c>
      <c r="O52" s="10" t="s">
        <v>69</v>
      </c>
      <c r="P52" s="10" t="s">
        <v>70</v>
      </c>
      <c r="Q52" s="12">
        <v>72</v>
      </c>
      <c r="R52" s="10" t="s">
        <v>71</v>
      </c>
      <c r="S52" s="10" t="s">
        <v>0</v>
      </c>
      <c r="T52" s="10" t="s">
        <v>0</v>
      </c>
      <c r="U52" s="10" t="s">
        <v>126</v>
      </c>
    </row>
    <row r="53" spans="1:21" x14ac:dyDescent="0.25">
      <c r="A53" s="9" t="s">
        <v>19</v>
      </c>
      <c r="B53" s="9" t="s">
        <v>58</v>
      </c>
      <c r="C53" s="9" t="s">
        <v>201</v>
      </c>
      <c r="D53" s="9" t="s">
        <v>202</v>
      </c>
      <c r="E53" s="9" t="s">
        <v>203</v>
      </c>
      <c r="F53" s="9" t="s">
        <v>204</v>
      </c>
      <c r="G53" s="9" t="s">
        <v>63</v>
      </c>
      <c r="H53" s="9" t="s">
        <v>205</v>
      </c>
      <c r="I53" s="9" t="s">
        <v>65</v>
      </c>
      <c r="J53" s="9" t="s">
        <v>103</v>
      </c>
      <c r="K53" s="9" t="s">
        <v>206</v>
      </c>
      <c r="L53" s="9" t="s">
        <v>81</v>
      </c>
      <c r="M53" s="11">
        <v>233.49</v>
      </c>
      <c r="N53" s="9" t="s">
        <v>68</v>
      </c>
      <c r="O53" s="9" t="s">
        <v>94</v>
      </c>
      <c r="P53" s="9" t="s">
        <v>70</v>
      </c>
      <c r="Q53" s="11">
        <v>151.77000000000001</v>
      </c>
      <c r="R53" s="9" t="s">
        <v>71</v>
      </c>
      <c r="S53" s="9" t="s">
        <v>0</v>
      </c>
      <c r="T53" s="9" t="s">
        <v>0</v>
      </c>
      <c r="U53" s="9" t="s">
        <v>107</v>
      </c>
    </row>
    <row r="54" spans="1:21" x14ac:dyDescent="0.25">
      <c r="A54" s="10" t="s">
        <v>19</v>
      </c>
      <c r="B54" s="10" t="s">
        <v>96</v>
      </c>
      <c r="C54" s="10" t="s">
        <v>127</v>
      </c>
      <c r="D54" s="10" t="s">
        <v>128</v>
      </c>
      <c r="E54" s="10" t="s">
        <v>248</v>
      </c>
      <c r="F54" s="10" t="s">
        <v>249</v>
      </c>
      <c r="G54" s="10" t="s">
        <v>145</v>
      </c>
      <c r="H54" s="10" t="s">
        <v>250</v>
      </c>
      <c r="I54" s="10" t="s">
        <v>78</v>
      </c>
      <c r="J54" s="10" t="s">
        <v>79</v>
      </c>
      <c r="K54" s="10" t="s">
        <v>251</v>
      </c>
      <c r="L54" s="10" t="s">
        <v>105</v>
      </c>
      <c r="M54" s="12">
        <v>-27.63</v>
      </c>
      <c r="N54" s="10" t="s">
        <v>68</v>
      </c>
      <c r="O54" s="10" t="s">
        <v>156</v>
      </c>
      <c r="P54" s="10" t="s">
        <v>70</v>
      </c>
      <c r="Q54" s="12">
        <v>-0.97</v>
      </c>
      <c r="R54" s="10" t="s">
        <v>71</v>
      </c>
      <c r="S54" s="10" t="s">
        <v>0</v>
      </c>
      <c r="T54" s="10" t="s">
        <v>0</v>
      </c>
      <c r="U54" s="10" t="s">
        <v>83</v>
      </c>
    </row>
    <row r="55" spans="1:21" x14ac:dyDescent="0.25">
      <c r="A55" s="9" t="s">
        <v>19</v>
      </c>
      <c r="B55" s="9" t="s">
        <v>58</v>
      </c>
      <c r="C55" s="9" t="s">
        <v>108</v>
      </c>
      <c r="D55" s="9" t="s">
        <v>109</v>
      </c>
      <c r="E55" s="9" t="s">
        <v>252</v>
      </c>
      <c r="F55" s="9" t="s">
        <v>253</v>
      </c>
      <c r="G55" s="9" t="s">
        <v>145</v>
      </c>
      <c r="H55" s="9" t="s">
        <v>254</v>
      </c>
      <c r="I55" s="9" t="s">
        <v>78</v>
      </c>
      <c r="J55" s="9" t="s">
        <v>184</v>
      </c>
      <c r="K55" s="9" t="s">
        <v>255</v>
      </c>
      <c r="L55" s="9" t="s">
        <v>93</v>
      </c>
      <c r="M55" s="11">
        <v>4.17</v>
      </c>
      <c r="N55" s="9" t="s">
        <v>68</v>
      </c>
      <c r="O55" s="9" t="s">
        <v>256</v>
      </c>
      <c r="P55" s="9" t="s">
        <v>70</v>
      </c>
      <c r="Q55" s="11">
        <v>0.46</v>
      </c>
      <c r="R55" s="9" t="s">
        <v>71</v>
      </c>
      <c r="S55" s="9" t="s">
        <v>0</v>
      </c>
      <c r="T55" s="9" t="s">
        <v>0</v>
      </c>
      <c r="U55" s="9" t="s">
        <v>187</v>
      </c>
    </row>
    <row r="56" spans="1:21" x14ac:dyDescent="0.25">
      <c r="A56" s="10" t="s">
        <v>19</v>
      </c>
      <c r="B56" s="10" t="s">
        <v>58</v>
      </c>
      <c r="C56" s="10" t="s">
        <v>108</v>
      </c>
      <c r="D56" s="10" t="s">
        <v>109</v>
      </c>
      <c r="E56" s="10" t="s">
        <v>252</v>
      </c>
      <c r="F56" s="10" t="s">
        <v>253</v>
      </c>
      <c r="G56" s="10" t="s">
        <v>145</v>
      </c>
      <c r="H56" s="10" t="s">
        <v>254</v>
      </c>
      <c r="I56" s="10" t="s">
        <v>78</v>
      </c>
      <c r="J56" s="10" t="s">
        <v>184</v>
      </c>
      <c r="K56" s="10" t="s">
        <v>255</v>
      </c>
      <c r="L56" s="10" t="s">
        <v>93</v>
      </c>
      <c r="M56" s="12">
        <v>6.87</v>
      </c>
      <c r="N56" s="10" t="s">
        <v>68</v>
      </c>
      <c r="O56" s="10" t="s">
        <v>256</v>
      </c>
      <c r="P56" s="10" t="s">
        <v>70</v>
      </c>
      <c r="Q56" s="12">
        <v>0.76</v>
      </c>
      <c r="R56" s="10" t="s">
        <v>71</v>
      </c>
      <c r="S56" s="10" t="s">
        <v>0</v>
      </c>
      <c r="T56" s="10" t="s">
        <v>0</v>
      </c>
      <c r="U56" s="10" t="s">
        <v>187</v>
      </c>
    </row>
    <row r="57" spans="1:21" x14ac:dyDescent="0.25">
      <c r="A57" s="9" t="s">
        <v>19</v>
      </c>
      <c r="B57" s="9" t="s">
        <v>58</v>
      </c>
      <c r="C57" s="9" t="s">
        <v>108</v>
      </c>
      <c r="D57" s="9" t="s">
        <v>109</v>
      </c>
      <c r="E57" s="9" t="s">
        <v>252</v>
      </c>
      <c r="F57" s="9" t="s">
        <v>253</v>
      </c>
      <c r="G57" s="9" t="s">
        <v>145</v>
      </c>
      <c r="H57" s="9" t="s">
        <v>254</v>
      </c>
      <c r="I57" s="9" t="s">
        <v>78</v>
      </c>
      <c r="J57" s="9" t="s">
        <v>184</v>
      </c>
      <c r="K57" s="9" t="s">
        <v>255</v>
      </c>
      <c r="L57" s="9" t="s">
        <v>93</v>
      </c>
      <c r="M57" s="11">
        <v>56.8</v>
      </c>
      <c r="N57" s="9" t="s">
        <v>68</v>
      </c>
      <c r="O57" s="9" t="s">
        <v>256</v>
      </c>
      <c r="P57" s="9" t="s">
        <v>70</v>
      </c>
      <c r="Q57" s="11">
        <v>6.25</v>
      </c>
      <c r="R57" s="9" t="s">
        <v>71</v>
      </c>
      <c r="S57" s="9" t="s">
        <v>0</v>
      </c>
      <c r="T57" s="9" t="s">
        <v>0</v>
      </c>
      <c r="U57" s="9" t="s">
        <v>187</v>
      </c>
    </row>
    <row r="58" spans="1:21" x14ac:dyDescent="0.25">
      <c r="A58" s="10" t="s">
        <v>19</v>
      </c>
      <c r="B58" s="10" t="s">
        <v>58</v>
      </c>
      <c r="C58" s="10" t="s">
        <v>108</v>
      </c>
      <c r="D58" s="10" t="s">
        <v>109</v>
      </c>
      <c r="E58" s="10" t="s">
        <v>252</v>
      </c>
      <c r="F58" s="10" t="s">
        <v>257</v>
      </c>
      <c r="G58" s="10" t="s">
        <v>145</v>
      </c>
      <c r="H58" s="10" t="s">
        <v>254</v>
      </c>
      <c r="I58" s="10" t="s">
        <v>78</v>
      </c>
      <c r="J58" s="10" t="s">
        <v>258</v>
      </c>
      <c r="K58" s="10" t="s">
        <v>255</v>
      </c>
      <c r="L58" s="10" t="s">
        <v>93</v>
      </c>
      <c r="M58" s="12">
        <v>51.03</v>
      </c>
      <c r="N58" s="10" t="s">
        <v>68</v>
      </c>
      <c r="O58" s="10" t="s">
        <v>156</v>
      </c>
      <c r="P58" s="10" t="s">
        <v>70</v>
      </c>
      <c r="Q58" s="12">
        <v>1.79</v>
      </c>
      <c r="R58" s="10" t="s">
        <v>71</v>
      </c>
      <c r="S58" s="10" t="s">
        <v>0</v>
      </c>
      <c r="T58" s="10" t="s">
        <v>0</v>
      </c>
      <c r="U58" s="10" t="s">
        <v>259</v>
      </c>
    </row>
    <row r="59" spans="1:21" x14ac:dyDescent="0.25">
      <c r="A59" s="9" t="s">
        <v>19</v>
      </c>
      <c r="B59" s="9" t="s">
        <v>96</v>
      </c>
      <c r="C59" s="9" t="s">
        <v>165</v>
      </c>
      <c r="D59" s="9" t="s">
        <v>166</v>
      </c>
      <c r="E59" s="9" t="s">
        <v>260</v>
      </c>
      <c r="F59" s="9" t="s">
        <v>261</v>
      </c>
      <c r="G59" s="9" t="s">
        <v>134</v>
      </c>
      <c r="H59" s="9" t="s">
        <v>262</v>
      </c>
      <c r="I59" s="9" t="s">
        <v>263</v>
      </c>
      <c r="J59" s="9" t="s">
        <v>125</v>
      </c>
      <c r="K59" s="9" t="s">
        <v>264</v>
      </c>
      <c r="L59" s="9" t="s">
        <v>265</v>
      </c>
      <c r="M59" s="11">
        <v>-32.020000000000003</v>
      </c>
      <c r="N59" s="9" t="s">
        <v>68</v>
      </c>
      <c r="O59" s="9" t="s">
        <v>69</v>
      </c>
      <c r="P59" s="9" t="s">
        <v>70</v>
      </c>
      <c r="Q59" s="11">
        <v>-32.020000000000003</v>
      </c>
      <c r="R59" s="9" t="s">
        <v>71</v>
      </c>
      <c r="S59" s="9" t="s">
        <v>0</v>
      </c>
      <c r="T59" s="9" t="s">
        <v>0</v>
      </c>
      <c r="U59" s="9" t="s">
        <v>126</v>
      </c>
    </row>
    <row r="60" spans="1:21" x14ac:dyDescent="0.25">
      <c r="A60" s="10" t="s">
        <v>18</v>
      </c>
      <c r="B60" s="10" t="s">
        <v>58</v>
      </c>
      <c r="C60" s="10" t="s">
        <v>266</v>
      </c>
      <c r="D60" s="10" t="s">
        <v>267</v>
      </c>
      <c r="E60" s="10" t="s">
        <v>268</v>
      </c>
      <c r="F60" s="10" t="s">
        <v>269</v>
      </c>
      <c r="G60" s="10" t="s">
        <v>145</v>
      </c>
      <c r="H60" s="10" t="s">
        <v>270</v>
      </c>
      <c r="I60" s="10" t="s">
        <v>197</v>
      </c>
      <c r="J60" s="10" t="s">
        <v>271</v>
      </c>
      <c r="K60" s="10" t="s">
        <v>272</v>
      </c>
      <c r="L60" s="10" t="s">
        <v>105</v>
      </c>
      <c r="M60" s="12">
        <v>529.13</v>
      </c>
      <c r="N60" s="10" t="s">
        <v>68</v>
      </c>
      <c r="O60" s="10" t="s">
        <v>273</v>
      </c>
      <c r="P60" s="10" t="s">
        <v>70</v>
      </c>
      <c r="Q60" s="12">
        <v>132.28</v>
      </c>
      <c r="R60" s="10" t="s">
        <v>115</v>
      </c>
      <c r="S60" s="10" t="s">
        <v>0</v>
      </c>
      <c r="T60" s="10" t="s">
        <v>0</v>
      </c>
      <c r="U60" s="10" t="s">
        <v>274</v>
      </c>
    </row>
    <row r="61" spans="1:21" x14ac:dyDescent="0.25">
      <c r="A61" s="9" t="s">
        <v>19</v>
      </c>
      <c r="B61" s="9" t="s">
        <v>58</v>
      </c>
      <c r="C61" s="9" t="s">
        <v>127</v>
      </c>
      <c r="D61" s="9" t="s">
        <v>128</v>
      </c>
      <c r="E61" s="9" t="s">
        <v>275</v>
      </c>
      <c r="F61" s="9" t="s">
        <v>276</v>
      </c>
      <c r="G61" s="9" t="s">
        <v>145</v>
      </c>
      <c r="H61" s="9" t="s">
        <v>277</v>
      </c>
      <c r="I61" s="9" t="s">
        <v>78</v>
      </c>
      <c r="J61" s="9" t="s">
        <v>79</v>
      </c>
      <c r="K61" s="9" t="s">
        <v>277</v>
      </c>
      <c r="L61" s="9" t="s">
        <v>81</v>
      </c>
      <c r="M61" s="11">
        <v>27.63</v>
      </c>
      <c r="N61" s="9" t="s">
        <v>68</v>
      </c>
      <c r="O61" s="9" t="s">
        <v>147</v>
      </c>
      <c r="P61" s="9" t="s">
        <v>70</v>
      </c>
      <c r="Q61" s="11">
        <v>1.04</v>
      </c>
      <c r="R61" s="9" t="s">
        <v>71</v>
      </c>
      <c r="S61" s="9" t="s">
        <v>0</v>
      </c>
      <c r="T61" s="9" t="s">
        <v>0</v>
      </c>
      <c r="U61" s="9" t="s">
        <v>83</v>
      </c>
    </row>
    <row r="62" spans="1:21" x14ac:dyDescent="0.25">
      <c r="A62" s="10" t="s">
        <v>19</v>
      </c>
      <c r="B62" s="10" t="s">
        <v>58</v>
      </c>
      <c r="C62" s="10" t="s">
        <v>59</v>
      </c>
      <c r="D62" s="10" t="s">
        <v>60</v>
      </c>
      <c r="E62" s="10" t="s">
        <v>278</v>
      </c>
      <c r="F62" s="10" t="s">
        <v>279</v>
      </c>
      <c r="G62" s="10" t="s">
        <v>134</v>
      </c>
      <c r="H62" s="10" t="s">
        <v>81</v>
      </c>
      <c r="I62" s="10" t="s">
        <v>65</v>
      </c>
      <c r="J62" s="10" t="s">
        <v>91</v>
      </c>
      <c r="K62" s="10" t="s">
        <v>280</v>
      </c>
      <c r="L62" s="10" t="s">
        <v>280</v>
      </c>
      <c r="M62" s="12">
        <v>25.5</v>
      </c>
      <c r="N62" s="10" t="s">
        <v>68</v>
      </c>
      <c r="O62" s="10" t="s">
        <v>94</v>
      </c>
      <c r="P62" s="10" t="s">
        <v>70</v>
      </c>
      <c r="Q62" s="12">
        <v>16.579999999999998</v>
      </c>
      <c r="R62" s="10" t="s">
        <v>71</v>
      </c>
      <c r="S62" s="10" t="s">
        <v>0</v>
      </c>
      <c r="T62" s="10" t="s">
        <v>0</v>
      </c>
      <c r="U62" s="10" t="s">
        <v>95</v>
      </c>
    </row>
    <row r="63" spans="1:21" x14ac:dyDescent="0.25">
      <c r="A63" s="9" t="s">
        <v>19</v>
      </c>
      <c r="B63" s="9" t="s">
        <v>58</v>
      </c>
      <c r="C63" s="9" t="s">
        <v>73</v>
      </c>
      <c r="D63" s="9" t="s">
        <v>74</v>
      </c>
      <c r="E63" s="9" t="s">
        <v>75</v>
      </c>
      <c r="F63" s="9" t="s">
        <v>281</v>
      </c>
      <c r="G63" s="9" t="s">
        <v>63</v>
      </c>
      <c r="H63" s="9" t="s">
        <v>77</v>
      </c>
      <c r="I63" s="9" t="s">
        <v>78</v>
      </c>
      <c r="J63" s="9" t="s">
        <v>282</v>
      </c>
      <c r="K63" s="9" t="s">
        <v>80</v>
      </c>
      <c r="L63" s="9" t="s">
        <v>81</v>
      </c>
      <c r="M63" s="11">
        <v>167.37</v>
      </c>
      <c r="N63" s="9" t="s">
        <v>68</v>
      </c>
      <c r="O63" s="9" t="s">
        <v>86</v>
      </c>
      <c r="P63" s="9" t="s">
        <v>70</v>
      </c>
      <c r="Q63" s="11">
        <v>152.31</v>
      </c>
      <c r="R63" s="9" t="s">
        <v>71</v>
      </c>
      <c r="S63" s="9" t="s">
        <v>0</v>
      </c>
      <c r="T63" s="9" t="s">
        <v>0</v>
      </c>
      <c r="U63" s="9" t="s">
        <v>283</v>
      </c>
    </row>
    <row r="64" spans="1:21" x14ac:dyDescent="0.25">
      <c r="A64" s="10" t="s">
        <v>18</v>
      </c>
      <c r="B64" s="10" t="s">
        <v>58</v>
      </c>
      <c r="C64" s="10" t="s">
        <v>284</v>
      </c>
      <c r="D64" s="10" t="s">
        <v>285</v>
      </c>
      <c r="E64" s="10" t="s">
        <v>286</v>
      </c>
      <c r="F64" s="10" t="s">
        <v>287</v>
      </c>
      <c r="G64" s="10" t="s">
        <v>145</v>
      </c>
      <c r="H64" s="10" t="s">
        <v>288</v>
      </c>
      <c r="I64" s="10" t="s">
        <v>197</v>
      </c>
      <c r="J64" s="10" t="s">
        <v>289</v>
      </c>
      <c r="K64" s="10" t="s">
        <v>290</v>
      </c>
      <c r="L64" s="10" t="s">
        <v>105</v>
      </c>
      <c r="M64" s="12">
        <v>95.36</v>
      </c>
      <c r="N64" s="10" t="s">
        <v>68</v>
      </c>
      <c r="O64" s="10" t="s">
        <v>291</v>
      </c>
      <c r="P64" s="10" t="s">
        <v>70</v>
      </c>
      <c r="Q64" s="12">
        <v>27.65</v>
      </c>
      <c r="R64" s="10" t="s">
        <v>71</v>
      </c>
      <c r="S64" s="10" t="s">
        <v>0</v>
      </c>
      <c r="T64" s="10" t="s">
        <v>0</v>
      </c>
      <c r="U64" s="10" t="s">
        <v>292</v>
      </c>
    </row>
    <row r="65" spans="1:21" x14ac:dyDescent="0.25">
      <c r="A65" s="9" t="s">
        <v>19</v>
      </c>
      <c r="B65" s="9" t="s">
        <v>58</v>
      </c>
      <c r="C65" s="9" t="s">
        <v>127</v>
      </c>
      <c r="D65" s="9" t="s">
        <v>128</v>
      </c>
      <c r="E65" s="9" t="s">
        <v>293</v>
      </c>
      <c r="F65" s="9" t="s">
        <v>294</v>
      </c>
      <c r="G65" s="9" t="s">
        <v>63</v>
      </c>
      <c r="H65" s="9" t="s">
        <v>80</v>
      </c>
      <c r="I65" s="9" t="s">
        <v>263</v>
      </c>
      <c r="J65" s="9" t="s">
        <v>295</v>
      </c>
      <c r="K65" s="9" t="s">
        <v>296</v>
      </c>
      <c r="L65" s="9" t="s">
        <v>81</v>
      </c>
      <c r="M65" s="11">
        <v>42.94</v>
      </c>
      <c r="N65" s="9" t="s">
        <v>68</v>
      </c>
      <c r="O65" s="9" t="s">
        <v>82</v>
      </c>
      <c r="P65" s="9" t="s">
        <v>70</v>
      </c>
      <c r="Q65" s="11">
        <v>24.48</v>
      </c>
      <c r="R65" s="9" t="s">
        <v>71</v>
      </c>
      <c r="S65" s="9" t="s">
        <v>0</v>
      </c>
      <c r="T65" s="9" t="s">
        <v>0</v>
      </c>
      <c r="U65" s="9" t="s">
        <v>297</v>
      </c>
    </row>
    <row r="66" spans="1:21" x14ac:dyDescent="0.25">
      <c r="A66" s="10" t="s">
        <v>19</v>
      </c>
      <c r="B66" s="10" t="s">
        <v>58</v>
      </c>
      <c r="C66" s="10" t="s">
        <v>59</v>
      </c>
      <c r="D66" s="10" t="s">
        <v>60</v>
      </c>
      <c r="E66" s="10" t="s">
        <v>298</v>
      </c>
      <c r="F66" s="10" t="s">
        <v>299</v>
      </c>
      <c r="G66" s="10" t="s">
        <v>134</v>
      </c>
      <c r="H66" s="10" t="s">
        <v>173</v>
      </c>
      <c r="I66" s="10" t="s">
        <v>212</v>
      </c>
      <c r="J66" s="10" t="s">
        <v>91</v>
      </c>
      <c r="K66" s="10" t="s">
        <v>105</v>
      </c>
      <c r="L66" s="10" t="s">
        <v>105</v>
      </c>
      <c r="M66" s="12">
        <v>2.63</v>
      </c>
      <c r="N66" s="10" t="s">
        <v>68</v>
      </c>
      <c r="O66" s="10" t="s">
        <v>94</v>
      </c>
      <c r="P66" s="10" t="s">
        <v>70</v>
      </c>
      <c r="Q66" s="12">
        <v>1.71</v>
      </c>
      <c r="R66" s="10" t="s">
        <v>71</v>
      </c>
      <c r="S66" s="10" t="s">
        <v>0</v>
      </c>
      <c r="T66" s="10" t="s">
        <v>0</v>
      </c>
      <c r="U66" s="10" t="s">
        <v>95</v>
      </c>
    </row>
    <row r="67" spans="1:21" x14ac:dyDescent="0.25">
      <c r="A67" s="9" t="s">
        <v>19</v>
      </c>
      <c r="B67" s="9" t="s">
        <v>58</v>
      </c>
      <c r="C67" s="9" t="s">
        <v>59</v>
      </c>
      <c r="D67" s="9" t="s">
        <v>60</v>
      </c>
      <c r="E67" s="9" t="s">
        <v>298</v>
      </c>
      <c r="F67" s="9" t="s">
        <v>299</v>
      </c>
      <c r="G67" s="9" t="s">
        <v>134</v>
      </c>
      <c r="H67" s="9" t="s">
        <v>173</v>
      </c>
      <c r="I67" s="9" t="s">
        <v>212</v>
      </c>
      <c r="J67" s="9" t="s">
        <v>91</v>
      </c>
      <c r="K67" s="9" t="s">
        <v>105</v>
      </c>
      <c r="L67" s="9" t="s">
        <v>105</v>
      </c>
      <c r="M67" s="11">
        <v>14.17</v>
      </c>
      <c r="N67" s="9" t="s">
        <v>68</v>
      </c>
      <c r="O67" s="9" t="s">
        <v>94</v>
      </c>
      <c r="P67" s="9" t="s">
        <v>70</v>
      </c>
      <c r="Q67" s="11">
        <v>9.2100000000000009</v>
      </c>
      <c r="R67" s="9" t="s">
        <v>71</v>
      </c>
      <c r="S67" s="9" t="s">
        <v>0</v>
      </c>
      <c r="T67" s="9" t="s">
        <v>0</v>
      </c>
      <c r="U67" s="9" t="s">
        <v>95</v>
      </c>
    </row>
    <row r="68" spans="1:21" x14ac:dyDescent="0.25">
      <c r="A68" s="10" t="s">
        <v>19</v>
      </c>
      <c r="B68" s="10" t="s">
        <v>58</v>
      </c>
      <c r="C68" s="10" t="s">
        <v>59</v>
      </c>
      <c r="D68" s="10" t="s">
        <v>60</v>
      </c>
      <c r="E68" s="10" t="s">
        <v>298</v>
      </c>
      <c r="F68" s="10" t="s">
        <v>299</v>
      </c>
      <c r="G68" s="10" t="s">
        <v>134</v>
      </c>
      <c r="H68" s="10" t="s">
        <v>173</v>
      </c>
      <c r="I68" s="10" t="s">
        <v>212</v>
      </c>
      <c r="J68" s="10" t="s">
        <v>91</v>
      </c>
      <c r="K68" s="10" t="s">
        <v>105</v>
      </c>
      <c r="L68" s="10" t="s">
        <v>105</v>
      </c>
      <c r="M68" s="12">
        <v>11.04</v>
      </c>
      <c r="N68" s="10" t="s">
        <v>68</v>
      </c>
      <c r="O68" s="10" t="s">
        <v>94</v>
      </c>
      <c r="P68" s="10" t="s">
        <v>70</v>
      </c>
      <c r="Q68" s="12">
        <v>7.18</v>
      </c>
      <c r="R68" s="10" t="s">
        <v>71</v>
      </c>
      <c r="S68" s="10" t="s">
        <v>0</v>
      </c>
      <c r="T68" s="10" t="s">
        <v>0</v>
      </c>
      <c r="U68" s="10" t="s">
        <v>95</v>
      </c>
    </row>
    <row r="69" spans="1:21" x14ac:dyDescent="0.25">
      <c r="A69" s="9" t="s">
        <v>19</v>
      </c>
      <c r="B69" s="9" t="s">
        <v>58</v>
      </c>
      <c r="C69" s="9" t="s">
        <v>59</v>
      </c>
      <c r="D69" s="9" t="s">
        <v>60</v>
      </c>
      <c r="E69" s="9" t="s">
        <v>298</v>
      </c>
      <c r="F69" s="9" t="s">
        <v>299</v>
      </c>
      <c r="G69" s="9" t="s">
        <v>134</v>
      </c>
      <c r="H69" s="9" t="s">
        <v>173</v>
      </c>
      <c r="I69" s="9" t="s">
        <v>212</v>
      </c>
      <c r="J69" s="9" t="s">
        <v>91</v>
      </c>
      <c r="K69" s="9" t="s">
        <v>105</v>
      </c>
      <c r="L69" s="9" t="s">
        <v>105</v>
      </c>
      <c r="M69" s="11">
        <v>18.75</v>
      </c>
      <c r="N69" s="9" t="s">
        <v>68</v>
      </c>
      <c r="O69" s="9" t="s">
        <v>94</v>
      </c>
      <c r="P69" s="9" t="s">
        <v>70</v>
      </c>
      <c r="Q69" s="11">
        <v>12.19</v>
      </c>
      <c r="R69" s="9" t="s">
        <v>71</v>
      </c>
      <c r="S69" s="9" t="s">
        <v>0</v>
      </c>
      <c r="T69" s="9" t="s">
        <v>0</v>
      </c>
      <c r="U69" s="9" t="s">
        <v>95</v>
      </c>
    </row>
    <row r="70" spans="1:21" x14ac:dyDescent="0.25">
      <c r="A70" s="10" t="s">
        <v>19</v>
      </c>
      <c r="B70" s="10" t="s">
        <v>58</v>
      </c>
      <c r="C70" s="10" t="s">
        <v>148</v>
      </c>
      <c r="D70" s="10" t="s">
        <v>149</v>
      </c>
      <c r="E70" s="10" t="s">
        <v>300</v>
      </c>
      <c r="F70" s="10" t="s">
        <v>301</v>
      </c>
      <c r="G70" s="10" t="s">
        <v>145</v>
      </c>
      <c r="H70" s="10" t="s">
        <v>302</v>
      </c>
      <c r="I70" s="10" t="s">
        <v>263</v>
      </c>
      <c r="J70" s="10" t="s">
        <v>66</v>
      </c>
      <c r="K70" s="10" t="s">
        <v>303</v>
      </c>
      <c r="L70" s="10" t="s">
        <v>93</v>
      </c>
      <c r="M70" s="12">
        <v>42.58</v>
      </c>
      <c r="N70" s="10" t="s">
        <v>68</v>
      </c>
      <c r="O70" s="10" t="s">
        <v>156</v>
      </c>
      <c r="P70" s="10" t="s">
        <v>70</v>
      </c>
      <c r="Q70" s="12">
        <v>1.49</v>
      </c>
      <c r="R70" s="10" t="s">
        <v>71</v>
      </c>
      <c r="S70" s="10" t="s">
        <v>0</v>
      </c>
      <c r="T70" s="10" t="s">
        <v>0</v>
      </c>
      <c r="U70" s="10" t="s">
        <v>72</v>
      </c>
    </row>
    <row r="71" spans="1:21" x14ac:dyDescent="0.25">
      <c r="A71" s="9" t="s">
        <v>19</v>
      </c>
      <c r="B71" s="9" t="s">
        <v>96</v>
      </c>
      <c r="C71" s="9" t="s">
        <v>165</v>
      </c>
      <c r="D71" s="9" t="s">
        <v>166</v>
      </c>
      <c r="E71" s="9" t="s">
        <v>260</v>
      </c>
      <c r="F71" s="9" t="s">
        <v>304</v>
      </c>
      <c r="G71" s="9" t="s">
        <v>134</v>
      </c>
      <c r="H71" s="9" t="s">
        <v>262</v>
      </c>
      <c r="I71" s="9" t="s">
        <v>263</v>
      </c>
      <c r="J71" s="9" t="s">
        <v>66</v>
      </c>
      <c r="K71" s="9" t="s">
        <v>264</v>
      </c>
      <c r="L71" s="9" t="s">
        <v>265</v>
      </c>
      <c r="M71" s="11">
        <v>-33.869999999999997</v>
      </c>
      <c r="N71" s="9" t="s">
        <v>68</v>
      </c>
      <c r="O71" s="9" t="s">
        <v>69</v>
      </c>
      <c r="P71" s="9" t="s">
        <v>70</v>
      </c>
      <c r="Q71" s="11">
        <v>-33.869999999999997</v>
      </c>
      <c r="R71" s="9" t="s">
        <v>71</v>
      </c>
      <c r="S71" s="9" t="s">
        <v>0</v>
      </c>
      <c r="T71" s="9" t="s">
        <v>0</v>
      </c>
      <c r="U71" s="9" t="s">
        <v>72</v>
      </c>
    </row>
    <row r="72" spans="1:21" x14ac:dyDescent="0.25">
      <c r="A72" s="10" t="s">
        <v>19</v>
      </c>
      <c r="B72" s="10" t="s">
        <v>58</v>
      </c>
      <c r="C72" s="10" t="s">
        <v>108</v>
      </c>
      <c r="D72" s="10" t="s">
        <v>109</v>
      </c>
      <c r="E72" s="10" t="s">
        <v>305</v>
      </c>
      <c r="F72" s="10" t="s">
        <v>306</v>
      </c>
      <c r="G72" s="10" t="s">
        <v>63</v>
      </c>
      <c r="H72" s="10" t="s">
        <v>307</v>
      </c>
      <c r="I72" s="10" t="s">
        <v>78</v>
      </c>
      <c r="J72" s="10" t="s">
        <v>184</v>
      </c>
      <c r="K72" s="10" t="s">
        <v>308</v>
      </c>
      <c r="L72" s="10" t="s">
        <v>67</v>
      </c>
      <c r="M72" s="12">
        <v>37.4</v>
      </c>
      <c r="N72" s="10" t="s">
        <v>68</v>
      </c>
      <c r="O72" s="10" t="s">
        <v>106</v>
      </c>
      <c r="P72" s="10" t="s">
        <v>70</v>
      </c>
      <c r="Q72" s="12">
        <v>21.69</v>
      </c>
      <c r="R72" s="10" t="s">
        <v>71</v>
      </c>
      <c r="S72" s="10" t="s">
        <v>0</v>
      </c>
      <c r="T72" s="10" t="s">
        <v>0</v>
      </c>
      <c r="U72" s="10" t="s">
        <v>187</v>
      </c>
    </row>
    <row r="73" spans="1:21" x14ac:dyDescent="0.25">
      <c r="A73" s="9" t="s">
        <v>19</v>
      </c>
      <c r="B73" s="9" t="s">
        <v>58</v>
      </c>
      <c r="C73" s="9" t="s">
        <v>73</v>
      </c>
      <c r="D73" s="9" t="s">
        <v>74</v>
      </c>
      <c r="E73" s="9" t="s">
        <v>309</v>
      </c>
      <c r="F73" s="9" t="s">
        <v>310</v>
      </c>
      <c r="G73" s="9" t="s">
        <v>63</v>
      </c>
      <c r="H73" s="9" t="s">
        <v>205</v>
      </c>
      <c r="I73" s="9" t="s">
        <v>78</v>
      </c>
      <c r="J73" s="9" t="s">
        <v>184</v>
      </c>
      <c r="K73" s="9" t="s">
        <v>206</v>
      </c>
      <c r="L73" s="9" t="s">
        <v>81</v>
      </c>
      <c r="M73" s="11">
        <v>20.62</v>
      </c>
      <c r="N73" s="9" t="s">
        <v>68</v>
      </c>
      <c r="O73" s="9" t="s">
        <v>186</v>
      </c>
      <c r="P73" s="9" t="s">
        <v>70</v>
      </c>
      <c r="Q73" s="11">
        <v>12.37</v>
      </c>
      <c r="R73" s="9" t="s">
        <v>71</v>
      </c>
      <c r="S73" s="9" t="s">
        <v>0</v>
      </c>
      <c r="T73" s="9" t="s">
        <v>0</v>
      </c>
      <c r="U73" s="9" t="s">
        <v>187</v>
      </c>
    </row>
    <row r="74" spans="1:21" x14ac:dyDescent="0.25">
      <c r="A74" s="10" t="s">
        <v>19</v>
      </c>
      <c r="B74" s="10" t="s">
        <v>58</v>
      </c>
      <c r="C74" s="10" t="s">
        <v>73</v>
      </c>
      <c r="D74" s="10" t="s">
        <v>74</v>
      </c>
      <c r="E74" s="10" t="s">
        <v>309</v>
      </c>
      <c r="F74" s="10" t="s">
        <v>310</v>
      </c>
      <c r="G74" s="10" t="s">
        <v>63</v>
      </c>
      <c r="H74" s="10" t="s">
        <v>205</v>
      </c>
      <c r="I74" s="10" t="s">
        <v>78</v>
      </c>
      <c r="J74" s="10" t="s">
        <v>184</v>
      </c>
      <c r="K74" s="10" t="s">
        <v>206</v>
      </c>
      <c r="L74" s="10" t="s">
        <v>81</v>
      </c>
      <c r="M74" s="12">
        <v>19.7</v>
      </c>
      <c r="N74" s="10" t="s">
        <v>68</v>
      </c>
      <c r="O74" s="10" t="s">
        <v>186</v>
      </c>
      <c r="P74" s="10" t="s">
        <v>70</v>
      </c>
      <c r="Q74" s="12">
        <v>11.82</v>
      </c>
      <c r="R74" s="10" t="s">
        <v>71</v>
      </c>
      <c r="S74" s="10" t="s">
        <v>0</v>
      </c>
      <c r="T74" s="10" t="s">
        <v>0</v>
      </c>
      <c r="U74" s="10" t="s">
        <v>187</v>
      </c>
    </row>
    <row r="75" spans="1:21" x14ac:dyDescent="0.25">
      <c r="A75" s="9" t="s">
        <v>19</v>
      </c>
      <c r="B75" s="9" t="s">
        <v>58</v>
      </c>
      <c r="C75" s="9" t="s">
        <v>73</v>
      </c>
      <c r="D75" s="9" t="s">
        <v>74</v>
      </c>
      <c r="E75" s="9" t="s">
        <v>309</v>
      </c>
      <c r="F75" s="9" t="s">
        <v>310</v>
      </c>
      <c r="G75" s="9" t="s">
        <v>63</v>
      </c>
      <c r="H75" s="9" t="s">
        <v>205</v>
      </c>
      <c r="I75" s="9" t="s">
        <v>78</v>
      </c>
      <c r="J75" s="9" t="s">
        <v>184</v>
      </c>
      <c r="K75" s="9" t="s">
        <v>206</v>
      </c>
      <c r="L75" s="9" t="s">
        <v>81</v>
      </c>
      <c r="M75" s="11">
        <v>12.47</v>
      </c>
      <c r="N75" s="9" t="s">
        <v>68</v>
      </c>
      <c r="O75" s="9" t="s">
        <v>186</v>
      </c>
      <c r="P75" s="9" t="s">
        <v>70</v>
      </c>
      <c r="Q75" s="11">
        <v>7.48</v>
      </c>
      <c r="R75" s="9" t="s">
        <v>71</v>
      </c>
      <c r="S75" s="9" t="s">
        <v>0</v>
      </c>
      <c r="T75" s="9" t="s">
        <v>0</v>
      </c>
      <c r="U75" s="9" t="s">
        <v>187</v>
      </c>
    </row>
    <row r="76" spans="1:21" x14ac:dyDescent="0.25">
      <c r="A76" s="10" t="s">
        <v>19</v>
      </c>
      <c r="B76" s="10" t="s">
        <v>58</v>
      </c>
      <c r="C76" s="10" t="s">
        <v>73</v>
      </c>
      <c r="D76" s="10" t="s">
        <v>74</v>
      </c>
      <c r="E76" s="10" t="s">
        <v>309</v>
      </c>
      <c r="F76" s="10" t="s">
        <v>311</v>
      </c>
      <c r="G76" s="10" t="s">
        <v>63</v>
      </c>
      <c r="H76" s="10" t="s">
        <v>205</v>
      </c>
      <c r="I76" s="10" t="s">
        <v>78</v>
      </c>
      <c r="J76" s="10" t="s">
        <v>66</v>
      </c>
      <c r="K76" s="10" t="s">
        <v>206</v>
      </c>
      <c r="L76" s="10" t="s">
        <v>81</v>
      </c>
      <c r="M76" s="12">
        <v>45.62</v>
      </c>
      <c r="N76" s="10" t="s">
        <v>68</v>
      </c>
      <c r="O76" s="10" t="s">
        <v>174</v>
      </c>
      <c r="P76" s="10" t="s">
        <v>70</v>
      </c>
      <c r="Q76" s="12">
        <v>43.34</v>
      </c>
      <c r="R76" s="10" t="s">
        <v>71</v>
      </c>
      <c r="S76" s="10" t="s">
        <v>0</v>
      </c>
      <c r="T76" s="10" t="s">
        <v>0</v>
      </c>
      <c r="U76" s="10" t="s">
        <v>72</v>
      </c>
    </row>
    <row r="77" spans="1:21" x14ac:dyDescent="0.25">
      <c r="A77" s="9" t="s">
        <v>19</v>
      </c>
      <c r="B77" s="9" t="s">
        <v>58</v>
      </c>
      <c r="C77" s="9" t="s">
        <v>73</v>
      </c>
      <c r="D77" s="9" t="s">
        <v>74</v>
      </c>
      <c r="E77" s="9" t="s">
        <v>309</v>
      </c>
      <c r="F77" s="9" t="s">
        <v>312</v>
      </c>
      <c r="G77" s="9" t="s">
        <v>63</v>
      </c>
      <c r="H77" s="9" t="s">
        <v>205</v>
      </c>
      <c r="I77" s="9" t="s">
        <v>78</v>
      </c>
      <c r="J77" s="9" t="s">
        <v>85</v>
      </c>
      <c r="K77" s="9" t="s">
        <v>206</v>
      </c>
      <c r="L77" s="9" t="s">
        <v>81</v>
      </c>
      <c r="M77" s="11">
        <v>43.75</v>
      </c>
      <c r="N77" s="9" t="s">
        <v>68</v>
      </c>
      <c r="O77" s="9" t="s">
        <v>174</v>
      </c>
      <c r="P77" s="9" t="s">
        <v>70</v>
      </c>
      <c r="Q77" s="11">
        <v>41.56</v>
      </c>
      <c r="R77" s="9" t="s">
        <v>71</v>
      </c>
      <c r="S77" s="9" t="s">
        <v>0</v>
      </c>
      <c r="T77" s="9" t="s">
        <v>0</v>
      </c>
      <c r="U77" s="9" t="s">
        <v>87</v>
      </c>
    </row>
    <row r="78" spans="1:21" x14ac:dyDescent="0.25">
      <c r="A78" s="10" t="s">
        <v>19</v>
      </c>
      <c r="B78" s="10" t="s">
        <v>58</v>
      </c>
      <c r="C78" s="10" t="s">
        <v>127</v>
      </c>
      <c r="D78" s="10" t="s">
        <v>128</v>
      </c>
      <c r="E78" s="10" t="s">
        <v>313</v>
      </c>
      <c r="F78" s="10" t="s">
        <v>314</v>
      </c>
      <c r="G78" s="10" t="s">
        <v>145</v>
      </c>
      <c r="H78" s="10" t="s">
        <v>277</v>
      </c>
      <c r="I78" s="10" t="s">
        <v>78</v>
      </c>
      <c r="J78" s="10" t="s">
        <v>79</v>
      </c>
      <c r="K78" s="10" t="s">
        <v>277</v>
      </c>
      <c r="L78" s="10" t="s">
        <v>81</v>
      </c>
      <c r="M78" s="12">
        <v>32.130000000000003</v>
      </c>
      <c r="N78" s="10" t="s">
        <v>68</v>
      </c>
      <c r="O78" s="10" t="s">
        <v>147</v>
      </c>
      <c r="P78" s="10" t="s">
        <v>70</v>
      </c>
      <c r="Q78" s="12">
        <v>1.2</v>
      </c>
      <c r="R78" s="10" t="s">
        <v>71</v>
      </c>
      <c r="S78" s="10" t="s">
        <v>0</v>
      </c>
      <c r="T78" s="10" t="s">
        <v>0</v>
      </c>
      <c r="U78" s="10" t="s">
        <v>83</v>
      </c>
    </row>
    <row r="79" spans="1:21" x14ac:dyDescent="0.25">
      <c r="A79" s="9" t="s">
        <v>19</v>
      </c>
      <c r="B79" s="9" t="s">
        <v>96</v>
      </c>
      <c r="C79" s="9" t="s">
        <v>127</v>
      </c>
      <c r="D79" s="9" t="s">
        <v>128</v>
      </c>
      <c r="E79" s="9" t="s">
        <v>315</v>
      </c>
      <c r="F79" s="9" t="s">
        <v>316</v>
      </c>
      <c r="G79" s="9" t="s">
        <v>145</v>
      </c>
      <c r="H79" s="9" t="s">
        <v>317</v>
      </c>
      <c r="I79" s="9" t="s">
        <v>78</v>
      </c>
      <c r="J79" s="9" t="s">
        <v>79</v>
      </c>
      <c r="K79" s="9" t="s">
        <v>290</v>
      </c>
      <c r="L79" s="9" t="s">
        <v>105</v>
      </c>
      <c r="M79" s="11">
        <v>-32.130000000000003</v>
      </c>
      <c r="N79" s="9" t="s">
        <v>68</v>
      </c>
      <c r="O79" s="9" t="s">
        <v>156</v>
      </c>
      <c r="P79" s="9" t="s">
        <v>70</v>
      </c>
      <c r="Q79" s="11">
        <v>-1.1200000000000001</v>
      </c>
      <c r="R79" s="9" t="s">
        <v>115</v>
      </c>
      <c r="S79" s="9" t="s">
        <v>0</v>
      </c>
      <c r="T79" s="9" t="s">
        <v>0</v>
      </c>
      <c r="U79" s="9" t="s">
        <v>83</v>
      </c>
    </row>
    <row r="80" spans="1:21" x14ac:dyDescent="0.25">
      <c r="A80" s="10" t="s">
        <v>19</v>
      </c>
      <c r="B80" s="10" t="s">
        <v>58</v>
      </c>
      <c r="C80" s="10" t="s">
        <v>148</v>
      </c>
      <c r="D80" s="10" t="s">
        <v>149</v>
      </c>
      <c r="E80" s="10" t="s">
        <v>300</v>
      </c>
      <c r="F80" s="10" t="s">
        <v>318</v>
      </c>
      <c r="G80" s="10" t="s">
        <v>145</v>
      </c>
      <c r="H80" s="10" t="s">
        <v>302</v>
      </c>
      <c r="I80" s="10" t="s">
        <v>263</v>
      </c>
      <c r="J80" s="10" t="s">
        <v>125</v>
      </c>
      <c r="K80" s="10" t="s">
        <v>303</v>
      </c>
      <c r="L80" s="10" t="s">
        <v>93</v>
      </c>
      <c r="M80" s="12">
        <v>105.94</v>
      </c>
      <c r="N80" s="10" t="s">
        <v>68</v>
      </c>
      <c r="O80" s="10" t="s">
        <v>156</v>
      </c>
      <c r="P80" s="10" t="s">
        <v>70</v>
      </c>
      <c r="Q80" s="12">
        <v>3.71</v>
      </c>
      <c r="R80" s="10" t="s">
        <v>71</v>
      </c>
      <c r="S80" s="10" t="s">
        <v>0</v>
      </c>
      <c r="T80" s="10" t="s">
        <v>0</v>
      </c>
      <c r="U80" s="10" t="s">
        <v>126</v>
      </c>
    </row>
    <row r="81" spans="1:21" x14ac:dyDescent="0.25">
      <c r="A81" s="9" t="s">
        <v>19</v>
      </c>
      <c r="B81" s="9" t="s">
        <v>58</v>
      </c>
      <c r="C81" s="9" t="s">
        <v>266</v>
      </c>
      <c r="D81" s="9" t="s">
        <v>267</v>
      </c>
      <c r="E81" s="9" t="s">
        <v>457</v>
      </c>
      <c r="F81" s="9" t="s">
        <v>534</v>
      </c>
      <c r="G81" s="9" t="s">
        <v>63</v>
      </c>
      <c r="H81" s="9" t="s">
        <v>455</v>
      </c>
      <c r="I81" s="9" t="s">
        <v>197</v>
      </c>
      <c r="J81" s="9" t="s">
        <v>91</v>
      </c>
      <c r="K81" s="9" t="s">
        <v>229</v>
      </c>
      <c r="L81" s="9" t="s">
        <v>178</v>
      </c>
      <c r="M81" s="11">
        <v>10.17</v>
      </c>
      <c r="N81" s="9" t="s">
        <v>68</v>
      </c>
      <c r="O81" s="9" t="s">
        <v>356</v>
      </c>
      <c r="P81" s="9" t="s">
        <v>70</v>
      </c>
      <c r="Q81" s="11">
        <v>6.36</v>
      </c>
      <c r="R81" s="9" t="s">
        <v>71</v>
      </c>
      <c r="S81" s="9" t="s">
        <v>0</v>
      </c>
      <c r="T81" s="9" t="s">
        <v>0</v>
      </c>
      <c r="U81" s="9" t="s">
        <v>95</v>
      </c>
    </row>
    <row r="82" spans="1:21" x14ac:dyDescent="0.25">
      <c r="A82" s="10" t="s">
        <v>19</v>
      </c>
      <c r="B82" s="10" t="s">
        <v>96</v>
      </c>
      <c r="C82" s="10" t="s">
        <v>127</v>
      </c>
      <c r="D82" s="10" t="s">
        <v>128</v>
      </c>
      <c r="E82" s="10" t="s">
        <v>586</v>
      </c>
      <c r="F82" s="10" t="s">
        <v>585</v>
      </c>
      <c r="G82" s="10" t="s">
        <v>145</v>
      </c>
      <c r="H82" s="10" t="s">
        <v>584</v>
      </c>
      <c r="I82" s="10" t="s">
        <v>78</v>
      </c>
      <c r="J82" s="10" t="s">
        <v>79</v>
      </c>
      <c r="K82" s="10" t="s">
        <v>583</v>
      </c>
      <c r="L82" s="10" t="s">
        <v>105</v>
      </c>
      <c r="M82" s="12">
        <v>-32.700000000000003</v>
      </c>
      <c r="N82" s="10" t="s">
        <v>68</v>
      </c>
      <c r="O82" s="10" t="s">
        <v>147</v>
      </c>
      <c r="P82" s="10" t="s">
        <v>70</v>
      </c>
      <c r="Q82" s="12">
        <v>-1.23</v>
      </c>
      <c r="R82" s="10" t="s">
        <v>71</v>
      </c>
      <c r="S82" s="10" t="s">
        <v>0</v>
      </c>
      <c r="T82" s="10" t="s">
        <v>0</v>
      </c>
      <c r="U82" s="10" t="s">
        <v>83</v>
      </c>
    </row>
    <row r="83" spans="1:21" x14ac:dyDescent="0.25">
      <c r="A83" s="9" t="s">
        <v>18</v>
      </c>
      <c r="B83" s="9" t="s">
        <v>58</v>
      </c>
      <c r="C83" s="9" t="s">
        <v>108</v>
      </c>
      <c r="D83" s="9" t="s">
        <v>109</v>
      </c>
      <c r="E83" s="9" t="s">
        <v>582</v>
      </c>
      <c r="F83" s="9" t="s">
        <v>581</v>
      </c>
      <c r="G83" s="9" t="s">
        <v>63</v>
      </c>
      <c r="H83" s="9" t="s">
        <v>580</v>
      </c>
      <c r="I83" s="9" t="s">
        <v>78</v>
      </c>
      <c r="J83" s="9" t="s">
        <v>271</v>
      </c>
      <c r="K83" s="9" t="s">
        <v>579</v>
      </c>
      <c r="L83" s="9" t="s">
        <v>105</v>
      </c>
      <c r="M83" s="11">
        <v>181.68</v>
      </c>
      <c r="N83" s="9" t="s">
        <v>68</v>
      </c>
      <c r="O83" s="9" t="s">
        <v>578</v>
      </c>
      <c r="P83" s="9" t="s">
        <v>70</v>
      </c>
      <c r="Q83" s="11">
        <v>47.24</v>
      </c>
      <c r="R83" s="9" t="s">
        <v>71</v>
      </c>
      <c r="S83" s="9" t="s">
        <v>0</v>
      </c>
      <c r="T83" s="9" t="s">
        <v>0</v>
      </c>
      <c r="U83" s="9" t="s">
        <v>274</v>
      </c>
    </row>
    <row r="84" spans="1:21" x14ac:dyDescent="0.25">
      <c r="A84" s="10" t="s">
        <v>19</v>
      </c>
      <c r="B84" s="10" t="s">
        <v>58</v>
      </c>
      <c r="C84" s="10" t="s">
        <v>127</v>
      </c>
      <c r="D84" s="10" t="s">
        <v>128</v>
      </c>
      <c r="E84" s="10" t="s">
        <v>577</v>
      </c>
      <c r="F84" s="10" t="s">
        <v>576</v>
      </c>
      <c r="G84" s="10" t="s">
        <v>63</v>
      </c>
      <c r="H84" s="10" t="s">
        <v>575</v>
      </c>
      <c r="I84" s="10" t="s">
        <v>78</v>
      </c>
      <c r="J84" s="10" t="s">
        <v>66</v>
      </c>
      <c r="K84" s="10" t="s">
        <v>574</v>
      </c>
      <c r="L84" s="10" t="s">
        <v>178</v>
      </c>
      <c r="M84" s="12">
        <v>23.22</v>
      </c>
      <c r="N84" s="10" t="s">
        <v>68</v>
      </c>
      <c r="O84" s="10" t="s">
        <v>174</v>
      </c>
      <c r="P84" s="10" t="s">
        <v>70</v>
      </c>
      <c r="Q84" s="12">
        <v>22.06</v>
      </c>
      <c r="R84" s="10" t="s">
        <v>71</v>
      </c>
      <c r="S84" s="10" t="s">
        <v>0</v>
      </c>
      <c r="T84" s="10" t="s">
        <v>0</v>
      </c>
      <c r="U84" s="10" t="s">
        <v>72</v>
      </c>
    </row>
    <row r="85" spans="1:21" x14ac:dyDescent="0.25">
      <c r="A85" s="9" t="s">
        <v>19</v>
      </c>
      <c r="B85" s="9" t="s">
        <v>58</v>
      </c>
      <c r="C85" s="9" t="s">
        <v>127</v>
      </c>
      <c r="D85" s="9" t="s">
        <v>128</v>
      </c>
      <c r="E85" s="9" t="s">
        <v>572</v>
      </c>
      <c r="F85" s="9" t="s">
        <v>573</v>
      </c>
      <c r="G85" s="9" t="s">
        <v>63</v>
      </c>
      <c r="H85" s="9" t="s">
        <v>205</v>
      </c>
      <c r="I85" s="9" t="s">
        <v>78</v>
      </c>
      <c r="J85" s="9" t="s">
        <v>184</v>
      </c>
      <c r="K85" s="9" t="s">
        <v>205</v>
      </c>
      <c r="L85" s="9" t="s">
        <v>135</v>
      </c>
      <c r="M85" s="11">
        <v>19.7</v>
      </c>
      <c r="N85" s="9" t="s">
        <v>68</v>
      </c>
      <c r="O85" s="9" t="s">
        <v>186</v>
      </c>
      <c r="P85" s="9" t="s">
        <v>70</v>
      </c>
      <c r="Q85" s="11">
        <v>11.82</v>
      </c>
      <c r="R85" s="9" t="s">
        <v>71</v>
      </c>
      <c r="S85" s="9" t="s">
        <v>0</v>
      </c>
      <c r="T85" s="9" t="s">
        <v>0</v>
      </c>
      <c r="U85" s="9" t="s">
        <v>187</v>
      </c>
    </row>
    <row r="86" spans="1:21" x14ac:dyDescent="0.25">
      <c r="A86" s="10" t="s">
        <v>19</v>
      </c>
      <c r="B86" s="10" t="s">
        <v>58</v>
      </c>
      <c r="C86" s="10" t="s">
        <v>127</v>
      </c>
      <c r="D86" s="10" t="s">
        <v>128</v>
      </c>
      <c r="E86" s="10" t="s">
        <v>572</v>
      </c>
      <c r="F86" s="10" t="s">
        <v>573</v>
      </c>
      <c r="G86" s="10" t="s">
        <v>63</v>
      </c>
      <c r="H86" s="10" t="s">
        <v>205</v>
      </c>
      <c r="I86" s="10" t="s">
        <v>78</v>
      </c>
      <c r="J86" s="10" t="s">
        <v>184</v>
      </c>
      <c r="K86" s="10" t="s">
        <v>205</v>
      </c>
      <c r="L86" s="10" t="s">
        <v>135</v>
      </c>
      <c r="M86" s="12">
        <v>12.47</v>
      </c>
      <c r="N86" s="10" t="s">
        <v>68</v>
      </c>
      <c r="O86" s="10" t="s">
        <v>186</v>
      </c>
      <c r="P86" s="10" t="s">
        <v>70</v>
      </c>
      <c r="Q86" s="12">
        <v>7.48</v>
      </c>
      <c r="R86" s="10" t="s">
        <v>71</v>
      </c>
      <c r="S86" s="10" t="s">
        <v>0</v>
      </c>
      <c r="T86" s="10" t="s">
        <v>0</v>
      </c>
      <c r="U86" s="10" t="s">
        <v>187</v>
      </c>
    </row>
    <row r="87" spans="1:21" x14ac:dyDescent="0.25">
      <c r="A87" s="9" t="s">
        <v>19</v>
      </c>
      <c r="B87" s="9" t="s">
        <v>58</v>
      </c>
      <c r="C87" s="9" t="s">
        <v>127</v>
      </c>
      <c r="D87" s="9" t="s">
        <v>128</v>
      </c>
      <c r="E87" s="9" t="s">
        <v>572</v>
      </c>
      <c r="F87" s="9" t="s">
        <v>571</v>
      </c>
      <c r="G87" s="9" t="s">
        <v>63</v>
      </c>
      <c r="H87" s="9" t="s">
        <v>205</v>
      </c>
      <c r="I87" s="9" t="s">
        <v>78</v>
      </c>
      <c r="J87" s="9" t="s">
        <v>79</v>
      </c>
      <c r="K87" s="9" t="s">
        <v>205</v>
      </c>
      <c r="L87" s="9" t="s">
        <v>135</v>
      </c>
      <c r="M87" s="11">
        <v>22.42</v>
      </c>
      <c r="N87" s="9" t="s">
        <v>68</v>
      </c>
      <c r="O87" s="9" t="s">
        <v>106</v>
      </c>
      <c r="P87" s="9" t="s">
        <v>70</v>
      </c>
      <c r="Q87" s="11">
        <v>13</v>
      </c>
      <c r="R87" s="9" t="s">
        <v>71</v>
      </c>
      <c r="S87" s="9" t="s">
        <v>0</v>
      </c>
      <c r="T87" s="9" t="s">
        <v>0</v>
      </c>
      <c r="U87" s="9" t="s">
        <v>83</v>
      </c>
    </row>
    <row r="88" spans="1:21" x14ac:dyDescent="0.25">
      <c r="A88" s="10" t="s">
        <v>18</v>
      </c>
      <c r="B88" s="10" t="s">
        <v>58</v>
      </c>
      <c r="C88" s="10" t="s">
        <v>506</v>
      </c>
      <c r="D88" s="10" t="s">
        <v>505</v>
      </c>
      <c r="E88" s="10" t="s">
        <v>570</v>
      </c>
      <c r="F88" s="10" t="s">
        <v>569</v>
      </c>
      <c r="G88" s="10" t="s">
        <v>63</v>
      </c>
      <c r="H88" s="10" t="s">
        <v>120</v>
      </c>
      <c r="I88" s="10" t="s">
        <v>65</v>
      </c>
      <c r="J88" s="10" t="s">
        <v>271</v>
      </c>
      <c r="K88" s="10" t="s">
        <v>342</v>
      </c>
      <c r="L88" s="10" t="s">
        <v>178</v>
      </c>
      <c r="M88" s="12">
        <v>170.5</v>
      </c>
      <c r="N88" s="10" t="s">
        <v>68</v>
      </c>
      <c r="O88" s="10" t="s">
        <v>273</v>
      </c>
      <c r="P88" s="10" t="s">
        <v>70</v>
      </c>
      <c r="Q88" s="12">
        <v>42.63</v>
      </c>
      <c r="R88" s="10" t="s">
        <v>71</v>
      </c>
      <c r="S88" s="10" t="s">
        <v>0</v>
      </c>
      <c r="T88" s="10" t="s">
        <v>0</v>
      </c>
      <c r="U88" s="10" t="s">
        <v>274</v>
      </c>
    </row>
    <row r="89" spans="1:21" x14ac:dyDescent="0.25">
      <c r="A89" s="9" t="s">
        <v>19</v>
      </c>
      <c r="B89" s="9" t="s">
        <v>96</v>
      </c>
      <c r="C89" s="9" t="s">
        <v>73</v>
      </c>
      <c r="D89" s="9" t="s">
        <v>74</v>
      </c>
      <c r="E89" s="9" t="s">
        <v>170</v>
      </c>
      <c r="F89" s="9" t="s">
        <v>171</v>
      </c>
      <c r="G89" s="9" t="s">
        <v>63</v>
      </c>
      <c r="H89" s="9" t="s">
        <v>172</v>
      </c>
      <c r="I89" s="9" t="s">
        <v>78</v>
      </c>
      <c r="J89" s="9" t="s">
        <v>66</v>
      </c>
      <c r="K89" s="9" t="s">
        <v>172</v>
      </c>
      <c r="L89" s="9" t="s">
        <v>185</v>
      </c>
      <c r="M89" s="11">
        <v>-59.08</v>
      </c>
      <c r="N89" s="9" t="s">
        <v>68</v>
      </c>
      <c r="O89" s="9" t="s">
        <v>174</v>
      </c>
      <c r="P89" s="9" t="s">
        <v>70</v>
      </c>
      <c r="Q89" s="11">
        <v>-56.13</v>
      </c>
      <c r="R89" s="9" t="s">
        <v>71</v>
      </c>
      <c r="S89" s="9" t="s">
        <v>0</v>
      </c>
      <c r="T89" s="9" t="s">
        <v>0</v>
      </c>
      <c r="U89" s="9" t="s">
        <v>72</v>
      </c>
    </row>
    <row r="90" spans="1:21" x14ac:dyDescent="0.25">
      <c r="A90" s="10" t="s">
        <v>18</v>
      </c>
      <c r="B90" s="10" t="s">
        <v>58</v>
      </c>
      <c r="C90" s="10" t="s">
        <v>108</v>
      </c>
      <c r="D90" s="10" t="s">
        <v>109</v>
      </c>
      <c r="E90" s="10" t="s">
        <v>568</v>
      </c>
      <c r="F90" s="10" t="s">
        <v>567</v>
      </c>
      <c r="G90" s="10" t="s">
        <v>63</v>
      </c>
      <c r="H90" s="10" t="s">
        <v>507</v>
      </c>
      <c r="I90" s="10" t="s">
        <v>78</v>
      </c>
      <c r="J90" s="10" t="s">
        <v>289</v>
      </c>
      <c r="K90" s="10" t="s">
        <v>372</v>
      </c>
      <c r="L90" s="10" t="s">
        <v>178</v>
      </c>
      <c r="M90" s="12">
        <v>150.13</v>
      </c>
      <c r="N90" s="10" t="s">
        <v>68</v>
      </c>
      <c r="O90" s="10" t="s">
        <v>566</v>
      </c>
      <c r="P90" s="10" t="s">
        <v>70</v>
      </c>
      <c r="Q90" s="12">
        <v>46.54</v>
      </c>
      <c r="R90" s="10" t="s">
        <v>71</v>
      </c>
      <c r="S90" s="10" t="s">
        <v>0</v>
      </c>
      <c r="T90" s="10" t="s">
        <v>0</v>
      </c>
      <c r="U90" s="10" t="s">
        <v>292</v>
      </c>
    </row>
    <row r="91" spans="1:21" x14ac:dyDescent="0.25">
      <c r="A91" s="9" t="s">
        <v>19</v>
      </c>
      <c r="B91" s="9" t="s">
        <v>96</v>
      </c>
      <c r="C91" s="9" t="s">
        <v>127</v>
      </c>
      <c r="D91" s="9" t="s">
        <v>128</v>
      </c>
      <c r="E91" s="9" t="s">
        <v>565</v>
      </c>
      <c r="F91" s="9" t="s">
        <v>564</v>
      </c>
      <c r="G91" s="9" t="s">
        <v>145</v>
      </c>
      <c r="H91" s="9" t="s">
        <v>563</v>
      </c>
      <c r="I91" s="9" t="s">
        <v>78</v>
      </c>
      <c r="J91" s="9" t="s">
        <v>79</v>
      </c>
      <c r="K91" s="9" t="s">
        <v>562</v>
      </c>
      <c r="L91" s="9" t="s">
        <v>105</v>
      </c>
      <c r="M91" s="11">
        <v>-55.26</v>
      </c>
      <c r="N91" s="9" t="s">
        <v>68</v>
      </c>
      <c r="O91" s="9" t="s">
        <v>156</v>
      </c>
      <c r="P91" s="9" t="s">
        <v>70</v>
      </c>
      <c r="Q91" s="11">
        <v>-1.93</v>
      </c>
      <c r="R91" s="9" t="s">
        <v>71</v>
      </c>
      <c r="S91" s="9" t="s">
        <v>0</v>
      </c>
      <c r="T91" s="9" t="s">
        <v>0</v>
      </c>
      <c r="U91" s="9" t="s">
        <v>83</v>
      </c>
    </row>
    <row r="92" spans="1:21" x14ac:dyDescent="0.25">
      <c r="A92" s="10" t="s">
        <v>19</v>
      </c>
      <c r="B92" s="10" t="s">
        <v>58</v>
      </c>
      <c r="C92" s="10" t="s">
        <v>59</v>
      </c>
      <c r="D92" s="10" t="s">
        <v>60</v>
      </c>
      <c r="E92" s="10" t="s">
        <v>175</v>
      </c>
      <c r="F92" s="10" t="s">
        <v>176</v>
      </c>
      <c r="G92" s="10" t="s">
        <v>134</v>
      </c>
      <c r="H92" s="10" t="s">
        <v>177</v>
      </c>
      <c r="I92" s="10" t="s">
        <v>65</v>
      </c>
      <c r="J92" s="10" t="s">
        <v>91</v>
      </c>
      <c r="K92" s="10" t="s">
        <v>178</v>
      </c>
      <c r="L92" s="10" t="s">
        <v>178</v>
      </c>
      <c r="M92" s="12">
        <v>26.5</v>
      </c>
      <c r="N92" s="10" t="s">
        <v>68</v>
      </c>
      <c r="O92" s="10" t="s">
        <v>94</v>
      </c>
      <c r="P92" s="10" t="s">
        <v>70</v>
      </c>
      <c r="Q92" s="12">
        <v>17.23</v>
      </c>
      <c r="R92" s="10" t="s">
        <v>71</v>
      </c>
      <c r="S92" s="10" t="s">
        <v>0</v>
      </c>
      <c r="T92" s="10" t="s">
        <v>0</v>
      </c>
      <c r="U92" s="10" t="s">
        <v>95</v>
      </c>
    </row>
    <row r="93" spans="1:21" x14ac:dyDescent="0.25">
      <c r="A93" s="9" t="s">
        <v>19</v>
      </c>
      <c r="B93" s="9" t="s">
        <v>58</v>
      </c>
      <c r="C93" s="9" t="s">
        <v>59</v>
      </c>
      <c r="D93" s="9" t="s">
        <v>60</v>
      </c>
      <c r="E93" s="9" t="s">
        <v>561</v>
      </c>
      <c r="F93" s="9" t="s">
        <v>560</v>
      </c>
      <c r="G93" s="9" t="s">
        <v>134</v>
      </c>
      <c r="H93" s="9" t="s">
        <v>67</v>
      </c>
      <c r="I93" s="9" t="s">
        <v>65</v>
      </c>
      <c r="J93" s="9" t="s">
        <v>91</v>
      </c>
      <c r="K93" s="9" t="s">
        <v>559</v>
      </c>
      <c r="L93" s="9" t="s">
        <v>559</v>
      </c>
      <c r="M93" s="11">
        <v>14.17</v>
      </c>
      <c r="N93" s="9" t="s">
        <v>68</v>
      </c>
      <c r="O93" s="9" t="s">
        <v>94</v>
      </c>
      <c r="P93" s="9" t="s">
        <v>70</v>
      </c>
      <c r="Q93" s="11">
        <v>9.2100000000000009</v>
      </c>
      <c r="R93" s="9" t="s">
        <v>71</v>
      </c>
      <c r="S93" s="9" t="s">
        <v>0</v>
      </c>
      <c r="T93" s="9" t="s">
        <v>0</v>
      </c>
      <c r="U93" s="9" t="s">
        <v>95</v>
      </c>
    </row>
    <row r="94" spans="1:21" x14ac:dyDescent="0.25">
      <c r="A94" s="10" t="s">
        <v>19</v>
      </c>
      <c r="B94" s="10" t="s">
        <v>58</v>
      </c>
      <c r="C94" s="10" t="s">
        <v>59</v>
      </c>
      <c r="D94" s="10" t="s">
        <v>60</v>
      </c>
      <c r="E94" s="10" t="s">
        <v>561</v>
      </c>
      <c r="F94" s="10" t="s">
        <v>560</v>
      </c>
      <c r="G94" s="10" t="s">
        <v>134</v>
      </c>
      <c r="H94" s="10" t="s">
        <v>67</v>
      </c>
      <c r="I94" s="10" t="s">
        <v>65</v>
      </c>
      <c r="J94" s="10" t="s">
        <v>91</v>
      </c>
      <c r="K94" s="10" t="s">
        <v>559</v>
      </c>
      <c r="L94" s="10" t="s">
        <v>559</v>
      </c>
      <c r="M94" s="12">
        <v>39.33</v>
      </c>
      <c r="N94" s="10" t="s">
        <v>68</v>
      </c>
      <c r="O94" s="10" t="s">
        <v>94</v>
      </c>
      <c r="P94" s="10" t="s">
        <v>70</v>
      </c>
      <c r="Q94" s="12">
        <v>25.56</v>
      </c>
      <c r="R94" s="10" t="s">
        <v>71</v>
      </c>
      <c r="S94" s="10" t="s">
        <v>0</v>
      </c>
      <c r="T94" s="10" t="s">
        <v>0</v>
      </c>
      <c r="U94" s="10" t="s">
        <v>95</v>
      </c>
    </row>
    <row r="95" spans="1:21" x14ac:dyDescent="0.25">
      <c r="A95" s="9" t="s">
        <v>19</v>
      </c>
      <c r="B95" s="9" t="s">
        <v>58</v>
      </c>
      <c r="C95" s="9" t="s">
        <v>108</v>
      </c>
      <c r="D95" s="9" t="s">
        <v>109</v>
      </c>
      <c r="E95" s="9" t="s">
        <v>558</v>
      </c>
      <c r="F95" s="9" t="s">
        <v>557</v>
      </c>
      <c r="G95" s="9" t="s">
        <v>134</v>
      </c>
      <c r="H95" s="9" t="s">
        <v>556</v>
      </c>
      <c r="I95" s="9" t="s">
        <v>78</v>
      </c>
      <c r="J95" s="9" t="s">
        <v>79</v>
      </c>
      <c r="K95" s="9" t="s">
        <v>135</v>
      </c>
      <c r="L95" s="9" t="s">
        <v>135</v>
      </c>
      <c r="M95" s="11">
        <v>27.63</v>
      </c>
      <c r="N95" s="9" t="s">
        <v>68</v>
      </c>
      <c r="O95" s="9" t="s">
        <v>106</v>
      </c>
      <c r="P95" s="9" t="s">
        <v>70</v>
      </c>
      <c r="Q95" s="11">
        <v>16.03</v>
      </c>
      <c r="R95" s="9" t="s">
        <v>71</v>
      </c>
      <c r="S95" s="9" t="s">
        <v>0</v>
      </c>
      <c r="T95" s="9" t="s">
        <v>0</v>
      </c>
      <c r="U95" s="9" t="s">
        <v>83</v>
      </c>
    </row>
    <row r="96" spans="1:21" x14ac:dyDescent="0.25">
      <c r="A96" s="10" t="s">
        <v>19</v>
      </c>
      <c r="B96" s="10" t="s">
        <v>96</v>
      </c>
      <c r="C96" s="10" t="s">
        <v>127</v>
      </c>
      <c r="D96" s="10" t="s">
        <v>128</v>
      </c>
      <c r="E96" s="10" t="s">
        <v>555</v>
      </c>
      <c r="F96" s="10" t="s">
        <v>554</v>
      </c>
      <c r="G96" s="10" t="s">
        <v>145</v>
      </c>
      <c r="H96" s="10" t="s">
        <v>553</v>
      </c>
      <c r="I96" s="10" t="s">
        <v>78</v>
      </c>
      <c r="J96" s="10" t="s">
        <v>79</v>
      </c>
      <c r="K96" s="10" t="s">
        <v>552</v>
      </c>
      <c r="L96" s="10" t="s">
        <v>178</v>
      </c>
      <c r="M96" s="12">
        <v>-27.63</v>
      </c>
      <c r="N96" s="10" t="s">
        <v>68</v>
      </c>
      <c r="O96" s="10" t="s">
        <v>156</v>
      </c>
      <c r="P96" s="10" t="s">
        <v>70</v>
      </c>
      <c r="Q96" s="12">
        <v>-0.97</v>
      </c>
      <c r="R96" s="10" t="s">
        <v>71</v>
      </c>
      <c r="S96" s="10" t="s">
        <v>0</v>
      </c>
      <c r="T96" s="10" t="s">
        <v>0</v>
      </c>
      <c r="U96" s="10" t="s">
        <v>83</v>
      </c>
    </row>
    <row r="97" spans="1:21" x14ac:dyDescent="0.25">
      <c r="A97" s="9" t="s">
        <v>19</v>
      </c>
      <c r="B97" s="9" t="s">
        <v>58</v>
      </c>
      <c r="C97" s="9" t="s">
        <v>161</v>
      </c>
      <c r="D97" s="9" t="s">
        <v>162</v>
      </c>
      <c r="E97" s="9" t="s">
        <v>551</v>
      </c>
      <c r="F97" s="9" t="s">
        <v>550</v>
      </c>
      <c r="G97" s="9" t="s">
        <v>63</v>
      </c>
      <c r="H97" s="9" t="s">
        <v>227</v>
      </c>
      <c r="I97" s="9" t="s">
        <v>65</v>
      </c>
      <c r="J97" s="9" t="s">
        <v>549</v>
      </c>
      <c r="K97" s="9" t="s">
        <v>450</v>
      </c>
      <c r="L97" s="9" t="s">
        <v>135</v>
      </c>
      <c r="M97" s="11">
        <v>117.17</v>
      </c>
      <c r="N97" s="9" t="s">
        <v>68</v>
      </c>
      <c r="O97" s="9" t="s">
        <v>82</v>
      </c>
      <c r="P97" s="9" t="s">
        <v>70</v>
      </c>
      <c r="Q97" s="11">
        <v>66.790000000000006</v>
      </c>
      <c r="R97" s="9" t="s">
        <v>71</v>
      </c>
      <c r="S97" s="9" t="s">
        <v>0</v>
      </c>
      <c r="T97" s="9" t="s">
        <v>0</v>
      </c>
      <c r="U97" s="9" t="s">
        <v>548</v>
      </c>
    </row>
    <row r="98" spans="1:21" x14ac:dyDescent="0.25">
      <c r="A98" s="10" t="s">
        <v>19</v>
      </c>
      <c r="B98" s="10" t="s">
        <v>96</v>
      </c>
      <c r="C98" s="10" t="s">
        <v>223</v>
      </c>
      <c r="D98" s="10" t="s">
        <v>224</v>
      </c>
      <c r="E98" s="10" t="s">
        <v>225</v>
      </c>
      <c r="F98" s="10" t="s">
        <v>226</v>
      </c>
      <c r="G98" s="10" t="s">
        <v>63</v>
      </c>
      <c r="H98" s="10" t="s">
        <v>227</v>
      </c>
      <c r="I98" s="10" t="s">
        <v>197</v>
      </c>
      <c r="J98" s="10" t="s">
        <v>228</v>
      </c>
      <c r="K98" s="10" t="s">
        <v>229</v>
      </c>
      <c r="L98" s="10" t="s">
        <v>105</v>
      </c>
      <c r="M98" s="12">
        <v>-64.77</v>
      </c>
      <c r="N98" s="10" t="s">
        <v>68</v>
      </c>
      <c r="O98" s="10" t="s">
        <v>82</v>
      </c>
      <c r="P98" s="10" t="s">
        <v>70</v>
      </c>
      <c r="Q98" s="12">
        <v>-36.92</v>
      </c>
      <c r="R98" s="10" t="s">
        <v>71</v>
      </c>
      <c r="S98" s="10" t="s">
        <v>0</v>
      </c>
      <c r="T98" s="10" t="s">
        <v>0</v>
      </c>
      <c r="U98" s="10" t="s">
        <v>230</v>
      </c>
    </row>
    <row r="99" spans="1:21" x14ac:dyDescent="0.25">
      <c r="A99" s="9" t="s">
        <v>19</v>
      </c>
      <c r="B99" s="9" t="s">
        <v>58</v>
      </c>
      <c r="C99" s="9" t="s">
        <v>266</v>
      </c>
      <c r="D99" s="9" t="s">
        <v>267</v>
      </c>
      <c r="E99" s="9" t="s">
        <v>457</v>
      </c>
      <c r="F99" s="9" t="s">
        <v>534</v>
      </c>
      <c r="G99" s="9" t="s">
        <v>63</v>
      </c>
      <c r="H99" s="9" t="s">
        <v>455</v>
      </c>
      <c r="I99" s="9" t="s">
        <v>197</v>
      </c>
      <c r="J99" s="9" t="s">
        <v>91</v>
      </c>
      <c r="K99" s="9" t="s">
        <v>229</v>
      </c>
      <c r="L99" s="9" t="s">
        <v>178</v>
      </c>
      <c r="M99" s="11">
        <v>28.99</v>
      </c>
      <c r="N99" s="9" t="s">
        <v>68</v>
      </c>
      <c r="O99" s="9" t="s">
        <v>356</v>
      </c>
      <c r="P99" s="9" t="s">
        <v>70</v>
      </c>
      <c r="Q99" s="11">
        <v>18.12</v>
      </c>
      <c r="R99" s="9" t="s">
        <v>71</v>
      </c>
      <c r="S99" s="9" t="s">
        <v>0</v>
      </c>
      <c r="T99" s="9" t="s">
        <v>0</v>
      </c>
      <c r="U99" s="9" t="s">
        <v>95</v>
      </c>
    </row>
    <row r="100" spans="1:21" x14ac:dyDescent="0.25">
      <c r="A100" s="10" t="s">
        <v>19</v>
      </c>
      <c r="B100" s="10" t="s">
        <v>58</v>
      </c>
      <c r="C100" s="10" t="s">
        <v>161</v>
      </c>
      <c r="D100" s="10" t="s">
        <v>162</v>
      </c>
      <c r="E100" s="10" t="s">
        <v>547</v>
      </c>
      <c r="F100" s="10" t="s">
        <v>546</v>
      </c>
      <c r="G100" s="10" t="s">
        <v>63</v>
      </c>
      <c r="H100" s="10" t="s">
        <v>545</v>
      </c>
      <c r="I100" s="10" t="s">
        <v>65</v>
      </c>
      <c r="J100" s="10" t="s">
        <v>66</v>
      </c>
      <c r="K100" s="10" t="s">
        <v>545</v>
      </c>
      <c r="L100" s="10" t="s">
        <v>7</v>
      </c>
      <c r="M100" s="12">
        <v>150.86000000000001</v>
      </c>
      <c r="N100" s="10" t="s">
        <v>68</v>
      </c>
      <c r="O100" s="10" t="s">
        <v>142</v>
      </c>
      <c r="P100" s="10" t="s">
        <v>70</v>
      </c>
      <c r="Q100" s="12">
        <v>158.4</v>
      </c>
      <c r="R100" s="10" t="s">
        <v>71</v>
      </c>
      <c r="S100" s="10" t="s">
        <v>0</v>
      </c>
      <c r="T100" s="10" t="s">
        <v>0</v>
      </c>
      <c r="U100" s="10" t="s">
        <v>72</v>
      </c>
    </row>
    <row r="101" spans="1:21" x14ac:dyDescent="0.25">
      <c r="A101" s="9" t="s">
        <v>19</v>
      </c>
      <c r="B101" s="9" t="s">
        <v>58</v>
      </c>
      <c r="C101" s="9" t="s">
        <v>59</v>
      </c>
      <c r="D101" s="9" t="s">
        <v>60</v>
      </c>
      <c r="E101" s="9" t="s">
        <v>544</v>
      </c>
      <c r="F101" s="9" t="s">
        <v>543</v>
      </c>
      <c r="G101" s="9" t="s">
        <v>63</v>
      </c>
      <c r="H101" s="9" t="s">
        <v>542</v>
      </c>
      <c r="I101" s="9" t="s">
        <v>541</v>
      </c>
      <c r="J101" s="9" t="s">
        <v>406</v>
      </c>
      <c r="K101" s="9" t="s">
        <v>540</v>
      </c>
      <c r="L101" s="9" t="s">
        <v>67</v>
      </c>
      <c r="M101" s="11">
        <v>3.67</v>
      </c>
      <c r="N101" s="9" t="s">
        <v>68</v>
      </c>
      <c r="O101" s="9" t="s">
        <v>94</v>
      </c>
      <c r="P101" s="9" t="s">
        <v>70</v>
      </c>
      <c r="Q101" s="11">
        <v>2.39</v>
      </c>
      <c r="R101" s="9" t="s">
        <v>71</v>
      </c>
      <c r="S101" s="9" t="s">
        <v>0</v>
      </c>
      <c r="T101" s="9" t="s">
        <v>0</v>
      </c>
      <c r="U101" s="9" t="s">
        <v>405</v>
      </c>
    </row>
    <row r="102" spans="1:21" x14ac:dyDescent="0.25">
      <c r="A102" s="10" t="s">
        <v>19</v>
      </c>
      <c r="B102" s="10" t="s">
        <v>58</v>
      </c>
      <c r="C102" s="10" t="s">
        <v>59</v>
      </c>
      <c r="D102" s="10" t="s">
        <v>60</v>
      </c>
      <c r="E102" s="10" t="s">
        <v>544</v>
      </c>
      <c r="F102" s="10" t="s">
        <v>543</v>
      </c>
      <c r="G102" s="10" t="s">
        <v>63</v>
      </c>
      <c r="H102" s="10" t="s">
        <v>542</v>
      </c>
      <c r="I102" s="10" t="s">
        <v>541</v>
      </c>
      <c r="J102" s="10" t="s">
        <v>406</v>
      </c>
      <c r="K102" s="10" t="s">
        <v>540</v>
      </c>
      <c r="L102" s="10" t="s">
        <v>67</v>
      </c>
      <c r="M102" s="12">
        <v>93.49</v>
      </c>
      <c r="N102" s="10" t="s">
        <v>68</v>
      </c>
      <c r="O102" s="10" t="s">
        <v>94</v>
      </c>
      <c r="P102" s="10" t="s">
        <v>70</v>
      </c>
      <c r="Q102" s="12">
        <v>60.77</v>
      </c>
      <c r="R102" s="10" t="s">
        <v>71</v>
      </c>
      <c r="S102" s="10" t="s">
        <v>0</v>
      </c>
      <c r="T102" s="10" t="s">
        <v>0</v>
      </c>
      <c r="U102" s="10" t="s">
        <v>405</v>
      </c>
    </row>
    <row r="103" spans="1:21" x14ac:dyDescent="0.25">
      <c r="A103" s="9" t="s">
        <v>19</v>
      </c>
      <c r="B103" s="9" t="s">
        <v>58</v>
      </c>
      <c r="C103" s="9" t="s">
        <v>539</v>
      </c>
      <c r="D103" s="9" t="s">
        <v>538</v>
      </c>
      <c r="E103" s="9" t="s">
        <v>537</v>
      </c>
      <c r="F103" s="9" t="s">
        <v>536</v>
      </c>
      <c r="G103" s="9" t="s">
        <v>145</v>
      </c>
      <c r="H103" s="9" t="s">
        <v>535</v>
      </c>
      <c r="I103" s="9" t="s">
        <v>78</v>
      </c>
      <c r="J103" s="9" t="s">
        <v>79</v>
      </c>
      <c r="K103" s="9" t="s">
        <v>535</v>
      </c>
      <c r="L103" s="9" t="s">
        <v>67</v>
      </c>
      <c r="M103" s="11">
        <v>64.260000000000005</v>
      </c>
      <c r="N103" s="9" t="s">
        <v>68</v>
      </c>
      <c r="O103" s="9" t="s">
        <v>156</v>
      </c>
      <c r="P103" s="9" t="s">
        <v>70</v>
      </c>
      <c r="Q103" s="11">
        <v>2.25</v>
      </c>
      <c r="R103" s="9" t="s">
        <v>71</v>
      </c>
      <c r="S103" s="9" t="s">
        <v>0</v>
      </c>
      <c r="T103" s="9" t="s">
        <v>0</v>
      </c>
      <c r="U103" s="9" t="s">
        <v>83</v>
      </c>
    </row>
    <row r="104" spans="1:21" x14ac:dyDescent="0.25">
      <c r="A104" s="10" t="s">
        <v>19</v>
      </c>
      <c r="B104" s="10" t="s">
        <v>58</v>
      </c>
      <c r="C104" s="10" t="s">
        <v>266</v>
      </c>
      <c r="D104" s="10" t="s">
        <v>267</v>
      </c>
      <c r="E104" s="10" t="s">
        <v>457</v>
      </c>
      <c r="F104" s="10" t="s">
        <v>534</v>
      </c>
      <c r="G104" s="10" t="s">
        <v>63</v>
      </c>
      <c r="H104" s="10" t="s">
        <v>455</v>
      </c>
      <c r="I104" s="10" t="s">
        <v>197</v>
      </c>
      <c r="J104" s="10" t="s">
        <v>91</v>
      </c>
      <c r="K104" s="10" t="s">
        <v>229</v>
      </c>
      <c r="L104" s="10" t="s">
        <v>178</v>
      </c>
      <c r="M104" s="12">
        <v>5.25</v>
      </c>
      <c r="N104" s="10" t="s">
        <v>68</v>
      </c>
      <c r="O104" s="10" t="s">
        <v>356</v>
      </c>
      <c r="P104" s="10" t="s">
        <v>70</v>
      </c>
      <c r="Q104" s="12">
        <v>3.28</v>
      </c>
      <c r="R104" s="10" t="s">
        <v>71</v>
      </c>
      <c r="S104" s="10" t="s">
        <v>0</v>
      </c>
      <c r="T104" s="10" t="s">
        <v>0</v>
      </c>
      <c r="U104" s="10" t="s">
        <v>95</v>
      </c>
    </row>
    <row r="105" spans="1:21" x14ac:dyDescent="0.25">
      <c r="A105" s="9" t="s">
        <v>19</v>
      </c>
      <c r="B105" s="9" t="s">
        <v>58</v>
      </c>
      <c r="C105" s="9" t="s">
        <v>266</v>
      </c>
      <c r="D105" s="9" t="s">
        <v>267</v>
      </c>
      <c r="E105" s="9" t="s">
        <v>457</v>
      </c>
      <c r="F105" s="9" t="s">
        <v>534</v>
      </c>
      <c r="G105" s="9" t="s">
        <v>63</v>
      </c>
      <c r="H105" s="9" t="s">
        <v>455</v>
      </c>
      <c r="I105" s="9" t="s">
        <v>197</v>
      </c>
      <c r="J105" s="9" t="s">
        <v>91</v>
      </c>
      <c r="K105" s="9" t="s">
        <v>229</v>
      </c>
      <c r="L105" s="9" t="s">
        <v>178</v>
      </c>
      <c r="M105" s="11">
        <v>3.3</v>
      </c>
      <c r="N105" s="9" t="s">
        <v>68</v>
      </c>
      <c r="O105" s="9" t="s">
        <v>356</v>
      </c>
      <c r="P105" s="9" t="s">
        <v>70</v>
      </c>
      <c r="Q105" s="11">
        <v>2.06</v>
      </c>
      <c r="R105" s="9" t="s">
        <v>71</v>
      </c>
      <c r="S105" s="9" t="s">
        <v>0</v>
      </c>
      <c r="T105" s="9" t="s">
        <v>0</v>
      </c>
      <c r="U105" s="9" t="s">
        <v>95</v>
      </c>
    </row>
    <row r="106" spans="1:21" x14ac:dyDescent="0.25">
      <c r="A106" s="10" t="s">
        <v>19</v>
      </c>
      <c r="B106" s="10" t="s">
        <v>58</v>
      </c>
      <c r="C106" s="10" t="s">
        <v>266</v>
      </c>
      <c r="D106" s="10" t="s">
        <v>267</v>
      </c>
      <c r="E106" s="10" t="s">
        <v>512</v>
      </c>
      <c r="F106" s="10" t="s">
        <v>533</v>
      </c>
      <c r="G106" s="10" t="s">
        <v>63</v>
      </c>
      <c r="H106" s="10" t="s">
        <v>227</v>
      </c>
      <c r="I106" s="10" t="s">
        <v>197</v>
      </c>
      <c r="J106" s="10" t="s">
        <v>125</v>
      </c>
      <c r="K106" s="10" t="s">
        <v>296</v>
      </c>
      <c r="L106" s="10" t="s">
        <v>81</v>
      </c>
      <c r="M106" s="12">
        <v>42.4</v>
      </c>
      <c r="N106" s="10" t="s">
        <v>68</v>
      </c>
      <c r="O106" s="10" t="s">
        <v>69</v>
      </c>
      <c r="P106" s="10" t="s">
        <v>70</v>
      </c>
      <c r="Q106" s="12">
        <v>42.4</v>
      </c>
      <c r="R106" s="10" t="s">
        <v>71</v>
      </c>
      <c r="S106" s="10" t="s">
        <v>0</v>
      </c>
      <c r="T106" s="10" t="s">
        <v>0</v>
      </c>
      <c r="U106" s="10" t="s">
        <v>126</v>
      </c>
    </row>
    <row r="107" spans="1:21" x14ac:dyDescent="0.25">
      <c r="A107" s="9" t="s">
        <v>18</v>
      </c>
      <c r="B107" s="9" t="s">
        <v>58</v>
      </c>
      <c r="C107" s="9" t="s">
        <v>532</v>
      </c>
      <c r="D107" s="9" t="s">
        <v>531</v>
      </c>
      <c r="E107" s="9" t="s">
        <v>530</v>
      </c>
      <c r="F107" s="9" t="s">
        <v>529</v>
      </c>
      <c r="G107" s="9" t="s">
        <v>63</v>
      </c>
      <c r="H107" s="9" t="s">
        <v>528</v>
      </c>
      <c r="I107" s="9" t="s">
        <v>78</v>
      </c>
      <c r="J107" s="9" t="s">
        <v>289</v>
      </c>
      <c r="K107" s="9" t="s">
        <v>104</v>
      </c>
      <c r="L107" s="9" t="s">
        <v>178</v>
      </c>
      <c r="M107" s="11">
        <v>176.1</v>
      </c>
      <c r="N107" s="9" t="s">
        <v>68</v>
      </c>
      <c r="O107" s="9" t="s">
        <v>527</v>
      </c>
      <c r="P107" s="9" t="s">
        <v>70</v>
      </c>
      <c r="Q107" s="11">
        <v>2.64</v>
      </c>
      <c r="R107" s="9" t="s">
        <v>71</v>
      </c>
      <c r="S107" s="9" t="s">
        <v>0</v>
      </c>
      <c r="T107" s="9" t="s">
        <v>0</v>
      </c>
      <c r="U107" s="9" t="s">
        <v>292</v>
      </c>
    </row>
    <row r="108" spans="1:21" x14ac:dyDescent="0.25">
      <c r="A108" s="10" t="s">
        <v>19</v>
      </c>
      <c r="B108" s="10" t="s">
        <v>58</v>
      </c>
      <c r="C108" s="10" t="s">
        <v>73</v>
      </c>
      <c r="D108" s="10" t="s">
        <v>74</v>
      </c>
      <c r="E108" s="10" t="s">
        <v>487</v>
      </c>
      <c r="F108" s="10" t="s">
        <v>486</v>
      </c>
      <c r="G108" s="10" t="s">
        <v>63</v>
      </c>
      <c r="H108" s="10" t="s">
        <v>385</v>
      </c>
      <c r="I108" s="10" t="s">
        <v>78</v>
      </c>
      <c r="J108" s="10" t="s">
        <v>184</v>
      </c>
      <c r="K108" s="10" t="s">
        <v>120</v>
      </c>
      <c r="L108" s="10" t="s">
        <v>67</v>
      </c>
      <c r="M108" s="12">
        <v>21.55</v>
      </c>
      <c r="N108" s="10" t="s">
        <v>68</v>
      </c>
      <c r="O108" s="10" t="s">
        <v>106</v>
      </c>
      <c r="P108" s="10" t="s">
        <v>70</v>
      </c>
      <c r="Q108" s="12">
        <v>12.5</v>
      </c>
      <c r="R108" s="10" t="s">
        <v>71</v>
      </c>
      <c r="S108" s="10" t="s">
        <v>0</v>
      </c>
      <c r="T108" s="10" t="s">
        <v>0</v>
      </c>
      <c r="U108" s="10" t="s">
        <v>187</v>
      </c>
    </row>
    <row r="109" spans="1:21" x14ac:dyDescent="0.25">
      <c r="A109" s="9" t="s">
        <v>19</v>
      </c>
      <c r="B109" s="9" t="s">
        <v>58</v>
      </c>
      <c r="C109" s="9" t="s">
        <v>73</v>
      </c>
      <c r="D109" s="9" t="s">
        <v>74</v>
      </c>
      <c r="E109" s="9" t="s">
        <v>501</v>
      </c>
      <c r="F109" s="9" t="s">
        <v>526</v>
      </c>
      <c r="G109" s="9" t="s">
        <v>63</v>
      </c>
      <c r="H109" s="9" t="s">
        <v>385</v>
      </c>
      <c r="I109" s="9" t="s">
        <v>78</v>
      </c>
      <c r="J109" s="9" t="s">
        <v>282</v>
      </c>
      <c r="K109" s="9" t="s">
        <v>120</v>
      </c>
      <c r="L109" s="9" t="s">
        <v>67</v>
      </c>
      <c r="M109" s="11">
        <v>170.24</v>
      </c>
      <c r="N109" s="9" t="s">
        <v>68</v>
      </c>
      <c r="O109" s="9" t="s">
        <v>86</v>
      </c>
      <c r="P109" s="9" t="s">
        <v>70</v>
      </c>
      <c r="Q109" s="11">
        <v>154.91999999999999</v>
      </c>
      <c r="R109" s="9" t="s">
        <v>71</v>
      </c>
      <c r="S109" s="9" t="s">
        <v>0</v>
      </c>
      <c r="T109" s="9" t="s">
        <v>0</v>
      </c>
      <c r="U109" s="9" t="s">
        <v>283</v>
      </c>
    </row>
    <row r="110" spans="1:21" x14ac:dyDescent="0.25">
      <c r="A110" s="10" t="s">
        <v>19</v>
      </c>
      <c r="B110" s="10" t="s">
        <v>58</v>
      </c>
      <c r="C110" s="10" t="s">
        <v>127</v>
      </c>
      <c r="D110" s="10" t="s">
        <v>128</v>
      </c>
      <c r="E110" s="10" t="s">
        <v>525</v>
      </c>
      <c r="F110" s="10" t="s">
        <v>524</v>
      </c>
      <c r="G110" s="10" t="s">
        <v>145</v>
      </c>
      <c r="H110" s="10" t="s">
        <v>393</v>
      </c>
      <c r="I110" s="10" t="s">
        <v>78</v>
      </c>
      <c r="J110" s="10" t="s">
        <v>79</v>
      </c>
      <c r="K110" s="10" t="s">
        <v>393</v>
      </c>
      <c r="L110" s="10" t="s">
        <v>67</v>
      </c>
      <c r="M110" s="12">
        <v>27.63</v>
      </c>
      <c r="N110" s="10" t="s">
        <v>68</v>
      </c>
      <c r="O110" s="10" t="s">
        <v>156</v>
      </c>
      <c r="P110" s="10" t="s">
        <v>70</v>
      </c>
      <c r="Q110" s="12">
        <v>0.97</v>
      </c>
      <c r="R110" s="10" t="s">
        <v>71</v>
      </c>
      <c r="S110" s="10" t="s">
        <v>0</v>
      </c>
      <c r="T110" s="10" t="s">
        <v>0</v>
      </c>
      <c r="U110" s="10" t="s">
        <v>83</v>
      </c>
    </row>
    <row r="111" spans="1:21" x14ac:dyDescent="0.25">
      <c r="A111" s="9" t="s">
        <v>19</v>
      </c>
      <c r="B111" s="9" t="s">
        <v>58</v>
      </c>
      <c r="C111" s="9" t="s">
        <v>192</v>
      </c>
      <c r="D111" s="9" t="s">
        <v>193</v>
      </c>
      <c r="E111" s="9" t="s">
        <v>445</v>
      </c>
      <c r="F111" s="9" t="s">
        <v>523</v>
      </c>
      <c r="G111" s="9" t="s">
        <v>145</v>
      </c>
      <c r="H111" s="9" t="s">
        <v>443</v>
      </c>
      <c r="I111" s="9" t="s">
        <v>197</v>
      </c>
      <c r="J111" s="9" t="s">
        <v>66</v>
      </c>
      <c r="K111" s="9" t="s">
        <v>442</v>
      </c>
      <c r="L111" s="9" t="s">
        <v>178</v>
      </c>
      <c r="M111" s="11">
        <v>41.7</v>
      </c>
      <c r="N111" s="9" t="s">
        <v>68</v>
      </c>
      <c r="O111" s="9" t="s">
        <v>199</v>
      </c>
      <c r="P111" s="9" t="s">
        <v>70</v>
      </c>
      <c r="Q111" s="11">
        <v>3.13</v>
      </c>
      <c r="R111" s="9" t="s">
        <v>71</v>
      </c>
      <c r="S111" s="9" t="s">
        <v>0</v>
      </c>
      <c r="T111" s="9" t="s">
        <v>0</v>
      </c>
      <c r="U111" s="9" t="s">
        <v>72</v>
      </c>
    </row>
    <row r="112" spans="1:21" x14ac:dyDescent="0.25">
      <c r="A112" s="10" t="s">
        <v>19</v>
      </c>
      <c r="B112" s="10" t="s">
        <v>58</v>
      </c>
      <c r="C112" s="10" t="s">
        <v>161</v>
      </c>
      <c r="D112" s="10" t="s">
        <v>162</v>
      </c>
      <c r="E112" s="10" t="s">
        <v>522</v>
      </c>
      <c r="F112" s="10" t="s">
        <v>521</v>
      </c>
      <c r="G112" s="10" t="s">
        <v>63</v>
      </c>
      <c r="H112" s="10" t="s">
        <v>520</v>
      </c>
      <c r="I112" s="10" t="s">
        <v>65</v>
      </c>
      <c r="J112" s="10" t="s">
        <v>121</v>
      </c>
      <c r="K112" s="10" t="s">
        <v>342</v>
      </c>
      <c r="L112" s="10" t="s">
        <v>178</v>
      </c>
      <c r="M112" s="12">
        <v>98.66</v>
      </c>
      <c r="N112" s="10" t="s">
        <v>68</v>
      </c>
      <c r="O112" s="10" t="s">
        <v>82</v>
      </c>
      <c r="P112" s="10" t="s">
        <v>70</v>
      </c>
      <c r="Q112" s="12">
        <v>56.24</v>
      </c>
      <c r="R112" s="10" t="s">
        <v>71</v>
      </c>
      <c r="S112" s="10" t="s">
        <v>0</v>
      </c>
      <c r="T112" s="10" t="s">
        <v>0</v>
      </c>
      <c r="U112" s="10" t="s">
        <v>123</v>
      </c>
    </row>
    <row r="113" spans="1:21" x14ac:dyDescent="0.25">
      <c r="A113" s="9" t="s">
        <v>19</v>
      </c>
      <c r="B113" s="9" t="s">
        <v>58</v>
      </c>
      <c r="C113" s="9" t="s">
        <v>127</v>
      </c>
      <c r="D113" s="9" t="s">
        <v>128</v>
      </c>
      <c r="E113" s="9" t="s">
        <v>519</v>
      </c>
      <c r="F113" s="9" t="s">
        <v>518</v>
      </c>
      <c r="G113" s="9" t="s">
        <v>63</v>
      </c>
      <c r="H113" s="9" t="s">
        <v>517</v>
      </c>
      <c r="I113" s="9" t="s">
        <v>78</v>
      </c>
      <c r="J113" s="9" t="s">
        <v>66</v>
      </c>
      <c r="K113" s="9" t="s">
        <v>120</v>
      </c>
      <c r="L113" s="9" t="s">
        <v>67</v>
      </c>
      <c r="M113" s="11">
        <v>30.97</v>
      </c>
      <c r="N113" s="9" t="s">
        <v>68</v>
      </c>
      <c r="O113" s="9" t="s">
        <v>86</v>
      </c>
      <c r="P113" s="9" t="s">
        <v>70</v>
      </c>
      <c r="Q113" s="11">
        <v>28.18</v>
      </c>
      <c r="R113" s="9" t="s">
        <v>71</v>
      </c>
      <c r="S113" s="9" t="s">
        <v>0</v>
      </c>
      <c r="T113" s="9" t="s">
        <v>0</v>
      </c>
      <c r="U113" s="9" t="s">
        <v>72</v>
      </c>
    </row>
    <row r="114" spans="1:21" x14ac:dyDescent="0.25">
      <c r="A114" s="10" t="s">
        <v>19</v>
      </c>
      <c r="B114" s="10" t="s">
        <v>58</v>
      </c>
      <c r="C114" s="10" t="s">
        <v>127</v>
      </c>
      <c r="D114" s="10" t="s">
        <v>128</v>
      </c>
      <c r="E114" s="10" t="s">
        <v>516</v>
      </c>
      <c r="F114" s="10" t="s">
        <v>515</v>
      </c>
      <c r="G114" s="10" t="s">
        <v>63</v>
      </c>
      <c r="H114" s="10" t="s">
        <v>514</v>
      </c>
      <c r="I114" s="10" t="s">
        <v>78</v>
      </c>
      <c r="J114" s="10" t="s">
        <v>79</v>
      </c>
      <c r="K114" s="10" t="s">
        <v>514</v>
      </c>
      <c r="L114" s="10" t="s">
        <v>513</v>
      </c>
      <c r="M114" s="12">
        <v>32.130000000000003</v>
      </c>
      <c r="N114" s="10" t="s">
        <v>68</v>
      </c>
      <c r="O114" s="10" t="s">
        <v>82</v>
      </c>
      <c r="P114" s="10" t="s">
        <v>70</v>
      </c>
      <c r="Q114" s="12">
        <v>18.309999999999999</v>
      </c>
      <c r="R114" s="10" t="s">
        <v>71</v>
      </c>
      <c r="S114" s="10" t="s">
        <v>0</v>
      </c>
      <c r="T114" s="10" t="s">
        <v>0</v>
      </c>
      <c r="U114" s="10" t="s">
        <v>83</v>
      </c>
    </row>
    <row r="115" spans="1:21" x14ac:dyDescent="0.25">
      <c r="A115" s="9" t="s">
        <v>19</v>
      </c>
      <c r="B115" s="9" t="s">
        <v>58</v>
      </c>
      <c r="C115" s="9" t="s">
        <v>179</v>
      </c>
      <c r="D115" s="9" t="s">
        <v>180</v>
      </c>
      <c r="E115" s="9" t="s">
        <v>181</v>
      </c>
      <c r="F115" s="9" t="s">
        <v>182</v>
      </c>
      <c r="G115" s="9" t="s">
        <v>134</v>
      </c>
      <c r="H115" s="9" t="s">
        <v>183</v>
      </c>
      <c r="I115" s="9" t="s">
        <v>78</v>
      </c>
      <c r="J115" s="9" t="s">
        <v>184</v>
      </c>
      <c r="K115" s="9" t="s">
        <v>173</v>
      </c>
      <c r="L115" s="9" t="s">
        <v>173</v>
      </c>
      <c r="M115" s="11">
        <v>7.18</v>
      </c>
      <c r="N115" s="9" t="s">
        <v>68</v>
      </c>
      <c r="O115" s="9" t="s">
        <v>186</v>
      </c>
      <c r="P115" s="9" t="s">
        <v>70</v>
      </c>
      <c r="Q115" s="11">
        <v>4.3099999999999996</v>
      </c>
      <c r="R115" s="9" t="s">
        <v>115</v>
      </c>
      <c r="S115" s="9" t="s">
        <v>0</v>
      </c>
      <c r="T115" s="9" t="s">
        <v>0</v>
      </c>
      <c r="U115" s="9" t="s">
        <v>187</v>
      </c>
    </row>
    <row r="116" spans="1:21" x14ac:dyDescent="0.25">
      <c r="A116" s="10" t="s">
        <v>19</v>
      </c>
      <c r="B116" s="10" t="s">
        <v>58</v>
      </c>
      <c r="C116" s="10" t="s">
        <v>179</v>
      </c>
      <c r="D116" s="10" t="s">
        <v>180</v>
      </c>
      <c r="E116" s="10" t="s">
        <v>181</v>
      </c>
      <c r="F116" s="10" t="s">
        <v>182</v>
      </c>
      <c r="G116" s="10" t="s">
        <v>134</v>
      </c>
      <c r="H116" s="10" t="s">
        <v>183</v>
      </c>
      <c r="I116" s="10" t="s">
        <v>78</v>
      </c>
      <c r="J116" s="10" t="s">
        <v>184</v>
      </c>
      <c r="K116" s="10" t="s">
        <v>173</v>
      </c>
      <c r="L116" s="10" t="s">
        <v>173</v>
      </c>
      <c r="M116" s="12">
        <v>28.44</v>
      </c>
      <c r="N116" s="10" t="s">
        <v>68</v>
      </c>
      <c r="O116" s="10" t="s">
        <v>186</v>
      </c>
      <c r="P116" s="10" t="s">
        <v>70</v>
      </c>
      <c r="Q116" s="12">
        <v>17.059999999999999</v>
      </c>
      <c r="R116" s="10" t="s">
        <v>115</v>
      </c>
      <c r="S116" s="10" t="s">
        <v>0</v>
      </c>
      <c r="T116" s="10" t="s">
        <v>0</v>
      </c>
      <c r="U116" s="10" t="s">
        <v>187</v>
      </c>
    </row>
    <row r="117" spans="1:21" x14ac:dyDescent="0.25">
      <c r="A117" s="9" t="s">
        <v>19</v>
      </c>
      <c r="B117" s="9" t="s">
        <v>58</v>
      </c>
      <c r="C117" s="9" t="s">
        <v>179</v>
      </c>
      <c r="D117" s="9" t="s">
        <v>180</v>
      </c>
      <c r="E117" s="9" t="s">
        <v>181</v>
      </c>
      <c r="F117" s="9" t="s">
        <v>182</v>
      </c>
      <c r="G117" s="9" t="s">
        <v>134</v>
      </c>
      <c r="H117" s="9" t="s">
        <v>183</v>
      </c>
      <c r="I117" s="9" t="s">
        <v>78</v>
      </c>
      <c r="J117" s="9" t="s">
        <v>184</v>
      </c>
      <c r="K117" s="9" t="s">
        <v>173</v>
      </c>
      <c r="L117" s="9" t="s">
        <v>173</v>
      </c>
      <c r="M117" s="11">
        <v>11.83</v>
      </c>
      <c r="N117" s="9" t="s">
        <v>68</v>
      </c>
      <c r="O117" s="9" t="s">
        <v>186</v>
      </c>
      <c r="P117" s="9" t="s">
        <v>70</v>
      </c>
      <c r="Q117" s="11">
        <v>7.1</v>
      </c>
      <c r="R117" s="9" t="s">
        <v>115</v>
      </c>
      <c r="S117" s="9" t="s">
        <v>0</v>
      </c>
      <c r="T117" s="9" t="s">
        <v>0</v>
      </c>
      <c r="U117" s="9" t="s">
        <v>187</v>
      </c>
    </row>
    <row r="118" spans="1:21" x14ac:dyDescent="0.25">
      <c r="A118" s="10" t="s">
        <v>19</v>
      </c>
      <c r="B118" s="10" t="s">
        <v>58</v>
      </c>
      <c r="C118" s="10" t="s">
        <v>266</v>
      </c>
      <c r="D118" s="10" t="s">
        <v>267</v>
      </c>
      <c r="E118" s="10" t="s">
        <v>512</v>
      </c>
      <c r="F118" s="10" t="s">
        <v>511</v>
      </c>
      <c r="G118" s="10" t="s">
        <v>63</v>
      </c>
      <c r="H118" s="10" t="s">
        <v>227</v>
      </c>
      <c r="I118" s="10" t="s">
        <v>197</v>
      </c>
      <c r="J118" s="10" t="s">
        <v>66</v>
      </c>
      <c r="K118" s="10" t="s">
        <v>296</v>
      </c>
      <c r="L118" s="10" t="s">
        <v>81</v>
      </c>
      <c r="M118" s="12">
        <v>41.7</v>
      </c>
      <c r="N118" s="10" t="s">
        <v>68</v>
      </c>
      <c r="O118" s="10" t="s">
        <v>69</v>
      </c>
      <c r="P118" s="10" t="s">
        <v>70</v>
      </c>
      <c r="Q118" s="12">
        <v>41.7</v>
      </c>
      <c r="R118" s="10" t="s">
        <v>71</v>
      </c>
      <c r="S118" s="10" t="s">
        <v>0</v>
      </c>
      <c r="T118" s="10" t="s">
        <v>0</v>
      </c>
      <c r="U118" s="10" t="s">
        <v>72</v>
      </c>
    </row>
    <row r="119" spans="1:21" x14ac:dyDescent="0.25">
      <c r="A119" s="9" t="s">
        <v>19</v>
      </c>
      <c r="B119" s="9" t="s">
        <v>58</v>
      </c>
      <c r="C119" s="9" t="s">
        <v>266</v>
      </c>
      <c r="D119" s="9" t="s">
        <v>267</v>
      </c>
      <c r="E119" s="9" t="s">
        <v>510</v>
      </c>
      <c r="F119" s="9" t="s">
        <v>509</v>
      </c>
      <c r="G119" s="9" t="s">
        <v>63</v>
      </c>
      <c r="H119" s="9" t="s">
        <v>508</v>
      </c>
      <c r="I119" s="9" t="s">
        <v>197</v>
      </c>
      <c r="J119" s="9" t="s">
        <v>66</v>
      </c>
      <c r="K119" s="9" t="s">
        <v>507</v>
      </c>
      <c r="L119" s="9" t="s">
        <v>178</v>
      </c>
      <c r="M119" s="11">
        <v>41.7</v>
      </c>
      <c r="N119" s="9" t="s">
        <v>68</v>
      </c>
      <c r="O119" s="9" t="s">
        <v>142</v>
      </c>
      <c r="P119" s="9" t="s">
        <v>70</v>
      </c>
      <c r="Q119" s="11">
        <v>43.79</v>
      </c>
      <c r="R119" s="9" t="s">
        <v>71</v>
      </c>
      <c r="S119" s="9" t="s">
        <v>0</v>
      </c>
      <c r="T119" s="9" t="s">
        <v>0</v>
      </c>
      <c r="U119" s="9" t="s">
        <v>72</v>
      </c>
    </row>
    <row r="120" spans="1:21" x14ac:dyDescent="0.25">
      <c r="A120" s="10" t="s">
        <v>19</v>
      </c>
      <c r="B120" s="10" t="s">
        <v>58</v>
      </c>
      <c r="C120" s="10" t="s">
        <v>506</v>
      </c>
      <c r="D120" s="10" t="s">
        <v>505</v>
      </c>
      <c r="E120" s="10" t="s">
        <v>504</v>
      </c>
      <c r="F120" s="10" t="s">
        <v>503</v>
      </c>
      <c r="G120" s="10" t="s">
        <v>63</v>
      </c>
      <c r="H120" s="10" t="s">
        <v>401</v>
      </c>
      <c r="I120" s="10" t="s">
        <v>65</v>
      </c>
      <c r="J120" s="10" t="s">
        <v>121</v>
      </c>
      <c r="K120" s="10" t="s">
        <v>475</v>
      </c>
      <c r="L120" s="10" t="s">
        <v>67</v>
      </c>
      <c r="M120" s="12">
        <v>85</v>
      </c>
      <c r="N120" s="10" t="s">
        <v>68</v>
      </c>
      <c r="O120" s="10" t="s">
        <v>82</v>
      </c>
      <c r="P120" s="10" t="s">
        <v>70</v>
      </c>
      <c r="Q120" s="12">
        <v>48.45</v>
      </c>
      <c r="R120" s="10" t="s">
        <v>71</v>
      </c>
      <c r="S120" s="10" t="s">
        <v>0</v>
      </c>
      <c r="T120" s="10" t="s">
        <v>0</v>
      </c>
      <c r="U120" s="10" t="s">
        <v>123</v>
      </c>
    </row>
    <row r="121" spans="1:21" x14ac:dyDescent="0.25">
      <c r="A121" s="9" t="s">
        <v>19</v>
      </c>
      <c r="B121" s="9" t="s">
        <v>58</v>
      </c>
      <c r="C121" s="9" t="s">
        <v>73</v>
      </c>
      <c r="D121" s="9" t="s">
        <v>74</v>
      </c>
      <c r="E121" s="9" t="s">
        <v>501</v>
      </c>
      <c r="F121" s="9" t="s">
        <v>502</v>
      </c>
      <c r="G121" s="9" t="s">
        <v>63</v>
      </c>
      <c r="H121" s="9" t="s">
        <v>385</v>
      </c>
      <c r="I121" s="9" t="s">
        <v>78</v>
      </c>
      <c r="J121" s="9" t="s">
        <v>184</v>
      </c>
      <c r="K121" s="9" t="s">
        <v>120</v>
      </c>
      <c r="L121" s="9" t="s">
        <v>67</v>
      </c>
      <c r="M121" s="11">
        <v>59.25</v>
      </c>
      <c r="N121" s="9" t="s">
        <v>68</v>
      </c>
      <c r="O121" s="9" t="s">
        <v>106</v>
      </c>
      <c r="P121" s="9" t="s">
        <v>70</v>
      </c>
      <c r="Q121" s="11">
        <v>34.369999999999997</v>
      </c>
      <c r="R121" s="9" t="s">
        <v>71</v>
      </c>
      <c r="S121" s="9" t="s">
        <v>0</v>
      </c>
      <c r="T121" s="9" t="s">
        <v>0</v>
      </c>
      <c r="U121" s="9" t="s">
        <v>187</v>
      </c>
    </row>
    <row r="122" spans="1:21" x14ac:dyDescent="0.25">
      <c r="A122" s="10" t="s">
        <v>19</v>
      </c>
      <c r="B122" s="10" t="s">
        <v>58</v>
      </c>
      <c r="C122" s="10" t="s">
        <v>73</v>
      </c>
      <c r="D122" s="10" t="s">
        <v>74</v>
      </c>
      <c r="E122" s="10" t="s">
        <v>501</v>
      </c>
      <c r="F122" s="10" t="s">
        <v>502</v>
      </c>
      <c r="G122" s="10" t="s">
        <v>63</v>
      </c>
      <c r="H122" s="10" t="s">
        <v>385</v>
      </c>
      <c r="I122" s="10" t="s">
        <v>78</v>
      </c>
      <c r="J122" s="10" t="s">
        <v>184</v>
      </c>
      <c r="K122" s="10" t="s">
        <v>120</v>
      </c>
      <c r="L122" s="10" t="s">
        <v>67</v>
      </c>
      <c r="M122" s="12">
        <v>20.62</v>
      </c>
      <c r="N122" s="10" t="s">
        <v>68</v>
      </c>
      <c r="O122" s="10" t="s">
        <v>106</v>
      </c>
      <c r="P122" s="10" t="s">
        <v>70</v>
      </c>
      <c r="Q122" s="12">
        <v>11.96</v>
      </c>
      <c r="R122" s="10" t="s">
        <v>71</v>
      </c>
      <c r="S122" s="10" t="s">
        <v>0</v>
      </c>
      <c r="T122" s="10" t="s">
        <v>0</v>
      </c>
      <c r="U122" s="10" t="s">
        <v>187</v>
      </c>
    </row>
    <row r="123" spans="1:21" x14ac:dyDescent="0.25">
      <c r="A123" s="9" t="s">
        <v>19</v>
      </c>
      <c r="B123" s="9" t="s">
        <v>58</v>
      </c>
      <c r="C123" s="9" t="s">
        <v>73</v>
      </c>
      <c r="D123" s="9" t="s">
        <v>74</v>
      </c>
      <c r="E123" s="9" t="s">
        <v>501</v>
      </c>
      <c r="F123" s="9" t="s">
        <v>500</v>
      </c>
      <c r="G123" s="9" t="s">
        <v>63</v>
      </c>
      <c r="H123" s="9" t="s">
        <v>385</v>
      </c>
      <c r="I123" s="9" t="s">
        <v>78</v>
      </c>
      <c r="J123" s="9" t="s">
        <v>85</v>
      </c>
      <c r="K123" s="9" t="s">
        <v>120</v>
      </c>
      <c r="L123" s="9" t="s">
        <v>67</v>
      </c>
      <c r="M123" s="11">
        <v>156.49</v>
      </c>
      <c r="N123" s="9" t="s">
        <v>68</v>
      </c>
      <c r="O123" s="9" t="s">
        <v>86</v>
      </c>
      <c r="P123" s="9" t="s">
        <v>70</v>
      </c>
      <c r="Q123" s="11">
        <v>142.41</v>
      </c>
      <c r="R123" s="9" t="s">
        <v>71</v>
      </c>
      <c r="S123" s="9" t="s">
        <v>0</v>
      </c>
      <c r="T123" s="9" t="s">
        <v>0</v>
      </c>
      <c r="U123" s="9" t="s">
        <v>87</v>
      </c>
    </row>
    <row r="124" spans="1:21" x14ac:dyDescent="0.25">
      <c r="A124" s="10" t="s">
        <v>19</v>
      </c>
      <c r="B124" s="10" t="s">
        <v>58</v>
      </c>
      <c r="C124" s="10" t="s">
        <v>266</v>
      </c>
      <c r="D124" s="10" t="s">
        <v>267</v>
      </c>
      <c r="E124" s="10" t="s">
        <v>361</v>
      </c>
      <c r="F124" s="10" t="s">
        <v>360</v>
      </c>
      <c r="G124" s="10" t="s">
        <v>63</v>
      </c>
      <c r="H124" s="10" t="s">
        <v>359</v>
      </c>
      <c r="I124" s="10" t="s">
        <v>197</v>
      </c>
      <c r="J124" s="10" t="s">
        <v>91</v>
      </c>
      <c r="K124" s="10" t="s">
        <v>358</v>
      </c>
      <c r="L124" s="10" t="s">
        <v>357</v>
      </c>
      <c r="M124" s="12">
        <v>46.67</v>
      </c>
      <c r="N124" s="10" t="s">
        <v>68</v>
      </c>
      <c r="O124" s="10" t="s">
        <v>356</v>
      </c>
      <c r="P124" s="10" t="s">
        <v>70</v>
      </c>
      <c r="Q124" s="12">
        <v>29.17</v>
      </c>
      <c r="R124" s="10" t="s">
        <v>71</v>
      </c>
      <c r="S124" s="10" t="s">
        <v>0</v>
      </c>
      <c r="T124" s="10" t="s">
        <v>0</v>
      </c>
      <c r="U124" s="10" t="s">
        <v>95</v>
      </c>
    </row>
    <row r="125" spans="1:21" x14ac:dyDescent="0.25">
      <c r="A125" s="9" t="s">
        <v>19</v>
      </c>
      <c r="B125" s="9" t="s">
        <v>58</v>
      </c>
      <c r="C125" s="9" t="s">
        <v>59</v>
      </c>
      <c r="D125" s="9" t="s">
        <v>60</v>
      </c>
      <c r="E125" s="9" t="s">
        <v>499</v>
      </c>
      <c r="F125" s="9" t="s">
        <v>498</v>
      </c>
      <c r="G125" s="9" t="s">
        <v>63</v>
      </c>
      <c r="H125" s="9" t="s">
        <v>497</v>
      </c>
      <c r="I125" s="9" t="s">
        <v>65</v>
      </c>
      <c r="J125" s="9" t="s">
        <v>91</v>
      </c>
      <c r="K125" s="9" t="s">
        <v>496</v>
      </c>
      <c r="L125" s="9" t="s">
        <v>173</v>
      </c>
      <c r="M125" s="11">
        <v>11.04</v>
      </c>
      <c r="N125" s="9" t="s">
        <v>68</v>
      </c>
      <c r="O125" s="9" t="s">
        <v>94</v>
      </c>
      <c r="P125" s="9" t="s">
        <v>70</v>
      </c>
      <c r="Q125" s="11">
        <v>7.18</v>
      </c>
      <c r="R125" s="9" t="s">
        <v>115</v>
      </c>
      <c r="S125" s="9" t="s">
        <v>0</v>
      </c>
      <c r="T125" s="9" t="s">
        <v>0</v>
      </c>
      <c r="U125" s="9" t="s">
        <v>95</v>
      </c>
    </row>
    <row r="126" spans="1:21" x14ac:dyDescent="0.25">
      <c r="A126" s="10" t="s">
        <v>19</v>
      </c>
      <c r="B126" s="10" t="s">
        <v>58</v>
      </c>
      <c r="C126" s="10" t="s">
        <v>59</v>
      </c>
      <c r="D126" s="10" t="s">
        <v>60</v>
      </c>
      <c r="E126" s="10" t="s">
        <v>499</v>
      </c>
      <c r="F126" s="10" t="s">
        <v>498</v>
      </c>
      <c r="G126" s="10" t="s">
        <v>63</v>
      </c>
      <c r="H126" s="10" t="s">
        <v>497</v>
      </c>
      <c r="I126" s="10" t="s">
        <v>65</v>
      </c>
      <c r="J126" s="10" t="s">
        <v>91</v>
      </c>
      <c r="K126" s="10" t="s">
        <v>496</v>
      </c>
      <c r="L126" s="10" t="s">
        <v>173</v>
      </c>
      <c r="M126" s="12">
        <v>7.9</v>
      </c>
      <c r="N126" s="10" t="s">
        <v>68</v>
      </c>
      <c r="O126" s="10" t="s">
        <v>94</v>
      </c>
      <c r="P126" s="10" t="s">
        <v>70</v>
      </c>
      <c r="Q126" s="12">
        <v>5.14</v>
      </c>
      <c r="R126" s="10" t="s">
        <v>115</v>
      </c>
      <c r="S126" s="10" t="s">
        <v>0</v>
      </c>
      <c r="T126" s="10" t="s">
        <v>0</v>
      </c>
      <c r="U126" s="10" t="s">
        <v>95</v>
      </c>
    </row>
    <row r="127" spans="1:21" x14ac:dyDescent="0.25">
      <c r="A127" s="9" t="s">
        <v>19</v>
      </c>
      <c r="B127" s="9" t="s">
        <v>58</v>
      </c>
      <c r="C127" s="9" t="s">
        <v>59</v>
      </c>
      <c r="D127" s="9" t="s">
        <v>60</v>
      </c>
      <c r="E127" s="9" t="s">
        <v>499</v>
      </c>
      <c r="F127" s="9" t="s">
        <v>498</v>
      </c>
      <c r="G127" s="9" t="s">
        <v>63</v>
      </c>
      <c r="H127" s="9" t="s">
        <v>497</v>
      </c>
      <c r="I127" s="9" t="s">
        <v>65</v>
      </c>
      <c r="J127" s="9" t="s">
        <v>91</v>
      </c>
      <c r="K127" s="9" t="s">
        <v>496</v>
      </c>
      <c r="L127" s="9" t="s">
        <v>173</v>
      </c>
      <c r="M127" s="11">
        <v>7.08</v>
      </c>
      <c r="N127" s="9" t="s">
        <v>68</v>
      </c>
      <c r="O127" s="9" t="s">
        <v>94</v>
      </c>
      <c r="P127" s="9" t="s">
        <v>70</v>
      </c>
      <c r="Q127" s="11">
        <v>4.5999999999999996</v>
      </c>
      <c r="R127" s="9" t="s">
        <v>115</v>
      </c>
      <c r="S127" s="9" t="s">
        <v>0</v>
      </c>
      <c r="T127" s="9" t="s">
        <v>0</v>
      </c>
      <c r="U127" s="9" t="s">
        <v>95</v>
      </c>
    </row>
    <row r="128" spans="1:21" x14ac:dyDescent="0.25">
      <c r="A128" s="10" t="s">
        <v>19</v>
      </c>
      <c r="B128" s="10" t="s">
        <v>58</v>
      </c>
      <c r="C128" s="10" t="s">
        <v>59</v>
      </c>
      <c r="D128" s="10" t="s">
        <v>60</v>
      </c>
      <c r="E128" s="10" t="s">
        <v>499</v>
      </c>
      <c r="F128" s="10" t="s">
        <v>498</v>
      </c>
      <c r="G128" s="10" t="s">
        <v>63</v>
      </c>
      <c r="H128" s="10" t="s">
        <v>497</v>
      </c>
      <c r="I128" s="10" t="s">
        <v>65</v>
      </c>
      <c r="J128" s="10" t="s">
        <v>91</v>
      </c>
      <c r="K128" s="10" t="s">
        <v>496</v>
      </c>
      <c r="L128" s="10" t="s">
        <v>173</v>
      </c>
      <c r="M128" s="12">
        <v>19.670000000000002</v>
      </c>
      <c r="N128" s="10" t="s">
        <v>68</v>
      </c>
      <c r="O128" s="10" t="s">
        <v>94</v>
      </c>
      <c r="P128" s="10" t="s">
        <v>70</v>
      </c>
      <c r="Q128" s="12">
        <v>12.79</v>
      </c>
      <c r="R128" s="10" t="s">
        <v>115</v>
      </c>
      <c r="S128" s="10" t="s">
        <v>0</v>
      </c>
      <c r="T128" s="10" t="s">
        <v>0</v>
      </c>
      <c r="U128" s="10" t="s">
        <v>95</v>
      </c>
    </row>
    <row r="129" spans="1:21" x14ac:dyDescent="0.25">
      <c r="A129" s="9" t="s">
        <v>19</v>
      </c>
      <c r="B129" s="9" t="s">
        <v>58</v>
      </c>
      <c r="C129" s="9" t="s">
        <v>468</v>
      </c>
      <c r="D129" s="9" t="s">
        <v>467</v>
      </c>
      <c r="E129" s="9" t="s">
        <v>495</v>
      </c>
      <c r="F129" s="9" t="s">
        <v>494</v>
      </c>
      <c r="G129" s="9" t="s">
        <v>63</v>
      </c>
      <c r="H129" s="9" t="s">
        <v>493</v>
      </c>
      <c r="I129" s="9" t="s">
        <v>263</v>
      </c>
      <c r="J129" s="9" t="s">
        <v>492</v>
      </c>
      <c r="K129" s="9" t="s">
        <v>342</v>
      </c>
      <c r="L129" s="9" t="s">
        <v>178</v>
      </c>
      <c r="M129" s="11">
        <v>59.63</v>
      </c>
      <c r="N129" s="9" t="s">
        <v>68</v>
      </c>
      <c r="O129" s="9" t="s">
        <v>82</v>
      </c>
      <c r="P129" s="9" t="s">
        <v>70</v>
      </c>
      <c r="Q129" s="11">
        <v>33.99</v>
      </c>
      <c r="R129" s="9" t="s">
        <v>71</v>
      </c>
      <c r="S129" s="9" t="s">
        <v>0</v>
      </c>
      <c r="T129" s="9" t="s">
        <v>0</v>
      </c>
      <c r="U129" s="9" t="s">
        <v>491</v>
      </c>
    </row>
    <row r="130" spans="1:21" x14ac:dyDescent="0.25">
      <c r="A130" s="10" t="s">
        <v>19</v>
      </c>
      <c r="B130" s="10" t="s">
        <v>96</v>
      </c>
      <c r="C130" s="10" t="s">
        <v>207</v>
      </c>
      <c r="D130" s="10" t="s">
        <v>208</v>
      </c>
      <c r="E130" s="10" t="s">
        <v>490</v>
      </c>
      <c r="F130" s="10" t="s">
        <v>489</v>
      </c>
      <c r="G130" s="10" t="s">
        <v>134</v>
      </c>
      <c r="H130" s="10" t="s">
        <v>488</v>
      </c>
      <c r="I130" s="10" t="s">
        <v>263</v>
      </c>
      <c r="J130" s="10" t="s">
        <v>125</v>
      </c>
      <c r="K130" s="10" t="s">
        <v>178</v>
      </c>
      <c r="L130" s="10" t="s">
        <v>105</v>
      </c>
      <c r="M130" s="12">
        <v>-120.06</v>
      </c>
      <c r="N130" s="10" t="s">
        <v>68</v>
      </c>
      <c r="O130" s="10" t="s">
        <v>69</v>
      </c>
      <c r="P130" s="10" t="s">
        <v>70</v>
      </c>
      <c r="Q130" s="12">
        <v>-120.06</v>
      </c>
      <c r="R130" s="10" t="s">
        <v>71</v>
      </c>
      <c r="S130" s="10" t="s">
        <v>0</v>
      </c>
      <c r="T130" s="10" t="s">
        <v>0</v>
      </c>
      <c r="U130" s="10" t="s">
        <v>126</v>
      </c>
    </row>
    <row r="131" spans="1:21" x14ac:dyDescent="0.25">
      <c r="A131" s="9" t="s">
        <v>19</v>
      </c>
      <c r="B131" s="9" t="s">
        <v>58</v>
      </c>
      <c r="C131" s="9" t="s">
        <v>73</v>
      </c>
      <c r="D131" s="9" t="s">
        <v>74</v>
      </c>
      <c r="E131" s="9" t="s">
        <v>487</v>
      </c>
      <c r="F131" s="9" t="s">
        <v>486</v>
      </c>
      <c r="G131" s="9" t="s">
        <v>63</v>
      </c>
      <c r="H131" s="9" t="s">
        <v>385</v>
      </c>
      <c r="I131" s="9" t="s">
        <v>78</v>
      </c>
      <c r="J131" s="9" t="s">
        <v>184</v>
      </c>
      <c r="K131" s="9" t="s">
        <v>120</v>
      </c>
      <c r="L131" s="9" t="s">
        <v>67</v>
      </c>
      <c r="M131" s="11">
        <v>71.08</v>
      </c>
      <c r="N131" s="9" t="s">
        <v>68</v>
      </c>
      <c r="O131" s="9" t="s">
        <v>106</v>
      </c>
      <c r="P131" s="9" t="s">
        <v>70</v>
      </c>
      <c r="Q131" s="11">
        <v>41.23</v>
      </c>
      <c r="R131" s="9" t="s">
        <v>71</v>
      </c>
      <c r="S131" s="9" t="s">
        <v>0</v>
      </c>
      <c r="T131" s="9" t="s">
        <v>0</v>
      </c>
      <c r="U131" s="9" t="s">
        <v>187</v>
      </c>
    </row>
    <row r="132" spans="1:21" x14ac:dyDescent="0.25">
      <c r="A132" s="10" t="s">
        <v>19</v>
      </c>
      <c r="B132" s="10" t="s">
        <v>58</v>
      </c>
      <c r="C132" s="10" t="s">
        <v>468</v>
      </c>
      <c r="D132" s="10" t="s">
        <v>467</v>
      </c>
      <c r="E132" s="10" t="s">
        <v>474</v>
      </c>
      <c r="F132" s="10" t="s">
        <v>473</v>
      </c>
      <c r="G132" s="10" t="s">
        <v>134</v>
      </c>
      <c r="H132" s="10" t="s">
        <v>183</v>
      </c>
      <c r="I132" s="10" t="s">
        <v>263</v>
      </c>
      <c r="J132" s="10" t="s">
        <v>91</v>
      </c>
      <c r="K132" s="10" t="s">
        <v>105</v>
      </c>
      <c r="L132" s="10" t="s">
        <v>105</v>
      </c>
      <c r="M132" s="12">
        <v>3.1</v>
      </c>
      <c r="N132" s="10" t="s">
        <v>68</v>
      </c>
      <c r="O132" s="10" t="s">
        <v>186</v>
      </c>
      <c r="P132" s="10" t="s">
        <v>70</v>
      </c>
      <c r="Q132" s="12">
        <v>1.86</v>
      </c>
      <c r="R132" s="10" t="s">
        <v>115</v>
      </c>
      <c r="S132" s="10" t="s">
        <v>0</v>
      </c>
      <c r="T132" s="10" t="s">
        <v>0</v>
      </c>
      <c r="U132" s="10" t="s">
        <v>95</v>
      </c>
    </row>
    <row r="133" spans="1:21" x14ac:dyDescent="0.25">
      <c r="A133" s="9" t="s">
        <v>19</v>
      </c>
      <c r="B133" s="9" t="s">
        <v>58</v>
      </c>
      <c r="C133" s="9" t="s">
        <v>192</v>
      </c>
      <c r="D133" s="9" t="s">
        <v>193</v>
      </c>
      <c r="E133" s="9" t="s">
        <v>485</v>
      </c>
      <c r="F133" s="9" t="s">
        <v>484</v>
      </c>
      <c r="G133" s="9" t="s">
        <v>145</v>
      </c>
      <c r="H133" s="9" t="s">
        <v>483</v>
      </c>
      <c r="I133" s="9" t="s">
        <v>197</v>
      </c>
      <c r="J133" s="9" t="s">
        <v>66</v>
      </c>
      <c r="K133" s="9" t="s">
        <v>482</v>
      </c>
      <c r="L133" s="9" t="s">
        <v>222</v>
      </c>
      <c r="M133" s="11">
        <v>45.62</v>
      </c>
      <c r="N133" s="9" t="s">
        <v>68</v>
      </c>
      <c r="O133" s="9" t="s">
        <v>199</v>
      </c>
      <c r="P133" s="9" t="s">
        <v>70</v>
      </c>
      <c r="Q133" s="11">
        <v>3.42</v>
      </c>
      <c r="R133" s="9" t="s">
        <v>71</v>
      </c>
      <c r="S133" s="9" t="s">
        <v>0</v>
      </c>
      <c r="T133" s="9" t="s">
        <v>0</v>
      </c>
      <c r="U133" s="9" t="s">
        <v>72</v>
      </c>
    </row>
    <row r="134" spans="1:21" x14ac:dyDescent="0.25">
      <c r="A134" s="10" t="s">
        <v>19</v>
      </c>
      <c r="B134" s="10" t="s">
        <v>58</v>
      </c>
      <c r="C134" s="10" t="s">
        <v>468</v>
      </c>
      <c r="D134" s="10" t="s">
        <v>467</v>
      </c>
      <c r="E134" s="10" t="s">
        <v>474</v>
      </c>
      <c r="F134" s="10" t="s">
        <v>473</v>
      </c>
      <c r="G134" s="10" t="s">
        <v>134</v>
      </c>
      <c r="H134" s="10" t="s">
        <v>183</v>
      </c>
      <c r="I134" s="10" t="s">
        <v>263</v>
      </c>
      <c r="J134" s="10" t="s">
        <v>91</v>
      </c>
      <c r="K134" s="10" t="s">
        <v>105</v>
      </c>
      <c r="L134" s="10" t="s">
        <v>105</v>
      </c>
      <c r="M134" s="12">
        <v>13.01</v>
      </c>
      <c r="N134" s="10" t="s">
        <v>68</v>
      </c>
      <c r="O134" s="10" t="s">
        <v>186</v>
      </c>
      <c r="P134" s="10" t="s">
        <v>70</v>
      </c>
      <c r="Q134" s="12">
        <v>7.81</v>
      </c>
      <c r="R134" s="10" t="s">
        <v>115</v>
      </c>
      <c r="S134" s="10" t="s">
        <v>0</v>
      </c>
      <c r="T134" s="10" t="s">
        <v>0</v>
      </c>
      <c r="U134" s="10" t="s">
        <v>95</v>
      </c>
    </row>
    <row r="135" spans="1:21" x14ac:dyDescent="0.25">
      <c r="A135" s="9" t="s">
        <v>19</v>
      </c>
      <c r="B135" s="9" t="s">
        <v>58</v>
      </c>
      <c r="C135" s="9" t="s">
        <v>481</v>
      </c>
      <c r="D135" s="9" t="s">
        <v>480</v>
      </c>
      <c r="E135" s="9" t="s">
        <v>479</v>
      </c>
      <c r="F135" s="9" t="s">
        <v>478</v>
      </c>
      <c r="G135" s="9" t="s">
        <v>63</v>
      </c>
      <c r="H135" s="9" t="s">
        <v>101</v>
      </c>
      <c r="I135" s="9" t="s">
        <v>78</v>
      </c>
      <c r="J135" s="9" t="s">
        <v>282</v>
      </c>
      <c r="K135" s="9" t="s">
        <v>104</v>
      </c>
      <c r="L135" s="9" t="s">
        <v>178</v>
      </c>
      <c r="M135" s="11">
        <v>111.58</v>
      </c>
      <c r="N135" s="9" t="s">
        <v>68</v>
      </c>
      <c r="O135" s="9" t="s">
        <v>86</v>
      </c>
      <c r="P135" s="9" t="s">
        <v>70</v>
      </c>
      <c r="Q135" s="11">
        <v>101.54</v>
      </c>
      <c r="R135" s="9" t="s">
        <v>71</v>
      </c>
      <c r="S135" s="9" t="s">
        <v>0</v>
      </c>
      <c r="T135" s="9" t="s">
        <v>0</v>
      </c>
      <c r="U135" s="9" t="s">
        <v>283</v>
      </c>
    </row>
    <row r="136" spans="1:21" x14ac:dyDescent="0.25">
      <c r="A136" s="10" t="s">
        <v>19</v>
      </c>
      <c r="B136" s="10" t="s">
        <v>58</v>
      </c>
      <c r="C136" s="10" t="s">
        <v>73</v>
      </c>
      <c r="D136" s="10" t="s">
        <v>74</v>
      </c>
      <c r="E136" s="10" t="s">
        <v>477</v>
      </c>
      <c r="F136" s="10" t="s">
        <v>476</v>
      </c>
      <c r="G136" s="10" t="s">
        <v>63</v>
      </c>
      <c r="H136" s="10" t="s">
        <v>101</v>
      </c>
      <c r="I136" s="10" t="s">
        <v>78</v>
      </c>
      <c r="J136" s="10" t="s">
        <v>79</v>
      </c>
      <c r="K136" s="10" t="s">
        <v>475</v>
      </c>
      <c r="L136" s="10" t="s">
        <v>67</v>
      </c>
      <c r="M136" s="12">
        <v>27.63</v>
      </c>
      <c r="N136" s="10" t="s">
        <v>68</v>
      </c>
      <c r="O136" s="10" t="s">
        <v>82</v>
      </c>
      <c r="P136" s="10" t="s">
        <v>70</v>
      </c>
      <c r="Q136" s="12">
        <v>15.75</v>
      </c>
      <c r="R136" s="10" t="s">
        <v>71</v>
      </c>
      <c r="S136" s="10" t="s">
        <v>0</v>
      </c>
      <c r="T136" s="10" t="s">
        <v>0</v>
      </c>
      <c r="U136" s="10" t="s">
        <v>83</v>
      </c>
    </row>
    <row r="137" spans="1:21" x14ac:dyDescent="0.25">
      <c r="A137" s="9" t="s">
        <v>19</v>
      </c>
      <c r="B137" s="9" t="s">
        <v>58</v>
      </c>
      <c r="C137" s="9" t="s">
        <v>468</v>
      </c>
      <c r="D137" s="9" t="s">
        <v>467</v>
      </c>
      <c r="E137" s="9" t="s">
        <v>474</v>
      </c>
      <c r="F137" s="9" t="s">
        <v>473</v>
      </c>
      <c r="G137" s="9" t="s">
        <v>134</v>
      </c>
      <c r="H137" s="9" t="s">
        <v>183</v>
      </c>
      <c r="I137" s="9" t="s">
        <v>263</v>
      </c>
      <c r="J137" s="9" t="s">
        <v>91</v>
      </c>
      <c r="K137" s="9" t="s">
        <v>105</v>
      </c>
      <c r="L137" s="9" t="s">
        <v>105</v>
      </c>
      <c r="M137" s="11">
        <v>8.35</v>
      </c>
      <c r="N137" s="9" t="s">
        <v>68</v>
      </c>
      <c r="O137" s="9" t="s">
        <v>186</v>
      </c>
      <c r="P137" s="9" t="s">
        <v>70</v>
      </c>
      <c r="Q137" s="11">
        <v>5.01</v>
      </c>
      <c r="R137" s="9" t="s">
        <v>115</v>
      </c>
      <c r="S137" s="9" t="s">
        <v>0</v>
      </c>
      <c r="T137" s="9" t="s">
        <v>0</v>
      </c>
      <c r="U137" s="9" t="s">
        <v>95</v>
      </c>
    </row>
    <row r="138" spans="1:21" x14ac:dyDescent="0.25">
      <c r="A138" s="10" t="s">
        <v>19</v>
      </c>
      <c r="B138" s="10" t="s">
        <v>58</v>
      </c>
      <c r="C138" s="10" t="s">
        <v>468</v>
      </c>
      <c r="D138" s="10" t="s">
        <v>467</v>
      </c>
      <c r="E138" s="10" t="s">
        <v>474</v>
      </c>
      <c r="F138" s="10" t="s">
        <v>473</v>
      </c>
      <c r="G138" s="10" t="s">
        <v>134</v>
      </c>
      <c r="H138" s="10" t="s">
        <v>183</v>
      </c>
      <c r="I138" s="10" t="s">
        <v>263</v>
      </c>
      <c r="J138" s="10" t="s">
        <v>91</v>
      </c>
      <c r="K138" s="10" t="s">
        <v>105</v>
      </c>
      <c r="L138" s="10" t="s">
        <v>105</v>
      </c>
      <c r="M138" s="12">
        <v>23.85</v>
      </c>
      <c r="N138" s="10" t="s">
        <v>68</v>
      </c>
      <c r="O138" s="10" t="s">
        <v>186</v>
      </c>
      <c r="P138" s="10" t="s">
        <v>70</v>
      </c>
      <c r="Q138" s="12">
        <v>14.31</v>
      </c>
      <c r="R138" s="10" t="s">
        <v>115</v>
      </c>
      <c r="S138" s="10" t="s">
        <v>0</v>
      </c>
      <c r="T138" s="10" t="s">
        <v>0</v>
      </c>
      <c r="U138" s="10" t="s">
        <v>95</v>
      </c>
    </row>
    <row r="139" spans="1:21" x14ac:dyDescent="0.25">
      <c r="A139" s="9" t="s">
        <v>19</v>
      </c>
      <c r="B139" s="9" t="s">
        <v>58</v>
      </c>
      <c r="C139" s="9" t="s">
        <v>468</v>
      </c>
      <c r="D139" s="9" t="s">
        <v>467</v>
      </c>
      <c r="E139" s="9" t="s">
        <v>474</v>
      </c>
      <c r="F139" s="9" t="s">
        <v>473</v>
      </c>
      <c r="G139" s="9" t="s">
        <v>134</v>
      </c>
      <c r="H139" s="9" t="s">
        <v>183</v>
      </c>
      <c r="I139" s="9" t="s">
        <v>263</v>
      </c>
      <c r="J139" s="9" t="s">
        <v>91</v>
      </c>
      <c r="K139" s="9" t="s">
        <v>105</v>
      </c>
      <c r="L139" s="9" t="s">
        <v>105</v>
      </c>
      <c r="M139" s="11">
        <v>9.33</v>
      </c>
      <c r="N139" s="9" t="s">
        <v>68</v>
      </c>
      <c r="O139" s="9" t="s">
        <v>186</v>
      </c>
      <c r="P139" s="9" t="s">
        <v>70</v>
      </c>
      <c r="Q139" s="11">
        <v>5.6</v>
      </c>
      <c r="R139" s="9" t="s">
        <v>115</v>
      </c>
      <c r="S139" s="9" t="s">
        <v>0</v>
      </c>
      <c r="T139" s="9" t="s">
        <v>0</v>
      </c>
      <c r="U139" s="9" t="s">
        <v>95</v>
      </c>
    </row>
    <row r="140" spans="1:21" x14ac:dyDescent="0.25">
      <c r="A140" s="10" t="s">
        <v>19</v>
      </c>
      <c r="B140" s="10" t="s">
        <v>58</v>
      </c>
      <c r="C140" s="10" t="s">
        <v>161</v>
      </c>
      <c r="D140" s="10" t="s">
        <v>162</v>
      </c>
      <c r="E140" s="10" t="s">
        <v>472</v>
      </c>
      <c r="F140" s="10" t="s">
        <v>471</v>
      </c>
      <c r="G140" s="10" t="s">
        <v>63</v>
      </c>
      <c r="H140" s="10" t="s">
        <v>470</v>
      </c>
      <c r="I140" s="10" t="s">
        <v>469</v>
      </c>
      <c r="J140" s="10" t="s">
        <v>121</v>
      </c>
      <c r="K140" s="10" t="s">
        <v>229</v>
      </c>
      <c r="L140" s="10" t="s">
        <v>178</v>
      </c>
      <c r="M140" s="12">
        <v>27.62</v>
      </c>
      <c r="N140" s="10" t="s">
        <v>68</v>
      </c>
      <c r="O140" s="10" t="s">
        <v>82</v>
      </c>
      <c r="P140" s="10" t="s">
        <v>70</v>
      </c>
      <c r="Q140" s="12">
        <v>15.74</v>
      </c>
      <c r="R140" s="10" t="s">
        <v>71</v>
      </c>
      <c r="S140" s="10" t="s">
        <v>0</v>
      </c>
      <c r="T140" s="10" t="s">
        <v>0</v>
      </c>
      <c r="U140" s="10" t="s">
        <v>123</v>
      </c>
    </row>
    <row r="141" spans="1:21" x14ac:dyDescent="0.25">
      <c r="A141" s="9" t="s">
        <v>19</v>
      </c>
      <c r="B141" s="9" t="s">
        <v>58</v>
      </c>
      <c r="C141" s="9" t="s">
        <v>59</v>
      </c>
      <c r="D141" s="9" t="s">
        <v>60</v>
      </c>
      <c r="E141" s="9" t="s">
        <v>461</v>
      </c>
      <c r="F141" s="9" t="s">
        <v>460</v>
      </c>
      <c r="G141" s="9" t="s">
        <v>63</v>
      </c>
      <c r="H141" s="9" t="s">
        <v>459</v>
      </c>
      <c r="I141" s="9" t="s">
        <v>65</v>
      </c>
      <c r="J141" s="9" t="s">
        <v>91</v>
      </c>
      <c r="K141" s="9" t="s">
        <v>459</v>
      </c>
      <c r="L141" s="9" t="s">
        <v>458</v>
      </c>
      <c r="M141" s="11">
        <v>22.33</v>
      </c>
      <c r="N141" s="9" t="s">
        <v>68</v>
      </c>
      <c r="O141" s="9" t="s">
        <v>94</v>
      </c>
      <c r="P141" s="9" t="s">
        <v>70</v>
      </c>
      <c r="Q141" s="11">
        <v>14.51</v>
      </c>
      <c r="R141" s="9" t="s">
        <v>71</v>
      </c>
      <c r="S141" s="9" t="s">
        <v>0</v>
      </c>
      <c r="T141" s="9" t="s">
        <v>0</v>
      </c>
      <c r="U141" s="9" t="s">
        <v>95</v>
      </c>
    </row>
    <row r="142" spans="1:21" x14ac:dyDescent="0.25">
      <c r="A142" s="10" t="s">
        <v>19</v>
      </c>
      <c r="B142" s="10" t="s">
        <v>58</v>
      </c>
      <c r="C142" s="10" t="s">
        <v>468</v>
      </c>
      <c r="D142" s="10" t="s">
        <v>467</v>
      </c>
      <c r="E142" s="10" t="s">
        <v>466</v>
      </c>
      <c r="F142" s="10" t="s">
        <v>465</v>
      </c>
      <c r="G142" s="10" t="s">
        <v>63</v>
      </c>
      <c r="H142" s="10" t="s">
        <v>464</v>
      </c>
      <c r="I142" s="10" t="s">
        <v>263</v>
      </c>
      <c r="J142" s="10" t="s">
        <v>463</v>
      </c>
      <c r="K142" s="10" t="s">
        <v>342</v>
      </c>
      <c r="L142" s="10" t="s">
        <v>178</v>
      </c>
      <c r="M142" s="12">
        <v>201.17</v>
      </c>
      <c r="N142" s="10" t="s">
        <v>68</v>
      </c>
      <c r="O142" s="10" t="s">
        <v>82</v>
      </c>
      <c r="P142" s="10" t="s">
        <v>70</v>
      </c>
      <c r="Q142" s="12">
        <v>114.67</v>
      </c>
      <c r="R142" s="10" t="s">
        <v>115</v>
      </c>
      <c r="S142" s="10" t="s">
        <v>0</v>
      </c>
      <c r="T142" s="10" t="s">
        <v>0</v>
      </c>
      <c r="U142" s="10" t="s">
        <v>462</v>
      </c>
    </row>
    <row r="143" spans="1:21" x14ac:dyDescent="0.25">
      <c r="A143" s="9" t="s">
        <v>19</v>
      </c>
      <c r="B143" s="9" t="s">
        <v>58</v>
      </c>
      <c r="C143" s="9" t="s">
        <v>59</v>
      </c>
      <c r="D143" s="9" t="s">
        <v>60</v>
      </c>
      <c r="E143" s="9" t="s">
        <v>461</v>
      </c>
      <c r="F143" s="9" t="s">
        <v>460</v>
      </c>
      <c r="G143" s="9" t="s">
        <v>63</v>
      </c>
      <c r="H143" s="9" t="s">
        <v>459</v>
      </c>
      <c r="I143" s="9" t="s">
        <v>65</v>
      </c>
      <c r="J143" s="9" t="s">
        <v>91</v>
      </c>
      <c r="K143" s="9" t="s">
        <v>459</v>
      </c>
      <c r="L143" s="9" t="s">
        <v>458</v>
      </c>
      <c r="M143" s="11">
        <v>18.48</v>
      </c>
      <c r="N143" s="9" t="s">
        <v>68</v>
      </c>
      <c r="O143" s="9" t="s">
        <v>94</v>
      </c>
      <c r="P143" s="9" t="s">
        <v>70</v>
      </c>
      <c r="Q143" s="11">
        <v>12.01</v>
      </c>
      <c r="R143" s="9" t="s">
        <v>71</v>
      </c>
      <c r="S143" s="9" t="s">
        <v>0</v>
      </c>
      <c r="T143" s="9" t="s">
        <v>0</v>
      </c>
      <c r="U143" s="9" t="s">
        <v>95</v>
      </c>
    </row>
    <row r="144" spans="1:21" x14ac:dyDescent="0.25">
      <c r="A144" s="10" t="s">
        <v>19</v>
      </c>
      <c r="B144" s="10" t="s">
        <v>58</v>
      </c>
      <c r="C144" s="10" t="s">
        <v>59</v>
      </c>
      <c r="D144" s="10" t="s">
        <v>60</v>
      </c>
      <c r="E144" s="10" t="s">
        <v>461</v>
      </c>
      <c r="F144" s="10" t="s">
        <v>460</v>
      </c>
      <c r="G144" s="10" t="s">
        <v>63</v>
      </c>
      <c r="H144" s="10" t="s">
        <v>459</v>
      </c>
      <c r="I144" s="10" t="s">
        <v>65</v>
      </c>
      <c r="J144" s="10" t="s">
        <v>91</v>
      </c>
      <c r="K144" s="10" t="s">
        <v>459</v>
      </c>
      <c r="L144" s="10" t="s">
        <v>458</v>
      </c>
      <c r="M144" s="12">
        <v>11.88</v>
      </c>
      <c r="N144" s="10" t="s">
        <v>68</v>
      </c>
      <c r="O144" s="10" t="s">
        <v>94</v>
      </c>
      <c r="P144" s="10" t="s">
        <v>70</v>
      </c>
      <c r="Q144" s="12">
        <v>7.72</v>
      </c>
      <c r="R144" s="10" t="s">
        <v>71</v>
      </c>
      <c r="S144" s="10" t="s">
        <v>0</v>
      </c>
      <c r="T144" s="10" t="s">
        <v>0</v>
      </c>
      <c r="U144" s="10" t="s">
        <v>95</v>
      </c>
    </row>
    <row r="145" spans="1:21" x14ac:dyDescent="0.25">
      <c r="A145" s="9" t="s">
        <v>19</v>
      </c>
      <c r="B145" s="9" t="s">
        <v>58</v>
      </c>
      <c r="C145" s="9" t="s">
        <v>59</v>
      </c>
      <c r="D145" s="9" t="s">
        <v>60</v>
      </c>
      <c r="E145" s="9" t="s">
        <v>461</v>
      </c>
      <c r="F145" s="9" t="s">
        <v>460</v>
      </c>
      <c r="G145" s="9" t="s">
        <v>63</v>
      </c>
      <c r="H145" s="9" t="s">
        <v>459</v>
      </c>
      <c r="I145" s="9" t="s">
        <v>65</v>
      </c>
      <c r="J145" s="9" t="s">
        <v>91</v>
      </c>
      <c r="K145" s="9" t="s">
        <v>459</v>
      </c>
      <c r="L145" s="9" t="s">
        <v>458</v>
      </c>
      <c r="M145" s="11">
        <v>7.92</v>
      </c>
      <c r="N145" s="9" t="s">
        <v>68</v>
      </c>
      <c r="O145" s="9" t="s">
        <v>94</v>
      </c>
      <c r="P145" s="9" t="s">
        <v>70</v>
      </c>
      <c r="Q145" s="11">
        <v>5.15</v>
      </c>
      <c r="R145" s="9" t="s">
        <v>71</v>
      </c>
      <c r="S145" s="9" t="s">
        <v>0</v>
      </c>
      <c r="T145" s="9" t="s">
        <v>0</v>
      </c>
      <c r="U145" s="9" t="s">
        <v>95</v>
      </c>
    </row>
    <row r="146" spans="1:21" x14ac:dyDescent="0.25">
      <c r="A146" s="10" t="s">
        <v>19</v>
      </c>
      <c r="B146" s="10" t="s">
        <v>58</v>
      </c>
      <c r="C146" s="10" t="s">
        <v>428</v>
      </c>
      <c r="D146" s="10" t="s">
        <v>427</v>
      </c>
      <c r="E146" s="10" t="s">
        <v>454</v>
      </c>
      <c r="F146" s="10" t="s">
        <v>453</v>
      </c>
      <c r="G146" s="10" t="s">
        <v>63</v>
      </c>
      <c r="H146" s="10" t="s">
        <v>424</v>
      </c>
      <c r="I146" s="10" t="s">
        <v>65</v>
      </c>
      <c r="J146" s="10" t="s">
        <v>184</v>
      </c>
      <c r="K146" s="10" t="s">
        <v>342</v>
      </c>
      <c r="L146" s="10" t="s">
        <v>178</v>
      </c>
      <c r="M146" s="12">
        <v>23.7</v>
      </c>
      <c r="N146" s="10" t="s">
        <v>68</v>
      </c>
      <c r="O146" s="10" t="s">
        <v>356</v>
      </c>
      <c r="P146" s="10" t="s">
        <v>70</v>
      </c>
      <c r="Q146" s="12">
        <v>14.81</v>
      </c>
      <c r="R146" s="10" t="s">
        <v>71</v>
      </c>
      <c r="S146" s="10" t="s">
        <v>0</v>
      </c>
      <c r="T146" s="10" t="s">
        <v>0</v>
      </c>
      <c r="U146" s="10" t="s">
        <v>187</v>
      </c>
    </row>
    <row r="147" spans="1:21" x14ac:dyDescent="0.25">
      <c r="A147" s="9" t="s">
        <v>19</v>
      </c>
      <c r="B147" s="9" t="s">
        <v>58</v>
      </c>
      <c r="C147" s="9" t="s">
        <v>266</v>
      </c>
      <c r="D147" s="9" t="s">
        <v>267</v>
      </c>
      <c r="E147" s="9" t="s">
        <v>457</v>
      </c>
      <c r="F147" s="9" t="s">
        <v>456</v>
      </c>
      <c r="G147" s="9" t="s">
        <v>63</v>
      </c>
      <c r="H147" s="9" t="s">
        <v>455</v>
      </c>
      <c r="I147" s="9" t="s">
        <v>197</v>
      </c>
      <c r="J147" s="9" t="s">
        <v>66</v>
      </c>
      <c r="K147" s="9" t="s">
        <v>229</v>
      </c>
      <c r="L147" s="9" t="s">
        <v>178</v>
      </c>
      <c r="M147" s="11">
        <v>48.45</v>
      </c>
      <c r="N147" s="9" t="s">
        <v>68</v>
      </c>
      <c r="O147" s="9" t="s">
        <v>69</v>
      </c>
      <c r="P147" s="9" t="s">
        <v>70</v>
      </c>
      <c r="Q147" s="11">
        <v>48.45</v>
      </c>
      <c r="R147" s="9" t="s">
        <v>71</v>
      </c>
      <c r="S147" s="9" t="s">
        <v>0</v>
      </c>
      <c r="T147" s="9" t="s">
        <v>0</v>
      </c>
      <c r="U147" s="9" t="s">
        <v>72</v>
      </c>
    </row>
    <row r="148" spans="1:21" x14ac:dyDescent="0.25">
      <c r="A148" s="10" t="s">
        <v>19</v>
      </c>
      <c r="B148" s="10" t="s">
        <v>58</v>
      </c>
      <c r="C148" s="10" t="s">
        <v>428</v>
      </c>
      <c r="D148" s="10" t="s">
        <v>427</v>
      </c>
      <c r="E148" s="10" t="s">
        <v>454</v>
      </c>
      <c r="F148" s="10" t="s">
        <v>453</v>
      </c>
      <c r="G148" s="10" t="s">
        <v>63</v>
      </c>
      <c r="H148" s="10" t="s">
        <v>424</v>
      </c>
      <c r="I148" s="10" t="s">
        <v>65</v>
      </c>
      <c r="J148" s="10" t="s">
        <v>184</v>
      </c>
      <c r="K148" s="10" t="s">
        <v>342</v>
      </c>
      <c r="L148" s="10" t="s">
        <v>178</v>
      </c>
      <c r="M148" s="12">
        <v>78.16</v>
      </c>
      <c r="N148" s="10" t="s">
        <v>68</v>
      </c>
      <c r="O148" s="10" t="s">
        <v>356</v>
      </c>
      <c r="P148" s="10" t="s">
        <v>70</v>
      </c>
      <c r="Q148" s="12">
        <v>48.85</v>
      </c>
      <c r="R148" s="10" t="s">
        <v>71</v>
      </c>
      <c r="S148" s="10" t="s">
        <v>0</v>
      </c>
      <c r="T148" s="10" t="s">
        <v>0</v>
      </c>
      <c r="U148" s="10" t="s">
        <v>187</v>
      </c>
    </row>
    <row r="149" spans="1:21" x14ac:dyDescent="0.25">
      <c r="A149" s="9" t="s">
        <v>19</v>
      </c>
      <c r="B149" s="9" t="s">
        <v>58</v>
      </c>
      <c r="C149" s="9" t="s">
        <v>201</v>
      </c>
      <c r="D149" s="9" t="s">
        <v>202</v>
      </c>
      <c r="E149" s="9" t="s">
        <v>452</v>
      </c>
      <c r="F149" s="9" t="s">
        <v>451</v>
      </c>
      <c r="G149" s="9" t="s">
        <v>63</v>
      </c>
      <c r="H149" s="9" t="s">
        <v>450</v>
      </c>
      <c r="I149" s="9" t="s">
        <v>136</v>
      </c>
      <c r="J149" s="9" t="s">
        <v>228</v>
      </c>
      <c r="K149" s="9" t="s">
        <v>296</v>
      </c>
      <c r="L149" s="9" t="s">
        <v>81</v>
      </c>
      <c r="M149" s="11">
        <v>68.790000000000006</v>
      </c>
      <c r="N149" s="9" t="s">
        <v>68</v>
      </c>
      <c r="O149" s="9" t="s">
        <v>82</v>
      </c>
      <c r="P149" s="9" t="s">
        <v>70</v>
      </c>
      <c r="Q149" s="11">
        <v>39.21</v>
      </c>
      <c r="R149" s="9" t="s">
        <v>71</v>
      </c>
      <c r="S149" s="9" t="s">
        <v>0</v>
      </c>
      <c r="T149" s="9" t="s">
        <v>0</v>
      </c>
      <c r="U149" s="9" t="s">
        <v>328</v>
      </c>
    </row>
    <row r="150" spans="1:21" x14ac:dyDescent="0.25">
      <c r="A150" s="10" t="s">
        <v>19</v>
      </c>
      <c r="B150" s="10" t="s">
        <v>58</v>
      </c>
      <c r="C150" s="10" t="s">
        <v>148</v>
      </c>
      <c r="D150" s="10" t="s">
        <v>149</v>
      </c>
      <c r="E150" s="10" t="s">
        <v>449</v>
      </c>
      <c r="F150" s="10" t="s">
        <v>448</v>
      </c>
      <c r="G150" s="10" t="s">
        <v>63</v>
      </c>
      <c r="H150" s="10" t="s">
        <v>447</v>
      </c>
      <c r="I150" s="10" t="s">
        <v>263</v>
      </c>
      <c r="J150" s="10" t="s">
        <v>66</v>
      </c>
      <c r="K150" s="10" t="s">
        <v>446</v>
      </c>
      <c r="L150" s="10" t="s">
        <v>81</v>
      </c>
      <c r="M150" s="12">
        <v>83.68</v>
      </c>
      <c r="N150" s="10" t="s">
        <v>68</v>
      </c>
      <c r="O150" s="10" t="s">
        <v>69</v>
      </c>
      <c r="P150" s="10" t="s">
        <v>70</v>
      </c>
      <c r="Q150" s="12">
        <v>83.68</v>
      </c>
      <c r="R150" s="10" t="s">
        <v>71</v>
      </c>
      <c r="S150" s="10" t="s">
        <v>0</v>
      </c>
      <c r="T150" s="10" t="s">
        <v>0</v>
      </c>
      <c r="U150" s="10" t="s">
        <v>72</v>
      </c>
    </row>
    <row r="151" spans="1:21" x14ac:dyDescent="0.25">
      <c r="A151" s="9" t="s">
        <v>19</v>
      </c>
      <c r="B151" s="9" t="s">
        <v>58</v>
      </c>
      <c r="C151" s="9" t="s">
        <v>192</v>
      </c>
      <c r="D151" s="9" t="s">
        <v>193</v>
      </c>
      <c r="E151" s="9" t="s">
        <v>445</v>
      </c>
      <c r="F151" s="9" t="s">
        <v>444</v>
      </c>
      <c r="G151" s="9" t="s">
        <v>145</v>
      </c>
      <c r="H151" s="9" t="s">
        <v>443</v>
      </c>
      <c r="I151" s="9" t="s">
        <v>197</v>
      </c>
      <c r="J151" s="9" t="s">
        <v>125</v>
      </c>
      <c r="K151" s="9" t="s">
        <v>442</v>
      </c>
      <c r="L151" s="9" t="s">
        <v>178</v>
      </c>
      <c r="M151" s="11">
        <v>42.4</v>
      </c>
      <c r="N151" s="9" t="s">
        <v>68</v>
      </c>
      <c r="O151" s="9" t="s">
        <v>199</v>
      </c>
      <c r="P151" s="9" t="s">
        <v>70</v>
      </c>
      <c r="Q151" s="11">
        <v>3.18</v>
      </c>
      <c r="R151" s="9" t="s">
        <v>71</v>
      </c>
      <c r="S151" s="9" t="s">
        <v>0</v>
      </c>
      <c r="T151" s="9" t="s">
        <v>0</v>
      </c>
      <c r="U151" s="9" t="s">
        <v>126</v>
      </c>
    </row>
    <row r="152" spans="1:21" x14ac:dyDescent="0.25">
      <c r="A152" s="10" t="s">
        <v>19</v>
      </c>
      <c r="B152" s="10" t="s">
        <v>58</v>
      </c>
      <c r="C152" s="10" t="s">
        <v>266</v>
      </c>
      <c r="D152" s="10" t="s">
        <v>267</v>
      </c>
      <c r="E152" s="10" t="s">
        <v>441</v>
      </c>
      <c r="F152" s="10" t="s">
        <v>440</v>
      </c>
      <c r="G152" s="10" t="s">
        <v>145</v>
      </c>
      <c r="H152" s="10" t="s">
        <v>439</v>
      </c>
      <c r="I152" s="10" t="s">
        <v>197</v>
      </c>
      <c r="J152" s="10" t="s">
        <v>66</v>
      </c>
      <c r="K152" s="10" t="s">
        <v>146</v>
      </c>
      <c r="L152" s="10" t="s">
        <v>7</v>
      </c>
      <c r="M152" s="12">
        <v>48.45</v>
      </c>
      <c r="N152" s="10" t="s">
        <v>68</v>
      </c>
      <c r="O152" s="10" t="s">
        <v>438</v>
      </c>
      <c r="P152" s="10" t="s">
        <v>70</v>
      </c>
      <c r="Q152" s="12">
        <v>3.88</v>
      </c>
      <c r="R152" s="10" t="s">
        <v>71</v>
      </c>
      <c r="S152" s="10" t="s">
        <v>0</v>
      </c>
      <c r="T152" s="10" t="s">
        <v>0</v>
      </c>
      <c r="U152" s="10" t="s">
        <v>72</v>
      </c>
    </row>
    <row r="153" spans="1:21" x14ac:dyDescent="0.25">
      <c r="A153" s="9" t="s">
        <v>19</v>
      </c>
      <c r="B153" s="9" t="s">
        <v>58</v>
      </c>
      <c r="C153" s="9" t="s">
        <v>127</v>
      </c>
      <c r="D153" s="9" t="s">
        <v>128</v>
      </c>
      <c r="E153" s="9" t="s">
        <v>437</v>
      </c>
      <c r="F153" s="9" t="s">
        <v>436</v>
      </c>
      <c r="G153" s="9" t="s">
        <v>145</v>
      </c>
      <c r="H153" s="9" t="s">
        <v>435</v>
      </c>
      <c r="I153" s="9" t="s">
        <v>78</v>
      </c>
      <c r="J153" s="9" t="s">
        <v>79</v>
      </c>
      <c r="K153" s="9" t="s">
        <v>435</v>
      </c>
      <c r="L153" s="9" t="s">
        <v>135</v>
      </c>
      <c r="M153" s="11">
        <v>27.63</v>
      </c>
      <c r="N153" s="9" t="s">
        <v>68</v>
      </c>
      <c r="O153" s="9" t="s">
        <v>156</v>
      </c>
      <c r="P153" s="9" t="s">
        <v>70</v>
      </c>
      <c r="Q153" s="11">
        <v>0.97</v>
      </c>
      <c r="R153" s="9" t="s">
        <v>71</v>
      </c>
      <c r="S153" s="9" t="s">
        <v>0</v>
      </c>
      <c r="T153" s="9" t="s">
        <v>0</v>
      </c>
      <c r="U153" s="9" t="s">
        <v>83</v>
      </c>
    </row>
    <row r="154" spans="1:21" x14ac:dyDescent="0.25">
      <c r="A154" s="10" t="s">
        <v>19</v>
      </c>
      <c r="B154" s="10" t="s">
        <v>58</v>
      </c>
      <c r="C154" s="10" t="s">
        <v>384</v>
      </c>
      <c r="D154" s="10" t="s">
        <v>383</v>
      </c>
      <c r="E154" s="10" t="s">
        <v>434</v>
      </c>
      <c r="F154" s="10" t="s">
        <v>433</v>
      </c>
      <c r="G154" s="10" t="s">
        <v>63</v>
      </c>
      <c r="H154" s="10" t="s">
        <v>120</v>
      </c>
      <c r="I154" s="10" t="s">
        <v>197</v>
      </c>
      <c r="J154" s="10" t="s">
        <v>121</v>
      </c>
      <c r="K154" s="10" t="s">
        <v>342</v>
      </c>
      <c r="L154" s="10" t="s">
        <v>178</v>
      </c>
      <c r="M154" s="12">
        <v>111</v>
      </c>
      <c r="N154" s="10" t="s">
        <v>68</v>
      </c>
      <c r="O154" s="10" t="s">
        <v>432</v>
      </c>
      <c r="P154" s="10" t="s">
        <v>70</v>
      </c>
      <c r="Q154" s="12">
        <v>57.72</v>
      </c>
      <c r="R154" s="10" t="s">
        <v>71</v>
      </c>
      <c r="S154" s="10" t="s">
        <v>0</v>
      </c>
      <c r="T154" s="10" t="s">
        <v>0</v>
      </c>
      <c r="U154" s="10" t="s">
        <v>378</v>
      </c>
    </row>
    <row r="155" spans="1:21" x14ac:dyDescent="0.25">
      <c r="A155" s="9" t="s">
        <v>19</v>
      </c>
      <c r="B155" s="9" t="s">
        <v>58</v>
      </c>
      <c r="C155" s="9" t="s">
        <v>161</v>
      </c>
      <c r="D155" s="9" t="s">
        <v>162</v>
      </c>
      <c r="E155" s="9" t="s">
        <v>431</v>
      </c>
      <c r="F155" s="9" t="s">
        <v>430</v>
      </c>
      <c r="G155" s="9" t="s">
        <v>63</v>
      </c>
      <c r="H155" s="9" t="s">
        <v>211</v>
      </c>
      <c r="I155" s="9" t="s">
        <v>263</v>
      </c>
      <c r="J155" s="9" t="s">
        <v>79</v>
      </c>
      <c r="K155" s="9" t="s">
        <v>342</v>
      </c>
      <c r="L155" s="9" t="s">
        <v>178</v>
      </c>
      <c r="M155" s="11">
        <v>26.11</v>
      </c>
      <c r="N155" s="9" t="s">
        <v>68</v>
      </c>
      <c r="O155" s="9" t="s">
        <v>82</v>
      </c>
      <c r="P155" s="9" t="s">
        <v>70</v>
      </c>
      <c r="Q155" s="11">
        <v>14.88</v>
      </c>
      <c r="R155" s="9" t="s">
        <v>71</v>
      </c>
      <c r="S155" s="9" t="s">
        <v>0</v>
      </c>
      <c r="T155" s="9" t="s">
        <v>0</v>
      </c>
      <c r="U155" s="9" t="s">
        <v>429</v>
      </c>
    </row>
    <row r="156" spans="1:21" x14ac:dyDescent="0.25">
      <c r="A156" s="10" t="s">
        <v>19</v>
      </c>
      <c r="B156" s="10" t="s">
        <v>58</v>
      </c>
      <c r="C156" s="10" t="s">
        <v>428</v>
      </c>
      <c r="D156" s="10" t="s">
        <v>427</v>
      </c>
      <c r="E156" s="10" t="s">
        <v>426</v>
      </c>
      <c r="F156" s="10" t="s">
        <v>425</v>
      </c>
      <c r="G156" s="10" t="s">
        <v>63</v>
      </c>
      <c r="H156" s="10" t="s">
        <v>424</v>
      </c>
      <c r="I156" s="10" t="s">
        <v>65</v>
      </c>
      <c r="J156" s="10" t="s">
        <v>184</v>
      </c>
      <c r="K156" s="10" t="s">
        <v>342</v>
      </c>
      <c r="L156" s="10" t="s">
        <v>178</v>
      </c>
      <c r="M156" s="12">
        <v>23.7</v>
      </c>
      <c r="N156" s="10" t="s">
        <v>68</v>
      </c>
      <c r="O156" s="10" t="s">
        <v>356</v>
      </c>
      <c r="P156" s="10" t="s">
        <v>70</v>
      </c>
      <c r="Q156" s="12">
        <v>14.81</v>
      </c>
      <c r="R156" s="10" t="s">
        <v>71</v>
      </c>
      <c r="S156" s="10" t="s">
        <v>0</v>
      </c>
      <c r="T156" s="10" t="s">
        <v>0</v>
      </c>
      <c r="U156" s="10" t="s">
        <v>187</v>
      </c>
    </row>
    <row r="157" spans="1:21" x14ac:dyDescent="0.25">
      <c r="A157" s="9" t="s">
        <v>19</v>
      </c>
      <c r="B157" s="9" t="s">
        <v>58</v>
      </c>
      <c r="C157" s="9" t="s">
        <v>428</v>
      </c>
      <c r="D157" s="9" t="s">
        <v>427</v>
      </c>
      <c r="E157" s="9" t="s">
        <v>426</v>
      </c>
      <c r="F157" s="9" t="s">
        <v>425</v>
      </c>
      <c r="G157" s="9" t="s">
        <v>63</v>
      </c>
      <c r="H157" s="9" t="s">
        <v>424</v>
      </c>
      <c r="I157" s="9" t="s">
        <v>65</v>
      </c>
      <c r="J157" s="9" t="s">
        <v>184</v>
      </c>
      <c r="K157" s="9" t="s">
        <v>342</v>
      </c>
      <c r="L157" s="9" t="s">
        <v>178</v>
      </c>
      <c r="M157" s="11">
        <v>78.16</v>
      </c>
      <c r="N157" s="9" t="s">
        <v>68</v>
      </c>
      <c r="O157" s="9" t="s">
        <v>356</v>
      </c>
      <c r="P157" s="9" t="s">
        <v>70</v>
      </c>
      <c r="Q157" s="11">
        <v>48.85</v>
      </c>
      <c r="R157" s="9" t="s">
        <v>71</v>
      </c>
      <c r="S157" s="9" t="s">
        <v>0</v>
      </c>
      <c r="T157" s="9" t="s">
        <v>0</v>
      </c>
      <c r="U157" s="9" t="s">
        <v>187</v>
      </c>
    </row>
    <row r="158" spans="1:21" x14ac:dyDescent="0.25">
      <c r="A158" s="10" t="s">
        <v>19</v>
      </c>
      <c r="B158" s="10" t="s">
        <v>58</v>
      </c>
      <c r="C158" s="10" t="s">
        <v>192</v>
      </c>
      <c r="D158" s="10" t="s">
        <v>193</v>
      </c>
      <c r="E158" s="10" t="s">
        <v>422</v>
      </c>
      <c r="F158" s="10" t="s">
        <v>423</v>
      </c>
      <c r="G158" s="10" t="s">
        <v>145</v>
      </c>
      <c r="H158" s="10" t="s">
        <v>420</v>
      </c>
      <c r="I158" s="10" t="s">
        <v>197</v>
      </c>
      <c r="J158" s="10" t="s">
        <v>125</v>
      </c>
      <c r="K158" s="10" t="s">
        <v>334</v>
      </c>
      <c r="L158" s="10" t="s">
        <v>178</v>
      </c>
      <c r="M158" s="12">
        <v>42.4</v>
      </c>
      <c r="N158" s="10" t="s">
        <v>68</v>
      </c>
      <c r="O158" s="10" t="s">
        <v>199</v>
      </c>
      <c r="P158" s="10" t="s">
        <v>70</v>
      </c>
      <c r="Q158" s="12">
        <v>3.18</v>
      </c>
      <c r="R158" s="10" t="s">
        <v>71</v>
      </c>
      <c r="S158" s="10" t="s">
        <v>0</v>
      </c>
      <c r="T158" s="10" t="s">
        <v>0</v>
      </c>
      <c r="U158" s="10" t="s">
        <v>126</v>
      </c>
    </row>
    <row r="159" spans="1:21" x14ac:dyDescent="0.25">
      <c r="A159" s="9" t="s">
        <v>19</v>
      </c>
      <c r="B159" s="9" t="s">
        <v>58</v>
      </c>
      <c r="C159" s="9" t="s">
        <v>192</v>
      </c>
      <c r="D159" s="9" t="s">
        <v>193</v>
      </c>
      <c r="E159" s="9" t="s">
        <v>422</v>
      </c>
      <c r="F159" s="9" t="s">
        <v>421</v>
      </c>
      <c r="G159" s="9" t="s">
        <v>145</v>
      </c>
      <c r="H159" s="9" t="s">
        <v>420</v>
      </c>
      <c r="I159" s="9" t="s">
        <v>197</v>
      </c>
      <c r="J159" s="9" t="s">
        <v>66</v>
      </c>
      <c r="K159" s="9" t="s">
        <v>334</v>
      </c>
      <c r="L159" s="9" t="s">
        <v>178</v>
      </c>
      <c r="M159" s="11">
        <v>41.7</v>
      </c>
      <c r="N159" s="9" t="s">
        <v>68</v>
      </c>
      <c r="O159" s="9" t="s">
        <v>199</v>
      </c>
      <c r="P159" s="9" t="s">
        <v>70</v>
      </c>
      <c r="Q159" s="11">
        <v>3.13</v>
      </c>
      <c r="R159" s="9" t="s">
        <v>71</v>
      </c>
      <c r="S159" s="9" t="s">
        <v>0</v>
      </c>
      <c r="T159" s="9" t="s">
        <v>0</v>
      </c>
      <c r="U159" s="9" t="s">
        <v>72</v>
      </c>
    </row>
    <row r="160" spans="1:21" x14ac:dyDescent="0.25">
      <c r="A160" s="10" t="s">
        <v>19</v>
      </c>
      <c r="B160" s="10" t="s">
        <v>58</v>
      </c>
      <c r="C160" s="10" t="s">
        <v>192</v>
      </c>
      <c r="D160" s="10" t="s">
        <v>193</v>
      </c>
      <c r="E160" s="10" t="s">
        <v>419</v>
      </c>
      <c r="F160" s="10" t="s">
        <v>418</v>
      </c>
      <c r="G160" s="10" t="s">
        <v>145</v>
      </c>
      <c r="H160" s="10" t="s">
        <v>417</v>
      </c>
      <c r="I160" s="10" t="s">
        <v>197</v>
      </c>
      <c r="J160" s="10" t="s">
        <v>125</v>
      </c>
      <c r="K160" s="10" t="s">
        <v>290</v>
      </c>
      <c r="L160" s="10" t="s">
        <v>178</v>
      </c>
      <c r="M160" s="12">
        <v>51.85</v>
      </c>
      <c r="N160" s="10" t="s">
        <v>68</v>
      </c>
      <c r="O160" s="10" t="s">
        <v>199</v>
      </c>
      <c r="P160" s="10" t="s">
        <v>70</v>
      </c>
      <c r="Q160" s="12">
        <v>3.89</v>
      </c>
      <c r="R160" s="10" t="s">
        <v>71</v>
      </c>
      <c r="S160" s="10" t="s">
        <v>0</v>
      </c>
      <c r="T160" s="10" t="s">
        <v>0</v>
      </c>
      <c r="U160" s="10" t="s">
        <v>126</v>
      </c>
    </row>
    <row r="161" spans="1:21" x14ac:dyDescent="0.25">
      <c r="A161" s="9" t="s">
        <v>18</v>
      </c>
      <c r="B161" s="9" t="s">
        <v>58</v>
      </c>
      <c r="C161" s="9" t="s">
        <v>384</v>
      </c>
      <c r="D161" s="9" t="s">
        <v>383</v>
      </c>
      <c r="E161" s="9" t="s">
        <v>416</v>
      </c>
      <c r="F161" s="9" t="s">
        <v>415</v>
      </c>
      <c r="G161" s="9" t="s">
        <v>145</v>
      </c>
      <c r="H161" s="9" t="s">
        <v>414</v>
      </c>
      <c r="I161" s="9" t="s">
        <v>197</v>
      </c>
      <c r="J161" s="9" t="s">
        <v>271</v>
      </c>
      <c r="K161" s="9" t="s">
        <v>413</v>
      </c>
      <c r="L161" s="9" t="s">
        <v>178</v>
      </c>
      <c r="M161" s="11">
        <v>153.77000000000001</v>
      </c>
      <c r="N161" s="9" t="s">
        <v>68</v>
      </c>
      <c r="O161" s="9" t="s">
        <v>412</v>
      </c>
      <c r="P161" s="9" t="s">
        <v>70</v>
      </c>
      <c r="Q161" s="11">
        <v>36.9</v>
      </c>
      <c r="R161" s="9" t="s">
        <v>71</v>
      </c>
      <c r="S161" s="9" t="s">
        <v>0</v>
      </c>
      <c r="T161" s="9" t="s">
        <v>0</v>
      </c>
      <c r="U161" s="9" t="s">
        <v>274</v>
      </c>
    </row>
    <row r="162" spans="1:21" x14ac:dyDescent="0.25">
      <c r="A162" s="10" t="s">
        <v>19</v>
      </c>
      <c r="B162" s="10" t="s">
        <v>58</v>
      </c>
      <c r="C162" s="10" t="s">
        <v>411</v>
      </c>
      <c r="D162" s="10" t="s">
        <v>410</v>
      </c>
      <c r="E162" s="10" t="s">
        <v>409</v>
      </c>
      <c r="F162" s="10" t="s">
        <v>408</v>
      </c>
      <c r="G162" s="10" t="s">
        <v>63</v>
      </c>
      <c r="H162" s="10" t="s">
        <v>407</v>
      </c>
      <c r="I162" s="10" t="s">
        <v>65</v>
      </c>
      <c r="J162" s="10" t="s">
        <v>406</v>
      </c>
      <c r="K162" s="10" t="s">
        <v>104</v>
      </c>
      <c r="L162" s="10" t="s">
        <v>178</v>
      </c>
      <c r="M162" s="12">
        <v>48.66</v>
      </c>
      <c r="N162" s="10" t="s">
        <v>68</v>
      </c>
      <c r="O162" s="10" t="s">
        <v>356</v>
      </c>
      <c r="P162" s="10" t="s">
        <v>70</v>
      </c>
      <c r="Q162" s="12">
        <v>30.41</v>
      </c>
      <c r="R162" s="10" t="s">
        <v>71</v>
      </c>
      <c r="S162" s="10" t="s">
        <v>0</v>
      </c>
      <c r="T162" s="10" t="s">
        <v>0</v>
      </c>
      <c r="U162" s="10" t="s">
        <v>405</v>
      </c>
    </row>
    <row r="163" spans="1:21" x14ac:dyDescent="0.25">
      <c r="A163" s="9" t="s">
        <v>19</v>
      </c>
      <c r="B163" s="9" t="s">
        <v>58</v>
      </c>
      <c r="C163" s="9" t="s">
        <v>411</v>
      </c>
      <c r="D163" s="9" t="s">
        <v>410</v>
      </c>
      <c r="E163" s="9" t="s">
        <v>409</v>
      </c>
      <c r="F163" s="9" t="s">
        <v>408</v>
      </c>
      <c r="G163" s="9" t="s">
        <v>63</v>
      </c>
      <c r="H163" s="9" t="s">
        <v>407</v>
      </c>
      <c r="I163" s="9" t="s">
        <v>65</v>
      </c>
      <c r="J163" s="9" t="s">
        <v>406</v>
      </c>
      <c r="K163" s="9" t="s">
        <v>104</v>
      </c>
      <c r="L163" s="9" t="s">
        <v>178</v>
      </c>
      <c r="M163" s="11">
        <v>4.75</v>
      </c>
      <c r="N163" s="9" t="s">
        <v>68</v>
      </c>
      <c r="O163" s="9" t="s">
        <v>356</v>
      </c>
      <c r="P163" s="9" t="s">
        <v>70</v>
      </c>
      <c r="Q163" s="11">
        <v>2.97</v>
      </c>
      <c r="R163" s="9" t="s">
        <v>71</v>
      </c>
      <c r="S163" s="9" t="s">
        <v>0</v>
      </c>
      <c r="T163" s="9" t="s">
        <v>0</v>
      </c>
      <c r="U163" s="9" t="s">
        <v>405</v>
      </c>
    </row>
    <row r="164" spans="1:21" x14ac:dyDescent="0.25">
      <c r="A164" s="10" t="s">
        <v>19</v>
      </c>
      <c r="B164" s="10" t="s">
        <v>58</v>
      </c>
      <c r="C164" s="10" t="s">
        <v>266</v>
      </c>
      <c r="D164" s="10" t="s">
        <v>267</v>
      </c>
      <c r="E164" s="10" t="s">
        <v>404</v>
      </c>
      <c r="F164" s="10" t="s">
        <v>403</v>
      </c>
      <c r="G164" s="10" t="s">
        <v>63</v>
      </c>
      <c r="H164" s="10" t="s">
        <v>402</v>
      </c>
      <c r="I164" s="10" t="s">
        <v>197</v>
      </c>
      <c r="J164" s="10" t="s">
        <v>66</v>
      </c>
      <c r="K164" s="10" t="s">
        <v>401</v>
      </c>
      <c r="L164" s="10" t="s">
        <v>178</v>
      </c>
      <c r="M164" s="12">
        <v>48.45</v>
      </c>
      <c r="N164" s="10" t="s">
        <v>68</v>
      </c>
      <c r="O164" s="10" t="s">
        <v>69</v>
      </c>
      <c r="P164" s="10" t="s">
        <v>70</v>
      </c>
      <c r="Q164" s="12">
        <v>48.45</v>
      </c>
      <c r="R164" s="10" t="s">
        <v>71</v>
      </c>
      <c r="S164" s="10" t="s">
        <v>0</v>
      </c>
      <c r="T164" s="10" t="s">
        <v>0</v>
      </c>
      <c r="U164" s="10" t="s">
        <v>72</v>
      </c>
    </row>
    <row r="165" spans="1:21" x14ac:dyDescent="0.25">
      <c r="A165" s="9" t="s">
        <v>19</v>
      </c>
      <c r="B165" s="9" t="s">
        <v>58</v>
      </c>
      <c r="C165" s="9" t="s">
        <v>127</v>
      </c>
      <c r="D165" s="9" t="s">
        <v>128</v>
      </c>
      <c r="E165" s="9" t="s">
        <v>400</v>
      </c>
      <c r="F165" s="9" t="s">
        <v>399</v>
      </c>
      <c r="G165" s="9" t="s">
        <v>145</v>
      </c>
      <c r="H165" s="9" t="s">
        <v>398</v>
      </c>
      <c r="I165" s="9" t="s">
        <v>78</v>
      </c>
      <c r="J165" s="9" t="s">
        <v>79</v>
      </c>
      <c r="K165" s="9" t="s">
        <v>397</v>
      </c>
      <c r="L165" s="9" t="s">
        <v>67</v>
      </c>
      <c r="M165" s="11">
        <v>32.130000000000003</v>
      </c>
      <c r="N165" s="9" t="s">
        <v>68</v>
      </c>
      <c r="O165" s="9" t="s">
        <v>156</v>
      </c>
      <c r="P165" s="9" t="s">
        <v>70</v>
      </c>
      <c r="Q165" s="11">
        <v>1.1200000000000001</v>
      </c>
      <c r="R165" s="9" t="s">
        <v>71</v>
      </c>
      <c r="S165" s="9" t="s">
        <v>0</v>
      </c>
      <c r="T165" s="9" t="s">
        <v>0</v>
      </c>
      <c r="U165" s="9" t="s">
        <v>83</v>
      </c>
    </row>
    <row r="166" spans="1:21" x14ac:dyDescent="0.25">
      <c r="A166" s="10" t="s">
        <v>19</v>
      </c>
      <c r="B166" s="10" t="s">
        <v>58</v>
      </c>
      <c r="C166" s="10" t="s">
        <v>127</v>
      </c>
      <c r="D166" s="10" t="s">
        <v>128</v>
      </c>
      <c r="E166" s="10" t="s">
        <v>396</v>
      </c>
      <c r="F166" s="10" t="s">
        <v>395</v>
      </c>
      <c r="G166" s="10" t="s">
        <v>145</v>
      </c>
      <c r="H166" s="10" t="s">
        <v>394</v>
      </c>
      <c r="I166" s="10" t="s">
        <v>78</v>
      </c>
      <c r="J166" s="10" t="s">
        <v>79</v>
      </c>
      <c r="K166" s="10" t="s">
        <v>393</v>
      </c>
      <c r="L166" s="10" t="s">
        <v>67</v>
      </c>
      <c r="M166" s="12">
        <v>27.63</v>
      </c>
      <c r="N166" s="10" t="s">
        <v>68</v>
      </c>
      <c r="O166" s="10" t="s">
        <v>156</v>
      </c>
      <c r="P166" s="10" t="s">
        <v>70</v>
      </c>
      <c r="Q166" s="12">
        <v>0.97</v>
      </c>
      <c r="R166" s="10" t="s">
        <v>71</v>
      </c>
      <c r="S166" s="10" t="s">
        <v>0</v>
      </c>
      <c r="T166" s="10" t="s">
        <v>0</v>
      </c>
      <c r="U166" s="10" t="s">
        <v>83</v>
      </c>
    </row>
    <row r="167" spans="1:21" x14ac:dyDescent="0.25">
      <c r="A167" s="9" t="s">
        <v>19</v>
      </c>
      <c r="B167" s="9" t="s">
        <v>58</v>
      </c>
      <c r="C167" s="9" t="s">
        <v>266</v>
      </c>
      <c r="D167" s="9" t="s">
        <v>267</v>
      </c>
      <c r="E167" s="9" t="s">
        <v>392</v>
      </c>
      <c r="F167" s="9" t="s">
        <v>391</v>
      </c>
      <c r="G167" s="9" t="s">
        <v>63</v>
      </c>
      <c r="H167" s="9" t="s">
        <v>390</v>
      </c>
      <c r="I167" s="9" t="s">
        <v>197</v>
      </c>
      <c r="J167" s="9" t="s">
        <v>66</v>
      </c>
      <c r="K167" s="9" t="s">
        <v>390</v>
      </c>
      <c r="L167" s="9" t="s">
        <v>81</v>
      </c>
      <c r="M167" s="11">
        <v>37.72</v>
      </c>
      <c r="N167" s="9" t="s">
        <v>68</v>
      </c>
      <c r="O167" s="9" t="s">
        <v>69</v>
      </c>
      <c r="P167" s="9" t="s">
        <v>70</v>
      </c>
      <c r="Q167" s="11">
        <v>37.72</v>
      </c>
      <c r="R167" s="9" t="s">
        <v>71</v>
      </c>
      <c r="S167" s="9" t="s">
        <v>0</v>
      </c>
      <c r="T167" s="9" t="s">
        <v>0</v>
      </c>
      <c r="U167" s="9" t="s">
        <v>72</v>
      </c>
    </row>
    <row r="168" spans="1:21" x14ac:dyDescent="0.25">
      <c r="A168" s="10" t="s">
        <v>19</v>
      </c>
      <c r="B168" s="10" t="s">
        <v>58</v>
      </c>
      <c r="C168" s="10" t="s">
        <v>389</v>
      </c>
      <c r="D168" s="10" t="s">
        <v>388</v>
      </c>
      <c r="E168" s="10" t="s">
        <v>387</v>
      </c>
      <c r="F168" s="10" t="s">
        <v>386</v>
      </c>
      <c r="G168" s="10" t="s">
        <v>63</v>
      </c>
      <c r="H168" s="10" t="s">
        <v>385</v>
      </c>
      <c r="I168" s="10" t="s">
        <v>65</v>
      </c>
      <c r="J168" s="10" t="s">
        <v>282</v>
      </c>
      <c r="K168" s="10" t="s">
        <v>342</v>
      </c>
      <c r="L168" s="10" t="s">
        <v>178</v>
      </c>
      <c r="M168" s="12">
        <v>88.75</v>
      </c>
      <c r="N168" s="10" t="s">
        <v>68</v>
      </c>
      <c r="O168" s="10" t="s">
        <v>69</v>
      </c>
      <c r="P168" s="10" t="s">
        <v>70</v>
      </c>
      <c r="Q168" s="12">
        <v>88.75</v>
      </c>
      <c r="R168" s="10" t="s">
        <v>71</v>
      </c>
      <c r="S168" s="10" t="s">
        <v>0</v>
      </c>
      <c r="T168" s="10" t="s">
        <v>0</v>
      </c>
      <c r="U168" s="10" t="s">
        <v>283</v>
      </c>
    </row>
    <row r="169" spans="1:21" x14ac:dyDescent="0.25">
      <c r="A169" s="9" t="s">
        <v>19</v>
      </c>
      <c r="B169" s="9" t="s">
        <v>96</v>
      </c>
      <c r="C169" s="9" t="s">
        <v>384</v>
      </c>
      <c r="D169" s="9" t="s">
        <v>383</v>
      </c>
      <c r="E169" s="9" t="s">
        <v>382</v>
      </c>
      <c r="F169" s="9" t="s">
        <v>381</v>
      </c>
      <c r="G169" s="9" t="s">
        <v>145</v>
      </c>
      <c r="H169" s="9" t="s">
        <v>380</v>
      </c>
      <c r="I169" s="9" t="s">
        <v>197</v>
      </c>
      <c r="J169" s="9" t="s">
        <v>121</v>
      </c>
      <c r="K169" s="9" t="s">
        <v>379</v>
      </c>
      <c r="L169" s="9" t="s">
        <v>105</v>
      </c>
      <c r="M169" s="11">
        <v>-90.1</v>
      </c>
      <c r="N169" s="9" t="s">
        <v>68</v>
      </c>
      <c r="O169" s="9" t="s">
        <v>156</v>
      </c>
      <c r="P169" s="9" t="s">
        <v>70</v>
      </c>
      <c r="Q169" s="11">
        <v>-3.15</v>
      </c>
      <c r="R169" s="9" t="s">
        <v>71</v>
      </c>
      <c r="S169" s="9" t="s">
        <v>0</v>
      </c>
      <c r="T169" s="9" t="s">
        <v>0</v>
      </c>
      <c r="U169" s="9" t="s">
        <v>378</v>
      </c>
    </row>
    <row r="170" spans="1:21" x14ac:dyDescent="0.25">
      <c r="A170" s="10" t="s">
        <v>19</v>
      </c>
      <c r="B170" s="10" t="s">
        <v>96</v>
      </c>
      <c r="C170" s="10" t="s">
        <v>384</v>
      </c>
      <c r="D170" s="10" t="s">
        <v>383</v>
      </c>
      <c r="E170" s="10" t="s">
        <v>382</v>
      </c>
      <c r="F170" s="10" t="s">
        <v>381</v>
      </c>
      <c r="G170" s="10" t="s">
        <v>145</v>
      </c>
      <c r="H170" s="10" t="s">
        <v>380</v>
      </c>
      <c r="I170" s="10" t="s">
        <v>197</v>
      </c>
      <c r="J170" s="10" t="s">
        <v>121</v>
      </c>
      <c r="K170" s="10" t="s">
        <v>379</v>
      </c>
      <c r="L170" s="10" t="s">
        <v>178</v>
      </c>
      <c r="M170" s="12">
        <v>-90.1</v>
      </c>
      <c r="N170" s="10" t="s">
        <v>68</v>
      </c>
      <c r="O170" s="10" t="s">
        <v>156</v>
      </c>
      <c r="P170" s="10" t="s">
        <v>70</v>
      </c>
      <c r="Q170" s="12">
        <v>-3.15</v>
      </c>
      <c r="R170" s="10" t="s">
        <v>71</v>
      </c>
      <c r="S170" s="10" t="s">
        <v>0</v>
      </c>
      <c r="T170" s="10" t="s">
        <v>0</v>
      </c>
      <c r="U170" s="10" t="s">
        <v>378</v>
      </c>
    </row>
    <row r="171" spans="1:21" x14ac:dyDescent="0.25">
      <c r="A171" s="9" t="s">
        <v>19</v>
      </c>
      <c r="B171" s="9" t="s">
        <v>58</v>
      </c>
      <c r="C171" s="9" t="s">
        <v>377</v>
      </c>
      <c r="D171" s="9" t="s">
        <v>376</v>
      </c>
      <c r="E171" s="9" t="s">
        <v>375</v>
      </c>
      <c r="F171" s="9" t="s">
        <v>374</v>
      </c>
      <c r="G171" s="9" t="s">
        <v>63</v>
      </c>
      <c r="H171" s="9" t="s">
        <v>373</v>
      </c>
      <c r="I171" s="9" t="s">
        <v>65</v>
      </c>
      <c r="J171" s="9" t="s">
        <v>282</v>
      </c>
      <c r="K171" s="9" t="s">
        <v>372</v>
      </c>
      <c r="L171" s="9" t="s">
        <v>178</v>
      </c>
      <c r="M171" s="11">
        <v>59.16</v>
      </c>
      <c r="N171" s="9" t="s">
        <v>68</v>
      </c>
      <c r="O171" s="9" t="s">
        <v>142</v>
      </c>
      <c r="P171" s="9" t="s">
        <v>70</v>
      </c>
      <c r="Q171" s="11">
        <v>62.12</v>
      </c>
      <c r="R171" s="9" t="s">
        <v>71</v>
      </c>
      <c r="S171" s="9" t="s">
        <v>0</v>
      </c>
      <c r="T171" s="9" t="s">
        <v>0</v>
      </c>
      <c r="U171" s="9" t="s">
        <v>283</v>
      </c>
    </row>
    <row r="172" spans="1:21" x14ac:dyDescent="0.25">
      <c r="A172" s="10" t="s">
        <v>19</v>
      </c>
      <c r="B172" s="10" t="s">
        <v>58</v>
      </c>
      <c r="C172" s="10" t="s">
        <v>165</v>
      </c>
      <c r="D172" s="10" t="s">
        <v>166</v>
      </c>
      <c r="E172" s="10" t="s">
        <v>371</v>
      </c>
      <c r="F172" s="10" t="s">
        <v>370</v>
      </c>
      <c r="G172" s="10" t="s">
        <v>63</v>
      </c>
      <c r="H172" s="10" t="s">
        <v>369</v>
      </c>
      <c r="I172" s="10" t="s">
        <v>263</v>
      </c>
      <c r="J172" s="10" t="s">
        <v>66</v>
      </c>
      <c r="K172" s="10" t="s">
        <v>120</v>
      </c>
      <c r="L172" s="10" t="s">
        <v>67</v>
      </c>
      <c r="M172" s="12">
        <v>41.84</v>
      </c>
      <c r="N172" s="10" t="s">
        <v>68</v>
      </c>
      <c r="O172" s="10" t="s">
        <v>174</v>
      </c>
      <c r="P172" s="10" t="s">
        <v>70</v>
      </c>
      <c r="Q172" s="12">
        <v>39.75</v>
      </c>
      <c r="R172" s="10" t="s">
        <v>71</v>
      </c>
      <c r="S172" s="10" t="s">
        <v>0</v>
      </c>
      <c r="T172" s="10" t="s">
        <v>0</v>
      </c>
      <c r="U172" s="10" t="s">
        <v>72</v>
      </c>
    </row>
    <row r="173" spans="1:21" x14ac:dyDescent="0.25">
      <c r="A173" s="9" t="s">
        <v>18</v>
      </c>
      <c r="B173" s="9" t="s">
        <v>58</v>
      </c>
      <c r="C173" s="9" t="s">
        <v>284</v>
      </c>
      <c r="D173" s="9" t="s">
        <v>285</v>
      </c>
      <c r="E173" s="9" t="s">
        <v>368</v>
      </c>
      <c r="F173" s="9" t="s">
        <v>367</v>
      </c>
      <c r="G173" s="9" t="s">
        <v>63</v>
      </c>
      <c r="H173" s="9" t="s">
        <v>366</v>
      </c>
      <c r="I173" s="9" t="s">
        <v>197</v>
      </c>
      <c r="J173" s="9" t="s">
        <v>271</v>
      </c>
      <c r="K173" s="9" t="s">
        <v>104</v>
      </c>
      <c r="L173" s="9" t="s">
        <v>178</v>
      </c>
      <c r="M173" s="11">
        <v>167.68</v>
      </c>
      <c r="N173" s="9" t="s">
        <v>68</v>
      </c>
      <c r="O173" s="9" t="s">
        <v>273</v>
      </c>
      <c r="P173" s="9" t="s">
        <v>70</v>
      </c>
      <c r="Q173" s="11">
        <v>41.92</v>
      </c>
      <c r="R173" s="9" t="s">
        <v>71</v>
      </c>
      <c r="S173" s="9" t="s">
        <v>0</v>
      </c>
      <c r="T173" s="9" t="s">
        <v>0</v>
      </c>
      <c r="U173" s="9" t="s">
        <v>274</v>
      </c>
    </row>
    <row r="174" spans="1:21" x14ac:dyDescent="0.25">
      <c r="A174" s="10" t="s">
        <v>18</v>
      </c>
      <c r="B174" s="10" t="s">
        <v>58</v>
      </c>
      <c r="C174" s="10" t="s">
        <v>266</v>
      </c>
      <c r="D174" s="10" t="s">
        <v>267</v>
      </c>
      <c r="E174" s="10" t="s">
        <v>365</v>
      </c>
      <c r="F174" s="10" t="s">
        <v>364</v>
      </c>
      <c r="G174" s="10" t="s">
        <v>63</v>
      </c>
      <c r="H174" s="10" t="s">
        <v>363</v>
      </c>
      <c r="I174" s="10" t="s">
        <v>197</v>
      </c>
      <c r="J174" s="10" t="s">
        <v>289</v>
      </c>
      <c r="K174" s="10" t="s">
        <v>342</v>
      </c>
      <c r="L174" s="10" t="s">
        <v>178</v>
      </c>
      <c r="M174" s="12">
        <v>168.35</v>
      </c>
      <c r="N174" s="10" t="s">
        <v>68</v>
      </c>
      <c r="O174" s="10" t="s">
        <v>362</v>
      </c>
      <c r="P174" s="10" t="s">
        <v>70</v>
      </c>
      <c r="Q174" s="12">
        <v>50.51</v>
      </c>
      <c r="R174" s="10" t="s">
        <v>71</v>
      </c>
      <c r="S174" s="10" t="s">
        <v>0</v>
      </c>
      <c r="T174" s="10" t="s">
        <v>0</v>
      </c>
      <c r="U174" s="10" t="s">
        <v>292</v>
      </c>
    </row>
    <row r="175" spans="1:21" x14ac:dyDescent="0.25">
      <c r="A175" s="9" t="s">
        <v>19</v>
      </c>
      <c r="B175" s="9" t="s">
        <v>58</v>
      </c>
      <c r="C175" s="9" t="s">
        <v>266</v>
      </c>
      <c r="D175" s="9" t="s">
        <v>267</v>
      </c>
      <c r="E175" s="9" t="s">
        <v>361</v>
      </c>
      <c r="F175" s="9" t="s">
        <v>360</v>
      </c>
      <c r="G175" s="9" t="s">
        <v>63</v>
      </c>
      <c r="H175" s="9" t="s">
        <v>359</v>
      </c>
      <c r="I175" s="9" t="s">
        <v>197</v>
      </c>
      <c r="J175" s="9" t="s">
        <v>91</v>
      </c>
      <c r="K175" s="9" t="s">
        <v>358</v>
      </c>
      <c r="L175" s="9" t="s">
        <v>357</v>
      </c>
      <c r="M175" s="11">
        <v>4.7</v>
      </c>
      <c r="N175" s="9" t="s">
        <v>68</v>
      </c>
      <c r="O175" s="9" t="s">
        <v>356</v>
      </c>
      <c r="P175" s="9" t="s">
        <v>70</v>
      </c>
      <c r="Q175" s="11">
        <v>2.94</v>
      </c>
      <c r="R175" s="9" t="s">
        <v>71</v>
      </c>
      <c r="S175" s="9" t="s">
        <v>0</v>
      </c>
      <c r="T175" s="9" t="s">
        <v>0</v>
      </c>
      <c r="U175" s="9" t="s">
        <v>95</v>
      </c>
    </row>
    <row r="176" spans="1:21" x14ac:dyDescent="0.25">
      <c r="A176" s="10" t="s">
        <v>19</v>
      </c>
      <c r="B176" s="10" t="s">
        <v>58</v>
      </c>
      <c r="C176" s="10" t="s">
        <v>266</v>
      </c>
      <c r="D176" s="10" t="s">
        <v>267</v>
      </c>
      <c r="E176" s="10" t="s">
        <v>361</v>
      </c>
      <c r="F176" s="10" t="s">
        <v>360</v>
      </c>
      <c r="G176" s="10" t="s">
        <v>63</v>
      </c>
      <c r="H176" s="10" t="s">
        <v>359</v>
      </c>
      <c r="I176" s="10" t="s">
        <v>197</v>
      </c>
      <c r="J176" s="10" t="s">
        <v>91</v>
      </c>
      <c r="K176" s="10" t="s">
        <v>358</v>
      </c>
      <c r="L176" s="10" t="s">
        <v>357</v>
      </c>
      <c r="M176" s="12">
        <v>1.04</v>
      </c>
      <c r="N176" s="10" t="s">
        <v>68</v>
      </c>
      <c r="O176" s="10" t="s">
        <v>356</v>
      </c>
      <c r="P176" s="10" t="s">
        <v>70</v>
      </c>
      <c r="Q176" s="12">
        <v>0.65</v>
      </c>
      <c r="R176" s="10" t="s">
        <v>71</v>
      </c>
      <c r="S176" s="10" t="s">
        <v>0</v>
      </c>
      <c r="T176" s="10" t="s">
        <v>0</v>
      </c>
      <c r="U176" s="10" t="s">
        <v>95</v>
      </c>
    </row>
    <row r="177" spans="1:21" x14ac:dyDescent="0.25">
      <c r="A177" s="9" t="s">
        <v>19</v>
      </c>
      <c r="B177" s="9" t="s">
        <v>58</v>
      </c>
      <c r="C177" s="9" t="s">
        <v>266</v>
      </c>
      <c r="D177" s="9" t="s">
        <v>267</v>
      </c>
      <c r="E177" s="9" t="s">
        <v>361</v>
      </c>
      <c r="F177" s="9" t="s">
        <v>360</v>
      </c>
      <c r="G177" s="9" t="s">
        <v>63</v>
      </c>
      <c r="H177" s="9" t="s">
        <v>359</v>
      </c>
      <c r="I177" s="9" t="s">
        <v>197</v>
      </c>
      <c r="J177" s="9" t="s">
        <v>91</v>
      </c>
      <c r="K177" s="9" t="s">
        <v>358</v>
      </c>
      <c r="L177" s="9" t="s">
        <v>357</v>
      </c>
      <c r="M177" s="11">
        <v>10.5</v>
      </c>
      <c r="N177" s="9" t="s">
        <v>68</v>
      </c>
      <c r="O177" s="9" t="s">
        <v>356</v>
      </c>
      <c r="P177" s="9" t="s">
        <v>70</v>
      </c>
      <c r="Q177" s="11">
        <v>6.56</v>
      </c>
      <c r="R177" s="9" t="s">
        <v>71</v>
      </c>
      <c r="S177" s="9" t="s">
        <v>0</v>
      </c>
      <c r="T177" s="9" t="s">
        <v>0</v>
      </c>
      <c r="U177" s="9" t="s">
        <v>95</v>
      </c>
    </row>
    <row r="178" spans="1:21" x14ac:dyDescent="0.25">
      <c r="A178" s="10" t="s">
        <v>19</v>
      </c>
      <c r="B178" s="10" t="s">
        <v>58</v>
      </c>
      <c r="C178" s="10" t="s">
        <v>161</v>
      </c>
      <c r="D178" s="10" t="s">
        <v>162</v>
      </c>
      <c r="E178" s="10" t="s">
        <v>355</v>
      </c>
      <c r="F178" s="10" t="s">
        <v>354</v>
      </c>
      <c r="G178" s="10" t="s">
        <v>63</v>
      </c>
      <c r="H178" s="10" t="s">
        <v>353</v>
      </c>
      <c r="I178" s="10" t="s">
        <v>65</v>
      </c>
      <c r="J178" s="10" t="s">
        <v>352</v>
      </c>
      <c r="K178" s="10" t="s">
        <v>351</v>
      </c>
      <c r="L178" s="10" t="s">
        <v>67</v>
      </c>
      <c r="M178" s="12">
        <v>69.83</v>
      </c>
      <c r="N178" s="10" t="s">
        <v>68</v>
      </c>
      <c r="O178" s="10" t="s">
        <v>106</v>
      </c>
      <c r="P178" s="10" t="s">
        <v>70</v>
      </c>
      <c r="Q178" s="12">
        <v>40.5</v>
      </c>
      <c r="R178" s="10" t="s">
        <v>71</v>
      </c>
      <c r="S178" s="10" t="s">
        <v>0</v>
      </c>
      <c r="T178" s="10" t="s">
        <v>0</v>
      </c>
      <c r="U178" s="10" t="s">
        <v>350</v>
      </c>
    </row>
    <row r="179" spans="1:21" x14ac:dyDescent="0.25">
      <c r="A179" s="9" t="s">
        <v>19</v>
      </c>
      <c r="B179" s="9" t="s">
        <v>58</v>
      </c>
      <c r="C179" s="9" t="s">
        <v>127</v>
      </c>
      <c r="D179" s="9" t="s">
        <v>128</v>
      </c>
      <c r="E179" s="9" t="s">
        <v>348</v>
      </c>
      <c r="F179" s="9" t="s">
        <v>349</v>
      </c>
      <c r="G179" s="9" t="s">
        <v>145</v>
      </c>
      <c r="H179" s="9" t="s">
        <v>346</v>
      </c>
      <c r="I179" s="9" t="s">
        <v>78</v>
      </c>
      <c r="J179" s="9" t="s">
        <v>184</v>
      </c>
      <c r="K179" s="9" t="s">
        <v>288</v>
      </c>
      <c r="L179" s="9" t="s">
        <v>81</v>
      </c>
      <c r="M179" s="11">
        <v>12.47</v>
      </c>
      <c r="N179" s="9" t="s">
        <v>68</v>
      </c>
      <c r="O179" s="9" t="s">
        <v>256</v>
      </c>
      <c r="P179" s="9" t="s">
        <v>70</v>
      </c>
      <c r="Q179" s="11">
        <v>1.37</v>
      </c>
      <c r="R179" s="9" t="s">
        <v>71</v>
      </c>
      <c r="S179" s="9" t="s">
        <v>0</v>
      </c>
      <c r="T179" s="9" t="s">
        <v>0</v>
      </c>
      <c r="U179" s="9" t="s">
        <v>187</v>
      </c>
    </row>
    <row r="180" spans="1:21" x14ac:dyDescent="0.25">
      <c r="A180" s="10" t="s">
        <v>19</v>
      </c>
      <c r="B180" s="10" t="s">
        <v>58</v>
      </c>
      <c r="C180" s="10" t="s">
        <v>127</v>
      </c>
      <c r="D180" s="10" t="s">
        <v>128</v>
      </c>
      <c r="E180" s="10" t="s">
        <v>348</v>
      </c>
      <c r="F180" s="10" t="s">
        <v>349</v>
      </c>
      <c r="G180" s="10" t="s">
        <v>145</v>
      </c>
      <c r="H180" s="10" t="s">
        <v>346</v>
      </c>
      <c r="I180" s="10" t="s">
        <v>78</v>
      </c>
      <c r="J180" s="10" t="s">
        <v>184</v>
      </c>
      <c r="K180" s="10" t="s">
        <v>288</v>
      </c>
      <c r="L180" s="10" t="s">
        <v>81</v>
      </c>
      <c r="M180" s="12">
        <v>19.7</v>
      </c>
      <c r="N180" s="10" t="s">
        <v>68</v>
      </c>
      <c r="O180" s="10" t="s">
        <v>256</v>
      </c>
      <c r="P180" s="10" t="s">
        <v>70</v>
      </c>
      <c r="Q180" s="12">
        <v>2.17</v>
      </c>
      <c r="R180" s="10" t="s">
        <v>71</v>
      </c>
      <c r="S180" s="10" t="s">
        <v>0</v>
      </c>
      <c r="T180" s="10" t="s">
        <v>0</v>
      </c>
      <c r="U180" s="10" t="s">
        <v>187</v>
      </c>
    </row>
    <row r="181" spans="1:21" x14ac:dyDescent="0.25">
      <c r="A181" s="9" t="s">
        <v>19</v>
      </c>
      <c r="B181" s="9" t="s">
        <v>58</v>
      </c>
      <c r="C181" s="9" t="s">
        <v>127</v>
      </c>
      <c r="D181" s="9" t="s">
        <v>128</v>
      </c>
      <c r="E181" s="9" t="s">
        <v>348</v>
      </c>
      <c r="F181" s="9" t="s">
        <v>347</v>
      </c>
      <c r="G181" s="9" t="s">
        <v>145</v>
      </c>
      <c r="H181" s="9" t="s">
        <v>346</v>
      </c>
      <c r="I181" s="9" t="s">
        <v>78</v>
      </c>
      <c r="J181" s="9" t="s">
        <v>79</v>
      </c>
      <c r="K181" s="9" t="s">
        <v>288</v>
      </c>
      <c r="L181" s="9" t="s">
        <v>81</v>
      </c>
      <c r="M181" s="11">
        <v>27.63</v>
      </c>
      <c r="N181" s="9" t="s">
        <v>68</v>
      </c>
      <c r="O181" s="9" t="s">
        <v>156</v>
      </c>
      <c r="P181" s="9" t="s">
        <v>70</v>
      </c>
      <c r="Q181" s="11">
        <v>0.97</v>
      </c>
      <c r="R181" s="9" t="s">
        <v>71</v>
      </c>
      <c r="S181" s="9" t="s">
        <v>0</v>
      </c>
      <c r="T181" s="9" t="s">
        <v>0</v>
      </c>
      <c r="U181" s="9" t="s">
        <v>83</v>
      </c>
    </row>
    <row r="182" spans="1:21" x14ac:dyDescent="0.25">
      <c r="A182" s="10" t="s">
        <v>19</v>
      </c>
      <c r="B182" s="10" t="s">
        <v>58</v>
      </c>
      <c r="C182" s="10" t="s">
        <v>161</v>
      </c>
      <c r="D182" s="10" t="s">
        <v>162</v>
      </c>
      <c r="E182" s="10" t="s">
        <v>345</v>
      </c>
      <c r="F182" s="10" t="s">
        <v>344</v>
      </c>
      <c r="G182" s="10" t="s">
        <v>63</v>
      </c>
      <c r="H182" s="10" t="s">
        <v>343</v>
      </c>
      <c r="I182" s="10" t="s">
        <v>212</v>
      </c>
      <c r="J182" s="10" t="s">
        <v>228</v>
      </c>
      <c r="K182" s="10" t="s">
        <v>342</v>
      </c>
      <c r="L182" s="10" t="s">
        <v>178</v>
      </c>
      <c r="M182" s="12">
        <v>59.78</v>
      </c>
      <c r="N182" s="10" t="s">
        <v>68</v>
      </c>
      <c r="O182" s="10" t="s">
        <v>82</v>
      </c>
      <c r="P182" s="10" t="s">
        <v>70</v>
      </c>
      <c r="Q182" s="12">
        <v>34.07</v>
      </c>
      <c r="R182" s="10" t="s">
        <v>71</v>
      </c>
      <c r="S182" s="10" t="s">
        <v>0</v>
      </c>
      <c r="T182" s="10" t="s">
        <v>0</v>
      </c>
      <c r="U182" s="10" t="s">
        <v>328</v>
      </c>
    </row>
    <row r="183" spans="1:21" x14ac:dyDescent="0.25">
      <c r="A183" s="9" t="s">
        <v>19</v>
      </c>
      <c r="B183" s="9" t="s">
        <v>58</v>
      </c>
      <c r="C183" s="9" t="s">
        <v>127</v>
      </c>
      <c r="D183" s="9" t="s">
        <v>128</v>
      </c>
      <c r="E183" s="9" t="s">
        <v>341</v>
      </c>
      <c r="F183" s="9" t="s">
        <v>340</v>
      </c>
      <c r="G183" s="9" t="s">
        <v>134</v>
      </c>
      <c r="H183" s="9" t="s">
        <v>222</v>
      </c>
      <c r="I183" s="9" t="s">
        <v>78</v>
      </c>
      <c r="J183" s="9" t="s">
        <v>66</v>
      </c>
      <c r="K183" s="9" t="s">
        <v>105</v>
      </c>
      <c r="L183" s="9" t="s">
        <v>105</v>
      </c>
      <c r="M183" s="11">
        <v>73</v>
      </c>
      <c r="N183" s="9" t="s">
        <v>68</v>
      </c>
      <c r="O183" s="9" t="s">
        <v>174</v>
      </c>
      <c r="P183" s="9" t="s">
        <v>70</v>
      </c>
      <c r="Q183" s="11">
        <v>69.349999999999994</v>
      </c>
      <c r="R183" s="9" t="s">
        <v>71</v>
      </c>
      <c r="S183" s="9" t="s">
        <v>0</v>
      </c>
      <c r="T183" s="9" t="s">
        <v>0</v>
      </c>
      <c r="U183" s="9" t="s">
        <v>72</v>
      </c>
    </row>
    <row r="184" spans="1:21" x14ac:dyDescent="0.25">
      <c r="A184" s="10" t="s">
        <v>18</v>
      </c>
      <c r="B184" s="10" t="s">
        <v>58</v>
      </c>
      <c r="C184" s="10" t="s">
        <v>339</v>
      </c>
      <c r="D184" s="10" t="s">
        <v>338</v>
      </c>
      <c r="E184" s="10" t="s">
        <v>337</v>
      </c>
      <c r="F184" s="10" t="s">
        <v>336</v>
      </c>
      <c r="G184" s="10" t="s">
        <v>145</v>
      </c>
      <c r="H184" s="10" t="s">
        <v>335</v>
      </c>
      <c r="I184" s="10" t="s">
        <v>78</v>
      </c>
      <c r="J184" s="10" t="s">
        <v>289</v>
      </c>
      <c r="K184" s="10" t="s">
        <v>334</v>
      </c>
      <c r="L184" s="10" t="s">
        <v>178</v>
      </c>
      <c r="M184" s="12">
        <v>107.54</v>
      </c>
      <c r="N184" s="10" t="s">
        <v>68</v>
      </c>
      <c r="O184" s="10" t="s">
        <v>291</v>
      </c>
      <c r="P184" s="10" t="s">
        <v>70</v>
      </c>
      <c r="Q184" s="12">
        <v>31.19</v>
      </c>
      <c r="R184" s="10" t="s">
        <v>71</v>
      </c>
      <c r="S184" s="10" t="s">
        <v>0</v>
      </c>
      <c r="T184" s="10" t="s">
        <v>0</v>
      </c>
      <c r="U184" s="10" t="s">
        <v>292</v>
      </c>
    </row>
    <row r="185" spans="1:21" x14ac:dyDescent="0.25">
      <c r="A185" s="9" t="s">
        <v>19</v>
      </c>
      <c r="B185" s="9" t="s">
        <v>96</v>
      </c>
      <c r="C185" s="9" t="s">
        <v>179</v>
      </c>
      <c r="D185" s="9" t="s">
        <v>180</v>
      </c>
      <c r="E185" s="9" t="s">
        <v>181</v>
      </c>
      <c r="F185" s="9" t="s">
        <v>333</v>
      </c>
      <c r="G185" s="9" t="s">
        <v>134</v>
      </c>
      <c r="H185" s="9" t="s">
        <v>183</v>
      </c>
      <c r="I185" s="9" t="s">
        <v>78</v>
      </c>
      <c r="J185" s="9" t="s">
        <v>79</v>
      </c>
      <c r="K185" s="9" t="s">
        <v>173</v>
      </c>
      <c r="L185" s="9" t="s">
        <v>185</v>
      </c>
      <c r="M185" s="11">
        <v>-32.130000000000003</v>
      </c>
      <c r="N185" s="9" t="s">
        <v>68</v>
      </c>
      <c r="O185" s="9" t="s">
        <v>106</v>
      </c>
      <c r="P185" s="9" t="s">
        <v>70</v>
      </c>
      <c r="Q185" s="11">
        <v>-18.64</v>
      </c>
      <c r="R185" s="9" t="s">
        <v>115</v>
      </c>
      <c r="S185" s="9" t="s">
        <v>0</v>
      </c>
      <c r="T185" s="9" t="s">
        <v>0</v>
      </c>
      <c r="U185" s="9" t="s">
        <v>83</v>
      </c>
    </row>
    <row r="186" spans="1:21" x14ac:dyDescent="0.25">
      <c r="A186" s="10" t="s">
        <v>19</v>
      </c>
      <c r="B186" s="10" t="s">
        <v>58</v>
      </c>
      <c r="C186" s="10" t="s">
        <v>165</v>
      </c>
      <c r="D186" s="10" t="s">
        <v>166</v>
      </c>
      <c r="E186" s="10" t="s">
        <v>327</v>
      </c>
      <c r="F186" s="10" t="s">
        <v>332</v>
      </c>
      <c r="G186" s="10" t="s">
        <v>134</v>
      </c>
      <c r="H186" s="10" t="s">
        <v>222</v>
      </c>
      <c r="I186" s="10" t="s">
        <v>325</v>
      </c>
      <c r="J186" s="10" t="s">
        <v>66</v>
      </c>
      <c r="K186" s="10" t="s">
        <v>105</v>
      </c>
      <c r="L186" s="10" t="s">
        <v>105</v>
      </c>
      <c r="M186" s="12">
        <v>32.29</v>
      </c>
      <c r="N186" s="10" t="s">
        <v>68</v>
      </c>
      <c r="O186" s="10" t="s">
        <v>174</v>
      </c>
      <c r="P186" s="10" t="s">
        <v>70</v>
      </c>
      <c r="Q186" s="12">
        <v>30.68</v>
      </c>
      <c r="R186" s="10" t="s">
        <v>71</v>
      </c>
      <c r="S186" s="10" t="s">
        <v>0</v>
      </c>
      <c r="T186" s="10" t="s">
        <v>0</v>
      </c>
      <c r="U186" s="10" t="s">
        <v>331</v>
      </c>
    </row>
    <row r="187" spans="1:21" x14ac:dyDescent="0.25">
      <c r="A187" s="9" t="s">
        <v>19</v>
      </c>
      <c r="B187" s="9" t="s">
        <v>58</v>
      </c>
      <c r="C187" s="9" t="s">
        <v>201</v>
      </c>
      <c r="D187" s="9" t="s">
        <v>202</v>
      </c>
      <c r="E187" s="9" t="s">
        <v>330</v>
      </c>
      <c r="F187" s="9" t="s">
        <v>329</v>
      </c>
      <c r="G187" s="9" t="s">
        <v>63</v>
      </c>
      <c r="H187" s="9" t="s">
        <v>64</v>
      </c>
      <c r="I187" s="9" t="s">
        <v>65</v>
      </c>
      <c r="J187" s="9" t="s">
        <v>228</v>
      </c>
      <c r="K187" s="9" t="s">
        <v>77</v>
      </c>
      <c r="L187" s="9" t="s">
        <v>135</v>
      </c>
      <c r="M187" s="11">
        <v>78.239999999999995</v>
      </c>
      <c r="N187" s="9" t="s">
        <v>68</v>
      </c>
      <c r="O187" s="9" t="s">
        <v>82</v>
      </c>
      <c r="P187" s="9" t="s">
        <v>70</v>
      </c>
      <c r="Q187" s="11">
        <v>44.6</v>
      </c>
      <c r="R187" s="9" t="s">
        <v>71</v>
      </c>
      <c r="S187" s="9" t="s">
        <v>0</v>
      </c>
      <c r="T187" s="9" t="s">
        <v>0</v>
      </c>
      <c r="U187" s="9" t="s">
        <v>328</v>
      </c>
    </row>
    <row r="188" spans="1:21" x14ac:dyDescent="0.25">
      <c r="A188" s="10" t="s">
        <v>19</v>
      </c>
      <c r="B188" s="10" t="s">
        <v>58</v>
      </c>
      <c r="C188" s="10" t="s">
        <v>165</v>
      </c>
      <c r="D188" s="10" t="s">
        <v>166</v>
      </c>
      <c r="E188" s="10" t="s">
        <v>327</v>
      </c>
      <c r="F188" s="10" t="s">
        <v>326</v>
      </c>
      <c r="G188" s="10" t="s">
        <v>134</v>
      </c>
      <c r="H188" s="10" t="s">
        <v>222</v>
      </c>
      <c r="I188" s="10" t="s">
        <v>325</v>
      </c>
      <c r="J188" s="10" t="s">
        <v>125</v>
      </c>
      <c r="K188" s="10" t="s">
        <v>105</v>
      </c>
      <c r="L188" s="10" t="s">
        <v>105</v>
      </c>
      <c r="M188" s="12">
        <v>31.14</v>
      </c>
      <c r="N188" s="10" t="s">
        <v>68</v>
      </c>
      <c r="O188" s="10" t="s">
        <v>174</v>
      </c>
      <c r="P188" s="10" t="s">
        <v>70</v>
      </c>
      <c r="Q188" s="12">
        <v>29.58</v>
      </c>
      <c r="R188" s="10" t="s">
        <v>71</v>
      </c>
      <c r="S188" s="10" t="s">
        <v>0</v>
      </c>
      <c r="T188" s="10" t="s">
        <v>0</v>
      </c>
      <c r="U188" s="10" t="s">
        <v>324</v>
      </c>
    </row>
    <row r="189" spans="1:21" x14ac:dyDescent="0.25">
      <c r="A189" s="9" t="s">
        <v>19</v>
      </c>
      <c r="B189" s="9" t="s">
        <v>58</v>
      </c>
      <c r="C189" s="9" t="s">
        <v>127</v>
      </c>
      <c r="D189" s="9" t="s">
        <v>128</v>
      </c>
      <c r="E189" s="9" t="s">
        <v>323</v>
      </c>
      <c r="F189" s="9" t="s">
        <v>322</v>
      </c>
      <c r="G189" s="9" t="s">
        <v>145</v>
      </c>
      <c r="H189" s="9" t="s">
        <v>321</v>
      </c>
      <c r="I189" s="9" t="s">
        <v>78</v>
      </c>
      <c r="J189" s="9" t="s">
        <v>79</v>
      </c>
      <c r="K189" s="9" t="s">
        <v>320</v>
      </c>
      <c r="L189" s="9" t="s">
        <v>319</v>
      </c>
      <c r="M189" s="11">
        <v>27.63</v>
      </c>
      <c r="N189" s="9" t="s">
        <v>68</v>
      </c>
      <c r="O189" s="9" t="s">
        <v>147</v>
      </c>
      <c r="P189" s="9" t="s">
        <v>70</v>
      </c>
      <c r="Q189" s="11">
        <v>1.04</v>
      </c>
      <c r="R189" s="9" t="s">
        <v>71</v>
      </c>
      <c r="S189" s="9" t="s">
        <v>0</v>
      </c>
      <c r="T189" s="9" t="s">
        <v>0</v>
      </c>
      <c r="U189" s="9" t="s">
        <v>83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8BEC-E082-4794-8CD9-C672F122000E}">
  <dimension ref="A1:Q188"/>
  <sheetViews>
    <sheetView topLeftCell="F95" workbookViewId="0">
      <selection activeCell="F117" sqref="F117"/>
    </sheetView>
  </sheetViews>
  <sheetFormatPr defaultRowHeight="15" x14ac:dyDescent="0.25"/>
  <cols>
    <col min="1" max="1" width="10.42578125" bestFit="1" customWidth="1"/>
    <col min="2" max="2" width="31.7109375" bestFit="1" customWidth="1"/>
    <col min="3" max="3" width="23.7109375" bestFit="1" customWidth="1"/>
    <col min="4" max="5" width="23.28515625" bestFit="1" customWidth="1"/>
    <col min="6" max="6" width="15.42578125" bestFit="1" customWidth="1"/>
    <col min="7" max="7" width="23.28515625" bestFit="1" customWidth="1"/>
    <col min="8" max="8" width="6.28515625" bestFit="1" customWidth="1"/>
    <col min="9" max="9" width="52.5703125" bestFit="1" customWidth="1"/>
    <col min="10" max="10" width="14.7109375" bestFit="1" customWidth="1"/>
    <col min="11" max="11" width="18.5703125" bestFit="1" customWidth="1"/>
    <col min="12" max="13" width="18.5703125" customWidth="1"/>
    <col min="14" max="14" width="27.140625" bestFit="1" customWidth="1"/>
    <col min="15" max="15" width="8.140625" bestFit="1" customWidth="1"/>
    <col min="16" max="16" width="22.140625" bestFit="1" customWidth="1"/>
    <col min="17" max="17" width="34.42578125" bestFit="1" customWidth="1"/>
  </cols>
  <sheetData>
    <row r="1" spans="1:17" x14ac:dyDescent="0.25">
      <c r="A1" s="8" t="s">
        <v>37</v>
      </c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45</v>
      </c>
      <c r="I1" s="8" t="s">
        <v>46</v>
      </c>
      <c r="J1" s="8" t="s">
        <v>47</v>
      </c>
      <c r="K1" s="8" t="s">
        <v>48</v>
      </c>
      <c r="L1" s="20" t="s">
        <v>611</v>
      </c>
      <c r="M1" s="20" t="s">
        <v>612</v>
      </c>
      <c r="N1" s="8" t="s">
        <v>49</v>
      </c>
      <c r="O1" s="8" t="s">
        <v>51</v>
      </c>
      <c r="P1" s="8" t="s">
        <v>53</v>
      </c>
      <c r="Q1" s="8" t="s">
        <v>57</v>
      </c>
    </row>
    <row r="2" spans="1:17" x14ac:dyDescent="0.25">
      <c r="A2" s="9" t="s">
        <v>19</v>
      </c>
      <c r="B2" s="9" t="s">
        <v>58</v>
      </c>
      <c r="C2" s="9">
        <v>9079571</v>
      </c>
      <c r="D2" s="9" t="s">
        <v>128</v>
      </c>
      <c r="E2" s="9" t="s">
        <v>293</v>
      </c>
      <c r="F2" s="9" t="s">
        <v>294</v>
      </c>
      <c r="G2" s="9" t="s">
        <v>63</v>
      </c>
      <c r="H2" s="9" t="s">
        <v>263</v>
      </c>
      <c r="I2" s="9" t="s">
        <v>295</v>
      </c>
      <c r="J2" s="9" t="s">
        <v>296</v>
      </c>
      <c r="K2" s="9" t="s">
        <v>81</v>
      </c>
      <c r="L2" s="9">
        <f t="shared" ref="L2:L33" si="0">DATEDIF(J2,K2,"M")</f>
        <v>6</v>
      </c>
      <c r="M2" s="9" t="s">
        <v>613</v>
      </c>
      <c r="N2" s="11">
        <v>42.94</v>
      </c>
      <c r="O2" s="13">
        <v>0.56999999999999995</v>
      </c>
      <c r="P2" s="11">
        <v>24.48</v>
      </c>
      <c r="Q2" s="9" t="s">
        <v>590</v>
      </c>
    </row>
    <row r="3" spans="1:17" x14ac:dyDescent="0.25">
      <c r="A3" s="10" t="s">
        <v>19</v>
      </c>
      <c r="B3" s="10" t="s">
        <v>58</v>
      </c>
      <c r="C3" s="10">
        <v>9079571</v>
      </c>
      <c r="D3" s="10" t="s">
        <v>128</v>
      </c>
      <c r="E3" s="10" t="s">
        <v>516</v>
      </c>
      <c r="F3" s="10" t="s">
        <v>515</v>
      </c>
      <c r="G3" s="10" t="s">
        <v>63</v>
      </c>
      <c r="H3" s="10" t="s">
        <v>78</v>
      </c>
      <c r="I3" s="10" t="s">
        <v>79</v>
      </c>
      <c r="J3" s="10" t="s">
        <v>514</v>
      </c>
      <c r="K3" s="10" t="s">
        <v>513</v>
      </c>
      <c r="L3" s="9">
        <f t="shared" si="0"/>
        <v>7</v>
      </c>
      <c r="M3" s="9" t="s">
        <v>613</v>
      </c>
      <c r="N3" s="12">
        <v>32.130000000000003</v>
      </c>
      <c r="O3" s="14">
        <v>0.56999999999999995</v>
      </c>
      <c r="P3" s="12">
        <v>18.309999999999999</v>
      </c>
      <c r="Q3" s="10" t="s">
        <v>590</v>
      </c>
    </row>
    <row r="4" spans="1:17" x14ac:dyDescent="0.25">
      <c r="A4" s="9" t="s">
        <v>19</v>
      </c>
      <c r="B4" s="9" t="s">
        <v>58</v>
      </c>
      <c r="C4" s="9">
        <v>9079571</v>
      </c>
      <c r="D4" s="9" t="s">
        <v>128</v>
      </c>
      <c r="E4" s="9" t="s">
        <v>572</v>
      </c>
      <c r="F4" s="9" t="s">
        <v>571</v>
      </c>
      <c r="G4" s="9" t="s">
        <v>63</v>
      </c>
      <c r="H4" s="9" t="s">
        <v>78</v>
      </c>
      <c r="I4" s="9" t="s">
        <v>79</v>
      </c>
      <c r="J4" s="9" t="s">
        <v>205</v>
      </c>
      <c r="K4" s="9" t="s">
        <v>135</v>
      </c>
      <c r="L4" s="9">
        <f t="shared" si="0"/>
        <v>2</v>
      </c>
      <c r="M4" s="9" t="s">
        <v>613</v>
      </c>
      <c r="N4" s="11">
        <v>22.42</v>
      </c>
      <c r="O4" s="13">
        <v>0.57999999999999996</v>
      </c>
      <c r="P4" s="11">
        <v>13</v>
      </c>
      <c r="Q4" s="9" t="s">
        <v>592</v>
      </c>
    </row>
    <row r="5" spans="1:17" x14ac:dyDescent="0.25">
      <c r="A5" s="9" t="s">
        <v>19</v>
      </c>
      <c r="B5" s="9" t="s">
        <v>58</v>
      </c>
      <c r="C5" s="9">
        <v>9079571</v>
      </c>
      <c r="D5" s="9" t="s">
        <v>128</v>
      </c>
      <c r="E5" s="9" t="s">
        <v>572</v>
      </c>
      <c r="F5" s="9" t="s">
        <v>573</v>
      </c>
      <c r="G5" s="9" t="s">
        <v>63</v>
      </c>
      <c r="H5" s="9" t="s">
        <v>78</v>
      </c>
      <c r="I5" s="9" t="s">
        <v>184</v>
      </c>
      <c r="J5" s="9" t="s">
        <v>205</v>
      </c>
      <c r="K5" s="9" t="s">
        <v>135</v>
      </c>
      <c r="L5" s="9">
        <f t="shared" si="0"/>
        <v>2</v>
      </c>
      <c r="M5" s="9" t="s">
        <v>613</v>
      </c>
      <c r="N5" s="11">
        <v>19.7</v>
      </c>
      <c r="O5" s="13">
        <v>0.6</v>
      </c>
      <c r="P5" s="11">
        <v>11.82</v>
      </c>
      <c r="Q5" s="9" t="s">
        <v>589</v>
      </c>
    </row>
    <row r="6" spans="1:17" x14ac:dyDescent="0.25">
      <c r="A6" s="10" t="s">
        <v>19</v>
      </c>
      <c r="B6" s="10" t="s">
        <v>58</v>
      </c>
      <c r="C6" s="10">
        <v>9079571</v>
      </c>
      <c r="D6" s="10" t="s">
        <v>128</v>
      </c>
      <c r="E6" s="10" t="s">
        <v>572</v>
      </c>
      <c r="F6" s="10" t="s">
        <v>573</v>
      </c>
      <c r="G6" s="10" t="s">
        <v>63</v>
      </c>
      <c r="H6" s="10" t="s">
        <v>78</v>
      </c>
      <c r="I6" s="10" t="s">
        <v>184</v>
      </c>
      <c r="J6" s="10" t="s">
        <v>205</v>
      </c>
      <c r="K6" s="10" t="s">
        <v>135</v>
      </c>
      <c r="L6" s="9">
        <f t="shared" si="0"/>
        <v>2</v>
      </c>
      <c r="M6" s="9" t="s">
        <v>613</v>
      </c>
      <c r="N6" s="12">
        <v>12.47</v>
      </c>
      <c r="O6" s="14">
        <v>0.6</v>
      </c>
      <c r="P6" s="12">
        <v>7.48</v>
      </c>
      <c r="Q6" s="10" t="s">
        <v>589</v>
      </c>
    </row>
    <row r="7" spans="1:17" x14ac:dyDescent="0.25">
      <c r="A7" s="9" t="s">
        <v>19</v>
      </c>
      <c r="B7" s="9" t="s">
        <v>58</v>
      </c>
      <c r="C7" s="9">
        <v>9079571</v>
      </c>
      <c r="D7" s="9" t="s">
        <v>128</v>
      </c>
      <c r="E7" s="9" t="s">
        <v>129</v>
      </c>
      <c r="F7" s="9" t="s">
        <v>130</v>
      </c>
      <c r="G7" s="9" t="s">
        <v>63</v>
      </c>
      <c r="H7" s="9" t="s">
        <v>78</v>
      </c>
      <c r="I7" s="9" t="s">
        <v>66</v>
      </c>
      <c r="J7" s="9" t="s">
        <v>131</v>
      </c>
      <c r="K7" s="9" t="s">
        <v>7</v>
      </c>
      <c r="L7" s="9">
        <f t="shared" si="0"/>
        <v>8</v>
      </c>
      <c r="M7" s="9" t="s">
        <v>613</v>
      </c>
      <c r="N7" s="11">
        <v>28.27</v>
      </c>
      <c r="O7" s="13">
        <v>0.91</v>
      </c>
      <c r="P7" s="11">
        <v>25.73</v>
      </c>
      <c r="Q7" s="9" t="s">
        <v>595</v>
      </c>
    </row>
    <row r="8" spans="1:17" x14ac:dyDescent="0.25">
      <c r="A8" s="9" t="s">
        <v>19</v>
      </c>
      <c r="B8" s="9" t="s">
        <v>58</v>
      </c>
      <c r="C8" s="9">
        <v>9079571</v>
      </c>
      <c r="D8" s="9" t="s">
        <v>128</v>
      </c>
      <c r="E8" s="9" t="s">
        <v>519</v>
      </c>
      <c r="F8" s="9" t="s">
        <v>518</v>
      </c>
      <c r="G8" s="9" t="s">
        <v>63</v>
      </c>
      <c r="H8" s="9" t="s">
        <v>78</v>
      </c>
      <c r="I8" s="9" t="s">
        <v>66</v>
      </c>
      <c r="J8" s="9" t="s">
        <v>120</v>
      </c>
      <c r="K8" s="9" t="s">
        <v>67</v>
      </c>
      <c r="L8" s="9">
        <f t="shared" si="0"/>
        <v>8</v>
      </c>
      <c r="M8" s="9" t="s">
        <v>613</v>
      </c>
      <c r="N8" s="11">
        <v>30.97</v>
      </c>
      <c r="O8" s="13">
        <v>0.91</v>
      </c>
      <c r="P8" s="11">
        <v>28.18</v>
      </c>
      <c r="Q8" s="9" t="s">
        <v>595</v>
      </c>
    </row>
    <row r="9" spans="1:17" x14ac:dyDescent="0.25">
      <c r="A9" s="10" t="s">
        <v>19</v>
      </c>
      <c r="B9" s="10" t="s">
        <v>58</v>
      </c>
      <c r="C9" s="10">
        <v>9079571</v>
      </c>
      <c r="D9" s="10" t="s">
        <v>128</v>
      </c>
      <c r="E9" s="10" t="s">
        <v>577</v>
      </c>
      <c r="F9" s="10" t="s">
        <v>576</v>
      </c>
      <c r="G9" s="10" t="s">
        <v>63</v>
      </c>
      <c r="H9" s="10" t="s">
        <v>78</v>
      </c>
      <c r="I9" s="10" t="s">
        <v>66</v>
      </c>
      <c r="J9" s="10" t="s">
        <v>574</v>
      </c>
      <c r="K9" s="10" t="s">
        <v>178</v>
      </c>
      <c r="L9" s="9">
        <f t="shared" si="0"/>
        <v>3</v>
      </c>
      <c r="M9" s="9" t="s">
        <v>613</v>
      </c>
      <c r="N9" s="12">
        <v>23.22</v>
      </c>
      <c r="O9" s="14">
        <v>0.95</v>
      </c>
      <c r="P9" s="12">
        <v>22.06</v>
      </c>
      <c r="Q9" s="10" t="s">
        <v>587</v>
      </c>
    </row>
    <row r="10" spans="1:17" x14ac:dyDescent="0.25">
      <c r="A10" s="9" t="s">
        <v>19</v>
      </c>
      <c r="B10" s="9" t="s">
        <v>58</v>
      </c>
      <c r="C10" s="9">
        <v>9079571</v>
      </c>
      <c r="D10" s="9" t="s">
        <v>128</v>
      </c>
      <c r="E10" s="9" t="s">
        <v>341</v>
      </c>
      <c r="F10" s="9" t="s">
        <v>340</v>
      </c>
      <c r="G10" s="9" t="s">
        <v>134</v>
      </c>
      <c r="H10" s="9" t="s">
        <v>78</v>
      </c>
      <c r="I10" s="9" t="s">
        <v>66</v>
      </c>
      <c r="J10" s="9" t="s">
        <v>105</v>
      </c>
      <c r="K10" s="9" t="s">
        <v>105</v>
      </c>
      <c r="L10" s="9">
        <f t="shared" si="0"/>
        <v>0</v>
      </c>
      <c r="M10" s="9" t="s">
        <v>613</v>
      </c>
      <c r="N10" s="11">
        <v>73</v>
      </c>
      <c r="O10" s="13">
        <v>0.95</v>
      </c>
      <c r="P10" s="11">
        <v>69.349999999999994</v>
      </c>
      <c r="Q10" s="9" t="s">
        <v>587</v>
      </c>
    </row>
    <row r="11" spans="1:17" x14ac:dyDescent="0.25">
      <c r="A11" s="10" t="s">
        <v>19</v>
      </c>
      <c r="B11" s="10" t="s">
        <v>96</v>
      </c>
      <c r="C11" s="10">
        <v>9079571</v>
      </c>
      <c r="D11" s="10" t="s">
        <v>128</v>
      </c>
      <c r="E11" s="10" t="s">
        <v>248</v>
      </c>
      <c r="F11" s="10" t="s">
        <v>249</v>
      </c>
      <c r="G11" s="10" t="s">
        <v>145</v>
      </c>
      <c r="H11" s="10" t="s">
        <v>78</v>
      </c>
      <c r="I11" s="10" t="s">
        <v>79</v>
      </c>
      <c r="J11" s="10" t="s">
        <v>251</v>
      </c>
      <c r="K11" s="10" t="s">
        <v>105</v>
      </c>
      <c r="L11" s="9">
        <f t="shared" si="0"/>
        <v>22</v>
      </c>
      <c r="M11" s="9" t="s">
        <v>613</v>
      </c>
      <c r="N11" s="12">
        <v>-27.63</v>
      </c>
      <c r="O11" s="14">
        <v>3.5000000000000003E-2</v>
      </c>
      <c r="P11" s="12">
        <v>-0.97</v>
      </c>
      <c r="Q11" s="10" t="s">
        <v>591</v>
      </c>
    </row>
    <row r="12" spans="1:17" x14ac:dyDescent="0.25">
      <c r="A12" s="9" t="s">
        <v>19</v>
      </c>
      <c r="B12" s="9" t="s">
        <v>96</v>
      </c>
      <c r="C12" s="9">
        <v>9079571</v>
      </c>
      <c r="D12" s="9" t="s">
        <v>128</v>
      </c>
      <c r="E12" s="9" t="s">
        <v>315</v>
      </c>
      <c r="F12" s="9" t="s">
        <v>316</v>
      </c>
      <c r="G12" s="9" t="s">
        <v>145</v>
      </c>
      <c r="H12" s="9" t="s">
        <v>78</v>
      </c>
      <c r="I12" s="9" t="s">
        <v>79</v>
      </c>
      <c r="J12" s="9" t="s">
        <v>290</v>
      </c>
      <c r="K12" s="9" t="s">
        <v>105</v>
      </c>
      <c r="L12" s="9">
        <f t="shared" si="0"/>
        <v>21</v>
      </c>
      <c r="M12" s="9" t="s">
        <v>613</v>
      </c>
      <c r="N12" s="11">
        <v>-32.130000000000003</v>
      </c>
      <c r="O12" s="13">
        <v>3.5000000000000003E-2</v>
      </c>
      <c r="P12" s="11">
        <v>-1.1200000000000001</v>
      </c>
      <c r="Q12" s="9" t="s">
        <v>79</v>
      </c>
    </row>
    <row r="13" spans="1:17" x14ac:dyDescent="0.25">
      <c r="A13" s="9" t="s">
        <v>19</v>
      </c>
      <c r="B13" s="9" t="s">
        <v>96</v>
      </c>
      <c r="C13" s="9">
        <v>9079571</v>
      </c>
      <c r="D13" s="9" t="s">
        <v>128</v>
      </c>
      <c r="E13" s="9" t="s">
        <v>565</v>
      </c>
      <c r="F13" s="9" t="s">
        <v>564</v>
      </c>
      <c r="G13" s="9" t="s">
        <v>145</v>
      </c>
      <c r="H13" s="9" t="s">
        <v>78</v>
      </c>
      <c r="I13" s="9" t="s">
        <v>79</v>
      </c>
      <c r="J13" s="9" t="s">
        <v>562</v>
      </c>
      <c r="K13" s="9" t="s">
        <v>105</v>
      </c>
      <c r="L13" s="9">
        <f t="shared" si="0"/>
        <v>17</v>
      </c>
      <c r="M13" s="9" t="s">
        <v>613</v>
      </c>
      <c r="N13" s="11">
        <v>-55.26</v>
      </c>
      <c r="O13" s="13">
        <v>3.5000000000000003E-2</v>
      </c>
      <c r="P13" s="11">
        <v>-1.93</v>
      </c>
      <c r="Q13" s="9" t="s">
        <v>79</v>
      </c>
    </row>
    <row r="14" spans="1:17" x14ac:dyDescent="0.25">
      <c r="A14" s="10" t="s">
        <v>19</v>
      </c>
      <c r="B14" s="10" t="s">
        <v>96</v>
      </c>
      <c r="C14" s="10">
        <v>9079571</v>
      </c>
      <c r="D14" s="10" t="s">
        <v>128</v>
      </c>
      <c r="E14" s="10" t="s">
        <v>555</v>
      </c>
      <c r="F14" s="10" t="s">
        <v>554</v>
      </c>
      <c r="G14" s="10" t="s">
        <v>145</v>
      </c>
      <c r="H14" s="10" t="s">
        <v>78</v>
      </c>
      <c r="I14" s="10" t="s">
        <v>79</v>
      </c>
      <c r="J14" s="10" t="s">
        <v>552</v>
      </c>
      <c r="K14" s="10" t="s">
        <v>178</v>
      </c>
      <c r="L14" s="9">
        <f t="shared" si="0"/>
        <v>22</v>
      </c>
      <c r="M14" s="9" t="s">
        <v>613</v>
      </c>
      <c r="N14" s="12">
        <v>-27.63</v>
      </c>
      <c r="O14" s="14">
        <v>3.5000000000000003E-2</v>
      </c>
      <c r="P14" s="12">
        <v>-0.97</v>
      </c>
      <c r="Q14" s="10" t="s">
        <v>79</v>
      </c>
    </row>
    <row r="15" spans="1:17" x14ac:dyDescent="0.25">
      <c r="A15" s="10" t="s">
        <v>19</v>
      </c>
      <c r="B15" s="10" t="s">
        <v>58</v>
      </c>
      <c r="C15" s="10">
        <v>9079571</v>
      </c>
      <c r="D15" s="10" t="s">
        <v>128</v>
      </c>
      <c r="E15" s="10" t="s">
        <v>525</v>
      </c>
      <c r="F15" s="10" t="s">
        <v>524</v>
      </c>
      <c r="G15" s="10" t="s">
        <v>145</v>
      </c>
      <c r="H15" s="10" t="s">
        <v>78</v>
      </c>
      <c r="I15" s="10" t="s">
        <v>79</v>
      </c>
      <c r="J15" s="10" t="s">
        <v>393</v>
      </c>
      <c r="K15" s="10" t="s">
        <v>67</v>
      </c>
      <c r="L15" s="9">
        <f t="shared" si="0"/>
        <v>18</v>
      </c>
      <c r="M15" s="9" t="s">
        <v>613</v>
      </c>
      <c r="N15" s="12">
        <v>27.63</v>
      </c>
      <c r="O15" s="14">
        <v>3.5000000000000003E-2</v>
      </c>
      <c r="P15" s="12">
        <v>0.97</v>
      </c>
      <c r="Q15" s="10" t="s">
        <v>79</v>
      </c>
    </row>
    <row r="16" spans="1:17" x14ac:dyDescent="0.25">
      <c r="A16" s="9" t="s">
        <v>19</v>
      </c>
      <c r="B16" s="9" t="s">
        <v>58</v>
      </c>
      <c r="C16" s="9">
        <v>9079571</v>
      </c>
      <c r="D16" s="9" t="s">
        <v>128</v>
      </c>
      <c r="E16" s="9" t="s">
        <v>437</v>
      </c>
      <c r="F16" s="9" t="s">
        <v>436</v>
      </c>
      <c r="G16" s="9" t="s">
        <v>145</v>
      </c>
      <c r="H16" s="9" t="s">
        <v>78</v>
      </c>
      <c r="I16" s="9" t="s">
        <v>79</v>
      </c>
      <c r="J16" s="9" t="s">
        <v>435</v>
      </c>
      <c r="K16" s="9" t="s">
        <v>135</v>
      </c>
      <c r="L16" s="9">
        <f t="shared" si="0"/>
        <v>25</v>
      </c>
      <c r="M16" s="9" t="s">
        <v>613</v>
      </c>
      <c r="N16" s="11">
        <v>27.63</v>
      </c>
      <c r="O16" s="13">
        <v>3.5000000000000003E-2</v>
      </c>
      <c r="P16" s="11">
        <v>0.97</v>
      </c>
      <c r="Q16" s="9" t="s">
        <v>79</v>
      </c>
    </row>
    <row r="17" spans="1:17" x14ac:dyDescent="0.25">
      <c r="A17" s="9" t="s">
        <v>19</v>
      </c>
      <c r="B17" s="9" t="s">
        <v>58</v>
      </c>
      <c r="C17" s="9">
        <v>9079571</v>
      </c>
      <c r="D17" s="9" t="s">
        <v>128</v>
      </c>
      <c r="E17" s="9" t="s">
        <v>400</v>
      </c>
      <c r="F17" s="9" t="s">
        <v>399</v>
      </c>
      <c r="G17" s="9" t="s">
        <v>145</v>
      </c>
      <c r="H17" s="9" t="s">
        <v>78</v>
      </c>
      <c r="I17" s="9" t="s">
        <v>79</v>
      </c>
      <c r="J17" s="9" t="s">
        <v>397</v>
      </c>
      <c r="K17" s="9" t="s">
        <v>67</v>
      </c>
      <c r="L17" s="9">
        <f t="shared" si="0"/>
        <v>16</v>
      </c>
      <c r="M17" s="9" t="s">
        <v>613</v>
      </c>
      <c r="N17" s="11">
        <v>32.130000000000003</v>
      </c>
      <c r="O17" s="13">
        <v>3.5000000000000003E-2</v>
      </c>
      <c r="P17" s="11">
        <v>1.1200000000000001</v>
      </c>
      <c r="Q17" s="9" t="s">
        <v>79</v>
      </c>
    </row>
    <row r="18" spans="1:17" x14ac:dyDescent="0.25">
      <c r="A18" s="10" t="s">
        <v>19</v>
      </c>
      <c r="B18" s="10" t="s">
        <v>58</v>
      </c>
      <c r="C18" s="10">
        <v>9079571</v>
      </c>
      <c r="D18" s="10" t="s">
        <v>128</v>
      </c>
      <c r="E18" s="10" t="s">
        <v>396</v>
      </c>
      <c r="F18" s="10" t="s">
        <v>395</v>
      </c>
      <c r="G18" s="10" t="s">
        <v>145</v>
      </c>
      <c r="H18" s="10" t="s">
        <v>78</v>
      </c>
      <c r="I18" s="10" t="s">
        <v>79</v>
      </c>
      <c r="J18" s="10" t="s">
        <v>393</v>
      </c>
      <c r="K18" s="10" t="s">
        <v>67</v>
      </c>
      <c r="L18" s="9">
        <f t="shared" si="0"/>
        <v>18</v>
      </c>
      <c r="M18" s="9" t="s">
        <v>613</v>
      </c>
      <c r="N18" s="12">
        <v>27.63</v>
      </c>
      <c r="O18" s="14">
        <v>3.5000000000000003E-2</v>
      </c>
      <c r="P18" s="12">
        <v>0.97</v>
      </c>
      <c r="Q18" s="10" t="s">
        <v>79</v>
      </c>
    </row>
    <row r="19" spans="1:17" x14ac:dyDescent="0.25">
      <c r="A19" s="9" t="s">
        <v>19</v>
      </c>
      <c r="B19" s="9" t="s">
        <v>58</v>
      </c>
      <c r="C19" s="9">
        <v>9079571</v>
      </c>
      <c r="D19" s="9" t="s">
        <v>128</v>
      </c>
      <c r="E19" s="9" t="s">
        <v>348</v>
      </c>
      <c r="F19" s="9" t="s">
        <v>347</v>
      </c>
      <c r="G19" s="9" t="s">
        <v>145</v>
      </c>
      <c r="H19" s="9" t="s">
        <v>78</v>
      </c>
      <c r="I19" s="9" t="s">
        <v>79</v>
      </c>
      <c r="J19" s="9" t="s">
        <v>288</v>
      </c>
      <c r="K19" s="9" t="s">
        <v>81</v>
      </c>
      <c r="L19" s="9">
        <f t="shared" si="0"/>
        <v>21</v>
      </c>
      <c r="M19" s="9" t="s">
        <v>613</v>
      </c>
      <c r="N19" s="11">
        <v>27.63</v>
      </c>
      <c r="O19" s="13">
        <v>3.5000000000000003E-2</v>
      </c>
      <c r="P19" s="11">
        <v>0.97</v>
      </c>
      <c r="Q19" s="9" t="s">
        <v>79</v>
      </c>
    </row>
    <row r="20" spans="1:17" x14ac:dyDescent="0.25">
      <c r="A20" s="9" t="s">
        <v>19</v>
      </c>
      <c r="B20" s="9" t="s">
        <v>58</v>
      </c>
      <c r="C20" s="9">
        <v>9079571</v>
      </c>
      <c r="D20" s="9" t="s">
        <v>128</v>
      </c>
      <c r="E20" s="9" t="s">
        <v>143</v>
      </c>
      <c r="F20" s="9" t="s">
        <v>144</v>
      </c>
      <c r="G20" s="9" t="s">
        <v>145</v>
      </c>
      <c r="H20" s="9" t="s">
        <v>78</v>
      </c>
      <c r="I20" s="9" t="s">
        <v>79</v>
      </c>
      <c r="J20" s="9" t="s">
        <v>146</v>
      </c>
      <c r="K20" s="9" t="s">
        <v>7</v>
      </c>
      <c r="L20" s="9">
        <f t="shared" si="0"/>
        <v>12</v>
      </c>
      <c r="M20" s="9" t="s">
        <v>613</v>
      </c>
      <c r="N20" s="11">
        <v>22.42</v>
      </c>
      <c r="O20" s="13">
        <v>3.7499999999999999E-2</v>
      </c>
      <c r="P20" s="11">
        <v>0.84</v>
      </c>
      <c r="Q20" s="9" t="s">
        <v>590</v>
      </c>
    </row>
    <row r="21" spans="1:17" x14ac:dyDescent="0.25">
      <c r="A21" s="9" t="s">
        <v>19</v>
      </c>
      <c r="B21" s="9" t="s">
        <v>58</v>
      </c>
      <c r="C21" s="9">
        <v>9079571</v>
      </c>
      <c r="D21" s="9" t="s">
        <v>128</v>
      </c>
      <c r="E21" s="9" t="s">
        <v>157</v>
      </c>
      <c r="F21" s="9" t="s">
        <v>158</v>
      </c>
      <c r="G21" s="9" t="s">
        <v>145</v>
      </c>
      <c r="H21" s="9" t="s">
        <v>78</v>
      </c>
      <c r="I21" s="9" t="s">
        <v>79</v>
      </c>
      <c r="J21" s="9" t="s">
        <v>146</v>
      </c>
      <c r="K21" s="9" t="s">
        <v>7</v>
      </c>
      <c r="L21" s="9">
        <f t="shared" si="0"/>
        <v>12</v>
      </c>
      <c r="M21" s="9" t="s">
        <v>613</v>
      </c>
      <c r="N21" s="11">
        <v>42.47</v>
      </c>
      <c r="O21" s="13">
        <v>3.7499999999999999E-2</v>
      </c>
      <c r="P21" s="11">
        <v>1.59</v>
      </c>
      <c r="Q21" s="9" t="s">
        <v>590</v>
      </c>
    </row>
    <row r="22" spans="1:17" x14ac:dyDescent="0.25">
      <c r="A22" s="10" t="s">
        <v>19</v>
      </c>
      <c r="B22" s="10" t="s">
        <v>58</v>
      </c>
      <c r="C22" s="10">
        <v>9079571</v>
      </c>
      <c r="D22" s="10" t="s">
        <v>128</v>
      </c>
      <c r="E22" s="10" t="s">
        <v>159</v>
      </c>
      <c r="F22" s="10" t="s">
        <v>160</v>
      </c>
      <c r="G22" s="10" t="s">
        <v>145</v>
      </c>
      <c r="H22" s="10" t="s">
        <v>78</v>
      </c>
      <c r="I22" s="10" t="s">
        <v>79</v>
      </c>
      <c r="J22" s="10" t="s">
        <v>146</v>
      </c>
      <c r="K22" s="10" t="s">
        <v>7</v>
      </c>
      <c r="L22" s="9">
        <f t="shared" si="0"/>
        <v>12</v>
      </c>
      <c r="M22" s="9" t="s">
        <v>613</v>
      </c>
      <c r="N22" s="12">
        <v>32.130000000000003</v>
      </c>
      <c r="O22" s="14">
        <v>3.7499999999999999E-2</v>
      </c>
      <c r="P22" s="12">
        <v>1.2</v>
      </c>
      <c r="Q22" s="10" t="s">
        <v>590</v>
      </c>
    </row>
    <row r="23" spans="1:17" x14ac:dyDescent="0.25">
      <c r="A23" s="9" t="s">
        <v>19</v>
      </c>
      <c r="B23" s="9" t="s">
        <v>58</v>
      </c>
      <c r="C23" s="9">
        <v>9079571</v>
      </c>
      <c r="D23" s="9" t="s">
        <v>128</v>
      </c>
      <c r="E23" s="9" t="s">
        <v>275</v>
      </c>
      <c r="F23" s="9" t="s">
        <v>276</v>
      </c>
      <c r="G23" s="9" t="s">
        <v>145</v>
      </c>
      <c r="H23" s="9" t="s">
        <v>78</v>
      </c>
      <c r="I23" s="9" t="s">
        <v>79</v>
      </c>
      <c r="J23" s="9" t="s">
        <v>277</v>
      </c>
      <c r="K23" s="9" t="s">
        <v>81</v>
      </c>
      <c r="L23" s="9">
        <f t="shared" si="0"/>
        <v>12</v>
      </c>
      <c r="M23" s="9" t="s">
        <v>613</v>
      </c>
      <c r="N23" s="11">
        <v>27.63</v>
      </c>
      <c r="O23" s="13">
        <v>3.7499999999999999E-2</v>
      </c>
      <c r="P23" s="11">
        <v>1.04</v>
      </c>
      <c r="Q23" s="9" t="s">
        <v>590</v>
      </c>
    </row>
    <row r="24" spans="1:17" x14ac:dyDescent="0.25">
      <c r="A24" s="10" t="s">
        <v>19</v>
      </c>
      <c r="B24" s="10" t="s">
        <v>58</v>
      </c>
      <c r="C24" s="10">
        <v>9079571</v>
      </c>
      <c r="D24" s="10" t="s">
        <v>128</v>
      </c>
      <c r="E24" s="10" t="s">
        <v>313</v>
      </c>
      <c r="F24" s="10" t="s">
        <v>314</v>
      </c>
      <c r="G24" s="10" t="s">
        <v>145</v>
      </c>
      <c r="H24" s="10" t="s">
        <v>78</v>
      </c>
      <c r="I24" s="10" t="s">
        <v>79</v>
      </c>
      <c r="J24" s="10" t="s">
        <v>277</v>
      </c>
      <c r="K24" s="10" t="s">
        <v>81</v>
      </c>
      <c r="L24" s="9">
        <f t="shared" si="0"/>
        <v>12</v>
      </c>
      <c r="M24" s="9" t="s">
        <v>613</v>
      </c>
      <c r="N24" s="12">
        <v>32.130000000000003</v>
      </c>
      <c r="O24" s="14">
        <v>3.7499999999999999E-2</v>
      </c>
      <c r="P24" s="12">
        <v>1.2</v>
      </c>
      <c r="Q24" s="10" t="s">
        <v>590</v>
      </c>
    </row>
    <row r="25" spans="1:17" x14ac:dyDescent="0.25">
      <c r="A25" s="10" t="s">
        <v>19</v>
      </c>
      <c r="B25" s="10" t="s">
        <v>96</v>
      </c>
      <c r="C25" s="10">
        <v>9079571</v>
      </c>
      <c r="D25" s="10" t="s">
        <v>128</v>
      </c>
      <c r="E25" s="10" t="s">
        <v>586</v>
      </c>
      <c r="F25" s="10" t="s">
        <v>585</v>
      </c>
      <c r="G25" s="10" t="s">
        <v>145</v>
      </c>
      <c r="H25" s="10" t="s">
        <v>78</v>
      </c>
      <c r="I25" s="10" t="s">
        <v>79</v>
      </c>
      <c r="J25" s="10" t="s">
        <v>583</v>
      </c>
      <c r="K25" s="10" t="s">
        <v>105</v>
      </c>
      <c r="L25" s="9">
        <f t="shared" si="0"/>
        <v>14</v>
      </c>
      <c r="M25" s="9" t="s">
        <v>613</v>
      </c>
      <c r="N25" s="12">
        <v>-32.700000000000003</v>
      </c>
      <c r="O25" s="14">
        <v>3.7499999999999999E-2</v>
      </c>
      <c r="P25" s="12">
        <v>-1.23</v>
      </c>
      <c r="Q25" s="10" t="s">
        <v>590</v>
      </c>
    </row>
    <row r="26" spans="1:17" x14ac:dyDescent="0.25">
      <c r="A26" s="9" t="s">
        <v>19</v>
      </c>
      <c r="B26" s="9" t="s">
        <v>58</v>
      </c>
      <c r="C26" s="9">
        <v>9079571</v>
      </c>
      <c r="D26" s="9" t="s">
        <v>128</v>
      </c>
      <c r="E26" s="9" t="s">
        <v>323</v>
      </c>
      <c r="F26" s="9" t="s">
        <v>322</v>
      </c>
      <c r="G26" s="9" t="s">
        <v>145</v>
      </c>
      <c r="H26" s="9" t="s">
        <v>78</v>
      </c>
      <c r="I26" s="9" t="s">
        <v>79</v>
      </c>
      <c r="J26" s="9" t="s">
        <v>320</v>
      </c>
      <c r="K26" s="9" t="s">
        <v>319</v>
      </c>
      <c r="L26" s="9">
        <f t="shared" si="0"/>
        <v>16</v>
      </c>
      <c r="M26" s="9" t="s">
        <v>613</v>
      </c>
      <c r="N26" s="11">
        <v>27.63</v>
      </c>
      <c r="O26" s="13">
        <v>3.7499999999999999E-2</v>
      </c>
      <c r="P26" s="11">
        <v>1.04</v>
      </c>
      <c r="Q26" s="9" t="s">
        <v>590</v>
      </c>
    </row>
    <row r="27" spans="1:17" x14ac:dyDescent="0.25">
      <c r="A27" s="9" t="s">
        <v>19</v>
      </c>
      <c r="B27" s="9" t="s">
        <v>58</v>
      </c>
      <c r="C27" s="9">
        <v>9079571</v>
      </c>
      <c r="D27" s="9" t="s">
        <v>128</v>
      </c>
      <c r="E27" s="9" t="s">
        <v>348</v>
      </c>
      <c r="F27" s="9" t="s">
        <v>349</v>
      </c>
      <c r="G27" s="9" t="s">
        <v>145</v>
      </c>
      <c r="H27" s="9" t="s">
        <v>78</v>
      </c>
      <c r="I27" s="9" t="s">
        <v>184</v>
      </c>
      <c r="J27" s="9" t="s">
        <v>288</v>
      </c>
      <c r="K27" s="9" t="s">
        <v>81</v>
      </c>
      <c r="L27" s="9">
        <f t="shared" si="0"/>
        <v>21</v>
      </c>
      <c r="M27" s="9" t="s">
        <v>613</v>
      </c>
      <c r="N27" s="11">
        <v>12.47</v>
      </c>
      <c r="O27" s="13">
        <v>0.11</v>
      </c>
      <c r="P27" s="11">
        <v>1.37</v>
      </c>
      <c r="Q27" s="9" t="s">
        <v>599</v>
      </c>
    </row>
    <row r="28" spans="1:17" x14ac:dyDescent="0.25">
      <c r="A28" s="10" t="s">
        <v>19</v>
      </c>
      <c r="B28" s="10" t="s">
        <v>58</v>
      </c>
      <c r="C28" s="10">
        <v>9079571</v>
      </c>
      <c r="D28" s="10" t="s">
        <v>128</v>
      </c>
      <c r="E28" s="10" t="s">
        <v>348</v>
      </c>
      <c r="F28" s="10" t="s">
        <v>349</v>
      </c>
      <c r="G28" s="10" t="s">
        <v>145</v>
      </c>
      <c r="H28" s="10" t="s">
        <v>78</v>
      </c>
      <c r="I28" s="10" t="s">
        <v>184</v>
      </c>
      <c r="J28" s="10" t="s">
        <v>288</v>
      </c>
      <c r="K28" s="10" t="s">
        <v>81</v>
      </c>
      <c r="L28" s="9">
        <f t="shared" si="0"/>
        <v>21</v>
      </c>
      <c r="M28" s="9" t="s">
        <v>613</v>
      </c>
      <c r="N28" s="12">
        <v>19.7</v>
      </c>
      <c r="O28" s="14">
        <v>0.11</v>
      </c>
      <c r="P28" s="12">
        <v>2.17</v>
      </c>
      <c r="Q28" s="10" t="s">
        <v>599</v>
      </c>
    </row>
    <row r="29" spans="1:17" x14ac:dyDescent="0.25">
      <c r="A29" s="9" t="s">
        <v>18</v>
      </c>
      <c r="B29" s="9" t="s">
        <v>58</v>
      </c>
      <c r="C29" s="9">
        <v>19278370</v>
      </c>
      <c r="D29" s="9" t="s">
        <v>285</v>
      </c>
      <c r="E29" s="9" t="s">
        <v>368</v>
      </c>
      <c r="F29" s="9" t="s">
        <v>367</v>
      </c>
      <c r="G29" s="9" t="s">
        <v>63</v>
      </c>
      <c r="H29" s="9" t="s">
        <v>197</v>
      </c>
      <c r="I29" s="9" t="s">
        <v>271</v>
      </c>
      <c r="J29" s="9" t="s">
        <v>104</v>
      </c>
      <c r="K29" s="9" t="s">
        <v>178</v>
      </c>
      <c r="L29" s="9">
        <f t="shared" si="0"/>
        <v>8</v>
      </c>
      <c r="M29" s="9" t="s">
        <v>613</v>
      </c>
      <c r="N29" s="11">
        <v>167.68</v>
      </c>
      <c r="O29" s="13">
        <v>0.25</v>
      </c>
      <c r="P29" s="11">
        <v>41.92</v>
      </c>
      <c r="Q29" s="9" t="s">
        <v>600</v>
      </c>
    </row>
    <row r="30" spans="1:17" x14ac:dyDescent="0.25">
      <c r="A30" s="10" t="s">
        <v>18</v>
      </c>
      <c r="B30" s="10" t="s">
        <v>58</v>
      </c>
      <c r="C30" s="10">
        <v>19278370</v>
      </c>
      <c r="D30" s="10" t="s">
        <v>285</v>
      </c>
      <c r="E30" s="10" t="s">
        <v>286</v>
      </c>
      <c r="F30" s="10" t="s">
        <v>287</v>
      </c>
      <c r="G30" s="10" t="s">
        <v>145</v>
      </c>
      <c r="H30" s="10" t="s">
        <v>197</v>
      </c>
      <c r="I30" s="10" t="s">
        <v>289</v>
      </c>
      <c r="J30" s="10" t="s">
        <v>290</v>
      </c>
      <c r="K30" s="10" t="s">
        <v>105</v>
      </c>
      <c r="L30" s="9">
        <f t="shared" si="0"/>
        <v>21</v>
      </c>
      <c r="M30" s="9" t="s">
        <v>613</v>
      </c>
      <c r="N30" s="12">
        <v>95.36</v>
      </c>
      <c r="O30" s="14">
        <v>0.28999999999999998</v>
      </c>
      <c r="P30" s="12">
        <v>27.65</v>
      </c>
      <c r="Q30" s="10" t="s">
        <v>289</v>
      </c>
    </row>
    <row r="31" spans="1:17" s="18" customFormat="1" x14ac:dyDescent="0.25">
      <c r="A31" s="15" t="s">
        <v>19</v>
      </c>
      <c r="B31" s="15" t="s">
        <v>58</v>
      </c>
      <c r="C31" s="15">
        <v>19586992</v>
      </c>
      <c r="D31" s="15" t="s">
        <v>388</v>
      </c>
      <c r="E31" s="15" t="s">
        <v>387</v>
      </c>
      <c r="F31" s="15" t="s">
        <v>386</v>
      </c>
      <c r="G31" s="15" t="s">
        <v>63</v>
      </c>
      <c r="H31" s="15" t="s">
        <v>65</v>
      </c>
      <c r="I31" s="15" t="s">
        <v>282</v>
      </c>
      <c r="J31" s="15" t="s">
        <v>342</v>
      </c>
      <c r="K31" s="15" t="s">
        <v>178</v>
      </c>
      <c r="L31" s="9">
        <f t="shared" si="0"/>
        <v>6</v>
      </c>
      <c r="M31" s="9" t="s">
        <v>614</v>
      </c>
      <c r="N31" s="16">
        <v>88.75</v>
      </c>
      <c r="O31" s="17">
        <v>1</v>
      </c>
      <c r="P31" s="16">
        <v>88.75</v>
      </c>
      <c r="Q31" s="15" t="s">
        <v>588</v>
      </c>
    </row>
    <row r="32" spans="1:17" x14ac:dyDescent="0.25">
      <c r="A32" s="10" t="s">
        <v>19</v>
      </c>
      <c r="B32" s="10" t="s">
        <v>58</v>
      </c>
      <c r="C32" s="10">
        <v>17425766</v>
      </c>
      <c r="D32" s="10" t="s">
        <v>219</v>
      </c>
      <c r="E32" s="10" t="s">
        <v>220</v>
      </c>
      <c r="F32" s="10" t="s">
        <v>221</v>
      </c>
      <c r="G32" s="10" t="s">
        <v>134</v>
      </c>
      <c r="H32" s="10" t="s">
        <v>197</v>
      </c>
      <c r="I32" s="10" t="s">
        <v>91</v>
      </c>
      <c r="J32" s="10" t="s">
        <v>105</v>
      </c>
      <c r="K32" s="10" t="s">
        <v>105</v>
      </c>
      <c r="L32" s="9">
        <f t="shared" si="0"/>
        <v>0</v>
      </c>
      <c r="M32" s="9" t="s">
        <v>613</v>
      </c>
      <c r="N32" s="12">
        <v>6.04</v>
      </c>
      <c r="O32" s="14">
        <v>0.65</v>
      </c>
      <c r="P32" s="12">
        <v>3.93</v>
      </c>
      <c r="Q32" s="10" t="s">
        <v>603</v>
      </c>
    </row>
    <row r="33" spans="1:17" x14ac:dyDescent="0.25">
      <c r="A33" s="9" t="s">
        <v>19</v>
      </c>
      <c r="B33" s="9" t="s">
        <v>58</v>
      </c>
      <c r="C33" s="9">
        <v>17425766</v>
      </c>
      <c r="D33" s="9" t="s">
        <v>219</v>
      </c>
      <c r="E33" s="9" t="s">
        <v>220</v>
      </c>
      <c r="F33" s="9" t="s">
        <v>221</v>
      </c>
      <c r="G33" s="9" t="s">
        <v>134</v>
      </c>
      <c r="H33" s="9" t="s">
        <v>197</v>
      </c>
      <c r="I33" s="9" t="s">
        <v>91</v>
      </c>
      <c r="J33" s="9" t="s">
        <v>105</v>
      </c>
      <c r="K33" s="9" t="s">
        <v>105</v>
      </c>
      <c r="L33" s="9">
        <f t="shared" si="0"/>
        <v>0</v>
      </c>
      <c r="M33" s="9" t="s">
        <v>613</v>
      </c>
      <c r="N33" s="11">
        <v>18.329999999999998</v>
      </c>
      <c r="O33" s="13">
        <v>0.65</v>
      </c>
      <c r="P33" s="11">
        <v>11.91</v>
      </c>
      <c r="Q33" s="9" t="s">
        <v>603</v>
      </c>
    </row>
    <row r="34" spans="1:17" x14ac:dyDescent="0.25">
      <c r="A34" s="10" t="s">
        <v>19</v>
      </c>
      <c r="B34" s="10" t="s">
        <v>58</v>
      </c>
      <c r="C34" s="10">
        <v>17425766</v>
      </c>
      <c r="D34" s="10" t="s">
        <v>219</v>
      </c>
      <c r="E34" s="10" t="s">
        <v>220</v>
      </c>
      <c r="F34" s="10" t="s">
        <v>221</v>
      </c>
      <c r="G34" s="10" t="s">
        <v>134</v>
      </c>
      <c r="H34" s="10" t="s">
        <v>197</v>
      </c>
      <c r="I34" s="10" t="s">
        <v>91</v>
      </c>
      <c r="J34" s="10" t="s">
        <v>105</v>
      </c>
      <c r="K34" s="10" t="s">
        <v>105</v>
      </c>
      <c r="L34" s="9">
        <f t="shared" ref="L34:L65" si="1">DATEDIF(J34,K34,"M")</f>
        <v>0</v>
      </c>
      <c r="M34" s="9" t="s">
        <v>613</v>
      </c>
      <c r="N34" s="12">
        <v>3.3</v>
      </c>
      <c r="O34" s="14">
        <v>0.65</v>
      </c>
      <c r="P34" s="12">
        <v>2.15</v>
      </c>
      <c r="Q34" s="10" t="s">
        <v>603</v>
      </c>
    </row>
    <row r="35" spans="1:17" x14ac:dyDescent="0.25">
      <c r="A35" s="9" t="s">
        <v>19</v>
      </c>
      <c r="B35" s="9" t="s">
        <v>58</v>
      </c>
      <c r="C35" s="9">
        <v>17425766</v>
      </c>
      <c r="D35" s="9" t="s">
        <v>219</v>
      </c>
      <c r="E35" s="9" t="s">
        <v>220</v>
      </c>
      <c r="F35" s="9" t="s">
        <v>221</v>
      </c>
      <c r="G35" s="9" t="s">
        <v>134</v>
      </c>
      <c r="H35" s="9" t="s">
        <v>197</v>
      </c>
      <c r="I35" s="9" t="s">
        <v>91</v>
      </c>
      <c r="J35" s="9" t="s">
        <v>105</v>
      </c>
      <c r="K35" s="9" t="s">
        <v>105</v>
      </c>
      <c r="L35" s="9">
        <f t="shared" si="1"/>
        <v>0</v>
      </c>
      <c r="M35" s="9" t="s">
        <v>613</v>
      </c>
      <c r="N35" s="11">
        <v>31.67</v>
      </c>
      <c r="O35" s="13">
        <v>0.65</v>
      </c>
      <c r="P35" s="11">
        <v>20.59</v>
      </c>
      <c r="Q35" s="9" t="s">
        <v>603</v>
      </c>
    </row>
    <row r="36" spans="1:17" x14ac:dyDescent="0.25">
      <c r="A36" s="9" t="s">
        <v>18</v>
      </c>
      <c r="B36" s="9" t="s">
        <v>58</v>
      </c>
      <c r="C36" s="9">
        <v>7387433</v>
      </c>
      <c r="D36" s="9" t="s">
        <v>531</v>
      </c>
      <c r="E36" s="9" t="s">
        <v>530</v>
      </c>
      <c r="F36" s="9" t="s">
        <v>529</v>
      </c>
      <c r="G36" s="9" t="s">
        <v>63</v>
      </c>
      <c r="H36" s="9" t="s">
        <v>78</v>
      </c>
      <c r="I36" s="9" t="s">
        <v>289</v>
      </c>
      <c r="J36" s="9" t="s">
        <v>104</v>
      </c>
      <c r="K36" s="9" t="s">
        <v>178</v>
      </c>
      <c r="L36" s="9">
        <f t="shared" si="1"/>
        <v>8</v>
      </c>
      <c r="M36" s="9" t="s">
        <v>613</v>
      </c>
      <c r="N36" s="11">
        <v>176.1</v>
      </c>
      <c r="O36" s="13">
        <v>1.4999999999999999E-2</v>
      </c>
      <c r="P36" s="11">
        <v>2.64</v>
      </c>
      <c r="Q36" s="9" t="s">
        <v>596</v>
      </c>
    </row>
    <row r="37" spans="1:17" x14ac:dyDescent="0.25">
      <c r="A37" s="9" t="s">
        <v>19</v>
      </c>
      <c r="B37" s="9" t="s">
        <v>58</v>
      </c>
      <c r="C37" s="9">
        <v>17195620</v>
      </c>
      <c r="D37" s="9" t="s">
        <v>480</v>
      </c>
      <c r="E37" s="9" t="s">
        <v>479</v>
      </c>
      <c r="F37" s="9" t="s">
        <v>478</v>
      </c>
      <c r="G37" s="9" t="s">
        <v>63</v>
      </c>
      <c r="H37" s="9" t="s">
        <v>78</v>
      </c>
      <c r="I37" s="9" t="s">
        <v>282</v>
      </c>
      <c r="J37" s="9" t="s">
        <v>104</v>
      </c>
      <c r="K37" s="9" t="s">
        <v>178</v>
      </c>
      <c r="L37" s="9">
        <f t="shared" si="1"/>
        <v>8</v>
      </c>
      <c r="M37" s="9" t="s">
        <v>613</v>
      </c>
      <c r="N37" s="11">
        <v>111.58</v>
      </c>
      <c r="O37" s="13">
        <v>0.91</v>
      </c>
      <c r="P37" s="11">
        <v>101.54</v>
      </c>
      <c r="Q37" s="9" t="s">
        <v>595</v>
      </c>
    </row>
    <row r="38" spans="1:17" x14ac:dyDescent="0.25">
      <c r="A38" s="10" t="s">
        <v>19</v>
      </c>
      <c r="B38" s="10" t="s">
        <v>58</v>
      </c>
      <c r="C38" s="10">
        <v>20003537</v>
      </c>
      <c r="D38" s="10" t="s">
        <v>427</v>
      </c>
      <c r="E38" s="10" t="s">
        <v>454</v>
      </c>
      <c r="F38" s="10" t="s">
        <v>453</v>
      </c>
      <c r="G38" s="10" t="s">
        <v>63</v>
      </c>
      <c r="H38" s="10" t="s">
        <v>65</v>
      </c>
      <c r="I38" s="10" t="s">
        <v>184</v>
      </c>
      <c r="J38" s="10" t="s">
        <v>342</v>
      </c>
      <c r="K38" s="10" t="s">
        <v>178</v>
      </c>
      <c r="L38" s="9">
        <f t="shared" si="1"/>
        <v>6</v>
      </c>
      <c r="M38" s="9" t="s">
        <v>613</v>
      </c>
      <c r="N38" s="12">
        <v>23.7</v>
      </c>
      <c r="O38" s="14">
        <v>0.625</v>
      </c>
      <c r="P38" s="12">
        <v>14.81</v>
      </c>
      <c r="Q38" s="10" t="s">
        <v>91</v>
      </c>
    </row>
    <row r="39" spans="1:17" x14ac:dyDescent="0.25">
      <c r="A39" s="10" t="s">
        <v>19</v>
      </c>
      <c r="B39" s="10" t="s">
        <v>58</v>
      </c>
      <c r="C39" s="10">
        <v>20003537</v>
      </c>
      <c r="D39" s="10" t="s">
        <v>427</v>
      </c>
      <c r="E39" s="10" t="s">
        <v>454</v>
      </c>
      <c r="F39" s="10" t="s">
        <v>453</v>
      </c>
      <c r="G39" s="10" t="s">
        <v>63</v>
      </c>
      <c r="H39" s="10" t="s">
        <v>65</v>
      </c>
      <c r="I39" s="10" t="s">
        <v>184</v>
      </c>
      <c r="J39" s="10" t="s">
        <v>342</v>
      </c>
      <c r="K39" s="10" t="s">
        <v>178</v>
      </c>
      <c r="L39" s="9">
        <f t="shared" si="1"/>
        <v>6</v>
      </c>
      <c r="M39" s="9" t="s">
        <v>613</v>
      </c>
      <c r="N39" s="12">
        <v>78.16</v>
      </c>
      <c r="O39" s="14">
        <v>0.625</v>
      </c>
      <c r="P39" s="12">
        <v>48.85</v>
      </c>
      <c r="Q39" s="10" t="s">
        <v>91</v>
      </c>
    </row>
    <row r="40" spans="1:17" x14ac:dyDescent="0.25">
      <c r="A40" s="10" t="s">
        <v>19</v>
      </c>
      <c r="B40" s="10" t="s">
        <v>58</v>
      </c>
      <c r="C40" s="10">
        <v>20003537</v>
      </c>
      <c r="D40" s="10" t="s">
        <v>427</v>
      </c>
      <c r="E40" s="10" t="s">
        <v>426</v>
      </c>
      <c r="F40" s="10" t="s">
        <v>425</v>
      </c>
      <c r="G40" s="10" t="s">
        <v>63</v>
      </c>
      <c r="H40" s="10" t="s">
        <v>65</v>
      </c>
      <c r="I40" s="10" t="s">
        <v>184</v>
      </c>
      <c r="J40" s="10" t="s">
        <v>342</v>
      </c>
      <c r="K40" s="10" t="s">
        <v>178</v>
      </c>
      <c r="L40" s="9">
        <f t="shared" si="1"/>
        <v>6</v>
      </c>
      <c r="M40" s="9" t="s">
        <v>613</v>
      </c>
      <c r="N40" s="12">
        <v>23.7</v>
      </c>
      <c r="O40" s="14">
        <v>0.625</v>
      </c>
      <c r="P40" s="12">
        <v>14.81</v>
      </c>
      <c r="Q40" s="10" t="s">
        <v>91</v>
      </c>
    </row>
    <row r="41" spans="1:17" x14ac:dyDescent="0.25">
      <c r="A41" s="9" t="s">
        <v>19</v>
      </c>
      <c r="B41" s="9" t="s">
        <v>58</v>
      </c>
      <c r="C41" s="9">
        <v>20003537</v>
      </c>
      <c r="D41" s="9" t="s">
        <v>427</v>
      </c>
      <c r="E41" s="9" t="s">
        <v>426</v>
      </c>
      <c r="F41" s="9" t="s">
        <v>425</v>
      </c>
      <c r="G41" s="9" t="s">
        <v>63</v>
      </c>
      <c r="H41" s="9" t="s">
        <v>65</v>
      </c>
      <c r="I41" s="9" t="s">
        <v>184</v>
      </c>
      <c r="J41" s="9" t="s">
        <v>342</v>
      </c>
      <c r="K41" s="9" t="s">
        <v>178</v>
      </c>
      <c r="L41" s="9">
        <f t="shared" si="1"/>
        <v>6</v>
      </c>
      <c r="M41" s="9" t="s">
        <v>613</v>
      </c>
      <c r="N41" s="11">
        <v>78.16</v>
      </c>
      <c r="O41" s="13">
        <v>0.625</v>
      </c>
      <c r="P41" s="11">
        <v>48.85</v>
      </c>
      <c r="Q41" s="9" t="s">
        <v>91</v>
      </c>
    </row>
    <row r="42" spans="1:17" s="18" customFormat="1" x14ac:dyDescent="0.25">
      <c r="A42" s="15" t="s">
        <v>19</v>
      </c>
      <c r="B42" s="15" t="s">
        <v>58</v>
      </c>
      <c r="C42" s="15">
        <v>19681796</v>
      </c>
      <c r="D42" s="15" t="s">
        <v>202</v>
      </c>
      <c r="E42" s="15" t="s">
        <v>452</v>
      </c>
      <c r="F42" s="15" t="s">
        <v>451</v>
      </c>
      <c r="G42" s="15" t="s">
        <v>63</v>
      </c>
      <c r="H42" s="15" t="s">
        <v>136</v>
      </c>
      <c r="I42" s="15" t="s">
        <v>228</v>
      </c>
      <c r="J42" s="15" t="s">
        <v>296</v>
      </c>
      <c r="K42" s="15" t="s">
        <v>81</v>
      </c>
      <c r="L42" s="9">
        <f t="shared" si="1"/>
        <v>6</v>
      </c>
      <c r="M42" s="9" t="s">
        <v>614</v>
      </c>
      <c r="N42" s="16">
        <v>68.790000000000006</v>
      </c>
      <c r="O42" s="17">
        <v>0.56999999999999995</v>
      </c>
      <c r="P42" s="16">
        <v>39.21</v>
      </c>
      <c r="Q42" s="15" t="s">
        <v>590</v>
      </c>
    </row>
    <row r="43" spans="1:17" s="18" customFormat="1" x14ac:dyDescent="0.25">
      <c r="A43" s="15" t="s">
        <v>19</v>
      </c>
      <c r="B43" s="15" t="s">
        <v>58</v>
      </c>
      <c r="C43" s="15">
        <v>19681796</v>
      </c>
      <c r="D43" s="15" t="s">
        <v>202</v>
      </c>
      <c r="E43" s="15" t="s">
        <v>330</v>
      </c>
      <c r="F43" s="15" t="s">
        <v>329</v>
      </c>
      <c r="G43" s="15" t="s">
        <v>63</v>
      </c>
      <c r="H43" s="15" t="s">
        <v>65</v>
      </c>
      <c r="I43" s="15" t="s">
        <v>228</v>
      </c>
      <c r="J43" s="15" t="s">
        <v>77</v>
      </c>
      <c r="K43" s="15" t="s">
        <v>135</v>
      </c>
      <c r="L43" s="9">
        <f t="shared" si="1"/>
        <v>7</v>
      </c>
      <c r="M43" s="9" t="s">
        <v>614</v>
      </c>
      <c r="N43" s="16">
        <v>78.239999999999995</v>
      </c>
      <c r="O43" s="17">
        <v>0.56999999999999995</v>
      </c>
      <c r="P43" s="16">
        <v>44.6</v>
      </c>
      <c r="Q43" s="15" t="s">
        <v>590</v>
      </c>
    </row>
    <row r="44" spans="1:17" s="18" customFormat="1" x14ac:dyDescent="0.25">
      <c r="A44" s="15" t="s">
        <v>19</v>
      </c>
      <c r="B44" s="15" t="s">
        <v>58</v>
      </c>
      <c r="C44" s="15">
        <v>19681796</v>
      </c>
      <c r="D44" s="15" t="s">
        <v>202</v>
      </c>
      <c r="E44" s="15" t="s">
        <v>203</v>
      </c>
      <c r="F44" s="15" t="s">
        <v>204</v>
      </c>
      <c r="G44" s="15" t="s">
        <v>63</v>
      </c>
      <c r="H44" s="15" t="s">
        <v>65</v>
      </c>
      <c r="I44" s="15" t="s">
        <v>103</v>
      </c>
      <c r="J44" s="15" t="s">
        <v>206</v>
      </c>
      <c r="K44" s="15" t="s">
        <v>81</v>
      </c>
      <c r="L44" s="9">
        <f t="shared" si="1"/>
        <v>2</v>
      </c>
      <c r="M44" s="9" t="s">
        <v>614</v>
      </c>
      <c r="N44" s="16">
        <v>2.52</v>
      </c>
      <c r="O44" s="17">
        <v>0.65</v>
      </c>
      <c r="P44" s="16">
        <v>1.64</v>
      </c>
      <c r="Q44" s="15" t="s">
        <v>603</v>
      </c>
    </row>
    <row r="45" spans="1:17" s="18" customFormat="1" x14ac:dyDescent="0.25">
      <c r="A45" s="15" t="s">
        <v>19</v>
      </c>
      <c r="B45" s="15" t="s">
        <v>58</v>
      </c>
      <c r="C45" s="15">
        <v>19681796</v>
      </c>
      <c r="D45" s="15" t="s">
        <v>202</v>
      </c>
      <c r="E45" s="15" t="s">
        <v>203</v>
      </c>
      <c r="F45" s="15" t="s">
        <v>204</v>
      </c>
      <c r="G45" s="15" t="s">
        <v>63</v>
      </c>
      <c r="H45" s="15" t="s">
        <v>65</v>
      </c>
      <c r="I45" s="15" t="s">
        <v>103</v>
      </c>
      <c r="J45" s="15" t="s">
        <v>206</v>
      </c>
      <c r="K45" s="15" t="s">
        <v>81</v>
      </c>
      <c r="L45" s="9">
        <f t="shared" si="1"/>
        <v>2</v>
      </c>
      <c r="M45" s="9" t="s">
        <v>614</v>
      </c>
      <c r="N45" s="16">
        <v>233.49</v>
      </c>
      <c r="O45" s="17">
        <v>0.65</v>
      </c>
      <c r="P45" s="16">
        <v>151.77000000000001</v>
      </c>
      <c r="Q45" s="15" t="s">
        <v>603</v>
      </c>
    </row>
    <row r="46" spans="1:17" s="18" customFormat="1" x14ac:dyDescent="0.25">
      <c r="A46" s="15" t="s">
        <v>19</v>
      </c>
      <c r="B46" s="15" t="s">
        <v>58</v>
      </c>
      <c r="C46" s="15">
        <v>8325282</v>
      </c>
      <c r="D46" s="15" t="s">
        <v>410</v>
      </c>
      <c r="E46" s="15" t="s">
        <v>409</v>
      </c>
      <c r="F46" s="15" t="s">
        <v>408</v>
      </c>
      <c r="G46" s="15" t="s">
        <v>63</v>
      </c>
      <c r="H46" s="15" t="s">
        <v>65</v>
      </c>
      <c r="I46" s="15" t="s">
        <v>406</v>
      </c>
      <c r="J46" s="15" t="s">
        <v>104</v>
      </c>
      <c r="K46" s="15" t="s">
        <v>178</v>
      </c>
      <c r="L46" s="9">
        <f t="shared" si="1"/>
        <v>8</v>
      </c>
      <c r="M46" s="9" t="s">
        <v>613</v>
      </c>
      <c r="N46" s="16">
        <v>48.66</v>
      </c>
      <c r="O46" s="17">
        <v>0.625</v>
      </c>
      <c r="P46" s="16">
        <v>30.41</v>
      </c>
      <c r="Q46" s="15" t="s">
        <v>91</v>
      </c>
    </row>
    <row r="47" spans="1:17" s="18" customFormat="1" x14ac:dyDescent="0.25">
      <c r="A47" s="15" t="s">
        <v>19</v>
      </c>
      <c r="B47" s="15" t="s">
        <v>58</v>
      </c>
      <c r="C47" s="15">
        <v>8325282</v>
      </c>
      <c r="D47" s="15" t="s">
        <v>410</v>
      </c>
      <c r="E47" s="15" t="s">
        <v>409</v>
      </c>
      <c r="F47" s="15" t="s">
        <v>408</v>
      </c>
      <c r="G47" s="15" t="s">
        <v>63</v>
      </c>
      <c r="H47" s="15" t="s">
        <v>65</v>
      </c>
      <c r="I47" s="15" t="s">
        <v>406</v>
      </c>
      <c r="J47" s="15" t="s">
        <v>104</v>
      </c>
      <c r="K47" s="15" t="s">
        <v>178</v>
      </c>
      <c r="L47" s="9">
        <f t="shared" si="1"/>
        <v>8</v>
      </c>
      <c r="M47" s="9" t="s">
        <v>613</v>
      </c>
      <c r="N47" s="16">
        <v>4.75</v>
      </c>
      <c r="O47" s="17">
        <v>0.625</v>
      </c>
      <c r="P47" s="16">
        <v>2.97</v>
      </c>
      <c r="Q47" s="15" t="s">
        <v>91</v>
      </c>
    </row>
    <row r="48" spans="1:17" x14ac:dyDescent="0.25">
      <c r="A48" s="10" t="s">
        <v>18</v>
      </c>
      <c r="B48" s="10" t="s">
        <v>58</v>
      </c>
      <c r="C48" s="10">
        <v>17528908</v>
      </c>
      <c r="D48" s="10" t="s">
        <v>267</v>
      </c>
      <c r="E48" s="10" t="s">
        <v>365</v>
      </c>
      <c r="F48" s="10" t="s">
        <v>364</v>
      </c>
      <c r="G48" s="10" t="s">
        <v>63</v>
      </c>
      <c r="H48" s="10" t="s">
        <v>197</v>
      </c>
      <c r="I48" s="10" t="s">
        <v>289</v>
      </c>
      <c r="J48" s="10" t="s">
        <v>342</v>
      </c>
      <c r="K48" s="10" t="s">
        <v>178</v>
      </c>
      <c r="L48" s="9">
        <f t="shared" si="1"/>
        <v>6</v>
      </c>
      <c r="M48" s="9" t="s">
        <v>613</v>
      </c>
      <c r="N48" s="12">
        <v>168.35</v>
      </c>
      <c r="O48" s="14">
        <v>0.3</v>
      </c>
      <c r="P48" s="12">
        <v>50.51</v>
      </c>
      <c r="Q48" s="10" t="s">
        <v>594</v>
      </c>
    </row>
    <row r="49" spans="1:17" x14ac:dyDescent="0.25">
      <c r="A49" s="9" t="s">
        <v>19</v>
      </c>
      <c r="B49" s="9" t="s">
        <v>58</v>
      </c>
      <c r="C49" s="9">
        <v>17528908</v>
      </c>
      <c r="D49" s="9" t="s">
        <v>267</v>
      </c>
      <c r="E49" s="9" t="s">
        <v>457</v>
      </c>
      <c r="F49" s="9" t="s">
        <v>534</v>
      </c>
      <c r="G49" s="9" t="s">
        <v>63</v>
      </c>
      <c r="H49" s="9" t="s">
        <v>197</v>
      </c>
      <c r="I49" s="9" t="s">
        <v>91</v>
      </c>
      <c r="J49" s="9" t="s">
        <v>229</v>
      </c>
      <c r="K49" s="9" t="s">
        <v>178</v>
      </c>
      <c r="L49" s="9">
        <f t="shared" si="1"/>
        <v>5</v>
      </c>
      <c r="M49" s="9" t="s">
        <v>613</v>
      </c>
      <c r="N49" s="11">
        <v>10.17</v>
      </c>
      <c r="O49" s="13">
        <v>0.625</v>
      </c>
      <c r="P49" s="11">
        <v>6.36</v>
      </c>
      <c r="Q49" s="9" t="s">
        <v>91</v>
      </c>
    </row>
    <row r="50" spans="1:17" x14ac:dyDescent="0.25">
      <c r="A50" s="9" t="s">
        <v>19</v>
      </c>
      <c r="B50" s="9" t="s">
        <v>58</v>
      </c>
      <c r="C50" s="9">
        <v>17528908</v>
      </c>
      <c r="D50" s="9" t="s">
        <v>267</v>
      </c>
      <c r="E50" s="9" t="s">
        <v>457</v>
      </c>
      <c r="F50" s="9" t="s">
        <v>534</v>
      </c>
      <c r="G50" s="9" t="s">
        <v>63</v>
      </c>
      <c r="H50" s="9" t="s">
        <v>197</v>
      </c>
      <c r="I50" s="9" t="s">
        <v>91</v>
      </c>
      <c r="J50" s="9" t="s">
        <v>229</v>
      </c>
      <c r="K50" s="9" t="s">
        <v>178</v>
      </c>
      <c r="L50" s="9">
        <f t="shared" si="1"/>
        <v>5</v>
      </c>
      <c r="M50" s="9" t="s">
        <v>613</v>
      </c>
      <c r="N50" s="11">
        <v>28.99</v>
      </c>
      <c r="O50" s="13">
        <v>0.625</v>
      </c>
      <c r="P50" s="11">
        <v>18.12</v>
      </c>
      <c r="Q50" s="9" t="s">
        <v>91</v>
      </c>
    </row>
    <row r="51" spans="1:17" x14ac:dyDescent="0.25">
      <c r="A51" s="10" t="s">
        <v>19</v>
      </c>
      <c r="B51" s="10" t="s">
        <v>58</v>
      </c>
      <c r="C51" s="10">
        <v>17528908</v>
      </c>
      <c r="D51" s="10" t="s">
        <v>267</v>
      </c>
      <c r="E51" s="10" t="s">
        <v>457</v>
      </c>
      <c r="F51" s="10" t="s">
        <v>534</v>
      </c>
      <c r="G51" s="10" t="s">
        <v>63</v>
      </c>
      <c r="H51" s="10" t="s">
        <v>197</v>
      </c>
      <c r="I51" s="10" t="s">
        <v>91</v>
      </c>
      <c r="J51" s="10" t="s">
        <v>229</v>
      </c>
      <c r="K51" s="10" t="s">
        <v>178</v>
      </c>
      <c r="L51" s="9">
        <f t="shared" si="1"/>
        <v>5</v>
      </c>
      <c r="M51" s="9" t="s">
        <v>613</v>
      </c>
      <c r="N51" s="12">
        <v>5.25</v>
      </c>
      <c r="O51" s="14">
        <v>0.625</v>
      </c>
      <c r="P51" s="12">
        <v>3.28</v>
      </c>
      <c r="Q51" s="10" t="s">
        <v>91</v>
      </c>
    </row>
    <row r="52" spans="1:17" x14ac:dyDescent="0.25">
      <c r="A52" s="9" t="s">
        <v>19</v>
      </c>
      <c r="B52" s="9" t="s">
        <v>58</v>
      </c>
      <c r="C52" s="9">
        <v>17528908</v>
      </c>
      <c r="D52" s="9" t="s">
        <v>267</v>
      </c>
      <c r="E52" s="9" t="s">
        <v>457</v>
      </c>
      <c r="F52" s="9" t="s">
        <v>534</v>
      </c>
      <c r="G52" s="9" t="s">
        <v>63</v>
      </c>
      <c r="H52" s="9" t="s">
        <v>197</v>
      </c>
      <c r="I52" s="9" t="s">
        <v>91</v>
      </c>
      <c r="J52" s="9" t="s">
        <v>229</v>
      </c>
      <c r="K52" s="9" t="s">
        <v>178</v>
      </c>
      <c r="L52" s="9">
        <f t="shared" si="1"/>
        <v>5</v>
      </c>
      <c r="M52" s="9" t="s">
        <v>613</v>
      </c>
      <c r="N52" s="11">
        <v>3.3</v>
      </c>
      <c r="O52" s="13">
        <v>0.625</v>
      </c>
      <c r="P52" s="11">
        <v>2.06</v>
      </c>
      <c r="Q52" s="9" t="s">
        <v>91</v>
      </c>
    </row>
    <row r="53" spans="1:17" x14ac:dyDescent="0.25">
      <c r="A53" s="10" t="s">
        <v>19</v>
      </c>
      <c r="B53" s="10" t="s">
        <v>58</v>
      </c>
      <c r="C53" s="10">
        <v>17528908</v>
      </c>
      <c r="D53" s="10" t="s">
        <v>267</v>
      </c>
      <c r="E53" s="10" t="s">
        <v>361</v>
      </c>
      <c r="F53" s="10" t="s">
        <v>360</v>
      </c>
      <c r="G53" s="10" t="s">
        <v>63</v>
      </c>
      <c r="H53" s="10" t="s">
        <v>197</v>
      </c>
      <c r="I53" s="10" t="s">
        <v>91</v>
      </c>
      <c r="J53" s="10" t="s">
        <v>358</v>
      </c>
      <c r="K53" s="10" t="s">
        <v>357</v>
      </c>
      <c r="L53" s="9">
        <f t="shared" si="1"/>
        <v>6</v>
      </c>
      <c r="M53" s="9" t="s">
        <v>613</v>
      </c>
      <c r="N53" s="12">
        <v>46.67</v>
      </c>
      <c r="O53" s="14">
        <v>0.625</v>
      </c>
      <c r="P53" s="12">
        <v>29.17</v>
      </c>
      <c r="Q53" s="10" t="s">
        <v>91</v>
      </c>
    </row>
    <row r="54" spans="1:17" x14ac:dyDescent="0.25">
      <c r="A54" s="9" t="s">
        <v>19</v>
      </c>
      <c r="B54" s="9" t="s">
        <v>58</v>
      </c>
      <c r="C54" s="9">
        <v>17528908</v>
      </c>
      <c r="D54" s="9" t="s">
        <v>267</v>
      </c>
      <c r="E54" s="9" t="s">
        <v>361</v>
      </c>
      <c r="F54" s="9" t="s">
        <v>360</v>
      </c>
      <c r="G54" s="9" t="s">
        <v>63</v>
      </c>
      <c r="H54" s="9" t="s">
        <v>197</v>
      </c>
      <c r="I54" s="9" t="s">
        <v>91</v>
      </c>
      <c r="J54" s="9" t="s">
        <v>358</v>
      </c>
      <c r="K54" s="9" t="s">
        <v>357</v>
      </c>
      <c r="L54" s="9">
        <f t="shared" si="1"/>
        <v>6</v>
      </c>
      <c r="M54" s="9" t="s">
        <v>613</v>
      </c>
      <c r="N54" s="11">
        <v>4.7</v>
      </c>
      <c r="O54" s="13">
        <v>0.625</v>
      </c>
      <c r="P54" s="11">
        <v>2.94</v>
      </c>
      <c r="Q54" s="9" t="s">
        <v>91</v>
      </c>
    </row>
    <row r="55" spans="1:17" x14ac:dyDescent="0.25">
      <c r="A55" s="10" t="s">
        <v>19</v>
      </c>
      <c r="B55" s="10" t="s">
        <v>58</v>
      </c>
      <c r="C55" s="10">
        <v>17528908</v>
      </c>
      <c r="D55" s="10" t="s">
        <v>267</v>
      </c>
      <c r="E55" s="10" t="s">
        <v>361</v>
      </c>
      <c r="F55" s="10" t="s">
        <v>360</v>
      </c>
      <c r="G55" s="10" t="s">
        <v>63</v>
      </c>
      <c r="H55" s="10" t="s">
        <v>197</v>
      </c>
      <c r="I55" s="10" t="s">
        <v>91</v>
      </c>
      <c r="J55" s="10" t="s">
        <v>358</v>
      </c>
      <c r="K55" s="10" t="s">
        <v>357</v>
      </c>
      <c r="L55" s="9">
        <f t="shared" si="1"/>
        <v>6</v>
      </c>
      <c r="M55" s="9" t="s">
        <v>613</v>
      </c>
      <c r="N55" s="12">
        <v>1.04</v>
      </c>
      <c r="O55" s="14">
        <v>0.625</v>
      </c>
      <c r="P55" s="12">
        <v>0.65</v>
      </c>
      <c r="Q55" s="10" t="s">
        <v>91</v>
      </c>
    </row>
    <row r="56" spans="1:17" x14ac:dyDescent="0.25">
      <c r="A56" s="9" t="s">
        <v>19</v>
      </c>
      <c r="B56" s="9" t="s">
        <v>58</v>
      </c>
      <c r="C56" s="9">
        <v>17528908</v>
      </c>
      <c r="D56" s="9" t="s">
        <v>267</v>
      </c>
      <c r="E56" s="9" t="s">
        <v>361</v>
      </c>
      <c r="F56" s="9" t="s">
        <v>360</v>
      </c>
      <c r="G56" s="9" t="s">
        <v>63</v>
      </c>
      <c r="H56" s="9" t="s">
        <v>197</v>
      </c>
      <c r="I56" s="9" t="s">
        <v>91</v>
      </c>
      <c r="J56" s="9" t="s">
        <v>358</v>
      </c>
      <c r="K56" s="9" t="s">
        <v>357</v>
      </c>
      <c r="L56" s="9">
        <f t="shared" si="1"/>
        <v>6</v>
      </c>
      <c r="M56" s="9" t="s">
        <v>613</v>
      </c>
      <c r="N56" s="11">
        <v>10.5</v>
      </c>
      <c r="O56" s="13">
        <v>0.625</v>
      </c>
      <c r="P56" s="11">
        <v>6.56</v>
      </c>
      <c r="Q56" s="9" t="s">
        <v>91</v>
      </c>
    </row>
    <row r="57" spans="1:17" x14ac:dyDescent="0.25">
      <c r="A57" s="10" t="s">
        <v>19</v>
      </c>
      <c r="B57" s="10" t="s">
        <v>58</v>
      </c>
      <c r="C57" s="10">
        <v>17528908</v>
      </c>
      <c r="D57" s="10" t="s">
        <v>267</v>
      </c>
      <c r="E57" s="10" t="s">
        <v>512</v>
      </c>
      <c r="F57" s="10" t="s">
        <v>533</v>
      </c>
      <c r="G57" s="10" t="s">
        <v>63</v>
      </c>
      <c r="H57" s="10" t="s">
        <v>197</v>
      </c>
      <c r="I57" s="10" t="s">
        <v>125</v>
      </c>
      <c r="J57" s="10" t="s">
        <v>296</v>
      </c>
      <c r="K57" s="10" t="s">
        <v>81</v>
      </c>
      <c r="L57" s="9">
        <f t="shared" si="1"/>
        <v>6</v>
      </c>
      <c r="M57" s="9" t="s">
        <v>613</v>
      </c>
      <c r="N57" s="12">
        <v>42.4</v>
      </c>
      <c r="O57" s="14">
        <v>1</v>
      </c>
      <c r="P57" s="12">
        <v>42.4</v>
      </c>
      <c r="Q57" s="10" t="s">
        <v>588</v>
      </c>
    </row>
    <row r="58" spans="1:17" x14ac:dyDescent="0.25">
      <c r="A58" s="10" t="s">
        <v>19</v>
      </c>
      <c r="B58" s="10" t="s">
        <v>58</v>
      </c>
      <c r="C58" s="10">
        <v>17528908</v>
      </c>
      <c r="D58" s="10" t="s">
        <v>267</v>
      </c>
      <c r="E58" s="10" t="s">
        <v>512</v>
      </c>
      <c r="F58" s="10" t="s">
        <v>511</v>
      </c>
      <c r="G58" s="10" t="s">
        <v>63</v>
      </c>
      <c r="H58" s="10" t="s">
        <v>197</v>
      </c>
      <c r="I58" s="10" t="s">
        <v>66</v>
      </c>
      <c r="J58" s="10" t="s">
        <v>296</v>
      </c>
      <c r="K58" s="10" t="s">
        <v>81</v>
      </c>
      <c r="L58" s="9">
        <f t="shared" si="1"/>
        <v>6</v>
      </c>
      <c r="M58" s="9" t="s">
        <v>613</v>
      </c>
      <c r="N58" s="12">
        <v>41.7</v>
      </c>
      <c r="O58" s="14">
        <v>1</v>
      </c>
      <c r="P58" s="12">
        <v>41.7</v>
      </c>
      <c r="Q58" s="10" t="s">
        <v>588</v>
      </c>
    </row>
    <row r="59" spans="1:17" x14ac:dyDescent="0.25">
      <c r="A59" s="9" t="s">
        <v>19</v>
      </c>
      <c r="B59" s="9" t="s">
        <v>58</v>
      </c>
      <c r="C59" s="9">
        <v>17528908</v>
      </c>
      <c r="D59" s="9" t="s">
        <v>267</v>
      </c>
      <c r="E59" s="9" t="s">
        <v>457</v>
      </c>
      <c r="F59" s="9" t="s">
        <v>456</v>
      </c>
      <c r="G59" s="9" t="s">
        <v>63</v>
      </c>
      <c r="H59" s="9" t="s">
        <v>197</v>
      </c>
      <c r="I59" s="9" t="s">
        <v>66</v>
      </c>
      <c r="J59" s="9" t="s">
        <v>229</v>
      </c>
      <c r="K59" s="9" t="s">
        <v>178</v>
      </c>
      <c r="L59" s="9">
        <f t="shared" si="1"/>
        <v>5</v>
      </c>
      <c r="M59" s="9" t="s">
        <v>613</v>
      </c>
      <c r="N59" s="11">
        <v>48.45</v>
      </c>
      <c r="O59" s="13">
        <v>1</v>
      </c>
      <c r="P59" s="11">
        <v>48.45</v>
      </c>
      <c r="Q59" s="9" t="s">
        <v>588</v>
      </c>
    </row>
    <row r="60" spans="1:17" x14ac:dyDescent="0.25">
      <c r="A60" s="10" t="s">
        <v>19</v>
      </c>
      <c r="B60" s="10" t="s">
        <v>58</v>
      </c>
      <c r="C60" s="10">
        <v>17528908</v>
      </c>
      <c r="D60" s="10" t="s">
        <v>267</v>
      </c>
      <c r="E60" s="10" t="s">
        <v>404</v>
      </c>
      <c r="F60" s="10" t="s">
        <v>403</v>
      </c>
      <c r="G60" s="10" t="s">
        <v>63</v>
      </c>
      <c r="H60" s="10" t="s">
        <v>197</v>
      </c>
      <c r="I60" s="10" t="s">
        <v>66</v>
      </c>
      <c r="J60" s="10" t="s">
        <v>401</v>
      </c>
      <c r="K60" s="10" t="s">
        <v>178</v>
      </c>
      <c r="L60" s="9">
        <f t="shared" si="1"/>
        <v>9</v>
      </c>
      <c r="M60" s="9" t="s">
        <v>613</v>
      </c>
      <c r="N60" s="12">
        <v>48.45</v>
      </c>
      <c r="O60" s="14">
        <v>1</v>
      </c>
      <c r="P60" s="12">
        <v>48.45</v>
      </c>
      <c r="Q60" s="10" t="s">
        <v>588</v>
      </c>
    </row>
    <row r="61" spans="1:17" x14ac:dyDescent="0.25">
      <c r="A61" s="9" t="s">
        <v>19</v>
      </c>
      <c r="B61" s="9" t="s">
        <v>58</v>
      </c>
      <c r="C61" s="9">
        <v>17528908</v>
      </c>
      <c r="D61" s="9" t="s">
        <v>267</v>
      </c>
      <c r="E61" s="9" t="s">
        <v>392</v>
      </c>
      <c r="F61" s="9" t="s">
        <v>391</v>
      </c>
      <c r="G61" s="9" t="s">
        <v>63</v>
      </c>
      <c r="H61" s="9" t="s">
        <v>197</v>
      </c>
      <c r="I61" s="9" t="s">
        <v>66</v>
      </c>
      <c r="J61" s="9" t="s">
        <v>390</v>
      </c>
      <c r="K61" s="9" t="s">
        <v>81</v>
      </c>
      <c r="L61" s="9">
        <f t="shared" si="1"/>
        <v>9</v>
      </c>
      <c r="M61" s="9" t="s">
        <v>613</v>
      </c>
      <c r="N61" s="11">
        <v>37.72</v>
      </c>
      <c r="O61" s="13">
        <v>1</v>
      </c>
      <c r="P61" s="11">
        <v>37.72</v>
      </c>
      <c r="Q61" s="9" t="s">
        <v>588</v>
      </c>
    </row>
    <row r="62" spans="1:17" x14ac:dyDescent="0.25">
      <c r="A62" s="9" t="s">
        <v>19</v>
      </c>
      <c r="B62" s="9" t="s">
        <v>58</v>
      </c>
      <c r="C62" s="9">
        <v>17528908</v>
      </c>
      <c r="D62" s="9" t="s">
        <v>267</v>
      </c>
      <c r="E62" s="9" t="s">
        <v>510</v>
      </c>
      <c r="F62" s="9" t="s">
        <v>509</v>
      </c>
      <c r="G62" s="9" t="s">
        <v>63</v>
      </c>
      <c r="H62" s="9" t="s">
        <v>197</v>
      </c>
      <c r="I62" s="9" t="s">
        <v>66</v>
      </c>
      <c r="J62" s="9" t="s">
        <v>507</v>
      </c>
      <c r="K62" s="9" t="s">
        <v>178</v>
      </c>
      <c r="L62" s="9">
        <f t="shared" si="1"/>
        <v>2</v>
      </c>
      <c r="M62" s="9" t="s">
        <v>613</v>
      </c>
      <c r="N62" s="11">
        <v>41.7</v>
      </c>
      <c r="O62" s="13">
        <v>1.05</v>
      </c>
      <c r="P62" s="11">
        <v>43.79</v>
      </c>
      <c r="Q62" s="9" t="s">
        <v>593</v>
      </c>
    </row>
    <row r="63" spans="1:17" x14ac:dyDescent="0.25">
      <c r="A63" s="10" t="s">
        <v>19</v>
      </c>
      <c r="B63" s="10" t="s">
        <v>58</v>
      </c>
      <c r="C63" s="10">
        <v>17528908</v>
      </c>
      <c r="D63" s="10" t="s">
        <v>267</v>
      </c>
      <c r="E63" s="10" t="s">
        <v>441</v>
      </c>
      <c r="F63" s="10" t="s">
        <v>440</v>
      </c>
      <c r="G63" s="10" t="s">
        <v>145</v>
      </c>
      <c r="H63" s="10" t="s">
        <v>197</v>
      </c>
      <c r="I63" s="10" t="s">
        <v>66</v>
      </c>
      <c r="J63" s="10" t="s">
        <v>146</v>
      </c>
      <c r="K63" s="10" t="s">
        <v>7</v>
      </c>
      <c r="L63" s="9">
        <f t="shared" si="1"/>
        <v>12</v>
      </c>
      <c r="M63" s="9" t="s">
        <v>613</v>
      </c>
      <c r="N63" s="12">
        <v>48.45</v>
      </c>
      <c r="O63" s="14">
        <v>0.08</v>
      </c>
      <c r="P63" s="12">
        <v>3.88</v>
      </c>
      <c r="Q63" s="10" t="s">
        <v>588</v>
      </c>
    </row>
    <row r="64" spans="1:17" x14ac:dyDescent="0.25">
      <c r="A64" s="10" t="s">
        <v>18</v>
      </c>
      <c r="B64" s="10" t="s">
        <v>58</v>
      </c>
      <c r="C64" s="10">
        <v>17528908</v>
      </c>
      <c r="D64" s="10" t="s">
        <v>267</v>
      </c>
      <c r="E64" s="10" t="s">
        <v>268</v>
      </c>
      <c r="F64" s="10" t="s">
        <v>269</v>
      </c>
      <c r="G64" s="10" t="s">
        <v>145</v>
      </c>
      <c r="H64" s="10" t="s">
        <v>197</v>
      </c>
      <c r="I64" s="10" t="s">
        <v>271</v>
      </c>
      <c r="J64" s="10" t="s">
        <v>272</v>
      </c>
      <c r="K64" s="10" t="s">
        <v>105</v>
      </c>
      <c r="L64" s="9">
        <f t="shared" si="1"/>
        <v>12</v>
      </c>
      <c r="M64" s="9" t="s">
        <v>613</v>
      </c>
      <c r="N64" s="12">
        <v>529.13</v>
      </c>
      <c r="O64" s="14">
        <v>0.25</v>
      </c>
      <c r="P64" s="12">
        <v>132.28</v>
      </c>
      <c r="Q64" s="10" t="s">
        <v>600</v>
      </c>
    </row>
    <row r="65" spans="1:17" s="18" customFormat="1" x14ac:dyDescent="0.25">
      <c r="A65" s="15" t="s">
        <v>19</v>
      </c>
      <c r="B65" s="15" t="s">
        <v>96</v>
      </c>
      <c r="C65" s="15">
        <v>8814784</v>
      </c>
      <c r="D65" s="15" t="s">
        <v>117</v>
      </c>
      <c r="E65" s="15" t="s">
        <v>118</v>
      </c>
      <c r="F65" s="15" t="s">
        <v>119</v>
      </c>
      <c r="G65" s="15" t="s">
        <v>63</v>
      </c>
      <c r="H65" s="15" t="s">
        <v>65</v>
      </c>
      <c r="I65" s="15" t="s">
        <v>121</v>
      </c>
      <c r="J65" s="15" t="s">
        <v>122</v>
      </c>
      <c r="K65" s="15" t="s">
        <v>105</v>
      </c>
      <c r="L65" s="9">
        <f t="shared" si="1"/>
        <v>8</v>
      </c>
      <c r="M65" s="9" t="s">
        <v>613</v>
      </c>
      <c r="N65" s="16">
        <v>-42.5</v>
      </c>
      <c r="O65" s="17">
        <v>0.56999999999999995</v>
      </c>
      <c r="P65" s="16">
        <v>-24.23</v>
      </c>
      <c r="Q65" s="15" t="s">
        <v>590</v>
      </c>
    </row>
    <row r="66" spans="1:17" s="18" customFormat="1" x14ac:dyDescent="0.25">
      <c r="A66" s="15" t="s">
        <v>19</v>
      </c>
      <c r="B66" s="15" t="s">
        <v>58</v>
      </c>
      <c r="C66" s="15">
        <v>8814784</v>
      </c>
      <c r="D66" s="15" t="s">
        <v>117</v>
      </c>
      <c r="E66" s="15" t="s">
        <v>214</v>
      </c>
      <c r="F66" s="15" t="s">
        <v>215</v>
      </c>
      <c r="G66" s="15" t="s">
        <v>63</v>
      </c>
      <c r="H66" s="15" t="s">
        <v>65</v>
      </c>
      <c r="I66" s="15" t="s">
        <v>216</v>
      </c>
      <c r="J66" s="15" t="s">
        <v>211</v>
      </c>
      <c r="K66" s="15" t="s">
        <v>93</v>
      </c>
      <c r="L66" s="9">
        <f t="shared" ref="L66:L97" si="2">DATEDIF(J66,K66,"M")</f>
        <v>7</v>
      </c>
      <c r="M66" s="9" t="s">
        <v>614</v>
      </c>
      <c r="N66" s="16">
        <v>34</v>
      </c>
      <c r="O66" s="17">
        <v>0.56999999999999995</v>
      </c>
      <c r="P66" s="16">
        <v>19.38</v>
      </c>
      <c r="Q66" s="15" t="s">
        <v>590</v>
      </c>
    </row>
    <row r="67" spans="1:17" s="18" customFormat="1" x14ac:dyDescent="0.25">
      <c r="A67" s="15" t="s">
        <v>19</v>
      </c>
      <c r="B67" s="15" t="s">
        <v>96</v>
      </c>
      <c r="C67" s="15">
        <v>8814784</v>
      </c>
      <c r="D67" s="15" t="s">
        <v>117</v>
      </c>
      <c r="E67" s="15" t="s">
        <v>118</v>
      </c>
      <c r="F67" s="15" t="s">
        <v>124</v>
      </c>
      <c r="G67" s="15" t="s">
        <v>63</v>
      </c>
      <c r="H67" s="15" t="s">
        <v>65</v>
      </c>
      <c r="I67" s="15" t="s">
        <v>125</v>
      </c>
      <c r="J67" s="15" t="s">
        <v>122</v>
      </c>
      <c r="K67" s="15" t="s">
        <v>105</v>
      </c>
      <c r="L67" s="9">
        <f t="shared" si="2"/>
        <v>8</v>
      </c>
      <c r="M67" s="9" t="s">
        <v>613</v>
      </c>
      <c r="N67" s="16">
        <v>-15.8</v>
      </c>
      <c r="O67" s="17">
        <v>1</v>
      </c>
      <c r="P67" s="16">
        <v>-15.8</v>
      </c>
      <c r="Q67" s="15" t="s">
        <v>588</v>
      </c>
    </row>
    <row r="68" spans="1:17" s="18" customFormat="1" x14ac:dyDescent="0.25">
      <c r="A68" s="15" t="s">
        <v>19</v>
      </c>
      <c r="B68" s="15" t="s">
        <v>96</v>
      </c>
      <c r="C68" s="15">
        <v>8814784</v>
      </c>
      <c r="D68" s="15" t="s">
        <v>117</v>
      </c>
      <c r="E68" s="15" t="s">
        <v>118</v>
      </c>
      <c r="F68" s="15" t="s">
        <v>200</v>
      </c>
      <c r="G68" s="15" t="s">
        <v>63</v>
      </c>
      <c r="H68" s="15" t="s">
        <v>65</v>
      </c>
      <c r="I68" s="15" t="s">
        <v>66</v>
      </c>
      <c r="J68" s="15" t="s">
        <v>122</v>
      </c>
      <c r="K68" s="15" t="s">
        <v>105</v>
      </c>
      <c r="L68" s="9">
        <f t="shared" si="2"/>
        <v>8</v>
      </c>
      <c r="M68" s="9" t="s">
        <v>613</v>
      </c>
      <c r="N68" s="16">
        <v>-27.8</v>
      </c>
      <c r="O68" s="17">
        <v>1</v>
      </c>
      <c r="P68" s="16">
        <v>-27.8</v>
      </c>
      <c r="Q68" s="15" t="s">
        <v>588</v>
      </c>
    </row>
    <row r="69" spans="1:17" s="18" customFormat="1" x14ac:dyDescent="0.25">
      <c r="A69" s="15" t="s">
        <v>19</v>
      </c>
      <c r="B69" s="15" t="s">
        <v>58</v>
      </c>
      <c r="C69" s="15" t="s">
        <v>605</v>
      </c>
      <c r="D69" s="15" t="s">
        <v>117</v>
      </c>
      <c r="E69" s="15" t="s">
        <v>132</v>
      </c>
      <c r="F69" s="15" t="s">
        <v>133</v>
      </c>
      <c r="G69" s="15" t="s">
        <v>134</v>
      </c>
      <c r="H69" s="15" t="s">
        <v>136</v>
      </c>
      <c r="I69" s="15" t="s">
        <v>91</v>
      </c>
      <c r="J69" s="15" t="s">
        <v>137</v>
      </c>
      <c r="K69" s="15" t="s">
        <v>137</v>
      </c>
      <c r="L69" s="9">
        <f t="shared" si="2"/>
        <v>0</v>
      </c>
      <c r="M69" s="9" t="s">
        <v>615</v>
      </c>
      <c r="N69" s="16">
        <v>42.5</v>
      </c>
      <c r="O69" s="17">
        <v>0.65</v>
      </c>
      <c r="P69" s="16">
        <v>27.63</v>
      </c>
      <c r="Q69" s="15" t="s">
        <v>603</v>
      </c>
    </row>
    <row r="70" spans="1:17" s="18" customFormat="1" x14ac:dyDescent="0.25">
      <c r="A70" s="15" t="s">
        <v>19</v>
      </c>
      <c r="B70" s="15" t="s">
        <v>58</v>
      </c>
      <c r="C70" s="15" t="s">
        <v>605</v>
      </c>
      <c r="D70" s="15" t="s">
        <v>117</v>
      </c>
      <c r="E70" s="15" t="s">
        <v>132</v>
      </c>
      <c r="F70" s="15" t="s">
        <v>133</v>
      </c>
      <c r="G70" s="15" t="s">
        <v>134</v>
      </c>
      <c r="H70" s="15" t="s">
        <v>136</v>
      </c>
      <c r="I70" s="15" t="s">
        <v>91</v>
      </c>
      <c r="J70" s="15" t="s">
        <v>137</v>
      </c>
      <c r="K70" s="15" t="s">
        <v>137</v>
      </c>
      <c r="L70" s="9">
        <f t="shared" si="2"/>
        <v>0</v>
      </c>
      <c r="M70" s="9" t="s">
        <v>615</v>
      </c>
      <c r="N70" s="16">
        <v>25.5</v>
      </c>
      <c r="O70" s="17">
        <v>0.65</v>
      </c>
      <c r="P70" s="16">
        <v>16.579999999999998</v>
      </c>
      <c r="Q70" s="15" t="s">
        <v>603</v>
      </c>
    </row>
    <row r="71" spans="1:17" x14ac:dyDescent="0.25">
      <c r="A71" s="10" t="s">
        <v>19</v>
      </c>
      <c r="B71" s="10" t="s">
        <v>58</v>
      </c>
      <c r="C71" s="10">
        <v>9213293</v>
      </c>
      <c r="D71" s="10" t="s">
        <v>60</v>
      </c>
      <c r="E71" s="10" t="s">
        <v>88</v>
      </c>
      <c r="F71" s="10" t="s">
        <v>89</v>
      </c>
      <c r="G71" s="10" t="s">
        <v>63</v>
      </c>
      <c r="H71" s="10" t="s">
        <v>65</v>
      </c>
      <c r="I71" s="10" t="s">
        <v>91</v>
      </c>
      <c r="J71" s="10" t="s">
        <v>92</v>
      </c>
      <c r="K71" s="10" t="s">
        <v>93</v>
      </c>
      <c r="L71" s="9">
        <f t="shared" si="2"/>
        <v>1</v>
      </c>
      <c r="M71" s="9" t="s">
        <v>613</v>
      </c>
      <c r="N71" s="12">
        <v>7.08</v>
      </c>
      <c r="O71" s="14">
        <v>0.65</v>
      </c>
      <c r="P71" s="12">
        <v>4.5999999999999996</v>
      </c>
      <c r="Q71" s="10" t="s">
        <v>603</v>
      </c>
    </row>
    <row r="72" spans="1:17" x14ac:dyDescent="0.25">
      <c r="A72" s="10" t="s">
        <v>19</v>
      </c>
      <c r="B72" s="10" t="s">
        <v>58</v>
      </c>
      <c r="C72" s="10">
        <v>9213293</v>
      </c>
      <c r="D72" s="10" t="s">
        <v>60</v>
      </c>
      <c r="E72" s="10" t="s">
        <v>188</v>
      </c>
      <c r="F72" s="10" t="s">
        <v>189</v>
      </c>
      <c r="G72" s="10" t="s">
        <v>63</v>
      </c>
      <c r="H72" s="10" t="s">
        <v>191</v>
      </c>
      <c r="I72" s="10" t="s">
        <v>91</v>
      </c>
      <c r="J72" s="10" t="s">
        <v>190</v>
      </c>
      <c r="K72" s="10" t="s">
        <v>155</v>
      </c>
      <c r="L72" s="9">
        <f t="shared" si="2"/>
        <v>5</v>
      </c>
      <c r="M72" s="9" t="s">
        <v>613</v>
      </c>
      <c r="N72" s="12">
        <v>28.33</v>
      </c>
      <c r="O72" s="14">
        <v>0.65</v>
      </c>
      <c r="P72" s="12">
        <v>18.41</v>
      </c>
      <c r="Q72" s="10" t="s">
        <v>603</v>
      </c>
    </row>
    <row r="73" spans="1:17" x14ac:dyDescent="0.25">
      <c r="A73" s="9" t="s">
        <v>19</v>
      </c>
      <c r="B73" s="9" t="s">
        <v>58</v>
      </c>
      <c r="C73" s="9">
        <v>9213293</v>
      </c>
      <c r="D73" s="9" t="s">
        <v>60</v>
      </c>
      <c r="E73" s="9" t="s">
        <v>188</v>
      </c>
      <c r="F73" s="9" t="s">
        <v>189</v>
      </c>
      <c r="G73" s="9" t="s">
        <v>63</v>
      </c>
      <c r="H73" s="9" t="s">
        <v>191</v>
      </c>
      <c r="I73" s="9" t="s">
        <v>91</v>
      </c>
      <c r="J73" s="9" t="s">
        <v>190</v>
      </c>
      <c r="K73" s="9" t="s">
        <v>155</v>
      </c>
      <c r="L73" s="9">
        <f t="shared" si="2"/>
        <v>5</v>
      </c>
      <c r="M73" s="9" t="s">
        <v>613</v>
      </c>
      <c r="N73" s="11">
        <v>15.8</v>
      </c>
      <c r="O73" s="13">
        <v>0.65</v>
      </c>
      <c r="P73" s="11">
        <v>10.27</v>
      </c>
      <c r="Q73" s="9" t="s">
        <v>603</v>
      </c>
    </row>
    <row r="74" spans="1:17" x14ac:dyDescent="0.25">
      <c r="A74" s="10" t="s">
        <v>19</v>
      </c>
      <c r="B74" s="10" t="s">
        <v>58</v>
      </c>
      <c r="C74" s="10">
        <v>9213293</v>
      </c>
      <c r="D74" s="10" t="s">
        <v>60</v>
      </c>
      <c r="E74" s="10" t="s">
        <v>188</v>
      </c>
      <c r="F74" s="10" t="s">
        <v>189</v>
      </c>
      <c r="G74" s="10" t="s">
        <v>63</v>
      </c>
      <c r="H74" s="10" t="s">
        <v>191</v>
      </c>
      <c r="I74" s="10" t="s">
        <v>91</v>
      </c>
      <c r="J74" s="10" t="s">
        <v>190</v>
      </c>
      <c r="K74" s="10" t="s">
        <v>155</v>
      </c>
      <c r="L74" s="9">
        <f t="shared" si="2"/>
        <v>5</v>
      </c>
      <c r="M74" s="9" t="s">
        <v>613</v>
      </c>
      <c r="N74" s="12">
        <v>22.08</v>
      </c>
      <c r="O74" s="14">
        <v>0.65</v>
      </c>
      <c r="P74" s="12">
        <v>14.35</v>
      </c>
      <c r="Q74" s="10" t="s">
        <v>603</v>
      </c>
    </row>
    <row r="75" spans="1:17" x14ac:dyDescent="0.25">
      <c r="A75" s="9" t="s">
        <v>19</v>
      </c>
      <c r="B75" s="9" t="s">
        <v>58</v>
      </c>
      <c r="C75" s="9">
        <v>9213293</v>
      </c>
      <c r="D75" s="9" t="s">
        <v>60</v>
      </c>
      <c r="E75" s="9" t="s">
        <v>188</v>
      </c>
      <c r="F75" s="9" t="s">
        <v>189</v>
      </c>
      <c r="G75" s="9" t="s">
        <v>63</v>
      </c>
      <c r="H75" s="9" t="s">
        <v>191</v>
      </c>
      <c r="I75" s="9" t="s">
        <v>91</v>
      </c>
      <c r="J75" s="9" t="s">
        <v>190</v>
      </c>
      <c r="K75" s="9" t="s">
        <v>155</v>
      </c>
      <c r="L75" s="9">
        <f t="shared" si="2"/>
        <v>5</v>
      </c>
      <c r="M75" s="9" t="s">
        <v>613</v>
      </c>
      <c r="N75" s="11">
        <v>13.38</v>
      </c>
      <c r="O75" s="13">
        <v>0.65</v>
      </c>
      <c r="P75" s="11">
        <v>8.6999999999999993</v>
      </c>
      <c r="Q75" s="9" t="s">
        <v>603</v>
      </c>
    </row>
    <row r="76" spans="1:17" x14ac:dyDescent="0.25">
      <c r="A76" s="10" t="s">
        <v>19</v>
      </c>
      <c r="B76" s="10" t="s">
        <v>58</v>
      </c>
      <c r="C76" s="10">
        <v>9213293</v>
      </c>
      <c r="D76" s="10" t="s">
        <v>60</v>
      </c>
      <c r="E76" s="10" t="s">
        <v>188</v>
      </c>
      <c r="F76" s="10" t="s">
        <v>189</v>
      </c>
      <c r="G76" s="10" t="s">
        <v>63</v>
      </c>
      <c r="H76" s="10" t="s">
        <v>191</v>
      </c>
      <c r="I76" s="10" t="s">
        <v>91</v>
      </c>
      <c r="J76" s="10" t="s">
        <v>190</v>
      </c>
      <c r="K76" s="10" t="s">
        <v>155</v>
      </c>
      <c r="L76" s="9">
        <f t="shared" si="2"/>
        <v>5</v>
      </c>
      <c r="M76" s="9" t="s">
        <v>613</v>
      </c>
      <c r="N76" s="12">
        <v>37.369999999999997</v>
      </c>
      <c r="O76" s="14">
        <v>0.65</v>
      </c>
      <c r="P76" s="12">
        <v>24.29</v>
      </c>
      <c r="Q76" s="10" t="s">
        <v>603</v>
      </c>
    </row>
    <row r="77" spans="1:17" x14ac:dyDescent="0.25">
      <c r="A77" s="9" t="s">
        <v>19</v>
      </c>
      <c r="B77" s="9" t="s">
        <v>58</v>
      </c>
      <c r="C77" s="9">
        <v>9213293</v>
      </c>
      <c r="D77" s="9" t="s">
        <v>60</v>
      </c>
      <c r="E77" s="9" t="s">
        <v>88</v>
      </c>
      <c r="F77" s="9" t="s">
        <v>89</v>
      </c>
      <c r="G77" s="9" t="s">
        <v>63</v>
      </c>
      <c r="H77" s="9" t="s">
        <v>65</v>
      </c>
      <c r="I77" s="9" t="s">
        <v>91</v>
      </c>
      <c r="J77" s="9" t="s">
        <v>92</v>
      </c>
      <c r="K77" s="9" t="s">
        <v>93</v>
      </c>
      <c r="L77" s="9">
        <f t="shared" si="2"/>
        <v>1</v>
      </c>
      <c r="M77" s="9" t="s">
        <v>613</v>
      </c>
      <c r="N77" s="11">
        <v>15.8</v>
      </c>
      <c r="O77" s="13">
        <v>0.65</v>
      </c>
      <c r="P77" s="11">
        <v>10.27</v>
      </c>
      <c r="Q77" s="9" t="s">
        <v>603</v>
      </c>
    </row>
    <row r="78" spans="1:17" x14ac:dyDescent="0.25">
      <c r="A78" s="10" t="s">
        <v>19</v>
      </c>
      <c r="B78" s="10" t="s">
        <v>58</v>
      </c>
      <c r="C78" s="10">
        <v>9213293</v>
      </c>
      <c r="D78" s="10" t="s">
        <v>60</v>
      </c>
      <c r="E78" s="10" t="s">
        <v>88</v>
      </c>
      <c r="F78" s="10" t="s">
        <v>89</v>
      </c>
      <c r="G78" s="10" t="s">
        <v>63</v>
      </c>
      <c r="H78" s="10" t="s">
        <v>65</v>
      </c>
      <c r="I78" s="10" t="s">
        <v>91</v>
      </c>
      <c r="J78" s="10" t="s">
        <v>92</v>
      </c>
      <c r="K78" s="10" t="s">
        <v>93</v>
      </c>
      <c r="L78" s="9">
        <f t="shared" si="2"/>
        <v>1</v>
      </c>
      <c r="M78" s="9" t="s">
        <v>613</v>
      </c>
      <c r="N78" s="12">
        <v>23.6</v>
      </c>
      <c r="O78" s="14">
        <v>0.65</v>
      </c>
      <c r="P78" s="12">
        <v>15.34</v>
      </c>
      <c r="Q78" s="10" t="s">
        <v>603</v>
      </c>
    </row>
    <row r="79" spans="1:17" x14ac:dyDescent="0.25">
      <c r="A79" s="9" t="s">
        <v>19</v>
      </c>
      <c r="B79" s="9" t="s">
        <v>58</v>
      </c>
      <c r="C79" s="9">
        <v>9213293</v>
      </c>
      <c r="D79" s="9" t="s">
        <v>60</v>
      </c>
      <c r="E79" s="9" t="s">
        <v>544</v>
      </c>
      <c r="F79" s="9" t="s">
        <v>543</v>
      </c>
      <c r="G79" s="9" t="s">
        <v>63</v>
      </c>
      <c r="H79" s="9" t="s">
        <v>541</v>
      </c>
      <c r="I79" s="9" t="s">
        <v>406</v>
      </c>
      <c r="J79" s="9" t="s">
        <v>540</v>
      </c>
      <c r="K79" s="9" t="s">
        <v>67</v>
      </c>
      <c r="L79" s="9">
        <f t="shared" si="2"/>
        <v>5</v>
      </c>
      <c r="M79" s="9" t="s">
        <v>613</v>
      </c>
      <c r="N79" s="11">
        <v>3.67</v>
      </c>
      <c r="O79" s="13">
        <v>0.65</v>
      </c>
      <c r="P79" s="11">
        <v>2.39</v>
      </c>
      <c r="Q79" s="9" t="s">
        <v>603</v>
      </c>
    </row>
    <row r="80" spans="1:17" x14ac:dyDescent="0.25">
      <c r="A80" s="10" t="s">
        <v>19</v>
      </c>
      <c r="B80" s="10" t="s">
        <v>58</v>
      </c>
      <c r="C80" s="10">
        <v>9213293</v>
      </c>
      <c r="D80" s="10" t="s">
        <v>60</v>
      </c>
      <c r="E80" s="10" t="s">
        <v>544</v>
      </c>
      <c r="F80" s="10" t="s">
        <v>543</v>
      </c>
      <c r="G80" s="10" t="s">
        <v>63</v>
      </c>
      <c r="H80" s="10" t="s">
        <v>541</v>
      </c>
      <c r="I80" s="10" t="s">
        <v>406</v>
      </c>
      <c r="J80" s="10" t="s">
        <v>540</v>
      </c>
      <c r="K80" s="10" t="s">
        <v>67</v>
      </c>
      <c r="L80" s="9">
        <f t="shared" si="2"/>
        <v>5</v>
      </c>
      <c r="M80" s="9" t="s">
        <v>613</v>
      </c>
      <c r="N80" s="12">
        <v>93.49</v>
      </c>
      <c r="O80" s="14">
        <v>0.65</v>
      </c>
      <c r="P80" s="12">
        <v>60.77</v>
      </c>
      <c r="Q80" s="10" t="s">
        <v>603</v>
      </c>
    </row>
    <row r="81" spans="1:17" x14ac:dyDescent="0.25">
      <c r="A81" s="9" t="s">
        <v>19</v>
      </c>
      <c r="B81" s="9" t="s">
        <v>58</v>
      </c>
      <c r="C81" s="9">
        <v>9213293</v>
      </c>
      <c r="D81" s="9" t="s">
        <v>60</v>
      </c>
      <c r="E81" s="9" t="s">
        <v>499</v>
      </c>
      <c r="F81" s="9" t="s">
        <v>498</v>
      </c>
      <c r="G81" s="9" t="s">
        <v>63</v>
      </c>
      <c r="H81" s="9" t="s">
        <v>65</v>
      </c>
      <c r="I81" s="9" t="s">
        <v>91</v>
      </c>
      <c r="J81" s="9" t="s">
        <v>496</v>
      </c>
      <c r="K81" s="9" t="s">
        <v>173</v>
      </c>
      <c r="L81" s="9">
        <f t="shared" si="2"/>
        <v>1</v>
      </c>
      <c r="M81" s="9" t="s">
        <v>613</v>
      </c>
      <c r="N81" s="11">
        <v>11.04</v>
      </c>
      <c r="O81" s="13">
        <v>0.65</v>
      </c>
      <c r="P81" s="11">
        <v>7.18</v>
      </c>
      <c r="Q81" s="9" t="s">
        <v>603</v>
      </c>
    </row>
    <row r="82" spans="1:17" x14ac:dyDescent="0.25">
      <c r="A82" s="10" t="s">
        <v>19</v>
      </c>
      <c r="B82" s="10" t="s">
        <v>58</v>
      </c>
      <c r="C82" s="10">
        <v>9213293</v>
      </c>
      <c r="D82" s="10" t="s">
        <v>60</v>
      </c>
      <c r="E82" s="10" t="s">
        <v>499</v>
      </c>
      <c r="F82" s="10" t="s">
        <v>498</v>
      </c>
      <c r="G82" s="10" t="s">
        <v>63</v>
      </c>
      <c r="H82" s="10" t="s">
        <v>65</v>
      </c>
      <c r="I82" s="10" t="s">
        <v>91</v>
      </c>
      <c r="J82" s="10" t="s">
        <v>496</v>
      </c>
      <c r="K82" s="10" t="s">
        <v>173</v>
      </c>
      <c r="L82" s="9">
        <f t="shared" si="2"/>
        <v>1</v>
      </c>
      <c r="M82" s="9" t="s">
        <v>613</v>
      </c>
      <c r="N82" s="12">
        <v>7.9</v>
      </c>
      <c r="O82" s="14">
        <v>0.65</v>
      </c>
      <c r="P82" s="12">
        <v>5.14</v>
      </c>
      <c r="Q82" s="10" t="s">
        <v>603</v>
      </c>
    </row>
    <row r="83" spans="1:17" x14ac:dyDescent="0.25">
      <c r="A83" s="9" t="s">
        <v>19</v>
      </c>
      <c r="B83" s="9" t="s">
        <v>58</v>
      </c>
      <c r="C83" s="9">
        <v>9213293</v>
      </c>
      <c r="D83" s="9" t="s">
        <v>60</v>
      </c>
      <c r="E83" s="9" t="s">
        <v>499</v>
      </c>
      <c r="F83" s="9" t="s">
        <v>498</v>
      </c>
      <c r="G83" s="9" t="s">
        <v>63</v>
      </c>
      <c r="H83" s="9" t="s">
        <v>65</v>
      </c>
      <c r="I83" s="9" t="s">
        <v>91</v>
      </c>
      <c r="J83" s="9" t="s">
        <v>496</v>
      </c>
      <c r="K83" s="9" t="s">
        <v>173</v>
      </c>
      <c r="L83" s="9">
        <f t="shared" si="2"/>
        <v>1</v>
      </c>
      <c r="M83" s="9" t="s">
        <v>613</v>
      </c>
      <c r="N83" s="11">
        <v>7.08</v>
      </c>
      <c r="O83" s="13">
        <v>0.65</v>
      </c>
      <c r="P83" s="11">
        <v>4.5999999999999996</v>
      </c>
      <c r="Q83" s="9" t="s">
        <v>603</v>
      </c>
    </row>
    <row r="84" spans="1:17" x14ac:dyDescent="0.25">
      <c r="A84" s="10" t="s">
        <v>19</v>
      </c>
      <c r="B84" s="10" t="s">
        <v>58</v>
      </c>
      <c r="C84" s="10">
        <v>9213293</v>
      </c>
      <c r="D84" s="10" t="s">
        <v>60</v>
      </c>
      <c r="E84" s="10" t="s">
        <v>499</v>
      </c>
      <c r="F84" s="10" t="s">
        <v>498</v>
      </c>
      <c r="G84" s="10" t="s">
        <v>63</v>
      </c>
      <c r="H84" s="10" t="s">
        <v>65</v>
      </c>
      <c r="I84" s="10" t="s">
        <v>91</v>
      </c>
      <c r="J84" s="10" t="s">
        <v>496</v>
      </c>
      <c r="K84" s="10" t="s">
        <v>173</v>
      </c>
      <c r="L84" s="9">
        <f t="shared" si="2"/>
        <v>1</v>
      </c>
      <c r="M84" s="9" t="s">
        <v>613</v>
      </c>
      <c r="N84" s="12">
        <v>19.670000000000002</v>
      </c>
      <c r="O84" s="14">
        <v>0.65</v>
      </c>
      <c r="P84" s="12">
        <v>12.79</v>
      </c>
      <c r="Q84" s="10" t="s">
        <v>603</v>
      </c>
    </row>
    <row r="85" spans="1:17" x14ac:dyDescent="0.25">
      <c r="A85" s="9" t="s">
        <v>19</v>
      </c>
      <c r="B85" s="9" t="s">
        <v>58</v>
      </c>
      <c r="C85" s="9">
        <v>9213293</v>
      </c>
      <c r="D85" s="9" t="s">
        <v>60</v>
      </c>
      <c r="E85" s="9" t="s">
        <v>461</v>
      </c>
      <c r="F85" s="9" t="s">
        <v>460</v>
      </c>
      <c r="G85" s="9" t="s">
        <v>63</v>
      </c>
      <c r="H85" s="9" t="s">
        <v>65</v>
      </c>
      <c r="I85" s="9" t="s">
        <v>91</v>
      </c>
      <c r="J85" s="9" t="s">
        <v>459</v>
      </c>
      <c r="K85" s="9" t="s">
        <v>458</v>
      </c>
      <c r="L85" s="9">
        <f t="shared" si="2"/>
        <v>1</v>
      </c>
      <c r="M85" s="9" t="s">
        <v>613</v>
      </c>
      <c r="N85" s="11">
        <v>22.33</v>
      </c>
      <c r="O85" s="13">
        <v>0.65</v>
      </c>
      <c r="P85" s="11">
        <v>14.51</v>
      </c>
      <c r="Q85" s="9" t="s">
        <v>603</v>
      </c>
    </row>
    <row r="86" spans="1:17" x14ac:dyDescent="0.25">
      <c r="A86" s="9" t="s">
        <v>19</v>
      </c>
      <c r="B86" s="9" t="s">
        <v>58</v>
      </c>
      <c r="C86" s="9">
        <v>9213293</v>
      </c>
      <c r="D86" s="9" t="s">
        <v>60</v>
      </c>
      <c r="E86" s="9" t="s">
        <v>461</v>
      </c>
      <c r="F86" s="9" t="s">
        <v>460</v>
      </c>
      <c r="G86" s="9" t="s">
        <v>63</v>
      </c>
      <c r="H86" s="9" t="s">
        <v>65</v>
      </c>
      <c r="I86" s="9" t="s">
        <v>91</v>
      </c>
      <c r="J86" s="9" t="s">
        <v>459</v>
      </c>
      <c r="K86" s="9" t="s">
        <v>458</v>
      </c>
      <c r="L86" s="9">
        <f t="shared" si="2"/>
        <v>1</v>
      </c>
      <c r="M86" s="9" t="s">
        <v>613</v>
      </c>
      <c r="N86" s="11">
        <v>18.48</v>
      </c>
      <c r="O86" s="13">
        <v>0.65</v>
      </c>
      <c r="P86" s="11">
        <v>12.01</v>
      </c>
      <c r="Q86" s="9" t="s">
        <v>603</v>
      </c>
    </row>
    <row r="87" spans="1:17" x14ac:dyDescent="0.25">
      <c r="A87" s="10" t="s">
        <v>19</v>
      </c>
      <c r="B87" s="10" t="s">
        <v>58</v>
      </c>
      <c r="C87" s="10">
        <v>9213293</v>
      </c>
      <c r="D87" s="10" t="s">
        <v>60</v>
      </c>
      <c r="E87" s="10" t="s">
        <v>461</v>
      </c>
      <c r="F87" s="10" t="s">
        <v>460</v>
      </c>
      <c r="G87" s="10" t="s">
        <v>63</v>
      </c>
      <c r="H87" s="10" t="s">
        <v>65</v>
      </c>
      <c r="I87" s="10" t="s">
        <v>91</v>
      </c>
      <c r="J87" s="10" t="s">
        <v>459</v>
      </c>
      <c r="K87" s="10" t="s">
        <v>458</v>
      </c>
      <c r="L87" s="9">
        <f t="shared" si="2"/>
        <v>1</v>
      </c>
      <c r="M87" s="9" t="s">
        <v>613</v>
      </c>
      <c r="N87" s="12">
        <v>11.88</v>
      </c>
      <c r="O87" s="14">
        <v>0.65</v>
      </c>
      <c r="P87" s="12">
        <v>7.72</v>
      </c>
      <c r="Q87" s="10" t="s">
        <v>603</v>
      </c>
    </row>
    <row r="88" spans="1:17" x14ac:dyDescent="0.25">
      <c r="A88" s="9" t="s">
        <v>19</v>
      </c>
      <c r="B88" s="9" t="s">
        <v>58</v>
      </c>
      <c r="C88" s="9">
        <v>9213293</v>
      </c>
      <c r="D88" s="9" t="s">
        <v>60</v>
      </c>
      <c r="E88" s="9" t="s">
        <v>461</v>
      </c>
      <c r="F88" s="9" t="s">
        <v>460</v>
      </c>
      <c r="G88" s="9" t="s">
        <v>63</v>
      </c>
      <c r="H88" s="9" t="s">
        <v>65</v>
      </c>
      <c r="I88" s="9" t="s">
        <v>91</v>
      </c>
      <c r="J88" s="9" t="s">
        <v>459</v>
      </c>
      <c r="K88" s="9" t="s">
        <v>458</v>
      </c>
      <c r="L88" s="9">
        <f t="shared" si="2"/>
        <v>1</v>
      </c>
      <c r="M88" s="9" t="s">
        <v>613</v>
      </c>
      <c r="N88" s="11">
        <v>7.92</v>
      </c>
      <c r="O88" s="13">
        <v>0.65</v>
      </c>
      <c r="P88" s="11">
        <v>5.15</v>
      </c>
      <c r="Q88" s="9" t="s">
        <v>603</v>
      </c>
    </row>
    <row r="89" spans="1:17" x14ac:dyDescent="0.25">
      <c r="A89" s="9" t="s">
        <v>19</v>
      </c>
      <c r="B89" s="9" t="s">
        <v>58</v>
      </c>
      <c r="C89" s="9">
        <v>9213293</v>
      </c>
      <c r="D89" s="9" t="s">
        <v>60</v>
      </c>
      <c r="E89" s="9" t="s">
        <v>61</v>
      </c>
      <c r="F89" s="9" t="s">
        <v>62</v>
      </c>
      <c r="G89" s="9" t="s">
        <v>63</v>
      </c>
      <c r="H89" s="9" t="s">
        <v>65</v>
      </c>
      <c r="I89" s="9" t="s">
        <v>66</v>
      </c>
      <c r="J89" s="9" t="s">
        <v>64</v>
      </c>
      <c r="K89" s="9" t="s">
        <v>67</v>
      </c>
      <c r="L89" s="9">
        <f t="shared" si="2"/>
        <v>7</v>
      </c>
      <c r="M89" s="9" t="s">
        <v>613</v>
      </c>
      <c r="N89" s="11">
        <v>22.5</v>
      </c>
      <c r="O89" s="13">
        <v>1</v>
      </c>
      <c r="P89" s="11">
        <v>22.5</v>
      </c>
      <c r="Q89" s="9" t="s">
        <v>588</v>
      </c>
    </row>
    <row r="90" spans="1:17" x14ac:dyDescent="0.25">
      <c r="A90" s="10" t="s">
        <v>19</v>
      </c>
      <c r="B90" s="10" t="s">
        <v>58</v>
      </c>
      <c r="C90" s="10">
        <v>9213293</v>
      </c>
      <c r="D90" s="10" t="s">
        <v>60</v>
      </c>
      <c r="E90" s="10" t="s">
        <v>239</v>
      </c>
      <c r="F90" s="10" t="s">
        <v>240</v>
      </c>
      <c r="G90" s="10" t="s">
        <v>63</v>
      </c>
      <c r="H90" s="10" t="s">
        <v>241</v>
      </c>
      <c r="I90" s="10" t="s">
        <v>66</v>
      </c>
      <c r="J90" s="10" t="s">
        <v>206</v>
      </c>
      <c r="K90" s="10" t="s">
        <v>81</v>
      </c>
      <c r="L90" s="9">
        <f t="shared" si="2"/>
        <v>2</v>
      </c>
      <c r="M90" s="9" t="s">
        <v>613</v>
      </c>
      <c r="N90" s="12">
        <v>48.45</v>
      </c>
      <c r="O90" s="14">
        <v>1.05</v>
      </c>
      <c r="P90" s="12">
        <v>50.87</v>
      </c>
      <c r="Q90" s="10" t="s">
        <v>593</v>
      </c>
    </row>
    <row r="91" spans="1:17" x14ac:dyDescent="0.25">
      <c r="A91" s="10" t="s">
        <v>19</v>
      </c>
      <c r="B91" s="10" t="s">
        <v>96</v>
      </c>
      <c r="C91" s="10">
        <v>9213293</v>
      </c>
      <c r="D91" s="10" t="s">
        <v>60</v>
      </c>
      <c r="E91" s="10" t="s">
        <v>175</v>
      </c>
      <c r="F91" s="10" t="s">
        <v>176</v>
      </c>
      <c r="G91" s="10" t="s">
        <v>134</v>
      </c>
      <c r="H91" s="10" t="s">
        <v>65</v>
      </c>
      <c r="I91" s="10" t="s">
        <v>91</v>
      </c>
      <c r="J91" s="10" t="s">
        <v>178</v>
      </c>
      <c r="K91" s="10" t="s">
        <v>105</v>
      </c>
      <c r="L91" s="9">
        <f t="shared" si="2"/>
        <v>1</v>
      </c>
      <c r="M91" s="9" t="s">
        <v>613</v>
      </c>
      <c r="N91" s="12">
        <v>-26.5</v>
      </c>
      <c r="O91" s="14">
        <v>0.65</v>
      </c>
      <c r="P91" s="12">
        <v>-17.23</v>
      </c>
      <c r="Q91" s="10" t="s">
        <v>603</v>
      </c>
    </row>
    <row r="92" spans="1:17" x14ac:dyDescent="0.25">
      <c r="A92" s="10" t="s">
        <v>19</v>
      </c>
      <c r="B92" s="10" t="s">
        <v>58</v>
      </c>
      <c r="C92" s="10">
        <v>9213293</v>
      </c>
      <c r="D92" s="10" t="s">
        <v>60</v>
      </c>
      <c r="E92" s="10" t="s">
        <v>278</v>
      </c>
      <c r="F92" s="10" t="s">
        <v>279</v>
      </c>
      <c r="G92" s="10" t="s">
        <v>134</v>
      </c>
      <c r="H92" s="10" t="s">
        <v>65</v>
      </c>
      <c r="I92" s="10" t="s">
        <v>91</v>
      </c>
      <c r="J92" s="10" t="s">
        <v>280</v>
      </c>
      <c r="K92" s="10" t="s">
        <v>280</v>
      </c>
      <c r="L92" s="9">
        <f t="shared" si="2"/>
        <v>0</v>
      </c>
      <c r="M92" s="9" t="s">
        <v>613</v>
      </c>
      <c r="N92" s="12">
        <v>25.5</v>
      </c>
      <c r="O92" s="14">
        <v>0.65</v>
      </c>
      <c r="P92" s="12">
        <v>16.579999999999998</v>
      </c>
      <c r="Q92" s="10" t="s">
        <v>603</v>
      </c>
    </row>
    <row r="93" spans="1:17" x14ac:dyDescent="0.25">
      <c r="A93" s="10" t="s">
        <v>19</v>
      </c>
      <c r="B93" s="10" t="s">
        <v>58</v>
      </c>
      <c r="C93" s="10">
        <v>9213293</v>
      </c>
      <c r="D93" s="10" t="s">
        <v>60</v>
      </c>
      <c r="E93" s="10" t="s">
        <v>298</v>
      </c>
      <c r="F93" s="10" t="s">
        <v>299</v>
      </c>
      <c r="G93" s="10" t="s">
        <v>134</v>
      </c>
      <c r="H93" s="10" t="s">
        <v>212</v>
      </c>
      <c r="I93" s="10" t="s">
        <v>91</v>
      </c>
      <c r="J93" s="10" t="s">
        <v>105</v>
      </c>
      <c r="K93" s="10" t="s">
        <v>105</v>
      </c>
      <c r="L93" s="9">
        <f t="shared" si="2"/>
        <v>0</v>
      </c>
      <c r="M93" s="9" t="s">
        <v>613</v>
      </c>
      <c r="N93" s="12">
        <v>2.63</v>
      </c>
      <c r="O93" s="14">
        <v>0.65</v>
      </c>
      <c r="P93" s="12">
        <v>1.71</v>
      </c>
      <c r="Q93" s="10" t="s">
        <v>603</v>
      </c>
    </row>
    <row r="94" spans="1:17" x14ac:dyDescent="0.25">
      <c r="A94" s="9" t="s">
        <v>19</v>
      </c>
      <c r="B94" s="9" t="s">
        <v>58</v>
      </c>
      <c r="C94" s="9">
        <v>9213293</v>
      </c>
      <c r="D94" s="9" t="s">
        <v>60</v>
      </c>
      <c r="E94" s="9" t="s">
        <v>298</v>
      </c>
      <c r="F94" s="9" t="s">
        <v>299</v>
      </c>
      <c r="G94" s="9" t="s">
        <v>134</v>
      </c>
      <c r="H94" s="9" t="s">
        <v>212</v>
      </c>
      <c r="I94" s="9" t="s">
        <v>91</v>
      </c>
      <c r="J94" s="9" t="s">
        <v>105</v>
      </c>
      <c r="K94" s="9" t="s">
        <v>105</v>
      </c>
      <c r="L94" s="9">
        <f t="shared" si="2"/>
        <v>0</v>
      </c>
      <c r="M94" s="9" t="s">
        <v>613</v>
      </c>
      <c r="N94" s="11">
        <v>14.17</v>
      </c>
      <c r="O94" s="13">
        <v>0.65</v>
      </c>
      <c r="P94" s="11">
        <v>9.2100000000000009</v>
      </c>
      <c r="Q94" s="9" t="s">
        <v>603</v>
      </c>
    </row>
    <row r="95" spans="1:17" x14ac:dyDescent="0.25">
      <c r="A95" s="10" t="s">
        <v>19</v>
      </c>
      <c r="B95" s="10" t="s">
        <v>58</v>
      </c>
      <c r="C95" s="10">
        <v>9213293</v>
      </c>
      <c r="D95" s="10" t="s">
        <v>60</v>
      </c>
      <c r="E95" s="10" t="s">
        <v>298</v>
      </c>
      <c r="F95" s="10" t="s">
        <v>299</v>
      </c>
      <c r="G95" s="10" t="s">
        <v>134</v>
      </c>
      <c r="H95" s="10" t="s">
        <v>212</v>
      </c>
      <c r="I95" s="10" t="s">
        <v>91</v>
      </c>
      <c r="J95" s="10" t="s">
        <v>105</v>
      </c>
      <c r="K95" s="10" t="s">
        <v>105</v>
      </c>
      <c r="L95" s="9">
        <f t="shared" si="2"/>
        <v>0</v>
      </c>
      <c r="M95" s="9" t="s">
        <v>613</v>
      </c>
      <c r="N95" s="12">
        <v>11.04</v>
      </c>
      <c r="O95" s="14">
        <v>0.65</v>
      </c>
      <c r="P95" s="12">
        <v>7.18</v>
      </c>
      <c r="Q95" s="10" t="s">
        <v>603</v>
      </c>
    </row>
    <row r="96" spans="1:17" x14ac:dyDescent="0.25">
      <c r="A96" s="9" t="s">
        <v>19</v>
      </c>
      <c r="B96" s="9" t="s">
        <v>58</v>
      </c>
      <c r="C96" s="9">
        <v>9213293</v>
      </c>
      <c r="D96" s="9" t="s">
        <v>60</v>
      </c>
      <c r="E96" s="9" t="s">
        <v>298</v>
      </c>
      <c r="F96" s="9" t="s">
        <v>299</v>
      </c>
      <c r="G96" s="9" t="s">
        <v>134</v>
      </c>
      <c r="H96" s="9" t="s">
        <v>212</v>
      </c>
      <c r="I96" s="9" t="s">
        <v>91</v>
      </c>
      <c r="J96" s="9" t="s">
        <v>105</v>
      </c>
      <c r="K96" s="9" t="s">
        <v>105</v>
      </c>
      <c r="L96" s="9">
        <f t="shared" si="2"/>
        <v>0</v>
      </c>
      <c r="M96" s="9" t="s">
        <v>613</v>
      </c>
      <c r="N96" s="11">
        <v>18.75</v>
      </c>
      <c r="O96" s="13">
        <v>0.65</v>
      </c>
      <c r="P96" s="11">
        <v>12.19</v>
      </c>
      <c r="Q96" s="9" t="s">
        <v>603</v>
      </c>
    </row>
    <row r="97" spans="1:17" x14ac:dyDescent="0.25">
      <c r="A97" s="10" t="s">
        <v>19</v>
      </c>
      <c r="B97" s="10" t="s">
        <v>58</v>
      </c>
      <c r="C97" s="10">
        <v>9213293</v>
      </c>
      <c r="D97" s="10" t="s">
        <v>60</v>
      </c>
      <c r="E97" s="10" t="s">
        <v>175</v>
      </c>
      <c r="F97" s="10" t="s">
        <v>176</v>
      </c>
      <c r="G97" s="10" t="s">
        <v>134</v>
      </c>
      <c r="H97" s="10" t="s">
        <v>65</v>
      </c>
      <c r="I97" s="10" t="s">
        <v>91</v>
      </c>
      <c r="J97" s="10" t="s">
        <v>178</v>
      </c>
      <c r="K97" s="10" t="s">
        <v>178</v>
      </c>
      <c r="L97" s="9">
        <f t="shared" si="2"/>
        <v>0</v>
      </c>
      <c r="M97" s="9" t="s">
        <v>613</v>
      </c>
      <c r="N97" s="12">
        <v>26.5</v>
      </c>
      <c r="O97" s="14">
        <v>0.65</v>
      </c>
      <c r="P97" s="12">
        <v>17.23</v>
      </c>
      <c r="Q97" s="10" t="s">
        <v>603</v>
      </c>
    </row>
    <row r="98" spans="1:17" x14ac:dyDescent="0.25">
      <c r="A98" s="9" t="s">
        <v>19</v>
      </c>
      <c r="B98" s="9" t="s">
        <v>58</v>
      </c>
      <c r="C98" s="9">
        <v>9213293</v>
      </c>
      <c r="D98" s="9" t="s">
        <v>60</v>
      </c>
      <c r="E98" s="9" t="s">
        <v>561</v>
      </c>
      <c r="F98" s="9" t="s">
        <v>560</v>
      </c>
      <c r="G98" s="9" t="s">
        <v>134</v>
      </c>
      <c r="H98" s="9" t="s">
        <v>65</v>
      </c>
      <c r="I98" s="9" t="s">
        <v>91</v>
      </c>
      <c r="J98" s="9" t="s">
        <v>559</v>
      </c>
      <c r="K98" s="9" t="s">
        <v>559</v>
      </c>
      <c r="L98" s="9">
        <f t="shared" ref="L98:L129" si="3">DATEDIF(J98,K98,"M")</f>
        <v>0</v>
      </c>
      <c r="M98" s="9" t="s">
        <v>613</v>
      </c>
      <c r="N98" s="11">
        <v>14.17</v>
      </c>
      <c r="O98" s="13">
        <v>0.65</v>
      </c>
      <c r="P98" s="11">
        <v>9.2100000000000009</v>
      </c>
      <c r="Q98" s="9" t="s">
        <v>603</v>
      </c>
    </row>
    <row r="99" spans="1:17" x14ac:dyDescent="0.25">
      <c r="A99" s="10" t="s">
        <v>19</v>
      </c>
      <c r="B99" s="10" t="s">
        <v>58</v>
      </c>
      <c r="C99" s="10">
        <v>9213293</v>
      </c>
      <c r="D99" s="10" t="s">
        <v>60</v>
      </c>
      <c r="E99" s="10" t="s">
        <v>561</v>
      </c>
      <c r="F99" s="10" t="s">
        <v>560</v>
      </c>
      <c r="G99" s="10" t="s">
        <v>134</v>
      </c>
      <c r="H99" s="10" t="s">
        <v>65</v>
      </c>
      <c r="I99" s="10" t="s">
        <v>91</v>
      </c>
      <c r="J99" s="10" t="s">
        <v>559</v>
      </c>
      <c r="K99" s="10" t="s">
        <v>559</v>
      </c>
      <c r="L99" s="9">
        <f t="shared" si="3"/>
        <v>0</v>
      </c>
      <c r="M99" s="9" t="s">
        <v>613</v>
      </c>
      <c r="N99" s="12">
        <v>39.33</v>
      </c>
      <c r="O99" s="14">
        <v>0.65</v>
      </c>
      <c r="P99" s="12">
        <v>25.56</v>
      </c>
      <c r="Q99" s="10" t="s">
        <v>603</v>
      </c>
    </row>
    <row r="100" spans="1:17" s="18" customFormat="1" x14ac:dyDescent="0.25">
      <c r="A100" s="15" t="s">
        <v>19</v>
      </c>
      <c r="B100" s="15" t="s">
        <v>96</v>
      </c>
      <c r="C100" s="15">
        <v>16865615</v>
      </c>
      <c r="D100" s="15" t="s">
        <v>98</v>
      </c>
      <c r="E100" s="15" t="s">
        <v>99</v>
      </c>
      <c r="F100" s="15" t="s">
        <v>100</v>
      </c>
      <c r="G100" s="15" t="s">
        <v>63</v>
      </c>
      <c r="H100" s="15" t="s">
        <v>102</v>
      </c>
      <c r="I100" s="15" t="s">
        <v>103</v>
      </c>
      <c r="J100" s="15" t="s">
        <v>104</v>
      </c>
      <c r="K100" s="15" t="s">
        <v>105</v>
      </c>
      <c r="L100" s="9">
        <f t="shared" si="3"/>
        <v>9</v>
      </c>
      <c r="M100" s="9" t="s">
        <v>613</v>
      </c>
      <c r="N100" s="16">
        <v>-24.36</v>
      </c>
      <c r="O100" s="17">
        <v>0.57999999999999996</v>
      </c>
      <c r="P100" s="16">
        <v>-14.13</v>
      </c>
      <c r="Q100" s="15" t="s">
        <v>592</v>
      </c>
    </row>
    <row r="101" spans="1:17" s="18" customFormat="1" x14ac:dyDescent="0.25">
      <c r="A101" s="15" t="s">
        <v>19</v>
      </c>
      <c r="B101" s="15" t="s">
        <v>96</v>
      </c>
      <c r="C101" s="15">
        <v>16865615</v>
      </c>
      <c r="D101" s="15" t="s">
        <v>98</v>
      </c>
      <c r="E101" s="15" t="s">
        <v>99</v>
      </c>
      <c r="F101" s="15" t="s">
        <v>100</v>
      </c>
      <c r="G101" s="15" t="s">
        <v>63</v>
      </c>
      <c r="H101" s="15" t="s">
        <v>102</v>
      </c>
      <c r="I101" s="15" t="s">
        <v>103</v>
      </c>
      <c r="J101" s="15" t="s">
        <v>104</v>
      </c>
      <c r="K101" s="15" t="s">
        <v>105</v>
      </c>
      <c r="L101" s="9">
        <f t="shared" si="3"/>
        <v>9</v>
      </c>
      <c r="M101" s="9" t="s">
        <v>613</v>
      </c>
      <c r="N101" s="16">
        <v>-73.91</v>
      </c>
      <c r="O101" s="17">
        <v>0.57999999999999996</v>
      </c>
      <c r="P101" s="16">
        <v>-42.87</v>
      </c>
      <c r="Q101" s="15" t="s">
        <v>592</v>
      </c>
    </row>
    <row r="102" spans="1:17" s="18" customFormat="1" x14ac:dyDescent="0.25">
      <c r="A102" s="15" t="s">
        <v>19</v>
      </c>
      <c r="B102" s="15" t="s">
        <v>96</v>
      </c>
      <c r="C102" s="15">
        <v>16865615</v>
      </c>
      <c r="D102" s="15" t="s">
        <v>98</v>
      </c>
      <c r="E102" s="15" t="s">
        <v>99</v>
      </c>
      <c r="F102" s="15" t="s">
        <v>100</v>
      </c>
      <c r="G102" s="15" t="s">
        <v>63</v>
      </c>
      <c r="H102" s="15" t="s">
        <v>102</v>
      </c>
      <c r="I102" s="15" t="s">
        <v>103</v>
      </c>
      <c r="J102" s="15" t="s">
        <v>104</v>
      </c>
      <c r="K102" s="15" t="s">
        <v>105</v>
      </c>
      <c r="L102" s="9">
        <f t="shared" si="3"/>
        <v>9</v>
      </c>
      <c r="M102" s="9" t="s">
        <v>613</v>
      </c>
      <c r="N102" s="16">
        <v>-0.91</v>
      </c>
      <c r="O102" s="17">
        <v>0.57999999999999996</v>
      </c>
      <c r="P102" s="16">
        <v>-0.53</v>
      </c>
      <c r="Q102" s="15" t="s">
        <v>592</v>
      </c>
    </row>
    <row r="103" spans="1:17" x14ac:dyDescent="0.25">
      <c r="A103" s="10" t="s">
        <v>19</v>
      </c>
      <c r="B103" s="10" t="s">
        <v>58</v>
      </c>
      <c r="C103" s="10">
        <v>18754354</v>
      </c>
      <c r="D103" s="10" t="s">
        <v>166</v>
      </c>
      <c r="E103" s="10" t="s">
        <v>371</v>
      </c>
      <c r="F103" s="10" t="s">
        <v>370</v>
      </c>
      <c r="G103" s="10" t="s">
        <v>63</v>
      </c>
      <c r="H103" s="10" t="s">
        <v>263</v>
      </c>
      <c r="I103" s="10" t="s">
        <v>66</v>
      </c>
      <c r="J103" s="10" t="s">
        <v>120</v>
      </c>
      <c r="K103" s="10" t="s">
        <v>67</v>
      </c>
      <c r="L103" s="9">
        <f t="shared" si="3"/>
        <v>8</v>
      </c>
      <c r="M103" s="9" t="s">
        <v>613</v>
      </c>
      <c r="N103" s="12">
        <v>41.84</v>
      </c>
      <c r="O103" s="14">
        <v>0.95</v>
      </c>
      <c r="P103" s="12">
        <v>39.75</v>
      </c>
      <c r="Q103" s="10" t="s">
        <v>587</v>
      </c>
    </row>
    <row r="104" spans="1:17" x14ac:dyDescent="0.25">
      <c r="A104" s="10" t="s">
        <v>19</v>
      </c>
      <c r="B104" s="10" t="s">
        <v>58</v>
      </c>
      <c r="C104" s="10">
        <v>18754354</v>
      </c>
      <c r="D104" s="10" t="s">
        <v>166</v>
      </c>
      <c r="E104" s="10" t="s">
        <v>327</v>
      </c>
      <c r="F104" s="10" t="s">
        <v>332</v>
      </c>
      <c r="G104" s="10" t="s">
        <v>134</v>
      </c>
      <c r="H104" s="10" t="s">
        <v>325</v>
      </c>
      <c r="I104" s="10" t="s">
        <v>66</v>
      </c>
      <c r="J104" s="10" t="s">
        <v>105</v>
      </c>
      <c r="K104" s="10" t="s">
        <v>105</v>
      </c>
      <c r="L104" s="9">
        <f t="shared" si="3"/>
        <v>0</v>
      </c>
      <c r="M104" s="9" t="s">
        <v>613</v>
      </c>
      <c r="N104" s="12">
        <v>32.29</v>
      </c>
      <c r="O104" s="14">
        <v>0.95</v>
      </c>
      <c r="P104" s="12">
        <v>30.68</v>
      </c>
      <c r="Q104" s="10" t="s">
        <v>587</v>
      </c>
    </row>
    <row r="105" spans="1:17" x14ac:dyDescent="0.25">
      <c r="A105" s="10" t="s">
        <v>19</v>
      </c>
      <c r="B105" s="10" t="s">
        <v>58</v>
      </c>
      <c r="C105" s="10">
        <v>18754354</v>
      </c>
      <c r="D105" s="10" t="s">
        <v>166</v>
      </c>
      <c r="E105" s="10" t="s">
        <v>327</v>
      </c>
      <c r="F105" s="10" t="s">
        <v>326</v>
      </c>
      <c r="G105" s="10" t="s">
        <v>134</v>
      </c>
      <c r="H105" s="10" t="s">
        <v>325</v>
      </c>
      <c r="I105" s="10" t="s">
        <v>125</v>
      </c>
      <c r="J105" s="10" t="s">
        <v>105</v>
      </c>
      <c r="K105" s="10" t="s">
        <v>105</v>
      </c>
      <c r="L105" s="9">
        <f t="shared" si="3"/>
        <v>0</v>
      </c>
      <c r="M105" s="9" t="s">
        <v>613</v>
      </c>
      <c r="N105" s="12">
        <v>31.14</v>
      </c>
      <c r="O105" s="14">
        <v>0.95</v>
      </c>
      <c r="P105" s="12">
        <v>29.58</v>
      </c>
      <c r="Q105" s="10" t="s">
        <v>587</v>
      </c>
    </row>
    <row r="106" spans="1:17" x14ac:dyDescent="0.25">
      <c r="A106" s="9" t="s">
        <v>19</v>
      </c>
      <c r="B106" s="9" t="s">
        <v>96</v>
      </c>
      <c r="C106" s="9">
        <v>18754354</v>
      </c>
      <c r="D106" s="9" t="s">
        <v>166</v>
      </c>
      <c r="E106" s="9" t="s">
        <v>260</v>
      </c>
      <c r="F106" s="9" t="s">
        <v>261</v>
      </c>
      <c r="G106" s="9" t="s">
        <v>134</v>
      </c>
      <c r="H106" s="9" t="s">
        <v>263</v>
      </c>
      <c r="I106" s="9" t="s">
        <v>125</v>
      </c>
      <c r="J106" s="9" t="s">
        <v>264</v>
      </c>
      <c r="K106" s="9" t="s">
        <v>265</v>
      </c>
      <c r="L106" s="9">
        <f t="shared" si="3"/>
        <v>1</v>
      </c>
      <c r="M106" s="9" t="s">
        <v>613</v>
      </c>
      <c r="N106" s="11">
        <v>-32.020000000000003</v>
      </c>
      <c r="O106" s="13">
        <v>1</v>
      </c>
      <c r="P106" s="11">
        <v>-32.020000000000003</v>
      </c>
      <c r="Q106" s="9" t="s">
        <v>588</v>
      </c>
    </row>
    <row r="107" spans="1:17" x14ac:dyDescent="0.25">
      <c r="A107" s="9" t="s">
        <v>19</v>
      </c>
      <c r="B107" s="9" t="s">
        <v>96</v>
      </c>
      <c r="C107" s="9">
        <v>18754354</v>
      </c>
      <c r="D107" s="9" t="s">
        <v>166</v>
      </c>
      <c r="E107" s="9" t="s">
        <v>260</v>
      </c>
      <c r="F107" s="9" t="s">
        <v>304</v>
      </c>
      <c r="G107" s="9" t="s">
        <v>134</v>
      </c>
      <c r="H107" s="9" t="s">
        <v>263</v>
      </c>
      <c r="I107" s="9" t="s">
        <v>66</v>
      </c>
      <c r="J107" s="9" t="s">
        <v>264</v>
      </c>
      <c r="K107" s="9" t="s">
        <v>265</v>
      </c>
      <c r="L107" s="9">
        <f t="shared" si="3"/>
        <v>1</v>
      </c>
      <c r="M107" s="9" t="s">
        <v>613</v>
      </c>
      <c r="N107" s="11">
        <v>-33.869999999999997</v>
      </c>
      <c r="O107" s="13">
        <v>1</v>
      </c>
      <c r="P107" s="11">
        <v>-33.869999999999997</v>
      </c>
      <c r="Q107" s="9" t="s">
        <v>588</v>
      </c>
    </row>
    <row r="108" spans="1:17" x14ac:dyDescent="0.25">
      <c r="A108" s="9" t="s">
        <v>19</v>
      </c>
      <c r="B108" s="9" t="s">
        <v>58</v>
      </c>
      <c r="C108" s="9">
        <v>18754354</v>
      </c>
      <c r="D108" s="9" t="s">
        <v>166</v>
      </c>
      <c r="E108" s="9" t="s">
        <v>167</v>
      </c>
      <c r="F108" s="9" t="s">
        <v>168</v>
      </c>
      <c r="G108" s="9" t="s">
        <v>134</v>
      </c>
      <c r="H108" s="9" t="s">
        <v>65</v>
      </c>
      <c r="I108" s="9" t="s">
        <v>125</v>
      </c>
      <c r="J108" s="9" t="s">
        <v>105</v>
      </c>
      <c r="K108" s="9" t="s">
        <v>105</v>
      </c>
      <c r="L108" s="9">
        <f t="shared" si="3"/>
        <v>0</v>
      </c>
      <c r="M108" s="9" t="s">
        <v>613</v>
      </c>
      <c r="N108" s="11">
        <v>35.17</v>
      </c>
      <c r="O108" s="13">
        <v>1.05</v>
      </c>
      <c r="P108" s="11">
        <v>36.93</v>
      </c>
      <c r="Q108" s="9" t="s">
        <v>593</v>
      </c>
    </row>
    <row r="109" spans="1:17" x14ac:dyDescent="0.25">
      <c r="A109" s="10" t="s">
        <v>19</v>
      </c>
      <c r="B109" s="10" t="s">
        <v>58</v>
      </c>
      <c r="C109" s="10">
        <v>18754354</v>
      </c>
      <c r="D109" s="10" t="s">
        <v>166</v>
      </c>
      <c r="E109" s="10" t="s">
        <v>167</v>
      </c>
      <c r="F109" s="10" t="s">
        <v>169</v>
      </c>
      <c r="G109" s="10" t="s">
        <v>134</v>
      </c>
      <c r="H109" s="10" t="s">
        <v>65</v>
      </c>
      <c r="I109" s="10" t="s">
        <v>66</v>
      </c>
      <c r="J109" s="10" t="s">
        <v>105</v>
      </c>
      <c r="K109" s="10" t="s">
        <v>105</v>
      </c>
      <c r="L109" s="9">
        <f t="shared" si="3"/>
        <v>0</v>
      </c>
      <c r="M109" s="9" t="s">
        <v>613</v>
      </c>
      <c r="N109" s="12">
        <v>35.43</v>
      </c>
      <c r="O109" s="14">
        <v>1.05</v>
      </c>
      <c r="P109" s="12">
        <v>37.200000000000003</v>
      </c>
      <c r="Q109" s="10" t="s">
        <v>593</v>
      </c>
    </row>
    <row r="110" spans="1:17" x14ac:dyDescent="0.25">
      <c r="A110" s="9" t="s">
        <v>19</v>
      </c>
      <c r="B110" s="9" t="s">
        <v>96</v>
      </c>
      <c r="C110" s="9">
        <v>19279958</v>
      </c>
      <c r="D110" s="9" t="s">
        <v>180</v>
      </c>
      <c r="E110" s="9" t="s">
        <v>181</v>
      </c>
      <c r="F110" s="9" t="s">
        <v>333</v>
      </c>
      <c r="G110" s="9" t="s">
        <v>134</v>
      </c>
      <c r="H110" s="9" t="s">
        <v>78</v>
      </c>
      <c r="I110" s="9" t="s">
        <v>79</v>
      </c>
      <c r="J110" s="9" t="s">
        <v>173</v>
      </c>
      <c r="K110" s="9" t="s">
        <v>185</v>
      </c>
      <c r="L110" s="9">
        <f t="shared" si="3"/>
        <v>1</v>
      </c>
      <c r="M110" s="9" t="s">
        <v>613</v>
      </c>
      <c r="N110" s="11">
        <v>-32.130000000000003</v>
      </c>
      <c r="O110" s="13">
        <v>0.57999999999999996</v>
      </c>
      <c r="P110" s="11">
        <v>-18.64</v>
      </c>
      <c r="Q110" s="9" t="s">
        <v>592</v>
      </c>
    </row>
    <row r="111" spans="1:17" x14ac:dyDescent="0.25">
      <c r="A111" s="9" t="s">
        <v>19</v>
      </c>
      <c r="B111" s="9" t="s">
        <v>96</v>
      </c>
      <c r="C111" s="9">
        <v>19279958</v>
      </c>
      <c r="D111" s="9" t="s">
        <v>180</v>
      </c>
      <c r="E111" s="9" t="s">
        <v>181</v>
      </c>
      <c r="F111" s="9" t="s">
        <v>182</v>
      </c>
      <c r="G111" s="9" t="s">
        <v>134</v>
      </c>
      <c r="H111" s="9" t="s">
        <v>78</v>
      </c>
      <c r="I111" s="9" t="s">
        <v>184</v>
      </c>
      <c r="J111" s="9" t="s">
        <v>173</v>
      </c>
      <c r="K111" s="9" t="s">
        <v>185</v>
      </c>
      <c r="L111" s="9">
        <f t="shared" si="3"/>
        <v>1</v>
      </c>
      <c r="M111" s="9" t="s">
        <v>613</v>
      </c>
      <c r="N111" s="11">
        <v>-11.83</v>
      </c>
      <c r="O111" s="13">
        <v>0.6</v>
      </c>
      <c r="P111" s="11">
        <v>-7.1</v>
      </c>
      <c r="Q111" s="9" t="s">
        <v>589</v>
      </c>
    </row>
    <row r="112" spans="1:17" x14ac:dyDescent="0.25">
      <c r="A112" s="9" t="s">
        <v>19</v>
      </c>
      <c r="B112" s="9" t="s">
        <v>96</v>
      </c>
      <c r="C112" s="9">
        <v>19279958</v>
      </c>
      <c r="D112" s="9" t="s">
        <v>180</v>
      </c>
      <c r="E112" s="9" t="s">
        <v>181</v>
      </c>
      <c r="F112" s="9" t="s">
        <v>182</v>
      </c>
      <c r="G112" s="9" t="s">
        <v>134</v>
      </c>
      <c r="H112" s="9" t="s">
        <v>78</v>
      </c>
      <c r="I112" s="9" t="s">
        <v>184</v>
      </c>
      <c r="J112" s="9" t="s">
        <v>173</v>
      </c>
      <c r="K112" s="9" t="s">
        <v>185</v>
      </c>
      <c r="L112" s="9">
        <f t="shared" si="3"/>
        <v>1</v>
      </c>
      <c r="M112" s="9" t="s">
        <v>613</v>
      </c>
      <c r="N112" s="11">
        <v>-7.18</v>
      </c>
      <c r="O112" s="13">
        <v>0.6</v>
      </c>
      <c r="P112" s="11">
        <v>-4.3099999999999996</v>
      </c>
      <c r="Q112" s="9" t="s">
        <v>589</v>
      </c>
    </row>
    <row r="113" spans="1:17" x14ac:dyDescent="0.25">
      <c r="A113" s="10" t="s">
        <v>19</v>
      </c>
      <c r="B113" s="10" t="s">
        <v>96</v>
      </c>
      <c r="C113" s="10">
        <v>19279958</v>
      </c>
      <c r="D113" s="10" t="s">
        <v>180</v>
      </c>
      <c r="E113" s="10" t="s">
        <v>181</v>
      </c>
      <c r="F113" s="10" t="s">
        <v>182</v>
      </c>
      <c r="G113" s="10" t="s">
        <v>134</v>
      </c>
      <c r="H113" s="10" t="s">
        <v>78</v>
      </c>
      <c r="I113" s="10" t="s">
        <v>184</v>
      </c>
      <c r="J113" s="10" t="s">
        <v>173</v>
      </c>
      <c r="K113" s="10" t="s">
        <v>185</v>
      </c>
      <c r="L113" s="9">
        <f t="shared" si="3"/>
        <v>1</v>
      </c>
      <c r="M113" s="9" t="s">
        <v>613</v>
      </c>
      <c r="N113" s="12">
        <v>-28.44</v>
      </c>
      <c r="O113" s="14">
        <v>0.6</v>
      </c>
      <c r="P113" s="12">
        <v>-17.059999999999999</v>
      </c>
      <c r="Q113" s="10" t="s">
        <v>589</v>
      </c>
    </row>
    <row r="114" spans="1:17" x14ac:dyDescent="0.25">
      <c r="A114" s="9" t="s">
        <v>19</v>
      </c>
      <c r="B114" s="9" t="s">
        <v>58</v>
      </c>
      <c r="C114" s="9">
        <v>19279958</v>
      </c>
      <c r="D114" s="9" t="s">
        <v>180</v>
      </c>
      <c r="E114" s="9" t="s">
        <v>181</v>
      </c>
      <c r="F114" s="9" t="s">
        <v>182</v>
      </c>
      <c r="G114" s="9" t="s">
        <v>134</v>
      </c>
      <c r="H114" s="9" t="s">
        <v>78</v>
      </c>
      <c r="I114" s="9" t="s">
        <v>184</v>
      </c>
      <c r="J114" s="9" t="s">
        <v>173</v>
      </c>
      <c r="K114" s="9" t="s">
        <v>173</v>
      </c>
      <c r="L114" s="9">
        <f t="shared" si="3"/>
        <v>0</v>
      </c>
      <c r="M114" s="9" t="s">
        <v>613</v>
      </c>
      <c r="N114" s="11">
        <v>7.18</v>
      </c>
      <c r="O114" s="13">
        <v>0.6</v>
      </c>
      <c r="P114" s="11">
        <v>4.3099999999999996</v>
      </c>
      <c r="Q114" s="9" t="s">
        <v>589</v>
      </c>
    </row>
    <row r="115" spans="1:17" x14ac:dyDescent="0.25">
      <c r="A115" s="10" t="s">
        <v>19</v>
      </c>
      <c r="B115" s="10" t="s">
        <v>58</v>
      </c>
      <c r="C115" s="10">
        <v>19279958</v>
      </c>
      <c r="D115" s="10" t="s">
        <v>180</v>
      </c>
      <c r="E115" s="10" t="s">
        <v>181</v>
      </c>
      <c r="F115" s="10" t="s">
        <v>182</v>
      </c>
      <c r="G115" s="10" t="s">
        <v>134</v>
      </c>
      <c r="H115" s="10" t="s">
        <v>78</v>
      </c>
      <c r="I115" s="10" t="s">
        <v>184</v>
      </c>
      <c r="J115" s="10" t="s">
        <v>173</v>
      </c>
      <c r="K115" s="10" t="s">
        <v>173</v>
      </c>
      <c r="L115" s="9">
        <f t="shared" si="3"/>
        <v>0</v>
      </c>
      <c r="M115" s="9" t="s">
        <v>613</v>
      </c>
      <c r="N115" s="12">
        <v>28.44</v>
      </c>
      <c r="O115" s="14">
        <v>0.6</v>
      </c>
      <c r="P115" s="12">
        <v>17.059999999999999</v>
      </c>
      <c r="Q115" s="10" t="s">
        <v>589</v>
      </c>
    </row>
    <row r="116" spans="1:17" x14ac:dyDescent="0.25">
      <c r="A116" s="9" t="s">
        <v>19</v>
      </c>
      <c r="B116" s="9" t="s">
        <v>58</v>
      </c>
      <c r="C116" s="9">
        <v>19279958</v>
      </c>
      <c r="D116" s="9" t="s">
        <v>180</v>
      </c>
      <c r="E116" s="9" t="s">
        <v>181</v>
      </c>
      <c r="F116" s="9" t="s">
        <v>182</v>
      </c>
      <c r="G116" s="9" t="s">
        <v>134</v>
      </c>
      <c r="H116" s="9" t="s">
        <v>78</v>
      </c>
      <c r="I116" s="9" t="s">
        <v>184</v>
      </c>
      <c r="J116" s="9" t="s">
        <v>173</v>
      </c>
      <c r="K116" s="9" t="s">
        <v>173</v>
      </c>
      <c r="L116" s="9">
        <f t="shared" si="3"/>
        <v>0</v>
      </c>
      <c r="M116" s="9" t="s">
        <v>613</v>
      </c>
      <c r="N116" s="11">
        <v>11.83</v>
      </c>
      <c r="O116" s="13">
        <v>0.6</v>
      </c>
      <c r="P116" s="11">
        <v>7.1</v>
      </c>
      <c r="Q116" s="9" t="s">
        <v>589</v>
      </c>
    </row>
    <row r="117" spans="1:17" s="18" customFormat="1" x14ac:dyDescent="0.25">
      <c r="A117" s="15" t="s">
        <v>19</v>
      </c>
      <c r="B117" s="15" t="s">
        <v>58</v>
      </c>
      <c r="C117" s="15" t="s">
        <v>606</v>
      </c>
      <c r="D117" s="15" t="s">
        <v>243</v>
      </c>
      <c r="E117" s="15" t="s">
        <v>244</v>
      </c>
      <c r="F117" s="15" t="s">
        <v>245</v>
      </c>
      <c r="G117" s="15" t="s">
        <v>134</v>
      </c>
      <c r="H117" s="15" t="s">
        <v>246</v>
      </c>
      <c r="I117" s="15" t="s">
        <v>66</v>
      </c>
      <c r="J117" s="15" t="s">
        <v>81</v>
      </c>
      <c r="K117" s="15" t="s">
        <v>81</v>
      </c>
      <c r="L117" s="9">
        <f t="shared" si="3"/>
        <v>0</v>
      </c>
      <c r="M117" s="9" t="s">
        <v>615</v>
      </c>
      <c r="N117" s="16">
        <v>69.52</v>
      </c>
      <c r="O117" s="17">
        <v>1</v>
      </c>
      <c r="P117" s="16">
        <v>69.52</v>
      </c>
      <c r="Q117" s="15" t="s">
        <v>588</v>
      </c>
    </row>
    <row r="118" spans="1:17" s="18" customFormat="1" x14ac:dyDescent="0.25">
      <c r="A118" s="15" t="s">
        <v>19</v>
      </c>
      <c r="B118" s="15" t="s">
        <v>58</v>
      </c>
      <c r="C118" s="15" t="s">
        <v>606</v>
      </c>
      <c r="D118" s="15" t="s">
        <v>243</v>
      </c>
      <c r="E118" s="15" t="s">
        <v>244</v>
      </c>
      <c r="F118" s="15" t="s">
        <v>247</v>
      </c>
      <c r="G118" s="15" t="s">
        <v>134</v>
      </c>
      <c r="H118" s="15" t="s">
        <v>246</v>
      </c>
      <c r="I118" s="15" t="s">
        <v>125</v>
      </c>
      <c r="J118" s="15" t="s">
        <v>81</v>
      </c>
      <c r="K118" s="15" t="s">
        <v>81</v>
      </c>
      <c r="L118" s="9">
        <f t="shared" si="3"/>
        <v>0</v>
      </c>
      <c r="M118" s="9" t="s">
        <v>615</v>
      </c>
      <c r="N118" s="16">
        <v>72</v>
      </c>
      <c r="O118" s="17">
        <v>1</v>
      </c>
      <c r="P118" s="16">
        <v>72</v>
      </c>
      <c r="Q118" s="15" t="s">
        <v>588</v>
      </c>
    </row>
    <row r="119" spans="1:17" s="18" customFormat="1" x14ac:dyDescent="0.25">
      <c r="A119" s="15" t="s">
        <v>19</v>
      </c>
      <c r="B119" s="15" t="s">
        <v>58</v>
      </c>
      <c r="C119" s="15">
        <v>19562245</v>
      </c>
      <c r="D119" s="15" t="s">
        <v>193</v>
      </c>
      <c r="E119" s="15" t="s">
        <v>194</v>
      </c>
      <c r="F119" s="15" t="s">
        <v>195</v>
      </c>
      <c r="G119" s="15" t="s">
        <v>145</v>
      </c>
      <c r="H119" s="15" t="s">
        <v>197</v>
      </c>
      <c r="I119" s="15" t="s">
        <v>66</v>
      </c>
      <c r="J119" s="15" t="s">
        <v>198</v>
      </c>
      <c r="K119" s="15" t="s">
        <v>105</v>
      </c>
      <c r="L119" s="9">
        <f t="shared" si="3"/>
        <v>25</v>
      </c>
      <c r="M119" s="9" t="s">
        <v>613</v>
      </c>
      <c r="N119" s="16">
        <v>41.7</v>
      </c>
      <c r="O119" s="17">
        <v>7.4999999999999997E-2</v>
      </c>
      <c r="P119" s="16">
        <v>3.13</v>
      </c>
      <c r="Q119" s="15" t="s">
        <v>598</v>
      </c>
    </row>
    <row r="120" spans="1:17" s="18" customFormat="1" x14ac:dyDescent="0.25">
      <c r="A120" s="15" t="s">
        <v>19</v>
      </c>
      <c r="B120" s="15" t="s">
        <v>58</v>
      </c>
      <c r="C120" s="15">
        <v>19562245</v>
      </c>
      <c r="D120" s="15" t="s">
        <v>193</v>
      </c>
      <c r="E120" s="15" t="s">
        <v>445</v>
      </c>
      <c r="F120" s="15" t="s">
        <v>523</v>
      </c>
      <c r="G120" s="15" t="s">
        <v>145</v>
      </c>
      <c r="H120" s="15" t="s">
        <v>197</v>
      </c>
      <c r="I120" s="15" t="s">
        <v>66</v>
      </c>
      <c r="J120" s="15" t="s">
        <v>442</v>
      </c>
      <c r="K120" s="15" t="s">
        <v>178</v>
      </c>
      <c r="L120" s="9">
        <f t="shared" si="3"/>
        <v>19</v>
      </c>
      <c r="M120" s="9" t="s">
        <v>613</v>
      </c>
      <c r="N120" s="16">
        <v>41.7</v>
      </c>
      <c r="O120" s="17">
        <v>7.4999999999999997E-2</v>
      </c>
      <c r="P120" s="16">
        <v>3.13</v>
      </c>
      <c r="Q120" s="15" t="s">
        <v>598</v>
      </c>
    </row>
    <row r="121" spans="1:17" s="18" customFormat="1" x14ac:dyDescent="0.25">
      <c r="A121" s="15" t="s">
        <v>19</v>
      </c>
      <c r="B121" s="15" t="s">
        <v>58</v>
      </c>
      <c r="C121" s="15">
        <v>19562245</v>
      </c>
      <c r="D121" s="15" t="s">
        <v>193</v>
      </c>
      <c r="E121" s="15" t="s">
        <v>485</v>
      </c>
      <c r="F121" s="15" t="s">
        <v>484</v>
      </c>
      <c r="G121" s="15" t="s">
        <v>145</v>
      </c>
      <c r="H121" s="15" t="s">
        <v>197</v>
      </c>
      <c r="I121" s="15" t="s">
        <v>66</v>
      </c>
      <c r="J121" s="15" t="s">
        <v>482</v>
      </c>
      <c r="K121" s="15" t="s">
        <v>222</v>
      </c>
      <c r="L121" s="9">
        <f t="shared" si="3"/>
        <v>24</v>
      </c>
      <c r="M121" s="9" t="s">
        <v>613</v>
      </c>
      <c r="N121" s="16">
        <v>45.62</v>
      </c>
      <c r="O121" s="17">
        <v>7.4999999999999997E-2</v>
      </c>
      <c r="P121" s="16">
        <v>3.42</v>
      </c>
      <c r="Q121" s="15" t="s">
        <v>598</v>
      </c>
    </row>
    <row r="122" spans="1:17" s="18" customFormat="1" x14ac:dyDescent="0.25">
      <c r="A122" s="15" t="s">
        <v>19</v>
      </c>
      <c r="B122" s="15" t="s">
        <v>58</v>
      </c>
      <c r="C122" s="15">
        <v>19562245</v>
      </c>
      <c r="D122" s="15" t="s">
        <v>193</v>
      </c>
      <c r="E122" s="15" t="s">
        <v>445</v>
      </c>
      <c r="F122" s="15" t="s">
        <v>444</v>
      </c>
      <c r="G122" s="15" t="s">
        <v>145</v>
      </c>
      <c r="H122" s="15" t="s">
        <v>197</v>
      </c>
      <c r="I122" s="15" t="s">
        <v>125</v>
      </c>
      <c r="J122" s="15" t="s">
        <v>442</v>
      </c>
      <c r="K122" s="15" t="s">
        <v>178</v>
      </c>
      <c r="L122" s="9">
        <f t="shared" si="3"/>
        <v>19</v>
      </c>
      <c r="M122" s="9" t="s">
        <v>613</v>
      </c>
      <c r="N122" s="16">
        <v>42.4</v>
      </c>
      <c r="O122" s="17">
        <v>7.4999999999999997E-2</v>
      </c>
      <c r="P122" s="16">
        <v>3.18</v>
      </c>
      <c r="Q122" s="15" t="s">
        <v>598</v>
      </c>
    </row>
    <row r="123" spans="1:17" s="18" customFormat="1" x14ac:dyDescent="0.25">
      <c r="A123" s="15" t="s">
        <v>19</v>
      </c>
      <c r="B123" s="15" t="s">
        <v>58</v>
      </c>
      <c r="C123" s="15">
        <v>19562245</v>
      </c>
      <c r="D123" s="15" t="s">
        <v>193</v>
      </c>
      <c r="E123" s="15" t="s">
        <v>422</v>
      </c>
      <c r="F123" s="15" t="s">
        <v>423</v>
      </c>
      <c r="G123" s="15" t="s">
        <v>145</v>
      </c>
      <c r="H123" s="15" t="s">
        <v>197</v>
      </c>
      <c r="I123" s="15" t="s">
        <v>125</v>
      </c>
      <c r="J123" s="15" t="s">
        <v>334</v>
      </c>
      <c r="K123" s="15" t="s">
        <v>178</v>
      </c>
      <c r="L123" s="9">
        <f t="shared" si="3"/>
        <v>23</v>
      </c>
      <c r="M123" s="9" t="s">
        <v>613</v>
      </c>
      <c r="N123" s="16">
        <v>42.4</v>
      </c>
      <c r="O123" s="17">
        <v>7.4999999999999997E-2</v>
      </c>
      <c r="P123" s="16">
        <v>3.18</v>
      </c>
      <c r="Q123" s="15" t="s">
        <v>598</v>
      </c>
    </row>
    <row r="124" spans="1:17" s="18" customFormat="1" x14ac:dyDescent="0.25">
      <c r="A124" s="15" t="s">
        <v>19</v>
      </c>
      <c r="B124" s="15" t="s">
        <v>58</v>
      </c>
      <c r="C124" s="15">
        <v>19562245</v>
      </c>
      <c r="D124" s="15" t="s">
        <v>193</v>
      </c>
      <c r="E124" s="15" t="s">
        <v>422</v>
      </c>
      <c r="F124" s="15" t="s">
        <v>421</v>
      </c>
      <c r="G124" s="15" t="s">
        <v>145</v>
      </c>
      <c r="H124" s="15" t="s">
        <v>197</v>
      </c>
      <c r="I124" s="15" t="s">
        <v>66</v>
      </c>
      <c r="J124" s="15" t="s">
        <v>334</v>
      </c>
      <c r="K124" s="15" t="s">
        <v>178</v>
      </c>
      <c r="L124" s="9">
        <f t="shared" si="3"/>
        <v>23</v>
      </c>
      <c r="M124" s="9" t="s">
        <v>613</v>
      </c>
      <c r="N124" s="16">
        <v>41.7</v>
      </c>
      <c r="O124" s="17">
        <v>7.4999999999999997E-2</v>
      </c>
      <c r="P124" s="16">
        <v>3.13</v>
      </c>
      <c r="Q124" s="15" t="s">
        <v>598</v>
      </c>
    </row>
    <row r="125" spans="1:17" s="18" customFormat="1" x14ac:dyDescent="0.25">
      <c r="A125" s="15" t="s">
        <v>19</v>
      </c>
      <c r="B125" s="15" t="s">
        <v>58</v>
      </c>
      <c r="C125" s="15">
        <v>19562245</v>
      </c>
      <c r="D125" s="15" t="s">
        <v>193</v>
      </c>
      <c r="E125" s="15" t="s">
        <v>419</v>
      </c>
      <c r="F125" s="15" t="s">
        <v>418</v>
      </c>
      <c r="G125" s="15" t="s">
        <v>145</v>
      </c>
      <c r="H125" s="15" t="s">
        <v>197</v>
      </c>
      <c r="I125" s="15" t="s">
        <v>125</v>
      </c>
      <c r="J125" s="15" t="s">
        <v>290</v>
      </c>
      <c r="K125" s="15" t="s">
        <v>178</v>
      </c>
      <c r="L125" s="9">
        <f t="shared" si="3"/>
        <v>20</v>
      </c>
      <c r="M125" s="9" t="s">
        <v>613</v>
      </c>
      <c r="N125" s="16">
        <v>51.85</v>
      </c>
      <c r="O125" s="17">
        <v>7.4999999999999997E-2</v>
      </c>
      <c r="P125" s="16">
        <v>3.89</v>
      </c>
      <c r="Q125" s="15" t="s">
        <v>598</v>
      </c>
    </row>
    <row r="126" spans="1:17" x14ac:dyDescent="0.25">
      <c r="A126" s="9" t="s">
        <v>19</v>
      </c>
      <c r="B126" s="9" t="s">
        <v>58</v>
      </c>
      <c r="C126" s="9">
        <v>16243811</v>
      </c>
      <c r="D126" s="9" t="s">
        <v>538</v>
      </c>
      <c r="E126" s="9" t="s">
        <v>537</v>
      </c>
      <c r="F126" s="9" t="s">
        <v>536</v>
      </c>
      <c r="G126" s="9" t="s">
        <v>145</v>
      </c>
      <c r="H126" s="9" t="s">
        <v>78</v>
      </c>
      <c r="I126" s="9" t="s">
        <v>79</v>
      </c>
      <c r="J126" s="9" t="s">
        <v>535</v>
      </c>
      <c r="K126" s="9" t="s">
        <v>67</v>
      </c>
      <c r="L126" s="9">
        <f t="shared" si="3"/>
        <v>31</v>
      </c>
      <c r="M126" s="9" t="s">
        <v>613</v>
      </c>
      <c r="N126" s="11">
        <v>64.260000000000005</v>
      </c>
      <c r="O126" s="13">
        <v>3.5000000000000003E-2</v>
      </c>
      <c r="P126" s="11">
        <v>2.25</v>
      </c>
      <c r="Q126" s="9" t="s">
        <v>79</v>
      </c>
    </row>
    <row r="127" spans="1:17" x14ac:dyDescent="0.25">
      <c r="A127" s="9" t="s">
        <v>19</v>
      </c>
      <c r="B127" s="9" t="s">
        <v>58</v>
      </c>
      <c r="C127" s="9">
        <v>13496370</v>
      </c>
      <c r="D127" s="9" t="s">
        <v>232</v>
      </c>
      <c r="E127" s="9" t="s">
        <v>233</v>
      </c>
      <c r="F127" s="9" t="s">
        <v>234</v>
      </c>
      <c r="G127" s="9" t="s">
        <v>145</v>
      </c>
      <c r="H127" s="9" t="s">
        <v>78</v>
      </c>
      <c r="I127" s="9" t="s">
        <v>236</v>
      </c>
      <c r="J127" s="9" t="s">
        <v>237</v>
      </c>
      <c r="K127" s="9" t="s">
        <v>183</v>
      </c>
      <c r="L127" s="9">
        <f t="shared" si="3"/>
        <v>18</v>
      </c>
      <c r="M127" s="9" t="s">
        <v>613</v>
      </c>
      <c r="N127" s="11">
        <v>21.68</v>
      </c>
      <c r="O127" s="13">
        <v>3.5000000000000003E-2</v>
      </c>
      <c r="P127" s="11">
        <v>0.76</v>
      </c>
      <c r="Q127" s="9" t="s">
        <v>236</v>
      </c>
    </row>
    <row r="128" spans="1:17" x14ac:dyDescent="0.25">
      <c r="A128" s="10" t="s">
        <v>18</v>
      </c>
      <c r="B128" s="10" t="s">
        <v>58</v>
      </c>
      <c r="C128" s="10">
        <v>20697692</v>
      </c>
      <c r="D128" s="10" t="s">
        <v>338</v>
      </c>
      <c r="E128" s="10" t="s">
        <v>337</v>
      </c>
      <c r="F128" s="10" t="s">
        <v>336</v>
      </c>
      <c r="G128" s="10" t="s">
        <v>145</v>
      </c>
      <c r="H128" s="10" t="s">
        <v>78</v>
      </c>
      <c r="I128" s="10" t="s">
        <v>289</v>
      </c>
      <c r="J128" s="10" t="s">
        <v>334</v>
      </c>
      <c r="K128" s="10" t="s">
        <v>178</v>
      </c>
      <c r="L128" s="9">
        <f t="shared" si="3"/>
        <v>23</v>
      </c>
      <c r="M128" s="9" t="s">
        <v>613</v>
      </c>
      <c r="N128" s="12">
        <v>107.54</v>
      </c>
      <c r="O128" s="14">
        <v>0.28999999999999998</v>
      </c>
      <c r="P128" s="12">
        <v>31.19</v>
      </c>
      <c r="Q128" s="10" t="s">
        <v>289</v>
      </c>
    </row>
    <row r="129" spans="1:17" x14ac:dyDescent="0.25">
      <c r="A129" s="10" t="s">
        <v>19</v>
      </c>
      <c r="B129" s="10" t="s">
        <v>58</v>
      </c>
      <c r="C129" s="10">
        <v>1706194</v>
      </c>
      <c r="D129" s="10" t="s">
        <v>208</v>
      </c>
      <c r="E129" s="10" t="s">
        <v>209</v>
      </c>
      <c r="F129" s="10" t="s">
        <v>210</v>
      </c>
      <c r="G129" s="10" t="s">
        <v>63</v>
      </c>
      <c r="H129" s="10" t="s">
        <v>212</v>
      </c>
      <c r="I129" s="10" t="s">
        <v>125</v>
      </c>
      <c r="J129" s="10" t="s">
        <v>213</v>
      </c>
      <c r="K129" s="10" t="s">
        <v>93</v>
      </c>
      <c r="L129" s="9">
        <f t="shared" si="3"/>
        <v>6</v>
      </c>
      <c r="M129" s="9" t="s">
        <v>613</v>
      </c>
      <c r="N129" s="12">
        <v>142.16</v>
      </c>
      <c r="O129" s="14">
        <v>1</v>
      </c>
      <c r="P129" s="12">
        <v>142.16</v>
      </c>
      <c r="Q129" s="10" t="s">
        <v>588</v>
      </c>
    </row>
    <row r="130" spans="1:17" x14ac:dyDescent="0.25">
      <c r="A130" s="10" t="s">
        <v>19</v>
      </c>
      <c r="B130" s="10" t="s">
        <v>96</v>
      </c>
      <c r="C130" s="10">
        <v>1706194</v>
      </c>
      <c r="D130" s="10" t="s">
        <v>208</v>
      </c>
      <c r="E130" s="10" t="s">
        <v>490</v>
      </c>
      <c r="F130" s="10" t="s">
        <v>489</v>
      </c>
      <c r="G130" s="10" t="s">
        <v>134</v>
      </c>
      <c r="H130" s="10" t="s">
        <v>263</v>
      </c>
      <c r="I130" s="10" t="s">
        <v>125</v>
      </c>
      <c r="J130" s="10" t="s">
        <v>178</v>
      </c>
      <c r="K130" s="10" t="s">
        <v>105</v>
      </c>
      <c r="L130" s="9">
        <f t="shared" ref="L130:L161" si="4">DATEDIF(J130,K130,"M")</f>
        <v>1</v>
      </c>
      <c r="M130" s="9" t="s">
        <v>613</v>
      </c>
      <c r="N130" s="12">
        <v>-120.06</v>
      </c>
      <c r="O130" s="14">
        <v>1</v>
      </c>
      <c r="P130" s="12">
        <v>-120.06</v>
      </c>
      <c r="Q130" s="10" t="s">
        <v>588</v>
      </c>
    </row>
    <row r="131" spans="1:17" s="18" customFormat="1" x14ac:dyDescent="0.25">
      <c r="A131" s="15" t="s">
        <v>18</v>
      </c>
      <c r="B131" s="15" t="s">
        <v>58</v>
      </c>
      <c r="C131" s="15">
        <v>8244481</v>
      </c>
      <c r="D131" s="15" t="s">
        <v>505</v>
      </c>
      <c r="E131" s="15" t="s">
        <v>570</v>
      </c>
      <c r="F131" s="15" t="s">
        <v>569</v>
      </c>
      <c r="G131" s="15" t="s">
        <v>63</v>
      </c>
      <c r="H131" s="15" t="s">
        <v>65</v>
      </c>
      <c r="I131" s="15" t="s">
        <v>271</v>
      </c>
      <c r="J131" s="15" t="s">
        <v>342</v>
      </c>
      <c r="K131" s="15" t="s">
        <v>178</v>
      </c>
      <c r="L131" s="9">
        <f t="shared" si="4"/>
        <v>6</v>
      </c>
      <c r="M131" s="9" t="s">
        <v>614</v>
      </c>
      <c r="N131" s="16">
        <v>170.5</v>
      </c>
      <c r="O131" s="17">
        <v>0.25</v>
      </c>
      <c r="P131" s="16">
        <v>42.63</v>
      </c>
      <c r="Q131" s="15" t="s">
        <v>600</v>
      </c>
    </row>
    <row r="132" spans="1:17" s="18" customFormat="1" x14ac:dyDescent="0.25">
      <c r="A132" s="15" t="s">
        <v>19</v>
      </c>
      <c r="B132" s="15" t="s">
        <v>58</v>
      </c>
      <c r="C132" s="15">
        <v>8244481</v>
      </c>
      <c r="D132" s="15" t="s">
        <v>505</v>
      </c>
      <c r="E132" s="15" t="s">
        <v>504</v>
      </c>
      <c r="F132" s="15" t="s">
        <v>503</v>
      </c>
      <c r="G132" s="15" t="s">
        <v>63</v>
      </c>
      <c r="H132" s="15" t="s">
        <v>65</v>
      </c>
      <c r="I132" s="15" t="s">
        <v>121</v>
      </c>
      <c r="J132" s="15" t="s">
        <v>475</v>
      </c>
      <c r="K132" s="15" t="s">
        <v>67</v>
      </c>
      <c r="L132" s="9">
        <f t="shared" si="4"/>
        <v>9</v>
      </c>
      <c r="M132" s="9" t="s">
        <v>613</v>
      </c>
      <c r="N132" s="16">
        <v>85</v>
      </c>
      <c r="O132" s="17">
        <v>0.56999999999999995</v>
      </c>
      <c r="P132" s="16">
        <v>48.45</v>
      </c>
      <c r="Q132" s="15" t="s">
        <v>590</v>
      </c>
    </row>
    <row r="133" spans="1:17" s="18" customFormat="1" x14ac:dyDescent="0.25">
      <c r="A133" s="15" t="s">
        <v>19</v>
      </c>
      <c r="B133" s="15" t="s">
        <v>58</v>
      </c>
      <c r="C133" s="15">
        <v>16509456</v>
      </c>
      <c r="D133" s="15" t="s">
        <v>383</v>
      </c>
      <c r="E133" s="15" t="s">
        <v>434</v>
      </c>
      <c r="F133" s="15" t="s">
        <v>433</v>
      </c>
      <c r="G133" s="15" t="s">
        <v>63</v>
      </c>
      <c r="H133" s="15" t="s">
        <v>197</v>
      </c>
      <c r="I133" s="15" t="s">
        <v>121</v>
      </c>
      <c r="J133" s="15" t="s">
        <v>342</v>
      </c>
      <c r="K133" s="15" t="s">
        <v>178</v>
      </c>
      <c r="L133" s="9">
        <f t="shared" si="4"/>
        <v>6</v>
      </c>
      <c r="M133" s="9" t="s">
        <v>614</v>
      </c>
      <c r="N133" s="16">
        <v>111</v>
      </c>
      <c r="O133" s="17">
        <v>0.52</v>
      </c>
      <c r="P133" s="16">
        <v>57.72</v>
      </c>
      <c r="Q133" s="15" t="s">
        <v>602</v>
      </c>
    </row>
    <row r="134" spans="1:17" s="18" customFormat="1" x14ac:dyDescent="0.25">
      <c r="A134" s="15" t="s">
        <v>19</v>
      </c>
      <c r="B134" s="15" t="s">
        <v>96</v>
      </c>
      <c r="C134" s="15">
        <v>16509456</v>
      </c>
      <c r="D134" s="15" t="s">
        <v>383</v>
      </c>
      <c r="E134" s="15" t="s">
        <v>382</v>
      </c>
      <c r="F134" s="15" t="s">
        <v>381</v>
      </c>
      <c r="G134" s="15" t="s">
        <v>145</v>
      </c>
      <c r="H134" s="15" t="s">
        <v>197</v>
      </c>
      <c r="I134" s="15" t="s">
        <v>121</v>
      </c>
      <c r="J134" s="15" t="s">
        <v>379</v>
      </c>
      <c r="K134" s="15" t="s">
        <v>105</v>
      </c>
      <c r="L134" s="9">
        <f t="shared" si="4"/>
        <v>19</v>
      </c>
      <c r="M134" s="9" t="s">
        <v>613</v>
      </c>
      <c r="N134" s="16">
        <v>-90.1</v>
      </c>
      <c r="O134" s="17">
        <v>3.5000000000000003E-2</v>
      </c>
      <c r="P134" s="16">
        <v>-3.15</v>
      </c>
      <c r="Q134" s="15" t="s">
        <v>591</v>
      </c>
    </row>
    <row r="135" spans="1:17" s="18" customFormat="1" x14ac:dyDescent="0.25">
      <c r="A135" s="15" t="s">
        <v>19</v>
      </c>
      <c r="B135" s="15" t="s">
        <v>96</v>
      </c>
      <c r="C135" s="15">
        <v>16509456</v>
      </c>
      <c r="D135" s="15" t="s">
        <v>383</v>
      </c>
      <c r="E135" s="15" t="s">
        <v>382</v>
      </c>
      <c r="F135" s="15" t="s">
        <v>381</v>
      </c>
      <c r="G135" s="15" t="s">
        <v>145</v>
      </c>
      <c r="H135" s="15" t="s">
        <v>197</v>
      </c>
      <c r="I135" s="15" t="s">
        <v>121</v>
      </c>
      <c r="J135" s="15" t="s">
        <v>379</v>
      </c>
      <c r="K135" s="15" t="s">
        <v>178</v>
      </c>
      <c r="L135" s="9">
        <f t="shared" si="4"/>
        <v>18</v>
      </c>
      <c r="M135" s="9" t="s">
        <v>613</v>
      </c>
      <c r="N135" s="16">
        <v>-90.1</v>
      </c>
      <c r="O135" s="17">
        <v>3.5000000000000003E-2</v>
      </c>
      <c r="P135" s="16">
        <v>-3.15</v>
      </c>
      <c r="Q135" s="15" t="s">
        <v>591</v>
      </c>
    </row>
    <row r="136" spans="1:17" s="18" customFormat="1" x14ac:dyDescent="0.25">
      <c r="A136" s="15" t="s">
        <v>18</v>
      </c>
      <c r="B136" s="15" t="s">
        <v>58</v>
      </c>
      <c r="C136" s="15">
        <v>16509456</v>
      </c>
      <c r="D136" s="15" t="s">
        <v>383</v>
      </c>
      <c r="E136" s="15" t="s">
        <v>416</v>
      </c>
      <c r="F136" s="15" t="s">
        <v>415</v>
      </c>
      <c r="G136" s="15" t="s">
        <v>145</v>
      </c>
      <c r="H136" s="15" t="s">
        <v>197</v>
      </c>
      <c r="I136" s="15" t="s">
        <v>271</v>
      </c>
      <c r="J136" s="15" t="s">
        <v>413</v>
      </c>
      <c r="K136" s="15" t="s">
        <v>178</v>
      </c>
      <c r="L136" s="9">
        <f t="shared" si="4"/>
        <v>25</v>
      </c>
      <c r="M136" s="9" t="s">
        <v>613</v>
      </c>
      <c r="N136" s="16">
        <v>153.77000000000001</v>
      </c>
      <c r="O136" s="17">
        <v>0.24</v>
      </c>
      <c r="P136" s="16">
        <v>36.9</v>
      </c>
      <c r="Q136" s="15" t="s">
        <v>271</v>
      </c>
    </row>
    <row r="137" spans="1:17" s="18" customFormat="1" x14ac:dyDescent="0.25">
      <c r="A137" s="15" t="s">
        <v>19</v>
      </c>
      <c r="B137" s="15" t="s">
        <v>58</v>
      </c>
      <c r="C137" s="15">
        <v>19200754</v>
      </c>
      <c r="D137" s="15" t="s">
        <v>162</v>
      </c>
      <c r="E137" s="15" t="s">
        <v>551</v>
      </c>
      <c r="F137" s="15" t="s">
        <v>550</v>
      </c>
      <c r="G137" s="15" t="s">
        <v>63</v>
      </c>
      <c r="H137" s="15" t="s">
        <v>65</v>
      </c>
      <c r="I137" s="15" t="s">
        <v>549</v>
      </c>
      <c r="J137" s="15" t="s">
        <v>450</v>
      </c>
      <c r="K137" s="15" t="s">
        <v>135</v>
      </c>
      <c r="L137" s="9">
        <f t="shared" si="4"/>
        <v>6</v>
      </c>
      <c r="M137" s="9" t="s">
        <v>614</v>
      </c>
      <c r="N137" s="16">
        <v>117.17</v>
      </c>
      <c r="O137" s="17">
        <v>0.56999999999999995</v>
      </c>
      <c r="P137" s="16">
        <v>66.790000000000006</v>
      </c>
      <c r="Q137" s="15" t="s">
        <v>590</v>
      </c>
    </row>
    <row r="138" spans="1:17" s="18" customFormat="1" x14ac:dyDescent="0.25">
      <c r="A138" s="15" t="s">
        <v>19</v>
      </c>
      <c r="B138" s="15" t="s">
        <v>58</v>
      </c>
      <c r="C138" s="15">
        <v>19200754</v>
      </c>
      <c r="D138" s="15" t="s">
        <v>162</v>
      </c>
      <c r="E138" s="15" t="s">
        <v>522</v>
      </c>
      <c r="F138" s="15" t="s">
        <v>521</v>
      </c>
      <c r="G138" s="15" t="s">
        <v>63</v>
      </c>
      <c r="H138" s="15" t="s">
        <v>65</v>
      </c>
      <c r="I138" s="15" t="s">
        <v>121</v>
      </c>
      <c r="J138" s="15" t="s">
        <v>342</v>
      </c>
      <c r="K138" s="15" t="s">
        <v>178</v>
      </c>
      <c r="L138" s="9">
        <f t="shared" si="4"/>
        <v>6</v>
      </c>
      <c r="M138" s="9" t="s">
        <v>614</v>
      </c>
      <c r="N138" s="16">
        <v>98.66</v>
      </c>
      <c r="O138" s="17">
        <v>0.56999999999999995</v>
      </c>
      <c r="P138" s="16">
        <v>56.24</v>
      </c>
      <c r="Q138" s="15" t="s">
        <v>590</v>
      </c>
    </row>
    <row r="139" spans="1:17" s="18" customFormat="1" x14ac:dyDescent="0.25">
      <c r="A139" s="15" t="s">
        <v>19</v>
      </c>
      <c r="B139" s="15" t="s">
        <v>58</v>
      </c>
      <c r="C139" s="15">
        <v>19200754</v>
      </c>
      <c r="D139" s="15" t="s">
        <v>162</v>
      </c>
      <c r="E139" s="15" t="s">
        <v>472</v>
      </c>
      <c r="F139" s="15" t="s">
        <v>471</v>
      </c>
      <c r="G139" s="15" t="s">
        <v>63</v>
      </c>
      <c r="H139" s="15" t="s">
        <v>469</v>
      </c>
      <c r="I139" s="15" t="s">
        <v>121</v>
      </c>
      <c r="J139" s="15" t="s">
        <v>229</v>
      </c>
      <c r="K139" s="15" t="s">
        <v>178</v>
      </c>
      <c r="L139" s="9">
        <f t="shared" si="4"/>
        <v>5</v>
      </c>
      <c r="M139" s="9" t="s">
        <v>614</v>
      </c>
      <c r="N139" s="16">
        <v>27.62</v>
      </c>
      <c r="O139" s="17">
        <v>0.56999999999999995</v>
      </c>
      <c r="P139" s="16">
        <v>15.74</v>
      </c>
      <c r="Q139" s="15" t="s">
        <v>590</v>
      </c>
    </row>
    <row r="140" spans="1:17" s="18" customFormat="1" x14ac:dyDescent="0.25">
      <c r="A140" s="15" t="s">
        <v>19</v>
      </c>
      <c r="B140" s="15" t="s">
        <v>58</v>
      </c>
      <c r="C140" s="15">
        <v>19200754</v>
      </c>
      <c r="D140" s="15" t="s">
        <v>162</v>
      </c>
      <c r="E140" s="15" t="s">
        <v>431</v>
      </c>
      <c r="F140" s="15" t="s">
        <v>430</v>
      </c>
      <c r="G140" s="15" t="s">
        <v>63</v>
      </c>
      <c r="H140" s="15" t="s">
        <v>263</v>
      </c>
      <c r="I140" s="15" t="s">
        <v>79</v>
      </c>
      <c r="J140" s="15" t="s">
        <v>342</v>
      </c>
      <c r="K140" s="15" t="s">
        <v>178</v>
      </c>
      <c r="L140" s="9">
        <f t="shared" si="4"/>
        <v>6</v>
      </c>
      <c r="M140" s="9" t="s">
        <v>614</v>
      </c>
      <c r="N140" s="16">
        <v>26.11</v>
      </c>
      <c r="O140" s="17">
        <v>0.56999999999999995</v>
      </c>
      <c r="P140" s="16">
        <v>14.88</v>
      </c>
      <c r="Q140" s="15" t="s">
        <v>590</v>
      </c>
    </row>
    <row r="141" spans="1:17" s="18" customFormat="1" x14ac:dyDescent="0.25">
      <c r="A141" s="15" t="s">
        <v>19</v>
      </c>
      <c r="B141" s="15" t="s">
        <v>58</v>
      </c>
      <c r="C141" s="15">
        <v>19200754</v>
      </c>
      <c r="D141" s="15" t="s">
        <v>162</v>
      </c>
      <c r="E141" s="15" t="s">
        <v>345</v>
      </c>
      <c r="F141" s="15" t="s">
        <v>344</v>
      </c>
      <c r="G141" s="15" t="s">
        <v>63</v>
      </c>
      <c r="H141" s="15" t="s">
        <v>212</v>
      </c>
      <c r="I141" s="15" t="s">
        <v>228</v>
      </c>
      <c r="J141" s="15" t="s">
        <v>342</v>
      </c>
      <c r="K141" s="15" t="s">
        <v>178</v>
      </c>
      <c r="L141" s="9">
        <f t="shared" si="4"/>
        <v>6</v>
      </c>
      <c r="M141" s="9" t="s">
        <v>614</v>
      </c>
      <c r="N141" s="16">
        <v>59.78</v>
      </c>
      <c r="O141" s="17">
        <v>0.56999999999999995</v>
      </c>
      <c r="P141" s="16">
        <v>34.07</v>
      </c>
      <c r="Q141" s="15" t="s">
        <v>590</v>
      </c>
    </row>
    <row r="142" spans="1:17" s="18" customFormat="1" x14ac:dyDescent="0.25">
      <c r="A142" s="15" t="s">
        <v>19</v>
      </c>
      <c r="B142" s="15" t="s">
        <v>58</v>
      </c>
      <c r="C142" s="15">
        <v>19200754</v>
      </c>
      <c r="D142" s="15" t="s">
        <v>162</v>
      </c>
      <c r="E142" s="15" t="s">
        <v>355</v>
      </c>
      <c r="F142" s="15" t="s">
        <v>354</v>
      </c>
      <c r="G142" s="15" t="s">
        <v>63</v>
      </c>
      <c r="H142" s="15" t="s">
        <v>65</v>
      </c>
      <c r="I142" s="15" t="s">
        <v>352</v>
      </c>
      <c r="J142" s="15" t="s">
        <v>351</v>
      </c>
      <c r="K142" s="15" t="s">
        <v>67</v>
      </c>
      <c r="L142" s="9">
        <f t="shared" si="4"/>
        <v>3</v>
      </c>
      <c r="M142" s="9" t="s">
        <v>614</v>
      </c>
      <c r="N142" s="16">
        <v>69.83</v>
      </c>
      <c r="O142" s="17">
        <v>0.57999999999999996</v>
      </c>
      <c r="P142" s="16">
        <v>40.5</v>
      </c>
      <c r="Q142" s="15" t="s">
        <v>592</v>
      </c>
    </row>
    <row r="143" spans="1:17" s="18" customFormat="1" x14ac:dyDescent="0.25">
      <c r="A143" s="15" t="s">
        <v>19</v>
      </c>
      <c r="B143" s="15" t="s">
        <v>58</v>
      </c>
      <c r="C143" s="15">
        <v>19200754</v>
      </c>
      <c r="D143" s="15" t="s">
        <v>162</v>
      </c>
      <c r="E143" s="15" t="s">
        <v>547</v>
      </c>
      <c r="F143" s="15" t="s">
        <v>546</v>
      </c>
      <c r="G143" s="15" t="s">
        <v>63</v>
      </c>
      <c r="H143" s="15" t="s">
        <v>65</v>
      </c>
      <c r="I143" s="15" t="s">
        <v>66</v>
      </c>
      <c r="J143" s="15" t="s">
        <v>545</v>
      </c>
      <c r="K143" s="15" t="s">
        <v>7</v>
      </c>
      <c r="L143" s="9">
        <f t="shared" si="4"/>
        <v>1</v>
      </c>
      <c r="M143" s="9" t="s">
        <v>614</v>
      </c>
      <c r="N143" s="16">
        <v>150.86000000000001</v>
      </c>
      <c r="O143" s="17">
        <v>1.05</v>
      </c>
      <c r="P143" s="16">
        <v>158.4</v>
      </c>
      <c r="Q143" s="15" t="s">
        <v>593</v>
      </c>
    </row>
    <row r="144" spans="1:17" s="18" customFormat="1" x14ac:dyDescent="0.25">
      <c r="A144" s="15" t="s">
        <v>19</v>
      </c>
      <c r="B144" s="15" t="s">
        <v>58</v>
      </c>
      <c r="C144" s="15" t="s">
        <v>607</v>
      </c>
      <c r="D144" s="15" t="s">
        <v>162</v>
      </c>
      <c r="E144" s="15" t="s">
        <v>163</v>
      </c>
      <c r="F144" s="15" t="s">
        <v>164</v>
      </c>
      <c r="G144" s="15" t="s">
        <v>134</v>
      </c>
      <c r="H144" s="15" t="s">
        <v>65</v>
      </c>
      <c r="I144" s="15" t="s">
        <v>91</v>
      </c>
      <c r="J144" s="15" t="s">
        <v>105</v>
      </c>
      <c r="K144" s="15" t="s">
        <v>105</v>
      </c>
      <c r="L144" s="9">
        <f t="shared" si="4"/>
        <v>0</v>
      </c>
      <c r="M144" s="9" t="s">
        <v>615</v>
      </c>
      <c r="N144" s="16">
        <v>21.52</v>
      </c>
      <c r="O144" s="17">
        <v>0.65</v>
      </c>
      <c r="P144" s="16">
        <v>13.99</v>
      </c>
      <c r="Q144" s="15" t="s">
        <v>603</v>
      </c>
    </row>
    <row r="145" spans="1:17" s="18" customFormat="1" x14ac:dyDescent="0.25">
      <c r="A145" s="15" t="s">
        <v>19</v>
      </c>
      <c r="B145" s="15" t="s">
        <v>58</v>
      </c>
      <c r="C145" s="15" t="s">
        <v>607</v>
      </c>
      <c r="D145" s="15" t="s">
        <v>162</v>
      </c>
      <c r="E145" s="15" t="s">
        <v>163</v>
      </c>
      <c r="F145" s="15" t="s">
        <v>164</v>
      </c>
      <c r="G145" s="15" t="s">
        <v>134</v>
      </c>
      <c r="H145" s="15" t="s">
        <v>65</v>
      </c>
      <c r="I145" s="15" t="s">
        <v>91</v>
      </c>
      <c r="J145" s="15" t="s">
        <v>105</v>
      </c>
      <c r="K145" s="15" t="s">
        <v>105</v>
      </c>
      <c r="L145" s="9">
        <f t="shared" si="4"/>
        <v>0</v>
      </c>
      <c r="M145" s="9" t="s">
        <v>615</v>
      </c>
      <c r="N145" s="16">
        <v>22.34</v>
      </c>
      <c r="O145" s="17">
        <v>0.65</v>
      </c>
      <c r="P145" s="16">
        <v>14.52</v>
      </c>
      <c r="Q145" s="15" t="s">
        <v>603</v>
      </c>
    </row>
    <row r="146" spans="1:17" s="18" customFormat="1" x14ac:dyDescent="0.25">
      <c r="A146" s="15" t="s">
        <v>19</v>
      </c>
      <c r="B146" s="15" t="s">
        <v>58</v>
      </c>
      <c r="C146" s="15" t="s">
        <v>607</v>
      </c>
      <c r="D146" s="15" t="s">
        <v>162</v>
      </c>
      <c r="E146" s="15" t="s">
        <v>163</v>
      </c>
      <c r="F146" s="15" t="s">
        <v>164</v>
      </c>
      <c r="G146" s="15" t="s">
        <v>134</v>
      </c>
      <c r="H146" s="15" t="s">
        <v>65</v>
      </c>
      <c r="I146" s="15" t="s">
        <v>91</v>
      </c>
      <c r="J146" s="15" t="s">
        <v>105</v>
      </c>
      <c r="K146" s="15" t="s">
        <v>105</v>
      </c>
      <c r="L146" s="9">
        <f t="shared" si="4"/>
        <v>0</v>
      </c>
      <c r="M146" s="9" t="s">
        <v>615</v>
      </c>
      <c r="N146" s="16">
        <v>9.24</v>
      </c>
      <c r="O146" s="17">
        <v>0.65</v>
      </c>
      <c r="P146" s="16">
        <v>6.01</v>
      </c>
      <c r="Q146" s="15" t="s">
        <v>603</v>
      </c>
    </row>
    <row r="147" spans="1:17" s="18" customFormat="1" x14ac:dyDescent="0.25">
      <c r="A147" s="15" t="s">
        <v>19</v>
      </c>
      <c r="B147" s="15" t="s">
        <v>58</v>
      </c>
      <c r="C147" s="15" t="s">
        <v>607</v>
      </c>
      <c r="D147" s="15" t="s">
        <v>162</v>
      </c>
      <c r="E147" s="15" t="s">
        <v>163</v>
      </c>
      <c r="F147" s="15" t="s">
        <v>164</v>
      </c>
      <c r="G147" s="15" t="s">
        <v>134</v>
      </c>
      <c r="H147" s="15" t="s">
        <v>65</v>
      </c>
      <c r="I147" s="15" t="s">
        <v>91</v>
      </c>
      <c r="J147" s="15" t="s">
        <v>105</v>
      </c>
      <c r="K147" s="15" t="s">
        <v>105</v>
      </c>
      <c r="L147" s="9">
        <f t="shared" si="4"/>
        <v>0</v>
      </c>
      <c r="M147" s="9" t="s">
        <v>615</v>
      </c>
      <c r="N147" s="16">
        <v>11.87</v>
      </c>
      <c r="O147" s="17">
        <v>0.65</v>
      </c>
      <c r="P147" s="16">
        <v>7.72</v>
      </c>
      <c r="Q147" s="15" t="s">
        <v>603</v>
      </c>
    </row>
    <row r="148" spans="1:17" s="18" customFormat="1" x14ac:dyDescent="0.25">
      <c r="A148" s="15" t="s">
        <v>19</v>
      </c>
      <c r="B148" s="15" t="s">
        <v>58</v>
      </c>
      <c r="C148" s="15" t="s">
        <v>608</v>
      </c>
      <c r="D148" s="15" t="s">
        <v>139</v>
      </c>
      <c r="E148" s="15" t="s">
        <v>140</v>
      </c>
      <c r="F148" s="15" t="s">
        <v>141</v>
      </c>
      <c r="G148" s="15" t="s">
        <v>134</v>
      </c>
      <c r="H148" s="15" t="s">
        <v>65</v>
      </c>
      <c r="I148" s="15" t="s">
        <v>66</v>
      </c>
      <c r="J148" s="15" t="s">
        <v>105</v>
      </c>
      <c r="K148" s="15" t="s">
        <v>105</v>
      </c>
      <c r="L148" s="9">
        <f t="shared" si="4"/>
        <v>0</v>
      </c>
      <c r="M148" s="9" t="s">
        <v>615</v>
      </c>
      <c r="N148" s="16">
        <v>83.4</v>
      </c>
      <c r="O148" s="17">
        <v>1.05</v>
      </c>
      <c r="P148" s="16">
        <v>87.57</v>
      </c>
      <c r="Q148" s="15" t="s">
        <v>593</v>
      </c>
    </row>
    <row r="149" spans="1:17" x14ac:dyDescent="0.25">
      <c r="A149" s="10" t="s">
        <v>19</v>
      </c>
      <c r="B149" s="10" t="s">
        <v>58</v>
      </c>
      <c r="C149" s="10">
        <v>5442438</v>
      </c>
      <c r="D149" s="10" t="s">
        <v>74</v>
      </c>
      <c r="E149" s="10" t="s">
        <v>75</v>
      </c>
      <c r="F149" s="10" t="s">
        <v>76</v>
      </c>
      <c r="G149" s="10" t="s">
        <v>63</v>
      </c>
      <c r="H149" s="10" t="s">
        <v>78</v>
      </c>
      <c r="I149" s="10" t="s">
        <v>79</v>
      </c>
      <c r="J149" s="10" t="s">
        <v>80</v>
      </c>
      <c r="K149" s="10" t="s">
        <v>81</v>
      </c>
      <c r="L149" s="9">
        <f t="shared" si="4"/>
        <v>7</v>
      </c>
      <c r="M149" s="9" t="s">
        <v>613</v>
      </c>
      <c r="N149" s="12">
        <v>32.130000000000003</v>
      </c>
      <c r="O149" s="14">
        <v>0.56999999999999995</v>
      </c>
      <c r="P149" s="12">
        <v>18.309999999999999</v>
      </c>
      <c r="Q149" s="10" t="s">
        <v>590</v>
      </c>
    </row>
    <row r="150" spans="1:17" x14ac:dyDescent="0.25">
      <c r="A150" s="10" t="s">
        <v>19</v>
      </c>
      <c r="B150" s="10" t="s">
        <v>58</v>
      </c>
      <c r="C150" s="10">
        <v>5442438</v>
      </c>
      <c r="D150" s="10" t="s">
        <v>74</v>
      </c>
      <c r="E150" s="10" t="s">
        <v>477</v>
      </c>
      <c r="F150" s="10" t="s">
        <v>476</v>
      </c>
      <c r="G150" s="10" t="s">
        <v>63</v>
      </c>
      <c r="H150" s="10" t="s">
        <v>78</v>
      </c>
      <c r="I150" s="10" t="s">
        <v>79</v>
      </c>
      <c r="J150" s="10" t="s">
        <v>475</v>
      </c>
      <c r="K150" s="10" t="s">
        <v>67</v>
      </c>
      <c r="L150" s="9">
        <f t="shared" si="4"/>
        <v>9</v>
      </c>
      <c r="M150" s="9" t="s">
        <v>613</v>
      </c>
      <c r="N150" s="12">
        <v>27.63</v>
      </c>
      <c r="O150" s="14">
        <v>0.56999999999999995</v>
      </c>
      <c r="P150" s="12">
        <v>15.75</v>
      </c>
      <c r="Q150" s="10" t="s">
        <v>590</v>
      </c>
    </row>
    <row r="151" spans="1:17" x14ac:dyDescent="0.25">
      <c r="A151" s="10" t="s">
        <v>19</v>
      </c>
      <c r="B151" s="10" t="s">
        <v>58</v>
      </c>
      <c r="C151" s="10">
        <v>5442438</v>
      </c>
      <c r="D151" s="10" t="s">
        <v>74</v>
      </c>
      <c r="E151" s="10" t="s">
        <v>487</v>
      </c>
      <c r="F151" s="10" t="s">
        <v>486</v>
      </c>
      <c r="G151" s="10" t="s">
        <v>63</v>
      </c>
      <c r="H151" s="10" t="s">
        <v>78</v>
      </c>
      <c r="I151" s="10" t="s">
        <v>184</v>
      </c>
      <c r="J151" s="10" t="s">
        <v>120</v>
      </c>
      <c r="K151" s="10" t="s">
        <v>67</v>
      </c>
      <c r="L151" s="9">
        <f t="shared" si="4"/>
        <v>8</v>
      </c>
      <c r="M151" s="9" t="s">
        <v>613</v>
      </c>
      <c r="N151" s="12">
        <v>21.55</v>
      </c>
      <c r="O151" s="14">
        <v>0.57999999999999996</v>
      </c>
      <c r="P151" s="12">
        <v>12.5</v>
      </c>
      <c r="Q151" s="10" t="s">
        <v>592</v>
      </c>
    </row>
    <row r="152" spans="1:17" x14ac:dyDescent="0.25">
      <c r="A152" s="9" t="s">
        <v>19</v>
      </c>
      <c r="B152" s="9" t="s">
        <v>58</v>
      </c>
      <c r="C152" s="9">
        <v>5442438</v>
      </c>
      <c r="D152" s="9" t="s">
        <v>74</v>
      </c>
      <c r="E152" s="9" t="s">
        <v>501</v>
      </c>
      <c r="F152" s="9" t="s">
        <v>502</v>
      </c>
      <c r="G152" s="9" t="s">
        <v>63</v>
      </c>
      <c r="H152" s="9" t="s">
        <v>78</v>
      </c>
      <c r="I152" s="9" t="s">
        <v>184</v>
      </c>
      <c r="J152" s="9" t="s">
        <v>120</v>
      </c>
      <c r="K152" s="9" t="s">
        <v>67</v>
      </c>
      <c r="L152" s="9">
        <f t="shared" si="4"/>
        <v>8</v>
      </c>
      <c r="M152" s="9" t="s">
        <v>613</v>
      </c>
      <c r="N152" s="11">
        <v>59.25</v>
      </c>
      <c r="O152" s="13">
        <v>0.57999999999999996</v>
      </c>
      <c r="P152" s="11">
        <v>34.369999999999997</v>
      </c>
      <c r="Q152" s="9" t="s">
        <v>592</v>
      </c>
    </row>
    <row r="153" spans="1:17" x14ac:dyDescent="0.25">
      <c r="A153" s="10" t="s">
        <v>19</v>
      </c>
      <c r="B153" s="10" t="s">
        <v>58</v>
      </c>
      <c r="C153" s="10">
        <v>5442438</v>
      </c>
      <c r="D153" s="10" t="s">
        <v>74</v>
      </c>
      <c r="E153" s="10" t="s">
        <v>501</v>
      </c>
      <c r="F153" s="10" t="s">
        <v>502</v>
      </c>
      <c r="G153" s="10" t="s">
        <v>63</v>
      </c>
      <c r="H153" s="10" t="s">
        <v>78</v>
      </c>
      <c r="I153" s="10" t="s">
        <v>184</v>
      </c>
      <c r="J153" s="10" t="s">
        <v>120</v>
      </c>
      <c r="K153" s="10" t="s">
        <v>67</v>
      </c>
      <c r="L153" s="9">
        <f t="shared" si="4"/>
        <v>8</v>
      </c>
      <c r="M153" s="9" t="s">
        <v>613</v>
      </c>
      <c r="N153" s="12">
        <v>20.62</v>
      </c>
      <c r="O153" s="14">
        <v>0.57999999999999996</v>
      </c>
      <c r="P153" s="12">
        <v>11.96</v>
      </c>
      <c r="Q153" s="10" t="s">
        <v>592</v>
      </c>
    </row>
    <row r="154" spans="1:17" x14ac:dyDescent="0.25">
      <c r="A154" s="9" t="s">
        <v>19</v>
      </c>
      <c r="B154" s="9" t="s">
        <v>58</v>
      </c>
      <c r="C154" s="9">
        <v>5442438</v>
      </c>
      <c r="D154" s="9" t="s">
        <v>74</v>
      </c>
      <c r="E154" s="9" t="s">
        <v>487</v>
      </c>
      <c r="F154" s="9" t="s">
        <v>486</v>
      </c>
      <c r="G154" s="9" t="s">
        <v>63</v>
      </c>
      <c r="H154" s="9" t="s">
        <v>78</v>
      </c>
      <c r="I154" s="9" t="s">
        <v>184</v>
      </c>
      <c r="J154" s="9" t="s">
        <v>120</v>
      </c>
      <c r="K154" s="9" t="s">
        <v>67</v>
      </c>
      <c r="L154" s="9">
        <f t="shared" si="4"/>
        <v>8</v>
      </c>
      <c r="M154" s="9" t="s">
        <v>613</v>
      </c>
      <c r="N154" s="11">
        <v>71.08</v>
      </c>
      <c r="O154" s="13">
        <v>0.57999999999999996</v>
      </c>
      <c r="P154" s="11">
        <v>41.23</v>
      </c>
      <c r="Q154" s="9" t="s">
        <v>592</v>
      </c>
    </row>
    <row r="155" spans="1:17" x14ac:dyDescent="0.25">
      <c r="A155" s="9" t="s">
        <v>19</v>
      </c>
      <c r="B155" s="9" t="s">
        <v>58</v>
      </c>
      <c r="C155" s="9">
        <v>5442438</v>
      </c>
      <c r="D155" s="9" t="s">
        <v>74</v>
      </c>
      <c r="E155" s="9" t="s">
        <v>309</v>
      </c>
      <c r="F155" s="9" t="s">
        <v>310</v>
      </c>
      <c r="G155" s="9" t="s">
        <v>63</v>
      </c>
      <c r="H155" s="9" t="s">
        <v>78</v>
      </c>
      <c r="I155" s="9" t="s">
        <v>184</v>
      </c>
      <c r="J155" s="9" t="s">
        <v>206</v>
      </c>
      <c r="K155" s="9" t="s">
        <v>81</v>
      </c>
      <c r="L155" s="9">
        <f t="shared" si="4"/>
        <v>2</v>
      </c>
      <c r="M155" s="9" t="s">
        <v>613</v>
      </c>
      <c r="N155" s="11">
        <v>20.62</v>
      </c>
      <c r="O155" s="13">
        <v>0.6</v>
      </c>
      <c r="P155" s="11">
        <v>12.37</v>
      </c>
      <c r="Q155" s="9" t="s">
        <v>589</v>
      </c>
    </row>
    <row r="156" spans="1:17" x14ac:dyDescent="0.25">
      <c r="A156" s="10" t="s">
        <v>19</v>
      </c>
      <c r="B156" s="10" t="s">
        <v>58</v>
      </c>
      <c r="C156" s="10">
        <v>5442438</v>
      </c>
      <c r="D156" s="10" t="s">
        <v>74</v>
      </c>
      <c r="E156" s="10" t="s">
        <v>309</v>
      </c>
      <c r="F156" s="10" t="s">
        <v>310</v>
      </c>
      <c r="G156" s="10" t="s">
        <v>63</v>
      </c>
      <c r="H156" s="10" t="s">
        <v>78</v>
      </c>
      <c r="I156" s="10" t="s">
        <v>184</v>
      </c>
      <c r="J156" s="10" t="s">
        <v>206</v>
      </c>
      <c r="K156" s="10" t="s">
        <v>81</v>
      </c>
      <c r="L156" s="9">
        <f t="shared" si="4"/>
        <v>2</v>
      </c>
      <c r="M156" s="9" t="s">
        <v>613</v>
      </c>
      <c r="N156" s="12">
        <v>19.7</v>
      </c>
      <c r="O156" s="14">
        <v>0.6</v>
      </c>
      <c r="P156" s="12">
        <v>11.82</v>
      </c>
      <c r="Q156" s="10" t="s">
        <v>589</v>
      </c>
    </row>
    <row r="157" spans="1:17" x14ac:dyDescent="0.25">
      <c r="A157" s="9" t="s">
        <v>19</v>
      </c>
      <c r="B157" s="9" t="s">
        <v>58</v>
      </c>
      <c r="C157" s="9">
        <v>5442438</v>
      </c>
      <c r="D157" s="9" t="s">
        <v>74</v>
      </c>
      <c r="E157" s="9" t="s">
        <v>309</v>
      </c>
      <c r="F157" s="9" t="s">
        <v>310</v>
      </c>
      <c r="G157" s="9" t="s">
        <v>63</v>
      </c>
      <c r="H157" s="9" t="s">
        <v>78</v>
      </c>
      <c r="I157" s="9" t="s">
        <v>184</v>
      </c>
      <c r="J157" s="9" t="s">
        <v>206</v>
      </c>
      <c r="K157" s="9" t="s">
        <v>81</v>
      </c>
      <c r="L157" s="9">
        <f t="shared" si="4"/>
        <v>2</v>
      </c>
      <c r="M157" s="9" t="s">
        <v>613</v>
      </c>
      <c r="N157" s="11">
        <v>12.47</v>
      </c>
      <c r="O157" s="13">
        <v>0.6</v>
      </c>
      <c r="P157" s="11">
        <v>7.48</v>
      </c>
      <c r="Q157" s="9" t="s">
        <v>589</v>
      </c>
    </row>
    <row r="158" spans="1:17" x14ac:dyDescent="0.25">
      <c r="A158" s="9" t="s">
        <v>19</v>
      </c>
      <c r="B158" s="9" t="s">
        <v>58</v>
      </c>
      <c r="C158" s="9">
        <v>5442438</v>
      </c>
      <c r="D158" s="9" t="s">
        <v>74</v>
      </c>
      <c r="E158" s="9" t="s">
        <v>75</v>
      </c>
      <c r="F158" s="9" t="s">
        <v>84</v>
      </c>
      <c r="G158" s="9" t="s">
        <v>63</v>
      </c>
      <c r="H158" s="9" t="s">
        <v>78</v>
      </c>
      <c r="I158" s="9" t="s">
        <v>85</v>
      </c>
      <c r="J158" s="9" t="s">
        <v>80</v>
      </c>
      <c r="K158" s="9" t="s">
        <v>81</v>
      </c>
      <c r="L158" s="9">
        <f t="shared" si="4"/>
        <v>7</v>
      </c>
      <c r="M158" s="9" t="s">
        <v>613</v>
      </c>
      <c r="N158" s="11">
        <v>164.12</v>
      </c>
      <c r="O158" s="13">
        <v>0.91</v>
      </c>
      <c r="P158" s="11">
        <v>149.35</v>
      </c>
      <c r="Q158" s="9" t="s">
        <v>595</v>
      </c>
    </row>
    <row r="159" spans="1:17" x14ac:dyDescent="0.25">
      <c r="A159" s="9" t="s">
        <v>19</v>
      </c>
      <c r="B159" s="9" t="s">
        <v>58</v>
      </c>
      <c r="C159" s="9">
        <v>5442438</v>
      </c>
      <c r="D159" s="9" t="s">
        <v>74</v>
      </c>
      <c r="E159" s="9" t="s">
        <v>75</v>
      </c>
      <c r="F159" s="9" t="s">
        <v>281</v>
      </c>
      <c r="G159" s="9" t="s">
        <v>63</v>
      </c>
      <c r="H159" s="9" t="s">
        <v>78</v>
      </c>
      <c r="I159" s="9" t="s">
        <v>282</v>
      </c>
      <c r="J159" s="9" t="s">
        <v>80</v>
      </c>
      <c r="K159" s="9" t="s">
        <v>81</v>
      </c>
      <c r="L159" s="9">
        <f t="shared" si="4"/>
        <v>7</v>
      </c>
      <c r="M159" s="9" t="s">
        <v>613</v>
      </c>
      <c r="N159" s="11">
        <v>167.37</v>
      </c>
      <c r="O159" s="13">
        <v>0.91</v>
      </c>
      <c r="P159" s="11">
        <v>152.31</v>
      </c>
      <c r="Q159" s="9" t="s">
        <v>595</v>
      </c>
    </row>
    <row r="160" spans="1:17" x14ac:dyDescent="0.25">
      <c r="A160" s="9" t="s">
        <v>19</v>
      </c>
      <c r="B160" s="9" t="s">
        <v>58</v>
      </c>
      <c r="C160" s="9">
        <v>5442438</v>
      </c>
      <c r="D160" s="9" t="s">
        <v>74</v>
      </c>
      <c r="E160" s="9" t="s">
        <v>501</v>
      </c>
      <c r="F160" s="9" t="s">
        <v>526</v>
      </c>
      <c r="G160" s="9" t="s">
        <v>63</v>
      </c>
      <c r="H160" s="9" t="s">
        <v>78</v>
      </c>
      <c r="I160" s="9" t="s">
        <v>282</v>
      </c>
      <c r="J160" s="9" t="s">
        <v>120</v>
      </c>
      <c r="K160" s="9" t="s">
        <v>67</v>
      </c>
      <c r="L160" s="9">
        <f t="shared" si="4"/>
        <v>8</v>
      </c>
      <c r="M160" s="9" t="s">
        <v>613</v>
      </c>
      <c r="N160" s="11">
        <v>170.24</v>
      </c>
      <c r="O160" s="13">
        <v>0.91</v>
      </c>
      <c r="P160" s="11">
        <v>154.91999999999999</v>
      </c>
      <c r="Q160" s="9" t="s">
        <v>595</v>
      </c>
    </row>
    <row r="161" spans="1:17" x14ac:dyDescent="0.25">
      <c r="A161" s="9" t="s">
        <v>19</v>
      </c>
      <c r="B161" s="9" t="s">
        <v>58</v>
      </c>
      <c r="C161" s="9">
        <v>5442438</v>
      </c>
      <c r="D161" s="9" t="s">
        <v>74</v>
      </c>
      <c r="E161" s="9" t="s">
        <v>501</v>
      </c>
      <c r="F161" s="9" t="s">
        <v>500</v>
      </c>
      <c r="G161" s="9" t="s">
        <v>63</v>
      </c>
      <c r="H161" s="9" t="s">
        <v>78</v>
      </c>
      <c r="I161" s="9" t="s">
        <v>85</v>
      </c>
      <c r="J161" s="9" t="s">
        <v>120</v>
      </c>
      <c r="K161" s="9" t="s">
        <v>67</v>
      </c>
      <c r="L161" s="9">
        <f t="shared" si="4"/>
        <v>8</v>
      </c>
      <c r="M161" s="9" t="s">
        <v>613</v>
      </c>
      <c r="N161" s="11">
        <v>156.49</v>
      </c>
      <c r="O161" s="13">
        <v>0.91</v>
      </c>
      <c r="P161" s="11">
        <v>142.41</v>
      </c>
      <c r="Q161" s="9" t="s">
        <v>595</v>
      </c>
    </row>
    <row r="162" spans="1:17" x14ac:dyDescent="0.25">
      <c r="A162" s="9" t="s">
        <v>19</v>
      </c>
      <c r="B162" s="9" t="s">
        <v>58</v>
      </c>
      <c r="C162" s="9">
        <v>5442438</v>
      </c>
      <c r="D162" s="9" t="s">
        <v>74</v>
      </c>
      <c r="E162" s="9" t="s">
        <v>170</v>
      </c>
      <c r="F162" s="9" t="s">
        <v>171</v>
      </c>
      <c r="G162" s="9" t="s">
        <v>63</v>
      </c>
      <c r="H162" s="9" t="s">
        <v>78</v>
      </c>
      <c r="I162" s="9" t="s">
        <v>66</v>
      </c>
      <c r="J162" s="9" t="s">
        <v>172</v>
      </c>
      <c r="K162" s="9" t="s">
        <v>173</v>
      </c>
      <c r="L162" s="9">
        <f t="shared" ref="L162:L193" si="5">DATEDIF(J162,K162,"M")</f>
        <v>4</v>
      </c>
      <c r="M162" s="9" t="s">
        <v>613</v>
      </c>
      <c r="N162" s="11">
        <v>59.08</v>
      </c>
      <c r="O162" s="13">
        <v>0.95</v>
      </c>
      <c r="P162" s="11">
        <v>56.13</v>
      </c>
      <c r="Q162" s="9" t="s">
        <v>587</v>
      </c>
    </row>
    <row r="163" spans="1:17" x14ac:dyDescent="0.25">
      <c r="A163" s="10" t="s">
        <v>19</v>
      </c>
      <c r="B163" s="10" t="s">
        <v>58</v>
      </c>
      <c r="C163" s="10">
        <v>5442438</v>
      </c>
      <c r="D163" s="10" t="s">
        <v>74</v>
      </c>
      <c r="E163" s="10" t="s">
        <v>309</v>
      </c>
      <c r="F163" s="10" t="s">
        <v>311</v>
      </c>
      <c r="G163" s="10" t="s">
        <v>63</v>
      </c>
      <c r="H163" s="10" t="s">
        <v>78</v>
      </c>
      <c r="I163" s="10" t="s">
        <v>66</v>
      </c>
      <c r="J163" s="10" t="s">
        <v>206</v>
      </c>
      <c r="K163" s="10" t="s">
        <v>81</v>
      </c>
      <c r="L163" s="9">
        <f t="shared" si="5"/>
        <v>2</v>
      </c>
      <c r="M163" s="9" t="s">
        <v>613</v>
      </c>
      <c r="N163" s="12">
        <v>45.62</v>
      </c>
      <c r="O163" s="14">
        <v>0.95</v>
      </c>
      <c r="P163" s="12">
        <v>43.34</v>
      </c>
      <c r="Q163" s="10" t="s">
        <v>587</v>
      </c>
    </row>
    <row r="164" spans="1:17" x14ac:dyDescent="0.25">
      <c r="A164" s="9" t="s">
        <v>19</v>
      </c>
      <c r="B164" s="9" t="s">
        <v>58</v>
      </c>
      <c r="C164" s="9">
        <v>5442438</v>
      </c>
      <c r="D164" s="9" t="s">
        <v>74</v>
      </c>
      <c r="E164" s="9" t="s">
        <v>309</v>
      </c>
      <c r="F164" s="9" t="s">
        <v>312</v>
      </c>
      <c r="G164" s="9" t="s">
        <v>63</v>
      </c>
      <c r="H164" s="9" t="s">
        <v>78</v>
      </c>
      <c r="I164" s="9" t="s">
        <v>85</v>
      </c>
      <c r="J164" s="9" t="s">
        <v>206</v>
      </c>
      <c r="K164" s="9" t="s">
        <v>81</v>
      </c>
      <c r="L164" s="9">
        <f t="shared" si="5"/>
        <v>2</v>
      </c>
      <c r="M164" s="9" t="s">
        <v>613</v>
      </c>
      <c r="N164" s="11">
        <v>43.75</v>
      </c>
      <c r="O164" s="13">
        <v>0.95</v>
      </c>
      <c r="P164" s="11">
        <v>41.56</v>
      </c>
      <c r="Q164" s="9" t="s">
        <v>587</v>
      </c>
    </row>
    <row r="165" spans="1:17" x14ac:dyDescent="0.25">
      <c r="A165" s="9" t="s">
        <v>19</v>
      </c>
      <c r="B165" s="9" t="s">
        <v>96</v>
      </c>
      <c r="C165" s="9">
        <v>5442438</v>
      </c>
      <c r="D165" s="9" t="s">
        <v>74</v>
      </c>
      <c r="E165" s="9" t="s">
        <v>170</v>
      </c>
      <c r="F165" s="9" t="s">
        <v>171</v>
      </c>
      <c r="G165" s="9" t="s">
        <v>63</v>
      </c>
      <c r="H165" s="9" t="s">
        <v>78</v>
      </c>
      <c r="I165" s="9" t="s">
        <v>66</v>
      </c>
      <c r="J165" s="9" t="s">
        <v>172</v>
      </c>
      <c r="K165" s="9" t="s">
        <v>185</v>
      </c>
      <c r="L165" s="9">
        <f t="shared" si="5"/>
        <v>5</v>
      </c>
      <c r="M165" s="9" t="s">
        <v>613</v>
      </c>
      <c r="N165" s="11">
        <v>-59.08</v>
      </c>
      <c r="O165" s="13">
        <v>0.95</v>
      </c>
      <c r="P165" s="11">
        <v>-56.13</v>
      </c>
      <c r="Q165" s="9" t="s">
        <v>587</v>
      </c>
    </row>
    <row r="166" spans="1:17" x14ac:dyDescent="0.25">
      <c r="A166" s="10" t="s">
        <v>19</v>
      </c>
      <c r="B166" s="10" t="s">
        <v>58</v>
      </c>
      <c r="C166" s="10">
        <v>8977234</v>
      </c>
      <c r="D166" s="10" t="s">
        <v>149</v>
      </c>
      <c r="E166" s="10" t="s">
        <v>449</v>
      </c>
      <c r="F166" s="10" t="s">
        <v>448</v>
      </c>
      <c r="G166" s="10" t="s">
        <v>63</v>
      </c>
      <c r="H166" s="10" t="s">
        <v>263</v>
      </c>
      <c r="I166" s="10" t="s">
        <v>66</v>
      </c>
      <c r="J166" s="10" t="s">
        <v>446</v>
      </c>
      <c r="K166" s="10" t="s">
        <v>81</v>
      </c>
      <c r="L166" s="9">
        <f t="shared" si="5"/>
        <v>1</v>
      </c>
      <c r="M166" s="9" t="s">
        <v>613</v>
      </c>
      <c r="N166" s="12">
        <v>83.68</v>
      </c>
      <c r="O166" s="14">
        <v>1</v>
      </c>
      <c r="P166" s="12">
        <v>83.68</v>
      </c>
      <c r="Q166" s="10" t="s">
        <v>588</v>
      </c>
    </row>
    <row r="167" spans="1:17" x14ac:dyDescent="0.25">
      <c r="A167" s="10" t="s">
        <v>19</v>
      </c>
      <c r="B167" s="10" t="s">
        <v>58</v>
      </c>
      <c r="C167" s="10">
        <v>8977234</v>
      </c>
      <c r="D167" s="10" t="s">
        <v>149</v>
      </c>
      <c r="E167" s="10" t="s">
        <v>150</v>
      </c>
      <c r="F167" s="10" t="s">
        <v>151</v>
      </c>
      <c r="G167" s="10" t="s">
        <v>145</v>
      </c>
      <c r="H167" s="10" t="s">
        <v>153</v>
      </c>
      <c r="I167" s="10" t="s">
        <v>85</v>
      </c>
      <c r="J167" s="10" t="s">
        <v>154</v>
      </c>
      <c r="K167" s="10" t="s">
        <v>155</v>
      </c>
      <c r="L167" s="9">
        <f t="shared" si="5"/>
        <v>18</v>
      </c>
      <c r="M167" s="9" t="s">
        <v>613</v>
      </c>
      <c r="N167" s="12">
        <v>78.37</v>
      </c>
      <c r="O167" s="14">
        <v>3.5000000000000003E-2</v>
      </c>
      <c r="P167" s="12">
        <v>2.74</v>
      </c>
      <c r="Q167" s="10" t="s">
        <v>597</v>
      </c>
    </row>
    <row r="168" spans="1:17" x14ac:dyDescent="0.25">
      <c r="A168" s="10" t="s">
        <v>19</v>
      </c>
      <c r="B168" s="10" t="s">
        <v>58</v>
      </c>
      <c r="C168" s="10">
        <v>8977234</v>
      </c>
      <c r="D168" s="10" t="s">
        <v>149</v>
      </c>
      <c r="E168" s="10" t="s">
        <v>300</v>
      </c>
      <c r="F168" s="10" t="s">
        <v>301</v>
      </c>
      <c r="G168" s="10" t="s">
        <v>145</v>
      </c>
      <c r="H168" s="10" t="s">
        <v>263</v>
      </c>
      <c r="I168" s="10" t="s">
        <v>66</v>
      </c>
      <c r="J168" s="10" t="s">
        <v>303</v>
      </c>
      <c r="K168" s="10" t="s">
        <v>93</v>
      </c>
      <c r="L168" s="9">
        <f t="shared" si="5"/>
        <v>26</v>
      </c>
      <c r="M168" s="9" t="s">
        <v>613</v>
      </c>
      <c r="N168" s="12">
        <v>42.58</v>
      </c>
      <c r="O168" s="14">
        <v>3.5000000000000003E-2</v>
      </c>
      <c r="P168" s="12">
        <v>1.49</v>
      </c>
      <c r="Q168" s="10" t="s">
        <v>597</v>
      </c>
    </row>
    <row r="169" spans="1:17" x14ac:dyDescent="0.25">
      <c r="A169" s="10" t="s">
        <v>19</v>
      </c>
      <c r="B169" s="10" t="s">
        <v>58</v>
      </c>
      <c r="C169" s="10">
        <v>8977234</v>
      </c>
      <c r="D169" s="10" t="s">
        <v>149</v>
      </c>
      <c r="E169" s="10" t="s">
        <v>300</v>
      </c>
      <c r="F169" s="10" t="s">
        <v>318</v>
      </c>
      <c r="G169" s="10" t="s">
        <v>145</v>
      </c>
      <c r="H169" s="10" t="s">
        <v>263</v>
      </c>
      <c r="I169" s="10" t="s">
        <v>125</v>
      </c>
      <c r="J169" s="10" t="s">
        <v>303</v>
      </c>
      <c r="K169" s="10" t="s">
        <v>93</v>
      </c>
      <c r="L169" s="9">
        <f t="shared" si="5"/>
        <v>26</v>
      </c>
      <c r="M169" s="9" t="s">
        <v>613</v>
      </c>
      <c r="N169" s="12">
        <v>105.94</v>
      </c>
      <c r="O169" s="14">
        <v>3.5000000000000003E-2</v>
      </c>
      <c r="P169" s="12">
        <v>3.71</v>
      </c>
      <c r="Q169" s="10" t="s">
        <v>597</v>
      </c>
    </row>
    <row r="170" spans="1:17" s="18" customFormat="1" x14ac:dyDescent="0.25">
      <c r="A170" s="15" t="s">
        <v>19</v>
      </c>
      <c r="B170" s="15" t="s">
        <v>58</v>
      </c>
      <c r="C170" s="15">
        <v>19645587</v>
      </c>
      <c r="D170" s="15" t="s">
        <v>467</v>
      </c>
      <c r="E170" s="15" t="s">
        <v>495</v>
      </c>
      <c r="F170" s="15" t="s">
        <v>494</v>
      </c>
      <c r="G170" s="15" t="s">
        <v>63</v>
      </c>
      <c r="H170" s="15" t="s">
        <v>263</v>
      </c>
      <c r="I170" s="15" t="s">
        <v>492</v>
      </c>
      <c r="J170" s="15" t="s">
        <v>342</v>
      </c>
      <c r="K170" s="15" t="s">
        <v>178</v>
      </c>
      <c r="L170" s="9">
        <f t="shared" si="5"/>
        <v>6</v>
      </c>
      <c r="M170" s="9" t="s">
        <v>614</v>
      </c>
      <c r="N170" s="16">
        <v>59.63</v>
      </c>
      <c r="O170" s="17">
        <v>0.56999999999999995</v>
      </c>
      <c r="P170" s="16">
        <v>33.99</v>
      </c>
      <c r="Q170" s="15" t="s">
        <v>590</v>
      </c>
    </row>
    <row r="171" spans="1:17" s="18" customFormat="1" x14ac:dyDescent="0.25">
      <c r="A171" s="15" t="s">
        <v>19</v>
      </c>
      <c r="B171" s="15" t="s">
        <v>58</v>
      </c>
      <c r="C171" s="15">
        <v>19645587</v>
      </c>
      <c r="D171" s="15" t="s">
        <v>467</v>
      </c>
      <c r="E171" s="15" t="s">
        <v>466</v>
      </c>
      <c r="F171" s="15" t="s">
        <v>465</v>
      </c>
      <c r="G171" s="15" t="s">
        <v>63</v>
      </c>
      <c r="H171" s="15" t="s">
        <v>263</v>
      </c>
      <c r="I171" s="15" t="s">
        <v>463</v>
      </c>
      <c r="J171" s="15" t="s">
        <v>342</v>
      </c>
      <c r="K171" s="15" t="s">
        <v>178</v>
      </c>
      <c r="L171" s="9">
        <f t="shared" si="5"/>
        <v>6</v>
      </c>
      <c r="M171" s="9" t="s">
        <v>614</v>
      </c>
      <c r="N171" s="16">
        <v>201.17</v>
      </c>
      <c r="O171" s="17">
        <v>0.56999999999999995</v>
      </c>
      <c r="P171" s="16">
        <v>114.67</v>
      </c>
      <c r="Q171" s="15" t="s">
        <v>590</v>
      </c>
    </row>
    <row r="172" spans="1:17" s="18" customFormat="1" x14ac:dyDescent="0.25">
      <c r="A172" s="15" t="s">
        <v>19</v>
      </c>
      <c r="B172" s="15" t="s">
        <v>58</v>
      </c>
      <c r="C172" s="15" t="s">
        <v>609</v>
      </c>
      <c r="D172" s="15" t="s">
        <v>467</v>
      </c>
      <c r="E172" s="15" t="s">
        <v>474</v>
      </c>
      <c r="F172" s="15" t="s">
        <v>473</v>
      </c>
      <c r="G172" s="15" t="s">
        <v>134</v>
      </c>
      <c r="H172" s="15" t="s">
        <v>263</v>
      </c>
      <c r="I172" s="15" t="s">
        <v>91</v>
      </c>
      <c r="J172" s="15" t="s">
        <v>105</v>
      </c>
      <c r="K172" s="15" t="s">
        <v>105</v>
      </c>
      <c r="L172" s="9">
        <f t="shared" si="5"/>
        <v>0</v>
      </c>
      <c r="M172" s="9" t="s">
        <v>615</v>
      </c>
      <c r="N172" s="16">
        <v>3.1</v>
      </c>
      <c r="O172" s="17">
        <v>0.6</v>
      </c>
      <c r="P172" s="16">
        <v>1.86</v>
      </c>
      <c r="Q172" s="15" t="s">
        <v>589</v>
      </c>
    </row>
    <row r="173" spans="1:17" s="18" customFormat="1" x14ac:dyDescent="0.25">
      <c r="A173" s="15" t="s">
        <v>19</v>
      </c>
      <c r="B173" s="15" t="s">
        <v>58</v>
      </c>
      <c r="C173" s="15" t="s">
        <v>609</v>
      </c>
      <c r="D173" s="15" t="s">
        <v>467</v>
      </c>
      <c r="E173" s="15" t="s">
        <v>474</v>
      </c>
      <c r="F173" s="15" t="s">
        <v>473</v>
      </c>
      <c r="G173" s="15" t="s">
        <v>134</v>
      </c>
      <c r="H173" s="15" t="s">
        <v>263</v>
      </c>
      <c r="I173" s="15" t="s">
        <v>91</v>
      </c>
      <c r="J173" s="15" t="s">
        <v>105</v>
      </c>
      <c r="K173" s="15" t="s">
        <v>105</v>
      </c>
      <c r="L173" s="9">
        <f t="shared" si="5"/>
        <v>0</v>
      </c>
      <c r="M173" s="9" t="s">
        <v>615</v>
      </c>
      <c r="N173" s="16">
        <v>13.01</v>
      </c>
      <c r="O173" s="17">
        <v>0.6</v>
      </c>
      <c r="P173" s="16">
        <v>7.81</v>
      </c>
      <c r="Q173" s="15" t="s">
        <v>589</v>
      </c>
    </row>
    <row r="174" spans="1:17" s="18" customFormat="1" x14ac:dyDescent="0.25">
      <c r="A174" s="15" t="s">
        <v>19</v>
      </c>
      <c r="B174" s="15" t="s">
        <v>58</v>
      </c>
      <c r="C174" s="15" t="s">
        <v>609</v>
      </c>
      <c r="D174" s="15" t="s">
        <v>467</v>
      </c>
      <c r="E174" s="15" t="s">
        <v>474</v>
      </c>
      <c r="F174" s="15" t="s">
        <v>473</v>
      </c>
      <c r="G174" s="15" t="s">
        <v>134</v>
      </c>
      <c r="H174" s="15" t="s">
        <v>263</v>
      </c>
      <c r="I174" s="15" t="s">
        <v>91</v>
      </c>
      <c r="J174" s="15" t="s">
        <v>105</v>
      </c>
      <c r="K174" s="15" t="s">
        <v>105</v>
      </c>
      <c r="L174" s="9">
        <f t="shared" si="5"/>
        <v>0</v>
      </c>
      <c r="M174" s="9" t="s">
        <v>615</v>
      </c>
      <c r="N174" s="16">
        <v>8.35</v>
      </c>
      <c r="O174" s="17">
        <v>0.6</v>
      </c>
      <c r="P174" s="16">
        <v>5.01</v>
      </c>
      <c r="Q174" s="15" t="s">
        <v>589</v>
      </c>
    </row>
    <row r="175" spans="1:17" s="18" customFormat="1" x14ac:dyDescent="0.25">
      <c r="A175" s="15" t="s">
        <v>19</v>
      </c>
      <c r="B175" s="15" t="s">
        <v>58</v>
      </c>
      <c r="C175" s="15" t="s">
        <v>609</v>
      </c>
      <c r="D175" s="15" t="s">
        <v>467</v>
      </c>
      <c r="E175" s="15" t="s">
        <v>474</v>
      </c>
      <c r="F175" s="15" t="s">
        <v>473</v>
      </c>
      <c r="G175" s="15" t="s">
        <v>134</v>
      </c>
      <c r="H175" s="15" t="s">
        <v>263</v>
      </c>
      <c r="I175" s="15" t="s">
        <v>91</v>
      </c>
      <c r="J175" s="15" t="s">
        <v>105</v>
      </c>
      <c r="K175" s="15" t="s">
        <v>105</v>
      </c>
      <c r="L175" s="9">
        <f t="shared" si="5"/>
        <v>0</v>
      </c>
      <c r="M175" s="9" t="s">
        <v>615</v>
      </c>
      <c r="N175" s="16">
        <v>23.85</v>
      </c>
      <c r="O175" s="17">
        <v>0.6</v>
      </c>
      <c r="P175" s="16">
        <v>14.31</v>
      </c>
      <c r="Q175" s="15" t="s">
        <v>589</v>
      </c>
    </row>
    <row r="176" spans="1:17" s="18" customFormat="1" x14ac:dyDescent="0.25">
      <c r="A176" s="15" t="s">
        <v>19</v>
      </c>
      <c r="B176" s="15" t="s">
        <v>58</v>
      </c>
      <c r="C176" s="15" t="s">
        <v>609</v>
      </c>
      <c r="D176" s="15" t="s">
        <v>467</v>
      </c>
      <c r="E176" s="15" t="s">
        <v>474</v>
      </c>
      <c r="F176" s="15" t="s">
        <v>473</v>
      </c>
      <c r="G176" s="15" t="s">
        <v>134</v>
      </c>
      <c r="H176" s="15" t="s">
        <v>263</v>
      </c>
      <c r="I176" s="15" t="s">
        <v>91</v>
      </c>
      <c r="J176" s="15" t="s">
        <v>105</v>
      </c>
      <c r="K176" s="15" t="s">
        <v>105</v>
      </c>
      <c r="L176" s="9">
        <f t="shared" si="5"/>
        <v>0</v>
      </c>
      <c r="M176" s="9" t="s">
        <v>615</v>
      </c>
      <c r="N176" s="16">
        <v>9.33</v>
      </c>
      <c r="O176" s="17">
        <v>0.6</v>
      </c>
      <c r="P176" s="16">
        <v>5.6</v>
      </c>
      <c r="Q176" s="15" t="s">
        <v>589</v>
      </c>
    </row>
    <row r="177" spans="1:17" s="18" customFormat="1" x14ac:dyDescent="0.25">
      <c r="A177" s="15" t="s">
        <v>19</v>
      </c>
      <c r="B177" s="15" t="s">
        <v>58</v>
      </c>
      <c r="C177" s="15">
        <v>17126004</v>
      </c>
      <c r="D177" s="15" t="s">
        <v>376</v>
      </c>
      <c r="E177" s="15" t="s">
        <v>375</v>
      </c>
      <c r="F177" s="15" t="s">
        <v>374</v>
      </c>
      <c r="G177" s="15" t="s">
        <v>63</v>
      </c>
      <c r="H177" s="15" t="s">
        <v>65</v>
      </c>
      <c r="I177" s="15" t="s">
        <v>282</v>
      </c>
      <c r="J177" s="15" t="s">
        <v>372</v>
      </c>
      <c r="K177" s="15" t="s">
        <v>178</v>
      </c>
      <c r="L177" s="9">
        <f t="shared" si="5"/>
        <v>1</v>
      </c>
      <c r="M177" s="9" t="s">
        <v>614</v>
      </c>
      <c r="N177" s="16">
        <v>59.16</v>
      </c>
      <c r="O177" s="17">
        <v>1.05</v>
      </c>
      <c r="P177" s="16">
        <v>62.12</v>
      </c>
      <c r="Q177" s="15" t="s">
        <v>593</v>
      </c>
    </row>
    <row r="178" spans="1:17" s="18" customFormat="1" x14ac:dyDescent="0.25">
      <c r="A178" s="15" t="s">
        <v>18</v>
      </c>
      <c r="B178" s="15" t="s">
        <v>58</v>
      </c>
      <c r="C178" s="15">
        <v>16202925</v>
      </c>
      <c r="D178" s="15" t="s">
        <v>109</v>
      </c>
      <c r="E178" s="15" t="s">
        <v>582</v>
      </c>
      <c r="F178" s="15" t="s">
        <v>581</v>
      </c>
      <c r="G178" s="15" t="s">
        <v>63</v>
      </c>
      <c r="H178" s="15" t="s">
        <v>78</v>
      </c>
      <c r="I178" s="15" t="s">
        <v>271</v>
      </c>
      <c r="J178" s="15" t="s">
        <v>579</v>
      </c>
      <c r="K178" s="15" t="s">
        <v>105</v>
      </c>
      <c r="L178" s="9">
        <f t="shared" si="5"/>
        <v>5</v>
      </c>
      <c r="M178" s="9" t="s">
        <v>614</v>
      </c>
      <c r="N178" s="16">
        <v>181.68</v>
      </c>
      <c r="O178" s="17">
        <v>0.26</v>
      </c>
      <c r="P178" s="16">
        <v>47.24</v>
      </c>
      <c r="Q178" s="15" t="s">
        <v>601</v>
      </c>
    </row>
    <row r="179" spans="1:17" s="18" customFormat="1" x14ac:dyDescent="0.25">
      <c r="A179" s="15" t="s">
        <v>18</v>
      </c>
      <c r="B179" s="15" t="s">
        <v>58</v>
      </c>
      <c r="C179" s="15">
        <v>16202925</v>
      </c>
      <c r="D179" s="15" t="s">
        <v>109</v>
      </c>
      <c r="E179" s="15" t="s">
        <v>568</v>
      </c>
      <c r="F179" s="15" t="s">
        <v>567</v>
      </c>
      <c r="G179" s="15" t="s">
        <v>63</v>
      </c>
      <c r="H179" s="15" t="s">
        <v>78</v>
      </c>
      <c r="I179" s="15" t="s">
        <v>289</v>
      </c>
      <c r="J179" s="15" t="s">
        <v>372</v>
      </c>
      <c r="K179" s="15" t="s">
        <v>178</v>
      </c>
      <c r="L179" s="9">
        <f t="shared" si="5"/>
        <v>1</v>
      </c>
      <c r="M179" s="9" t="s">
        <v>614</v>
      </c>
      <c r="N179" s="16">
        <v>150.13</v>
      </c>
      <c r="O179" s="17">
        <v>0.31</v>
      </c>
      <c r="P179" s="16">
        <v>46.54</v>
      </c>
      <c r="Q179" s="15" t="s">
        <v>594</v>
      </c>
    </row>
    <row r="180" spans="1:17" s="18" customFormat="1" x14ac:dyDescent="0.25">
      <c r="A180" s="15" t="s">
        <v>19</v>
      </c>
      <c r="B180" s="15" t="s">
        <v>96</v>
      </c>
      <c r="C180" s="15">
        <v>16202925</v>
      </c>
      <c r="D180" s="15" t="s">
        <v>109</v>
      </c>
      <c r="E180" s="15" t="s">
        <v>110</v>
      </c>
      <c r="F180" s="15" t="s">
        <v>111</v>
      </c>
      <c r="G180" s="15" t="s">
        <v>63</v>
      </c>
      <c r="H180" s="15" t="s">
        <v>78</v>
      </c>
      <c r="I180" s="15" t="s">
        <v>79</v>
      </c>
      <c r="J180" s="15" t="s">
        <v>113</v>
      </c>
      <c r="K180" s="15" t="s">
        <v>114</v>
      </c>
      <c r="L180" s="9">
        <f t="shared" si="5"/>
        <v>12</v>
      </c>
      <c r="M180" s="9" t="s">
        <v>613</v>
      </c>
      <c r="N180" s="16">
        <v>-27.63</v>
      </c>
      <c r="O180" s="17">
        <v>0.56999999999999995</v>
      </c>
      <c r="P180" s="16">
        <v>-15.75</v>
      </c>
      <c r="Q180" s="15" t="s">
        <v>590</v>
      </c>
    </row>
    <row r="181" spans="1:17" s="18" customFormat="1" x14ac:dyDescent="0.25">
      <c r="A181" s="15" t="s">
        <v>19</v>
      </c>
      <c r="B181" s="15" t="s">
        <v>58</v>
      </c>
      <c r="C181" s="15">
        <v>16202925</v>
      </c>
      <c r="D181" s="15" t="s">
        <v>109</v>
      </c>
      <c r="E181" s="15" t="s">
        <v>305</v>
      </c>
      <c r="F181" s="15" t="s">
        <v>306</v>
      </c>
      <c r="G181" s="15" t="s">
        <v>63</v>
      </c>
      <c r="H181" s="15" t="s">
        <v>78</v>
      </c>
      <c r="I181" s="15" t="s">
        <v>184</v>
      </c>
      <c r="J181" s="15" t="s">
        <v>308</v>
      </c>
      <c r="K181" s="15" t="s">
        <v>67</v>
      </c>
      <c r="L181" s="9">
        <f t="shared" si="5"/>
        <v>11</v>
      </c>
      <c r="M181" s="9" t="s">
        <v>613</v>
      </c>
      <c r="N181" s="16">
        <v>37.4</v>
      </c>
      <c r="O181" s="17">
        <v>0.57999999999999996</v>
      </c>
      <c r="P181" s="16">
        <v>21.69</v>
      </c>
      <c r="Q181" s="15" t="s">
        <v>592</v>
      </c>
    </row>
    <row r="182" spans="1:17" s="18" customFormat="1" x14ac:dyDescent="0.25">
      <c r="A182" s="15" t="s">
        <v>19</v>
      </c>
      <c r="B182" s="15" t="s">
        <v>58</v>
      </c>
      <c r="C182" s="15" t="s">
        <v>610</v>
      </c>
      <c r="D182" s="15" t="s">
        <v>109</v>
      </c>
      <c r="E182" s="15" t="s">
        <v>558</v>
      </c>
      <c r="F182" s="15" t="s">
        <v>557</v>
      </c>
      <c r="G182" s="15" t="s">
        <v>134</v>
      </c>
      <c r="H182" s="15" t="s">
        <v>78</v>
      </c>
      <c r="I182" s="15" t="s">
        <v>79</v>
      </c>
      <c r="J182" s="15" t="s">
        <v>135</v>
      </c>
      <c r="K182" s="15" t="s">
        <v>135</v>
      </c>
      <c r="L182" s="9">
        <f t="shared" si="5"/>
        <v>0</v>
      </c>
      <c r="M182" s="9" t="s">
        <v>615</v>
      </c>
      <c r="N182" s="16">
        <v>27.63</v>
      </c>
      <c r="O182" s="17">
        <v>0.57999999999999996</v>
      </c>
      <c r="P182" s="16">
        <v>16.03</v>
      </c>
      <c r="Q182" s="15" t="s">
        <v>592</v>
      </c>
    </row>
    <row r="183" spans="1:17" s="18" customFormat="1" x14ac:dyDescent="0.25">
      <c r="A183" s="15" t="s">
        <v>19</v>
      </c>
      <c r="B183" s="15" t="s">
        <v>58</v>
      </c>
      <c r="C183" s="15">
        <v>16202925</v>
      </c>
      <c r="D183" s="15" t="s">
        <v>109</v>
      </c>
      <c r="E183" s="15" t="s">
        <v>252</v>
      </c>
      <c r="F183" s="15" t="s">
        <v>257</v>
      </c>
      <c r="G183" s="15" t="s">
        <v>145</v>
      </c>
      <c r="H183" s="15" t="s">
        <v>78</v>
      </c>
      <c r="I183" s="15" t="s">
        <v>258</v>
      </c>
      <c r="J183" s="15" t="s">
        <v>255</v>
      </c>
      <c r="K183" s="15" t="s">
        <v>93</v>
      </c>
      <c r="L183" s="9">
        <f t="shared" si="5"/>
        <v>20</v>
      </c>
      <c r="M183" s="9" t="s">
        <v>613</v>
      </c>
      <c r="N183" s="16">
        <v>51.03</v>
      </c>
      <c r="O183" s="17">
        <v>3.5000000000000003E-2</v>
      </c>
      <c r="P183" s="16">
        <v>1.79</v>
      </c>
      <c r="Q183" s="15" t="s">
        <v>591</v>
      </c>
    </row>
    <row r="184" spans="1:17" s="18" customFormat="1" x14ac:dyDescent="0.25">
      <c r="A184" s="15" t="s">
        <v>19</v>
      </c>
      <c r="B184" s="15" t="s">
        <v>58</v>
      </c>
      <c r="C184" s="15">
        <v>16202925</v>
      </c>
      <c r="D184" s="15" t="s">
        <v>109</v>
      </c>
      <c r="E184" s="15" t="s">
        <v>252</v>
      </c>
      <c r="F184" s="15" t="s">
        <v>253</v>
      </c>
      <c r="G184" s="15" t="s">
        <v>145</v>
      </c>
      <c r="H184" s="15" t="s">
        <v>78</v>
      </c>
      <c r="I184" s="15" t="s">
        <v>184</v>
      </c>
      <c r="J184" s="15" t="s">
        <v>255</v>
      </c>
      <c r="K184" s="15" t="s">
        <v>93</v>
      </c>
      <c r="L184" s="9">
        <f t="shared" si="5"/>
        <v>20</v>
      </c>
      <c r="M184" s="9" t="s">
        <v>613</v>
      </c>
      <c r="N184" s="16">
        <v>4.17</v>
      </c>
      <c r="O184" s="17">
        <v>0.11</v>
      </c>
      <c r="P184" s="16">
        <v>0.46</v>
      </c>
      <c r="Q184" s="15" t="s">
        <v>599</v>
      </c>
    </row>
    <row r="185" spans="1:17" s="18" customFormat="1" x14ac:dyDescent="0.25">
      <c r="A185" s="15" t="s">
        <v>19</v>
      </c>
      <c r="B185" s="15" t="s">
        <v>58</v>
      </c>
      <c r="C185" s="15">
        <v>16202925</v>
      </c>
      <c r="D185" s="15" t="s">
        <v>109</v>
      </c>
      <c r="E185" s="15" t="s">
        <v>252</v>
      </c>
      <c r="F185" s="15" t="s">
        <v>253</v>
      </c>
      <c r="G185" s="15" t="s">
        <v>145</v>
      </c>
      <c r="H185" s="15" t="s">
        <v>78</v>
      </c>
      <c r="I185" s="15" t="s">
        <v>184</v>
      </c>
      <c r="J185" s="15" t="s">
        <v>255</v>
      </c>
      <c r="K185" s="15" t="s">
        <v>93</v>
      </c>
      <c r="L185" s="9">
        <f t="shared" si="5"/>
        <v>20</v>
      </c>
      <c r="M185" s="9" t="s">
        <v>613</v>
      </c>
      <c r="N185" s="16">
        <v>6.87</v>
      </c>
      <c r="O185" s="17">
        <v>0.11</v>
      </c>
      <c r="P185" s="16">
        <v>0.76</v>
      </c>
      <c r="Q185" s="15" t="s">
        <v>599</v>
      </c>
    </row>
    <row r="186" spans="1:17" s="18" customFormat="1" x14ac:dyDescent="0.25">
      <c r="A186" s="15" t="s">
        <v>19</v>
      </c>
      <c r="B186" s="15" t="s">
        <v>58</v>
      </c>
      <c r="C186" s="15">
        <v>16202925</v>
      </c>
      <c r="D186" s="15" t="s">
        <v>109</v>
      </c>
      <c r="E186" s="15" t="s">
        <v>252</v>
      </c>
      <c r="F186" s="15" t="s">
        <v>253</v>
      </c>
      <c r="G186" s="15" t="s">
        <v>145</v>
      </c>
      <c r="H186" s="15" t="s">
        <v>78</v>
      </c>
      <c r="I186" s="15" t="s">
        <v>184</v>
      </c>
      <c r="J186" s="15" t="s">
        <v>255</v>
      </c>
      <c r="K186" s="15" t="s">
        <v>93</v>
      </c>
      <c r="L186" s="9">
        <f t="shared" si="5"/>
        <v>20</v>
      </c>
      <c r="M186" s="9" t="s">
        <v>613</v>
      </c>
      <c r="N186" s="16">
        <v>56.8</v>
      </c>
      <c r="O186" s="17">
        <v>0.11</v>
      </c>
      <c r="P186" s="16">
        <v>6.25</v>
      </c>
      <c r="Q186" s="15" t="s">
        <v>599</v>
      </c>
    </row>
    <row r="187" spans="1:17" x14ac:dyDescent="0.25">
      <c r="A187" s="10" t="s">
        <v>19</v>
      </c>
      <c r="B187" s="10" t="s">
        <v>58</v>
      </c>
      <c r="C187" s="10">
        <v>18010408</v>
      </c>
      <c r="D187" s="10" t="s">
        <v>224</v>
      </c>
      <c r="E187" s="10" t="s">
        <v>225</v>
      </c>
      <c r="F187" s="10" t="s">
        <v>226</v>
      </c>
      <c r="G187" s="10" t="s">
        <v>63</v>
      </c>
      <c r="H187" s="10" t="s">
        <v>197</v>
      </c>
      <c r="I187" s="10" t="s">
        <v>228</v>
      </c>
      <c r="J187" s="10" t="s">
        <v>229</v>
      </c>
      <c r="K187" s="10" t="s">
        <v>178</v>
      </c>
      <c r="L187" s="9">
        <f t="shared" si="5"/>
        <v>5</v>
      </c>
      <c r="M187" s="9" t="s">
        <v>613</v>
      </c>
      <c r="N187" s="12">
        <v>64.77</v>
      </c>
      <c r="O187" s="14">
        <v>0.56999999999999995</v>
      </c>
      <c r="P187" s="12">
        <v>36.92</v>
      </c>
      <c r="Q187" s="10" t="s">
        <v>590</v>
      </c>
    </row>
    <row r="188" spans="1:17" x14ac:dyDescent="0.25">
      <c r="A188" s="10" t="s">
        <v>19</v>
      </c>
      <c r="B188" s="10" t="s">
        <v>96</v>
      </c>
      <c r="C188" s="10">
        <v>18010408</v>
      </c>
      <c r="D188" s="10" t="s">
        <v>224</v>
      </c>
      <c r="E188" s="10" t="s">
        <v>225</v>
      </c>
      <c r="F188" s="10" t="s">
        <v>226</v>
      </c>
      <c r="G188" s="10" t="s">
        <v>63</v>
      </c>
      <c r="H188" s="10" t="s">
        <v>197</v>
      </c>
      <c r="I188" s="10" t="s">
        <v>228</v>
      </c>
      <c r="J188" s="10" t="s">
        <v>229</v>
      </c>
      <c r="K188" s="10" t="s">
        <v>105</v>
      </c>
      <c r="L188" s="9">
        <f t="shared" si="5"/>
        <v>6</v>
      </c>
      <c r="M188" s="9" t="s">
        <v>613</v>
      </c>
      <c r="N188" s="12">
        <v>-64.77</v>
      </c>
      <c r="O188" s="14">
        <v>0.56999999999999995</v>
      </c>
      <c r="P188" s="12">
        <v>-36.92</v>
      </c>
      <c r="Q188" s="10" t="s">
        <v>590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C61C-B1C8-43B0-B007-9ED185CE270E}">
  <dimension ref="A1:B187"/>
  <sheetViews>
    <sheetView topLeftCell="A153" workbookViewId="0">
      <selection activeCell="B1" sqref="B1:B187"/>
    </sheetView>
  </sheetViews>
  <sheetFormatPr defaultRowHeight="15" x14ac:dyDescent="0.25"/>
  <cols>
    <col min="1" max="1" width="23.28515625" bestFit="1" customWidth="1"/>
    <col min="2" max="2" width="36.28515625" bestFit="1" customWidth="1"/>
  </cols>
  <sheetData>
    <row r="1" spans="1:2" x14ac:dyDescent="0.25">
      <c r="A1" t="s">
        <v>128</v>
      </c>
      <c r="B1" cm="1">
        <f t="array" ref="B1:B187">VLOOKUP(A1:A187,[1]Sheet2!$A$1:$B$163,2,FALSE)</f>
        <v>9079571</v>
      </c>
    </row>
    <row r="2" spans="1:2" x14ac:dyDescent="0.25">
      <c r="A2" t="s">
        <v>128</v>
      </c>
      <c r="B2">
        <v>9079571</v>
      </c>
    </row>
    <row r="3" spans="1:2" x14ac:dyDescent="0.25">
      <c r="A3" t="s">
        <v>128</v>
      </c>
      <c r="B3">
        <v>9079571</v>
      </c>
    </row>
    <row r="4" spans="1:2" x14ac:dyDescent="0.25">
      <c r="A4" t="s">
        <v>128</v>
      </c>
      <c r="B4">
        <v>9079571</v>
      </c>
    </row>
    <row r="5" spans="1:2" x14ac:dyDescent="0.25">
      <c r="A5" t="s">
        <v>128</v>
      </c>
      <c r="B5">
        <v>9079571</v>
      </c>
    </row>
    <row r="6" spans="1:2" x14ac:dyDescent="0.25">
      <c r="A6" t="s">
        <v>128</v>
      </c>
      <c r="B6">
        <v>9079571</v>
      </c>
    </row>
    <row r="7" spans="1:2" x14ac:dyDescent="0.25">
      <c r="A7" t="s">
        <v>128</v>
      </c>
      <c r="B7">
        <v>9079571</v>
      </c>
    </row>
    <row r="8" spans="1:2" x14ac:dyDescent="0.25">
      <c r="A8" t="s">
        <v>128</v>
      </c>
      <c r="B8">
        <v>9079571</v>
      </c>
    </row>
    <row r="9" spans="1:2" x14ac:dyDescent="0.25">
      <c r="A9" t="s">
        <v>285</v>
      </c>
      <c r="B9">
        <v>19278370</v>
      </c>
    </row>
    <row r="10" spans="1:2" x14ac:dyDescent="0.25">
      <c r="A10" t="s">
        <v>388</v>
      </c>
      <c r="B10">
        <v>19586992</v>
      </c>
    </row>
    <row r="11" spans="1:2" x14ac:dyDescent="0.25">
      <c r="A11" s="19" t="s">
        <v>604</v>
      </c>
      <c r="B11">
        <v>7387433</v>
      </c>
    </row>
    <row r="12" spans="1:2" x14ac:dyDescent="0.25">
      <c r="A12" t="s">
        <v>480</v>
      </c>
      <c r="B12">
        <v>17195620</v>
      </c>
    </row>
    <row r="13" spans="1:2" x14ac:dyDescent="0.25">
      <c r="A13" t="s">
        <v>427</v>
      </c>
      <c r="B13">
        <v>20003537</v>
      </c>
    </row>
    <row r="14" spans="1:2" x14ac:dyDescent="0.25">
      <c r="A14" t="s">
        <v>427</v>
      </c>
      <c r="B14">
        <v>20003537</v>
      </c>
    </row>
    <row r="15" spans="1:2" x14ac:dyDescent="0.25">
      <c r="A15" t="s">
        <v>427</v>
      </c>
      <c r="B15">
        <v>20003537</v>
      </c>
    </row>
    <row r="16" spans="1:2" x14ac:dyDescent="0.25">
      <c r="A16" t="s">
        <v>427</v>
      </c>
      <c r="B16">
        <v>20003537</v>
      </c>
    </row>
    <row r="17" spans="1:2" x14ac:dyDescent="0.25">
      <c r="A17" t="s">
        <v>202</v>
      </c>
      <c r="B17">
        <v>19681796</v>
      </c>
    </row>
    <row r="18" spans="1:2" x14ac:dyDescent="0.25">
      <c r="A18" t="s">
        <v>202</v>
      </c>
      <c r="B18">
        <v>19681796</v>
      </c>
    </row>
    <row r="19" spans="1:2" x14ac:dyDescent="0.25">
      <c r="A19" t="s">
        <v>202</v>
      </c>
      <c r="B19">
        <v>19681796</v>
      </c>
    </row>
    <row r="20" spans="1:2" x14ac:dyDescent="0.25">
      <c r="A20" t="s">
        <v>202</v>
      </c>
      <c r="B20">
        <v>19681796</v>
      </c>
    </row>
    <row r="21" spans="1:2" x14ac:dyDescent="0.25">
      <c r="A21" t="s">
        <v>410</v>
      </c>
      <c r="B21">
        <v>8325282</v>
      </c>
    </row>
    <row r="22" spans="1:2" x14ac:dyDescent="0.25">
      <c r="A22" t="s">
        <v>410</v>
      </c>
      <c r="B22">
        <v>8325282</v>
      </c>
    </row>
    <row r="23" spans="1:2" x14ac:dyDescent="0.25">
      <c r="A23" t="s">
        <v>267</v>
      </c>
      <c r="B23">
        <v>17528908</v>
      </c>
    </row>
    <row r="24" spans="1:2" x14ac:dyDescent="0.25">
      <c r="A24" t="s">
        <v>267</v>
      </c>
      <c r="B24">
        <v>17528908</v>
      </c>
    </row>
    <row r="25" spans="1:2" x14ac:dyDescent="0.25">
      <c r="A25" t="s">
        <v>267</v>
      </c>
      <c r="B25">
        <v>17528908</v>
      </c>
    </row>
    <row r="26" spans="1:2" x14ac:dyDescent="0.25">
      <c r="A26" t="s">
        <v>267</v>
      </c>
      <c r="B26">
        <v>17528908</v>
      </c>
    </row>
    <row r="27" spans="1:2" x14ac:dyDescent="0.25">
      <c r="A27" t="s">
        <v>267</v>
      </c>
      <c r="B27">
        <v>17528908</v>
      </c>
    </row>
    <row r="28" spans="1:2" x14ac:dyDescent="0.25">
      <c r="A28" t="s">
        <v>267</v>
      </c>
      <c r="B28">
        <v>17528908</v>
      </c>
    </row>
    <row r="29" spans="1:2" x14ac:dyDescent="0.25">
      <c r="A29" t="s">
        <v>267</v>
      </c>
      <c r="B29">
        <v>17528908</v>
      </c>
    </row>
    <row r="30" spans="1:2" x14ac:dyDescent="0.25">
      <c r="A30" t="s">
        <v>267</v>
      </c>
      <c r="B30">
        <v>17528908</v>
      </c>
    </row>
    <row r="31" spans="1:2" x14ac:dyDescent="0.25">
      <c r="A31" t="s">
        <v>267</v>
      </c>
      <c r="B31">
        <v>17528908</v>
      </c>
    </row>
    <row r="32" spans="1:2" x14ac:dyDescent="0.25">
      <c r="A32" t="s">
        <v>267</v>
      </c>
      <c r="B32">
        <v>17528908</v>
      </c>
    </row>
    <row r="33" spans="1:2" x14ac:dyDescent="0.25">
      <c r="A33" t="s">
        <v>267</v>
      </c>
      <c r="B33">
        <v>17528908</v>
      </c>
    </row>
    <row r="34" spans="1:2" x14ac:dyDescent="0.25">
      <c r="A34" t="s">
        <v>267</v>
      </c>
      <c r="B34">
        <v>17528908</v>
      </c>
    </row>
    <row r="35" spans="1:2" x14ac:dyDescent="0.25">
      <c r="A35" t="s">
        <v>267</v>
      </c>
      <c r="B35">
        <v>17528908</v>
      </c>
    </row>
    <row r="36" spans="1:2" x14ac:dyDescent="0.25">
      <c r="A36" t="s">
        <v>267</v>
      </c>
      <c r="B36">
        <v>17528908</v>
      </c>
    </row>
    <row r="37" spans="1:2" x14ac:dyDescent="0.25">
      <c r="A37" t="s">
        <v>267</v>
      </c>
      <c r="B37">
        <v>17528908</v>
      </c>
    </row>
    <row r="38" spans="1:2" x14ac:dyDescent="0.25">
      <c r="A38" t="s">
        <v>117</v>
      </c>
      <c r="B38">
        <v>8814784</v>
      </c>
    </row>
    <row r="39" spans="1:2" x14ac:dyDescent="0.25">
      <c r="A39" t="s">
        <v>117</v>
      </c>
      <c r="B39">
        <v>8814784</v>
      </c>
    </row>
    <row r="40" spans="1:2" x14ac:dyDescent="0.25">
      <c r="A40" t="s">
        <v>117</v>
      </c>
      <c r="B40">
        <v>8814784</v>
      </c>
    </row>
    <row r="41" spans="1:2" x14ac:dyDescent="0.25">
      <c r="A41" t="s">
        <v>117</v>
      </c>
      <c r="B41">
        <v>8814784</v>
      </c>
    </row>
    <row r="42" spans="1:2" x14ac:dyDescent="0.25">
      <c r="A42" t="s">
        <v>60</v>
      </c>
      <c r="B42">
        <v>9213293</v>
      </c>
    </row>
    <row r="43" spans="1:2" x14ac:dyDescent="0.25">
      <c r="A43" t="s">
        <v>60</v>
      </c>
      <c r="B43">
        <v>9213293</v>
      </c>
    </row>
    <row r="44" spans="1:2" x14ac:dyDescent="0.25">
      <c r="A44" t="s">
        <v>60</v>
      </c>
      <c r="B44">
        <v>9213293</v>
      </c>
    </row>
    <row r="45" spans="1:2" x14ac:dyDescent="0.25">
      <c r="A45" t="s">
        <v>60</v>
      </c>
      <c r="B45">
        <v>9213293</v>
      </c>
    </row>
    <row r="46" spans="1:2" x14ac:dyDescent="0.25">
      <c r="A46" t="s">
        <v>60</v>
      </c>
      <c r="B46">
        <v>9213293</v>
      </c>
    </row>
    <row r="47" spans="1:2" x14ac:dyDescent="0.25">
      <c r="A47" t="s">
        <v>60</v>
      </c>
      <c r="B47">
        <v>9213293</v>
      </c>
    </row>
    <row r="48" spans="1:2" x14ac:dyDescent="0.25">
      <c r="A48" t="s">
        <v>60</v>
      </c>
      <c r="B48">
        <v>9213293</v>
      </c>
    </row>
    <row r="49" spans="1:2" x14ac:dyDescent="0.25">
      <c r="A49" t="s">
        <v>60</v>
      </c>
      <c r="B49">
        <v>9213293</v>
      </c>
    </row>
    <row r="50" spans="1:2" x14ac:dyDescent="0.25">
      <c r="A50" t="s">
        <v>60</v>
      </c>
      <c r="B50">
        <v>9213293</v>
      </c>
    </row>
    <row r="51" spans="1:2" x14ac:dyDescent="0.25">
      <c r="A51" t="s">
        <v>60</v>
      </c>
      <c r="B51">
        <v>9213293</v>
      </c>
    </row>
    <row r="52" spans="1:2" x14ac:dyDescent="0.25">
      <c r="A52" t="s">
        <v>60</v>
      </c>
      <c r="B52">
        <v>9213293</v>
      </c>
    </row>
    <row r="53" spans="1:2" x14ac:dyDescent="0.25">
      <c r="A53" t="s">
        <v>60</v>
      </c>
      <c r="B53">
        <v>9213293</v>
      </c>
    </row>
    <row r="54" spans="1:2" x14ac:dyDescent="0.25">
      <c r="A54" t="s">
        <v>60</v>
      </c>
      <c r="B54">
        <v>9213293</v>
      </c>
    </row>
    <row r="55" spans="1:2" x14ac:dyDescent="0.25">
      <c r="A55" t="s">
        <v>60</v>
      </c>
      <c r="B55">
        <v>9213293</v>
      </c>
    </row>
    <row r="56" spans="1:2" x14ac:dyDescent="0.25">
      <c r="A56" t="s">
        <v>60</v>
      </c>
      <c r="B56">
        <v>9213293</v>
      </c>
    </row>
    <row r="57" spans="1:2" x14ac:dyDescent="0.25">
      <c r="A57" t="s">
        <v>60</v>
      </c>
      <c r="B57">
        <v>9213293</v>
      </c>
    </row>
    <row r="58" spans="1:2" x14ac:dyDescent="0.25">
      <c r="A58" t="s">
        <v>60</v>
      </c>
      <c r="B58">
        <v>9213293</v>
      </c>
    </row>
    <row r="59" spans="1:2" x14ac:dyDescent="0.25">
      <c r="A59" t="s">
        <v>60</v>
      </c>
      <c r="B59">
        <v>9213293</v>
      </c>
    </row>
    <row r="60" spans="1:2" x14ac:dyDescent="0.25">
      <c r="A60" t="s">
        <v>60</v>
      </c>
      <c r="B60">
        <v>9213293</v>
      </c>
    </row>
    <row r="61" spans="1:2" x14ac:dyDescent="0.25">
      <c r="A61" t="s">
        <v>60</v>
      </c>
      <c r="B61">
        <v>9213293</v>
      </c>
    </row>
    <row r="62" spans="1:2" x14ac:dyDescent="0.25">
      <c r="A62" t="s">
        <v>98</v>
      </c>
      <c r="B62">
        <v>16865615</v>
      </c>
    </row>
    <row r="63" spans="1:2" x14ac:dyDescent="0.25">
      <c r="A63" t="s">
        <v>98</v>
      </c>
      <c r="B63">
        <v>16865615</v>
      </c>
    </row>
    <row r="64" spans="1:2" x14ac:dyDescent="0.25">
      <c r="A64" t="s">
        <v>98</v>
      </c>
      <c r="B64">
        <v>16865615</v>
      </c>
    </row>
    <row r="65" spans="1:2" x14ac:dyDescent="0.25">
      <c r="A65" t="s">
        <v>166</v>
      </c>
      <c r="B65">
        <v>18754354</v>
      </c>
    </row>
    <row r="66" spans="1:2" x14ac:dyDescent="0.25">
      <c r="A66" t="s">
        <v>208</v>
      </c>
      <c r="B66">
        <v>1706194</v>
      </c>
    </row>
    <row r="67" spans="1:2" x14ac:dyDescent="0.25">
      <c r="A67" t="s">
        <v>505</v>
      </c>
      <c r="B67">
        <v>8244481</v>
      </c>
    </row>
    <row r="68" spans="1:2" x14ac:dyDescent="0.25">
      <c r="A68" t="s">
        <v>505</v>
      </c>
      <c r="B68">
        <v>8244481</v>
      </c>
    </row>
    <row r="69" spans="1:2" x14ac:dyDescent="0.25">
      <c r="A69" t="s">
        <v>383</v>
      </c>
      <c r="B69">
        <v>16509456</v>
      </c>
    </row>
    <row r="70" spans="1:2" x14ac:dyDescent="0.25">
      <c r="A70" t="s">
        <v>162</v>
      </c>
      <c r="B70">
        <v>19200754</v>
      </c>
    </row>
    <row r="71" spans="1:2" x14ac:dyDescent="0.25">
      <c r="A71" t="s">
        <v>162</v>
      </c>
      <c r="B71">
        <v>19200754</v>
      </c>
    </row>
    <row r="72" spans="1:2" x14ac:dyDescent="0.25">
      <c r="A72" t="s">
        <v>162</v>
      </c>
      <c r="B72">
        <v>19200754</v>
      </c>
    </row>
    <row r="73" spans="1:2" x14ac:dyDescent="0.25">
      <c r="A73" t="s">
        <v>162</v>
      </c>
      <c r="B73">
        <v>19200754</v>
      </c>
    </row>
    <row r="74" spans="1:2" x14ac:dyDescent="0.25">
      <c r="A74" t="s">
        <v>162</v>
      </c>
      <c r="B74">
        <v>19200754</v>
      </c>
    </row>
    <row r="75" spans="1:2" x14ac:dyDescent="0.25">
      <c r="A75" t="s">
        <v>162</v>
      </c>
      <c r="B75">
        <v>19200754</v>
      </c>
    </row>
    <row r="76" spans="1:2" x14ac:dyDescent="0.25">
      <c r="A76" t="s">
        <v>162</v>
      </c>
      <c r="B76">
        <v>19200754</v>
      </c>
    </row>
    <row r="77" spans="1:2" x14ac:dyDescent="0.25">
      <c r="A77" t="s">
        <v>74</v>
      </c>
      <c r="B77">
        <v>5442438</v>
      </c>
    </row>
    <row r="78" spans="1:2" x14ac:dyDescent="0.25">
      <c r="A78" t="s">
        <v>74</v>
      </c>
      <c r="B78">
        <v>5442438</v>
      </c>
    </row>
    <row r="79" spans="1:2" x14ac:dyDescent="0.25">
      <c r="A79" t="s">
        <v>74</v>
      </c>
      <c r="B79">
        <v>5442438</v>
      </c>
    </row>
    <row r="80" spans="1:2" x14ac:dyDescent="0.25">
      <c r="A80" t="s">
        <v>74</v>
      </c>
      <c r="B80">
        <v>5442438</v>
      </c>
    </row>
    <row r="81" spans="1:2" x14ac:dyDescent="0.25">
      <c r="A81" t="s">
        <v>74</v>
      </c>
      <c r="B81">
        <v>5442438</v>
      </c>
    </row>
    <row r="82" spans="1:2" x14ac:dyDescent="0.25">
      <c r="A82" t="s">
        <v>74</v>
      </c>
      <c r="B82">
        <v>5442438</v>
      </c>
    </row>
    <row r="83" spans="1:2" x14ac:dyDescent="0.25">
      <c r="A83" t="s">
        <v>74</v>
      </c>
      <c r="B83">
        <v>5442438</v>
      </c>
    </row>
    <row r="84" spans="1:2" x14ac:dyDescent="0.25">
      <c r="A84" t="s">
        <v>74</v>
      </c>
      <c r="B84">
        <v>5442438</v>
      </c>
    </row>
    <row r="85" spans="1:2" x14ac:dyDescent="0.25">
      <c r="A85" t="s">
        <v>74</v>
      </c>
      <c r="B85">
        <v>5442438</v>
      </c>
    </row>
    <row r="86" spans="1:2" x14ac:dyDescent="0.25">
      <c r="A86" t="s">
        <v>74</v>
      </c>
      <c r="B86">
        <v>5442438</v>
      </c>
    </row>
    <row r="87" spans="1:2" x14ac:dyDescent="0.25">
      <c r="A87" t="s">
        <v>74</v>
      </c>
      <c r="B87">
        <v>5442438</v>
      </c>
    </row>
    <row r="88" spans="1:2" x14ac:dyDescent="0.25">
      <c r="A88" t="s">
        <v>74</v>
      </c>
      <c r="B88">
        <v>5442438</v>
      </c>
    </row>
    <row r="89" spans="1:2" x14ac:dyDescent="0.25">
      <c r="A89" t="s">
        <v>74</v>
      </c>
      <c r="B89">
        <v>5442438</v>
      </c>
    </row>
    <row r="90" spans="1:2" x14ac:dyDescent="0.25">
      <c r="A90" t="s">
        <v>74</v>
      </c>
      <c r="B90">
        <v>5442438</v>
      </c>
    </row>
    <row r="91" spans="1:2" x14ac:dyDescent="0.25">
      <c r="A91" t="s">
        <v>74</v>
      </c>
      <c r="B91">
        <v>5442438</v>
      </c>
    </row>
    <row r="92" spans="1:2" x14ac:dyDescent="0.25">
      <c r="A92" t="s">
        <v>74</v>
      </c>
      <c r="B92">
        <v>5442438</v>
      </c>
    </row>
    <row r="93" spans="1:2" x14ac:dyDescent="0.25">
      <c r="A93" t="s">
        <v>74</v>
      </c>
      <c r="B93">
        <v>5442438</v>
      </c>
    </row>
    <row r="94" spans="1:2" x14ac:dyDescent="0.25">
      <c r="A94" t="s">
        <v>149</v>
      </c>
      <c r="B94">
        <v>8977234</v>
      </c>
    </row>
    <row r="95" spans="1:2" x14ac:dyDescent="0.25">
      <c r="A95" t="s">
        <v>467</v>
      </c>
      <c r="B95">
        <v>19645587</v>
      </c>
    </row>
    <row r="96" spans="1:2" x14ac:dyDescent="0.25">
      <c r="A96" t="s">
        <v>467</v>
      </c>
      <c r="B96">
        <v>19645587</v>
      </c>
    </row>
    <row r="97" spans="1:2" x14ac:dyDescent="0.25">
      <c r="A97" t="s">
        <v>376</v>
      </c>
      <c r="B97">
        <v>17126004</v>
      </c>
    </row>
    <row r="98" spans="1:2" x14ac:dyDescent="0.25">
      <c r="A98" t="s">
        <v>109</v>
      </c>
      <c r="B98">
        <v>16202925</v>
      </c>
    </row>
    <row r="99" spans="1:2" x14ac:dyDescent="0.25">
      <c r="A99" t="s">
        <v>109</v>
      </c>
      <c r="B99">
        <v>16202925</v>
      </c>
    </row>
    <row r="100" spans="1:2" x14ac:dyDescent="0.25">
      <c r="A100" t="s">
        <v>109</v>
      </c>
      <c r="B100">
        <v>16202925</v>
      </c>
    </row>
    <row r="101" spans="1:2" x14ac:dyDescent="0.25">
      <c r="A101" t="s">
        <v>109</v>
      </c>
      <c r="B101">
        <v>16202925</v>
      </c>
    </row>
    <row r="102" spans="1:2" x14ac:dyDescent="0.25">
      <c r="A102" t="s">
        <v>224</v>
      </c>
      <c r="B102">
        <v>18010408</v>
      </c>
    </row>
    <row r="103" spans="1:2" x14ac:dyDescent="0.25">
      <c r="A103" t="s">
        <v>224</v>
      </c>
      <c r="B103">
        <v>18010408</v>
      </c>
    </row>
    <row r="104" spans="1:2" x14ac:dyDescent="0.25">
      <c r="A104" t="s">
        <v>128</v>
      </c>
      <c r="B104">
        <v>9079571</v>
      </c>
    </row>
    <row r="105" spans="1:2" x14ac:dyDescent="0.25">
      <c r="A105" t="s">
        <v>219</v>
      </c>
      <c r="B105">
        <v>17425766</v>
      </c>
    </row>
    <row r="106" spans="1:2" x14ac:dyDescent="0.25">
      <c r="A106" t="s">
        <v>219</v>
      </c>
      <c r="B106">
        <v>17425766</v>
      </c>
    </row>
    <row r="107" spans="1:2" x14ac:dyDescent="0.25">
      <c r="A107" t="s">
        <v>219</v>
      </c>
      <c r="B107">
        <v>17425766</v>
      </c>
    </row>
    <row r="108" spans="1:2" x14ac:dyDescent="0.25">
      <c r="A108" t="s">
        <v>219</v>
      </c>
      <c r="B108">
        <v>17425766</v>
      </c>
    </row>
    <row r="109" spans="1:2" x14ac:dyDescent="0.25">
      <c r="A109" t="s">
        <v>117</v>
      </c>
      <c r="B109">
        <v>8814784</v>
      </c>
    </row>
    <row r="110" spans="1:2" x14ac:dyDescent="0.25">
      <c r="A110" t="s">
        <v>117</v>
      </c>
      <c r="B110">
        <v>8814784</v>
      </c>
    </row>
    <row r="111" spans="1:2" x14ac:dyDescent="0.25">
      <c r="A111" t="s">
        <v>60</v>
      </c>
      <c r="B111">
        <v>9213293</v>
      </c>
    </row>
    <row r="112" spans="1:2" x14ac:dyDescent="0.25">
      <c r="A112" t="s">
        <v>60</v>
      </c>
      <c r="B112">
        <v>9213293</v>
      </c>
    </row>
    <row r="113" spans="1:2" x14ac:dyDescent="0.25">
      <c r="A113" t="s">
        <v>60</v>
      </c>
      <c r="B113">
        <v>9213293</v>
      </c>
    </row>
    <row r="114" spans="1:2" x14ac:dyDescent="0.25">
      <c r="A114" t="s">
        <v>60</v>
      </c>
      <c r="B114">
        <v>9213293</v>
      </c>
    </row>
    <row r="115" spans="1:2" x14ac:dyDescent="0.25">
      <c r="A115" t="s">
        <v>60</v>
      </c>
      <c r="B115">
        <v>9213293</v>
      </c>
    </row>
    <row r="116" spans="1:2" x14ac:dyDescent="0.25">
      <c r="A116" t="s">
        <v>60</v>
      </c>
      <c r="B116">
        <v>9213293</v>
      </c>
    </row>
    <row r="117" spans="1:2" x14ac:dyDescent="0.25">
      <c r="A117" t="s">
        <v>60</v>
      </c>
      <c r="B117">
        <v>9213293</v>
      </c>
    </row>
    <row r="118" spans="1:2" x14ac:dyDescent="0.25">
      <c r="A118" t="s">
        <v>60</v>
      </c>
      <c r="B118">
        <v>9213293</v>
      </c>
    </row>
    <row r="119" spans="1:2" x14ac:dyDescent="0.25">
      <c r="A119" t="s">
        <v>60</v>
      </c>
      <c r="B119">
        <v>9213293</v>
      </c>
    </row>
    <row r="120" spans="1:2" x14ac:dyDescent="0.25">
      <c r="A120" t="s">
        <v>166</v>
      </c>
      <c r="B120">
        <v>18754354</v>
      </c>
    </row>
    <row r="121" spans="1:2" x14ac:dyDescent="0.25">
      <c r="A121" t="s">
        <v>166</v>
      </c>
      <c r="B121">
        <v>18754354</v>
      </c>
    </row>
    <row r="122" spans="1:2" x14ac:dyDescent="0.25">
      <c r="A122" t="s">
        <v>166</v>
      </c>
      <c r="B122">
        <v>18754354</v>
      </c>
    </row>
    <row r="123" spans="1:2" x14ac:dyDescent="0.25">
      <c r="A123" t="s">
        <v>166</v>
      </c>
      <c r="B123">
        <v>18754354</v>
      </c>
    </row>
    <row r="124" spans="1:2" x14ac:dyDescent="0.25">
      <c r="A124" t="s">
        <v>166</v>
      </c>
      <c r="B124">
        <v>18754354</v>
      </c>
    </row>
    <row r="125" spans="1:2" x14ac:dyDescent="0.25">
      <c r="A125" t="s">
        <v>166</v>
      </c>
      <c r="B125">
        <v>18754354</v>
      </c>
    </row>
    <row r="126" spans="1:2" x14ac:dyDescent="0.25">
      <c r="A126" t="s">
        <v>180</v>
      </c>
      <c r="B126">
        <v>19279958</v>
      </c>
    </row>
    <row r="127" spans="1:2" x14ac:dyDescent="0.25">
      <c r="A127" t="s">
        <v>180</v>
      </c>
      <c r="B127">
        <v>19279958</v>
      </c>
    </row>
    <row r="128" spans="1:2" x14ac:dyDescent="0.25">
      <c r="A128" t="s">
        <v>180</v>
      </c>
      <c r="B128">
        <v>19279958</v>
      </c>
    </row>
    <row r="129" spans="1:2" x14ac:dyDescent="0.25">
      <c r="A129" t="s">
        <v>180</v>
      </c>
      <c r="B129">
        <v>19279958</v>
      </c>
    </row>
    <row r="130" spans="1:2" x14ac:dyDescent="0.25">
      <c r="A130" t="s">
        <v>180</v>
      </c>
      <c r="B130">
        <v>19279958</v>
      </c>
    </row>
    <row r="131" spans="1:2" x14ac:dyDescent="0.25">
      <c r="A131" t="s">
        <v>180</v>
      </c>
      <c r="B131">
        <v>19279958</v>
      </c>
    </row>
    <row r="132" spans="1:2" x14ac:dyDescent="0.25">
      <c r="A132" t="s">
        <v>180</v>
      </c>
      <c r="B132">
        <v>19279958</v>
      </c>
    </row>
    <row r="133" spans="1:2" x14ac:dyDescent="0.25">
      <c r="A133" t="s">
        <v>243</v>
      </c>
      <c r="B133">
        <v>21564088</v>
      </c>
    </row>
    <row r="134" spans="1:2" x14ac:dyDescent="0.25">
      <c r="A134" t="s">
        <v>243</v>
      </c>
      <c r="B134">
        <v>21564088</v>
      </c>
    </row>
    <row r="135" spans="1:2" x14ac:dyDescent="0.25">
      <c r="A135" t="s">
        <v>208</v>
      </c>
      <c r="B135">
        <v>1706194</v>
      </c>
    </row>
    <row r="136" spans="1:2" x14ac:dyDescent="0.25">
      <c r="A136" t="s">
        <v>162</v>
      </c>
      <c r="B136">
        <v>19200754</v>
      </c>
    </row>
    <row r="137" spans="1:2" x14ac:dyDescent="0.25">
      <c r="A137" t="s">
        <v>162</v>
      </c>
      <c r="B137">
        <v>19200754</v>
      </c>
    </row>
    <row r="138" spans="1:2" x14ac:dyDescent="0.25">
      <c r="A138" t="s">
        <v>162</v>
      </c>
      <c r="B138">
        <v>19200754</v>
      </c>
    </row>
    <row r="139" spans="1:2" x14ac:dyDescent="0.25">
      <c r="A139" t="s">
        <v>162</v>
      </c>
      <c r="B139">
        <v>19200754</v>
      </c>
    </row>
    <row r="140" spans="1:2" x14ac:dyDescent="0.25">
      <c r="A140" t="s">
        <v>139</v>
      </c>
      <c r="B140">
        <v>16633294</v>
      </c>
    </row>
    <row r="141" spans="1:2" x14ac:dyDescent="0.25">
      <c r="A141" t="s">
        <v>467</v>
      </c>
      <c r="B141">
        <v>19645587</v>
      </c>
    </row>
    <row r="142" spans="1:2" x14ac:dyDescent="0.25">
      <c r="A142" t="s">
        <v>467</v>
      </c>
      <c r="B142">
        <v>19645587</v>
      </c>
    </row>
    <row r="143" spans="1:2" x14ac:dyDescent="0.25">
      <c r="A143" t="s">
        <v>467</v>
      </c>
      <c r="B143">
        <v>19645587</v>
      </c>
    </row>
    <row r="144" spans="1:2" x14ac:dyDescent="0.25">
      <c r="A144" t="s">
        <v>467</v>
      </c>
      <c r="B144">
        <v>19645587</v>
      </c>
    </row>
    <row r="145" spans="1:2" x14ac:dyDescent="0.25">
      <c r="A145" t="s">
        <v>467</v>
      </c>
      <c r="B145">
        <v>19645587</v>
      </c>
    </row>
    <row r="146" spans="1:2" x14ac:dyDescent="0.25">
      <c r="A146" t="s">
        <v>109</v>
      </c>
      <c r="B146">
        <v>16202925</v>
      </c>
    </row>
    <row r="147" spans="1:2" x14ac:dyDescent="0.25">
      <c r="A147" t="s">
        <v>128</v>
      </c>
      <c r="B147">
        <v>9079571</v>
      </c>
    </row>
    <row r="148" spans="1:2" x14ac:dyDescent="0.25">
      <c r="A148" t="s">
        <v>128</v>
      </c>
      <c r="B148">
        <v>9079571</v>
      </c>
    </row>
    <row r="149" spans="1:2" x14ac:dyDescent="0.25">
      <c r="A149" t="s">
        <v>128</v>
      </c>
      <c r="B149">
        <v>9079571</v>
      </c>
    </row>
    <row r="150" spans="1:2" x14ac:dyDescent="0.25">
      <c r="A150" t="s">
        <v>128</v>
      </c>
      <c r="B150">
        <v>9079571</v>
      </c>
    </row>
    <row r="151" spans="1:2" x14ac:dyDescent="0.25">
      <c r="A151" t="s">
        <v>128</v>
      </c>
      <c r="B151">
        <v>9079571</v>
      </c>
    </row>
    <row r="152" spans="1:2" x14ac:dyDescent="0.25">
      <c r="A152" t="s">
        <v>128</v>
      </c>
      <c r="B152">
        <v>9079571</v>
      </c>
    </row>
    <row r="153" spans="1:2" x14ac:dyDescent="0.25">
      <c r="A153" t="s">
        <v>128</v>
      </c>
      <c r="B153">
        <v>9079571</v>
      </c>
    </row>
    <row r="154" spans="1:2" x14ac:dyDescent="0.25">
      <c r="A154" t="s">
        <v>128</v>
      </c>
      <c r="B154">
        <v>9079571</v>
      </c>
    </row>
    <row r="155" spans="1:2" x14ac:dyDescent="0.25">
      <c r="A155" t="s">
        <v>128</v>
      </c>
      <c r="B155">
        <v>9079571</v>
      </c>
    </row>
    <row r="156" spans="1:2" x14ac:dyDescent="0.25">
      <c r="A156" t="s">
        <v>128</v>
      </c>
      <c r="B156">
        <v>9079571</v>
      </c>
    </row>
    <row r="157" spans="1:2" x14ac:dyDescent="0.25">
      <c r="A157" t="s">
        <v>128</v>
      </c>
      <c r="B157">
        <v>9079571</v>
      </c>
    </row>
    <row r="158" spans="1:2" x14ac:dyDescent="0.25">
      <c r="A158" t="s">
        <v>128</v>
      </c>
      <c r="B158">
        <v>9079571</v>
      </c>
    </row>
    <row r="159" spans="1:2" x14ac:dyDescent="0.25">
      <c r="A159" t="s">
        <v>128</v>
      </c>
      <c r="B159">
        <v>9079571</v>
      </c>
    </row>
    <row r="160" spans="1:2" x14ac:dyDescent="0.25">
      <c r="A160" t="s">
        <v>128</v>
      </c>
      <c r="B160">
        <v>9079571</v>
      </c>
    </row>
    <row r="161" spans="1:2" x14ac:dyDescent="0.25">
      <c r="A161" t="s">
        <v>128</v>
      </c>
      <c r="B161">
        <v>9079571</v>
      </c>
    </row>
    <row r="162" spans="1:2" x14ac:dyDescent="0.25">
      <c r="A162" t="s">
        <v>128</v>
      </c>
      <c r="B162">
        <v>9079571</v>
      </c>
    </row>
    <row r="163" spans="1:2" x14ac:dyDescent="0.25">
      <c r="A163" t="s">
        <v>128</v>
      </c>
      <c r="B163">
        <v>9079571</v>
      </c>
    </row>
    <row r="164" spans="1:2" x14ac:dyDescent="0.25">
      <c r="A164" t="s">
        <v>128</v>
      </c>
      <c r="B164">
        <v>9079571</v>
      </c>
    </row>
    <row r="165" spans="1:2" x14ac:dyDescent="0.25">
      <c r="A165" t="s">
        <v>285</v>
      </c>
      <c r="B165">
        <v>19278370</v>
      </c>
    </row>
    <row r="166" spans="1:2" x14ac:dyDescent="0.25">
      <c r="A166" t="s">
        <v>267</v>
      </c>
      <c r="B166">
        <v>17528908</v>
      </c>
    </row>
    <row r="167" spans="1:2" x14ac:dyDescent="0.25">
      <c r="A167" t="s">
        <v>267</v>
      </c>
      <c r="B167">
        <v>17528908</v>
      </c>
    </row>
    <row r="168" spans="1:2" x14ac:dyDescent="0.25">
      <c r="A168" t="s">
        <v>193</v>
      </c>
      <c r="B168" t="e">
        <v>#N/A</v>
      </c>
    </row>
    <row r="169" spans="1:2" x14ac:dyDescent="0.25">
      <c r="A169" t="s">
        <v>193</v>
      </c>
      <c r="B169" t="e">
        <v>#N/A</v>
      </c>
    </row>
    <row r="170" spans="1:2" x14ac:dyDescent="0.25">
      <c r="A170" t="s">
        <v>193</v>
      </c>
      <c r="B170" t="e">
        <v>#N/A</v>
      </c>
    </row>
    <row r="171" spans="1:2" x14ac:dyDescent="0.25">
      <c r="A171" t="s">
        <v>193</v>
      </c>
      <c r="B171" t="e">
        <v>#N/A</v>
      </c>
    </row>
    <row r="172" spans="1:2" x14ac:dyDescent="0.25">
      <c r="A172" t="s">
        <v>193</v>
      </c>
      <c r="B172" t="e">
        <v>#N/A</v>
      </c>
    </row>
    <row r="173" spans="1:2" x14ac:dyDescent="0.25">
      <c r="A173" t="s">
        <v>193</v>
      </c>
      <c r="B173" t="e">
        <v>#N/A</v>
      </c>
    </row>
    <row r="174" spans="1:2" x14ac:dyDescent="0.25">
      <c r="A174" t="s">
        <v>193</v>
      </c>
      <c r="B174" t="e">
        <v>#N/A</v>
      </c>
    </row>
    <row r="175" spans="1:2" x14ac:dyDescent="0.25">
      <c r="A175" t="s">
        <v>538</v>
      </c>
      <c r="B175">
        <v>16243811</v>
      </c>
    </row>
    <row r="176" spans="1:2" x14ac:dyDescent="0.25">
      <c r="A176" t="s">
        <v>232</v>
      </c>
      <c r="B176">
        <v>13496370</v>
      </c>
    </row>
    <row r="177" spans="1:2" x14ac:dyDescent="0.25">
      <c r="A177" t="s">
        <v>338</v>
      </c>
      <c r="B177">
        <v>20697692</v>
      </c>
    </row>
    <row r="178" spans="1:2" x14ac:dyDescent="0.25">
      <c r="A178" t="s">
        <v>383</v>
      </c>
      <c r="B178">
        <v>16509456</v>
      </c>
    </row>
    <row r="179" spans="1:2" x14ac:dyDescent="0.25">
      <c r="A179" t="s">
        <v>383</v>
      </c>
      <c r="B179">
        <v>16509456</v>
      </c>
    </row>
    <row r="180" spans="1:2" x14ac:dyDescent="0.25">
      <c r="A180" t="s">
        <v>383</v>
      </c>
      <c r="B180">
        <v>16509456</v>
      </c>
    </row>
    <row r="181" spans="1:2" x14ac:dyDescent="0.25">
      <c r="A181" t="s">
        <v>149</v>
      </c>
      <c r="B181">
        <v>8977234</v>
      </c>
    </row>
    <row r="182" spans="1:2" x14ac:dyDescent="0.25">
      <c r="A182" t="s">
        <v>149</v>
      </c>
      <c r="B182">
        <v>8977234</v>
      </c>
    </row>
    <row r="183" spans="1:2" x14ac:dyDescent="0.25">
      <c r="A183" t="s">
        <v>149</v>
      </c>
      <c r="B183">
        <v>8977234</v>
      </c>
    </row>
    <row r="184" spans="1:2" x14ac:dyDescent="0.25">
      <c r="A184" t="s">
        <v>109</v>
      </c>
      <c r="B184">
        <v>16202925</v>
      </c>
    </row>
    <row r="185" spans="1:2" x14ac:dyDescent="0.25">
      <c r="A185" t="s">
        <v>109</v>
      </c>
      <c r="B185">
        <v>16202925</v>
      </c>
    </row>
    <row r="186" spans="1:2" x14ac:dyDescent="0.25">
      <c r="A186" t="s">
        <v>109</v>
      </c>
      <c r="B186">
        <v>16202925</v>
      </c>
    </row>
    <row r="187" spans="1:2" x14ac:dyDescent="0.25">
      <c r="A187" t="s">
        <v>109</v>
      </c>
      <c r="B187">
        <v>16202925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 Summary</vt:lpstr>
      <vt:lpstr>Commission Details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2025-07-23T18:20:10Z</dcterms:created>
  <dcterms:modified xsi:type="dcterms:W3CDTF">2025-07-30T16:44:00Z</dcterms:modified>
</cp:coreProperties>
</file>