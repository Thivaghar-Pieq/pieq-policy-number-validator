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1-26-25 to 12-3-25\"/>
    </mc:Choice>
  </mc:AlternateContent>
  <xr:revisionPtr revIDLastSave="0" documentId="8_{84990E33-266A-4ED6-9C76-B5F265A14B0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Earned Bonus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3" i="2"/>
  <c r="I70" i="2"/>
  <c r="I69" i="2"/>
  <c r="I68" i="2"/>
  <c r="I67" i="2"/>
  <c r="I66" i="2"/>
  <c r="I65" i="2"/>
  <c r="I64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<sst xmlns="http://schemas.openxmlformats.org/spreadsheetml/2006/main" count="1012" uniqueCount="136">
  <si>
    <t>Earned Bonus Report Details</t>
  </si>
  <si>
    <t>PAID TO AGENT NUMBER</t>
  </si>
  <si>
    <t>PAY TO NAME</t>
  </si>
  <si>
    <t>EARNED BY AGENT NUMBER</t>
  </si>
  <si>
    <t>EARNED BY AGENT NAME</t>
  </si>
  <si>
    <t>BONUS AMOUNT</t>
  </si>
  <si>
    <t>DATE PROCESSED</t>
  </si>
  <si>
    <t>DESCRIPTION</t>
  </si>
  <si>
    <t>GNW0088749</t>
  </si>
  <si>
    <t>Main Line Benefits Llc</t>
  </si>
  <si>
    <t xml:space="preserve">GNW5021656 </t>
  </si>
  <si>
    <t>Gary Portugal</t>
  </si>
  <si>
    <t>11/24/2025</t>
  </si>
  <si>
    <t>Bonus for CLI7433999</t>
  </si>
  <si>
    <t xml:space="preserve">GNW5031952 </t>
  </si>
  <si>
    <t>Danna Green</t>
  </si>
  <si>
    <t>Bonus for CLI7434296</t>
  </si>
  <si>
    <t>Bonus for CLI7434441</t>
  </si>
  <si>
    <t>Bonus for CLI7434666</t>
  </si>
  <si>
    <t xml:space="preserve">GNW5033415 </t>
  </si>
  <si>
    <t>Michael Garnett</t>
  </si>
  <si>
    <t>Bonus for CLI7435322</t>
  </si>
  <si>
    <t xml:space="preserve">GNW0089770 </t>
  </si>
  <si>
    <t>Adam Richter</t>
  </si>
  <si>
    <t>Bonus for CLI7453502</t>
  </si>
  <si>
    <t xml:space="preserve">GNW5030443 </t>
  </si>
  <si>
    <t>Jennifer L Halsaver</t>
  </si>
  <si>
    <t>Bonus for CLI7453371</t>
  </si>
  <si>
    <t>Bonus for CLI7452130</t>
  </si>
  <si>
    <t xml:space="preserve">GNW5000839 </t>
  </si>
  <si>
    <t>Peter Richter</t>
  </si>
  <si>
    <t>Bonus for CLI7450068</t>
  </si>
  <si>
    <t xml:space="preserve">GNW5008239 </t>
  </si>
  <si>
    <t>Carol Foley</t>
  </si>
  <si>
    <t>Bonus for CLI7449477</t>
  </si>
  <si>
    <t>Bonus for CLI7449379</t>
  </si>
  <si>
    <t>Bonus for CLI7448091</t>
  </si>
  <si>
    <t xml:space="preserve">GNW5020131 </t>
  </si>
  <si>
    <t>Chad Yale</t>
  </si>
  <si>
    <t>Bonus for CLI7447962</t>
  </si>
  <si>
    <t>Bonus for CLI7447960</t>
  </si>
  <si>
    <t>Bonus for CLI7447393</t>
  </si>
  <si>
    <t>Bonus for CLI7446253</t>
  </si>
  <si>
    <t xml:space="preserve">GNW5021353 </t>
  </si>
  <si>
    <t>Jacob Yale</t>
  </si>
  <si>
    <t>Bonus for CLI7445979</t>
  </si>
  <si>
    <t>Bonus for CLI7444910</t>
  </si>
  <si>
    <t>Bonus for CLI7444446</t>
  </si>
  <si>
    <t>Bonus for CLI7443930</t>
  </si>
  <si>
    <t>Bonus for CLI7443600</t>
  </si>
  <si>
    <t xml:space="preserve">GNW5020580 </t>
  </si>
  <si>
    <t>Stacey A Portugal</t>
  </si>
  <si>
    <t>Bonus for CLI7443495</t>
  </si>
  <si>
    <t>Bonus for CLI7443093</t>
  </si>
  <si>
    <t>Bonus for CLI7443090</t>
  </si>
  <si>
    <t xml:space="preserve">GNW5002639 </t>
  </si>
  <si>
    <t>Matthew Daugherty</t>
  </si>
  <si>
    <t>Bonus for CLI7442721</t>
  </si>
  <si>
    <t xml:space="preserve">GNW5027638 </t>
  </si>
  <si>
    <t>Brittany Oliver</t>
  </si>
  <si>
    <t>Bonus for CLI7442197</t>
  </si>
  <si>
    <t>Bonus for CLI7442054</t>
  </si>
  <si>
    <t>Bonus for CLI7442052</t>
  </si>
  <si>
    <t>Bonus for CLI7441991</t>
  </si>
  <si>
    <t>Bonus for CLI7441501</t>
  </si>
  <si>
    <t>Bonus for CLI7440629</t>
  </si>
  <si>
    <t>Bonus for CLI7440597</t>
  </si>
  <si>
    <t>Bonus for CLI7439584</t>
  </si>
  <si>
    <t>Bonus for CLI7438848</t>
  </si>
  <si>
    <t>Bonus for CLI7437639</t>
  </si>
  <si>
    <t>Bonus for CLI7437397</t>
  </si>
  <si>
    <t>Bonus for CLI7437365</t>
  </si>
  <si>
    <t>Bonus for CLI7436636</t>
  </si>
  <si>
    <t>Bonus for CLI7436506</t>
  </si>
  <si>
    <t>Bonus for CLI7435365</t>
  </si>
  <si>
    <t>Bonus for CLI7435363</t>
  </si>
  <si>
    <t>Bonus for CLI7433998</t>
  </si>
  <si>
    <t>Bonus for CLI7434045</t>
  </si>
  <si>
    <t>Bonus for CLI7434315</t>
  </si>
  <si>
    <t>Bonus for CLI7434448</t>
  </si>
  <si>
    <t xml:space="preserve">GNW5019789 </t>
  </si>
  <si>
    <t>Andrea E Petrungaro</t>
  </si>
  <si>
    <t>Bonus for CLI7435284</t>
  </si>
  <si>
    <t>Bonus for CLI7435323</t>
  </si>
  <si>
    <t>Bonus for CLI7435364</t>
  </si>
  <si>
    <t xml:space="preserve">GNW5019932 </t>
  </si>
  <si>
    <t>Dale Walenga</t>
  </si>
  <si>
    <t>Bonus for CLI7436169</t>
  </si>
  <si>
    <t>Bonus for CLI7436507</t>
  </si>
  <si>
    <t xml:space="preserve">GNW5035079 </t>
  </si>
  <si>
    <t>Jill Shepard</t>
  </si>
  <si>
    <t>Bonus for CLI7437301</t>
  </si>
  <si>
    <t>Bonus for CLI7437396</t>
  </si>
  <si>
    <t>Bonus for CLI7437638</t>
  </si>
  <si>
    <t>Bonus for CLI7437644</t>
  </si>
  <si>
    <t>Bonus for CLI7439471</t>
  </si>
  <si>
    <t>Bonus for CLI7440195</t>
  </si>
  <si>
    <t>Bonus for CLI7440628</t>
  </si>
  <si>
    <t>Bonus for CLI7441202</t>
  </si>
  <si>
    <t>Bonus for CLI7441956</t>
  </si>
  <si>
    <t>Bonus for CLI7442020</t>
  </si>
  <si>
    <t>Bonus for CLI7442053</t>
  </si>
  <si>
    <t>Bonus for CLI7442193</t>
  </si>
  <si>
    <t>Bonus for CLI7442573</t>
  </si>
  <si>
    <t xml:space="preserve">GNW5013701 </t>
  </si>
  <si>
    <t>Jared Kinyua</t>
  </si>
  <si>
    <t>Bonus for CLI7443079</t>
  </si>
  <si>
    <t>Bonus for CLI7443091</t>
  </si>
  <si>
    <t>Bonus for CLI7443349</t>
  </si>
  <si>
    <t>Bonus for CLI7443496</t>
  </si>
  <si>
    <t xml:space="preserve">GNW5024943 </t>
  </si>
  <si>
    <t>Anthony Hunsberger</t>
  </si>
  <si>
    <t>Bonus for CLI7443817</t>
  </si>
  <si>
    <t>Bonus for CLI7444445</t>
  </si>
  <si>
    <t xml:space="preserve">GNW5015801 </t>
  </si>
  <si>
    <t>Ronald Max</t>
  </si>
  <si>
    <t>Bonus for CLI7444619</t>
  </si>
  <si>
    <t xml:space="preserve">GNW5019378 </t>
  </si>
  <si>
    <t>Chris Taugner</t>
  </si>
  <si>
    <t>Bonus for CLI7445071</t>
  </si>
  <si>
    <t>Bonus for CLI7446103</t>
  </si>
  <si>
    <t>Bonus for CLI7446938</t>
  </si>
  <si>
    <t>Bonus for CLI7447640</t>
  </si>
  <si>
    <t>Bonus for CLI7447961</t>
  </si>
  <si>
    <t>Bonus for CLI7448076</t>
  </si>
  <si>
    <t>Bonus for CLI7449068</t>
  </si>
  <si>
    <t>Bonus for CLI7449473</t>
  </si>
  <si>
    <t>Bonus for CLI7449726</t>
  </si>
  <si>
    <t xml:space="preserve">GNW0089678 </t>
  </si>
  <si>
    <t>Ryan Caltagirone</t>
  </si>
  <si>
    <t>Bonus for CLI7451503</t>
  </si>
  <si>
    <t>Bonus for CLI7453299</t>
  </si>
  <si>
    <t>Bonus for CLI7453500</t>
  </si>
  <si>
    <t>Bonus for CLI7454230</t>
  </si>
  <si>
    <t>Aetna Med Supp</t>
  </si>
  <si>
    <t>Jennifer Halsaver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</si>
</sst>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164" fontId="3" fillId="0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left"/>
    </xf>
    <xf numFmtId="164" fontId="3" fillId="4" borderId="0" xfId="0" applyNumberFormat="1" applyFont="1" applyFill="1" applyAlignment="1">
      <alignment horizontal="left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workbookViewId="0">
      <pane ySplit="2" topLeftCell="A48" activePane="bottomLeft" state="frozen"/>
      <selection pane="bottomLeft" activeCell="I3" sqref="I3:I85"/>
    </sheetView>
  </sheetViews>
  <sheetFormatPr defaultRowHeight="15" x14ac:dyDescent="0.25"/>
  <cols>
    <col min="1" max="1" width="25" customWidth="1"/>
    <col min="2" max="2" width="26" customWidth="1"/>
    <col min="3" max="3" width="27" customWidth="1"/>
    <col min="4" max="4" width="35" customWidth="1"/>
    <col min="5" max="5" width="17" customWidth="1"/>
    <col min="6" max="6" width="19" customWidth="1"/>
    <col min="7" max="7" width="16" customWidth="1"/>
    <col min="9" max="9" width="15.7109375" bestFit="1" customWidth="1"/>
  </cols>
  <sheetData>
    <row r="1" spans="1:7" x14ac:dyDescent="0.25">
      <c r="D1" s="6" t="s">
        <v>0</v>
      </c>
      <c r="E1" s="7"/>
      <c r="F1" s="7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3" t="s">
        <v>8</v>
      </c>
      <c r="B3" s="3" t="s">
        <v>9</v>
      </c>
      <c r="C3" s="3" t="s">
        <v>22</v>
      </c>
      <c r="D3" s="3" t="s">
        <v>23</v>
      </c>
      <c r="E3" s="5">
        <v>50</v>
      </c>
      <c r="F3" s="3" t="s">
        <v>12</v>
      </c>
      <c r="G3" s="3" t="s">
        <v>24</v>
      </c>
    </row>
    <row r="4" spans="1:7" x14ac:dyDescent="0.25">
      <c r="A4" s="2" t="s">
        <v>8</v>
      </c>
      <c r="B4" s="2" t="s">
        <v>9</v>
      </c>
      <c r="C4" s="2" t="s">
        <v>22</v>
      </c>
      <c r="D4" s="2" t="s">
        <v>23</v>
      </c>
      <c r="E4" s="4">
        <v>50</v>
      </c>
      <c r="F4" s="2" t="s">
        <v>12</v>
      </c>
      <c r="G4" s="2" t="s">
        <v>103</v>
      </c>
    </row>
    <row r="5" spans="1:7" x14ac:dyDescent="0.25">
      <c r="A5" s="3" t="s">
        <v>8</v>
      </c>
      <c r="B5" s="3" t="s">
        <v>9</v>
      </c>
      <c r="C5" s="3" t="s">
        <v>22</v>
      </c>
      <c r="D5" s="3" t="s">
        <v>23</v>
      </c>
      <c r="E5" s="5">
        <v>50</v>
      </c>
      <c r="F5" s="3" t="s">
        <v>12</v>
      </c>
      <c r="G5" s="3" t="s">
        <v>132</v>
      </c>
    </row>
    <row r="6" spans="1:7" x14ac:dyDescent="0.25">
      <c r="A6" s="3" t="s">
        <v>8</v>
      </c>
      <c r="B6" s="3" t="s">
        <v>9</v>
      </c>
      <c r="C6" s="3" t="s">
        <v>80</v>
      </c>
      <c r="D6" s="3" t="s">
        <v>81</v>
      </c>
      <c r="E6" s="5">
        <v>50</v>
      </c>
      <c r="F6" s="3" t="s">
        <v>12</v>
      </c>
      <c r="G6" s="3" t="s">
        <v>82</v>
      </c>
    </row>
    <row r="7" spans="1:7" x14ac:dyDescent="0.25">
      <c r="A7" s="3" t="s">
        <v>8</v>
      </c>
      <c r="B7" s="3" t="s">
        <v>9</v>
      </c>
      <c r="C7" s="3" t="s">
        <v>110</v>
      </c>
      <c r="D7" s="3" t="s">
        <v>111</v>
      </c>
      <c r="E7" s="5">
        <v>50</v>
      </c>
      <c r="F7" s="3" t="s">
        <v>12</v>
      </c>
      <c r="G7" s="3" t="s">
        <v>112</v>
      </c>
    </row>
    <row r="8" spans="1:7" x14ac:dyDescent="0.25">
      <c r="A8" s="3" t="s">
        <v>8</v>
      </c>
      <c r="B8" s="3" t="s">
        <v>9</v>
      </c>
      <c r="C8" s="3" t="s">
        <v>58</v>
      </c>
      <c r="D8" s="3" t="s">
        <v>59</v>
      </c>
      <c r="E8" s="5">
        <v>50</v>
      </c>
      <c r="F8" s="3" t="s">
        <v>12</v>
      </c>
      <c r="G8" s="3" t="s">
        <v>60</v>
      </c>
    </row>
    <row r="9" spans="1:7" x14ac:dyDescent="0.25">
      <c r="A9" s="2" t="s">
        <v>8</v>
      </c>
      <c r="B9" s="2" t="s">
        <v>9</v>
      </c>
      <c r="C9" s="2" t="s">
        <v>58</v>
      </c>
      <c r="D9" s="2" t="s">
        <v>59</v>
      </c>
      <c r="E9" s="4">
        <v>50</v>
      </c>
      <c r="F9" s="2" t="s">
        <v>12</v>
      </c>
      <c r="G9" s="2" t="s">
        <v>61</v>
      </c>
    </row>
    <row r="10" spans="1:7" x14ac:dyDescent="0.25">
      <c r="A10" s="3" t="s">
        <v>8</v>
      </c>
      <c r="B10" s="3" t="s">
        <v>9</v>
      </c>
      <c r="C10" s="3" t="s">
        <v>58</v>
      </c>
      <c r="D10" s="3" t="s">
        <v>59</v>
      </c>
      <c r="E10" s="5">
        <v>50</v>
      </c>
      <c r="F10" s="3" t="s">
        <v>12</v>
      </c>
      <c r="G10" s="3" t="s">
        <v>62</v>
      </c>
    </row>
    <row r="11" spans="1:7" x14ac:dyDescent="0.25">
      <c r="A11" s="2" t="s">
        <v>8</v>
      </c>
      <c r="B11" s="2" t="s">
        <v>9</v>
      </c>
      <c r="C11" s="2" t="s">
        <v>58</v>
      </c>
      <c r="D11" s="2" t="s">
        <v>59</v>
      </c>
      <c r="E11" s="4">
        <v>50</v>
      </c>
      <c r="F11" s="2" t="s">
        <v>12</v>
      </c>
      <c r="G11" s="2" t="s">
        <v>71</v>
      </c>
    </row>
    <row r="12" spans="1:7" x14ac:dyDescent="0.25">
      <c r="A12" s="3" t="s">
        <v>8</v>
      </c>
      <c r="B12" s="3" t="s">
        <v>9</v>
      </c>
      <c r="C12" s="3" t="s">
        <v>58</v>
      </c>
      <c r="D12" s="3" t="s">
        <v>59</v>
      </c>
      <c r="E12" s="5">
        <v>50</v>
      </c>
      <c r="F12" s="3" t="s">
        <v>12</v>
      </c>
      <c r="G12" s="3" t="s">
        <v>74</v>
      </c>
    </row>
    <row r="13" spans="1:7" x14ac:dyDescent="0.25">
      <c r="A13" s="2" t="s">
        <v>8</v>
      </c>
      <c r="B13" s="2" t="s">
        <v>9</v>
      </c>
      <c r="C13" s="2" t="s">
        <v>58</v>
      </c>
      <c r="D13" s="2" t="s">
        <v>59</v>
      </c>
      <c r="E13" s="4">
        <v>50</v>
      </c>
      <c r="F13" s="2" t="s">
        <v>12</v>
      </c>
      <c r="G13" s="2" t="s">
        <v>75</v>
      </c>
    </row>
    <row r="14" spans="1:7" x14ac:dyDescent="0.25">
      <c r="A14" s="3" t="s">
        <v>8</v>
      </c>
      <c r="B14" s="3" t="s">
        <v>9</v>
      </c>
      <c r="C14" s="3" t="s">
        <v>58</v>
      </c>
      <c r="D14" s="3" t="s">
        <v>59</v>
      </c>
      <c r="E14" s="5">
        <v>50</v>
      </c>
      <c r="F14" s="3" t="s">
        <v>12</v>
      </c>
      <c r="G14" s="3" t="s">
        <v>84</v>
      </c>
    </row>
    <row r="15" spans="1:7" x14ac:dyDescent="0.25">
      <c r="A15" s="3" t="s">
        <v>8</v>
      </c>
      <c r="B15" s="3" t="s">
        <v>9</v>
      </c>
      <c r="C15" s="3" t="s">
        <v>58</v>
      </c>
      <c r="D15" s="3" t="s">
        <v>59</v>
      </c>
      <c r="E15" s="5">
        <v>100</v>
      </c>
      <c r="F15" s="3" t="s">
        <v>12</v>
      </c>
      <c r="G15" s="3" t="s">
        <v>100</v>
      </c>
    </row>
    <row r="16" spans="1:7" x14ac:dyDescent="0.25">
      <c r="A16" s="2" t="s">
        <v>8</v>
      </c>
      <c r="B16" s="2" t="s">
        <v>9</v>
      </c>
      <c r="C16" s="2" t="s">
        <v>58</v>
      </c>
      <c r="D16" s="2" t="s">
        <v>59</v>
      </c>
      <c r="E16" s="4">
        <v>50</v>
      </c>
      <c r="F16" s="2" t="s">
        <v>12</v>
      </c>
      <c r="G16" s="2" t="s">
        <v>101</v>
      </c>
    </row>
    <row r="17" spans="1:7" x14ac:dyDescent="0.25">
      <c r="A17" s="3" t="s">
        <v>8</v>
      </c>
      <c r="B17" s="3" t="s">
        <v>9</v>
      </c>
      <c r="C17" s="3" t="s">
        <v>58</v>
      </c>
      <c r="D17" s="3" t="s">
        <v>59</v>
      </c>
      <c r="E17" s="5">
        <v>50</v>
      </c>
      <c r="F17" s="3" t="s">
        <v>12</v>
      </c>
      <c r="G17" s="3" t="s">
        <v>102</v>
      </c>
    </row>
    <row r="18" spans="1:7" x14ac:dyDescent="0.25">
      <c r="A18" s="3" t="s">
        <v>8</v>
      </c>
      <c r="B18" s="3" t="s">
        <v>9</v>
      </c>
      <c r="C18" s="3" t="s">
        <v>32</v>
      </c>
      <c r="D18" s="3" t="s">
        <v>33</v>
      </c>
      <c r="E18" s="5">
        <v>50</v>
      </c>
      <c r="F18" s="3" t="s">
        <v>12</v>
      </c>
      <c r="G18" s="3" t="s">
        <v>34</v>
      </c>
    </row>
    <row r="19" spans="1:7" x14ac:dyDescent="0.25">
      <c r="A19" s="3" t="s">
        <v>8</v>
      </c>
      <c r="B19" s="3" t="s">
        <v>9</v>
      </c>
      <c r="C19" s="3" t="s">
        <v>32</v>
      </c>
      <c r="D19" s="3" t="s">
        <v>33</v>
      </c>
      <c r="E19" s="5">
        <v>50</v>
      </c>
      <c r="F19" s="3" t="s">
        <v>12</v>
      </c>
      <c r="G19" s="3" t="s">
        <v>94</v>
      </c>
    </row>
    <row r="20" spans="1:7" x14ac:dyDescent="0.25">
      <c r="A20" s="3" t="s">
        <v>8</v>
      </c>
      <c r="B20" s="3" t="s">
        <v>9</v>
      </c>
      <c r="C20" s="3" t="s">
        <v>32</v>
      </c>
      <c r="D20" s="3" t="s">
        <v>33</v>
      </c>
      <c r="E20" s="5">
        <v>50</v>
      </c>
      <c r="F20" s="3" t="s">
        <v>12</v>
      </c>
      <c r="G20" s="3" t="s">
        <v>96</v>
      </c>
    </row>
    <row r="21" spans="1:7" x14ac:dyDescent="0.25">
      <c r="A21" s="3" t="s">
        <v>8</v>
      </c>
      <c r="B21" s="3" t="s">
        <v>9</v>
      </c>
      <c r="C21" s="3" t="s">
        <v>32</v>
      </c>
      <c r="D21" s="3" t="s">
        <v>33</v>
      </c>
      <c r="E21" s="5">
        <v>50</v>
      </c>
      <c r="F21" s="3" t="s">
        <v>12</v>
      </c>
      <c r="G21" s="3" t="s">
        <v>120</v>
      </c>
    </row>
    <row r="22" spans="1:7" x14ac:dyDescent="0.25">
      <c r="A22" s="2" t="s">
        <v>8</v>
      </c>
      <c r="B22" s="2" t="s">
        <v>9</v>
      </c>
      <c r="C22" s="2" t="s">
        <v>37</v>
      </c>
      <c r="D22" s="2" t="s">
        <v>38</v>
      </c>
      <c r="E22" s="4">
        <v>50</v>
      </c>
      <c r="F22" s="2" t="s">
        <v>12</v>
      </c>
      <c r="G22" s="2" t="s">
        <v>39</v>
      </c>
    </row>
    <row r="23" spans="1:7" x14ac:dyDescent="0.25">
      <c r="A23" s="3" t="s">
        <v>8</v>
      </c>
      <c r="B23" s="3" t="s">
        <v>9</v>
      </c>
      <c r="C23" s="3" t="s">
        <v>37</v>
      </c>
      <c r="D23" s="3" t="s">
        <v>38</v>
      </c>
      <c r="E23" s="5">
        <v>50</v>
      </c>
      <c r="F23" s="3" t="s">
        <v>12</v>
      </c>
      <c r="G23" s="3" t="s">
        <v>40</v>
      </c>
    </row>
    <row r="24" spans="1:7" x14ac:dyDescent="0.25">
      <c r="A24" s="2" t="s">
        <v>8</v>
      </c>
      <c r="B24" s="2" t="s">
        <v>9</v>
      </c>
      <c r="C24" s="2" t="s">
        <v>37</v>
      </c>
      <c r="D24" s="2" t="s">
        <v>38</v>
      </c>
      <c r="E24" s="4">
        <v>50</v>
      </c>
      <c r="F24" s="2" t="s">
        <v>12</v>
      </c>
      <c r="G24" s="2" t="s">
        <v>123</v>
      </c>
    </row>
    <row r="25" spans="1:7" x14ac:dyDescent="0.25">
      <c r="A25" s="2" t="s">
        <v>8</v>
      </c>
      <c r="B25" s="2" t="s">
        <v>9</v>
      </c>
      <c r="C25" s="2" t="s">
        <v>117</v>
      </c>
      <c r="D25" s="2" t="s">
        <v>118</v>
      </c>
      <c r="E25" s="4">
        <v>50</v>
      </c>
      <c r="F25" s="2" t="s">
        <v>12</v>
      </c>
      <c r="G25" s="2" t="s">
        <v>119</v>
      </c>
    </row>
    <row r="26" spans="1:7" x14ac:dyDescent="0.25">
      <c r="A26" s="2" t="s">
        <v>8</v>
      </c>
      <c r="B26" s="2" t="s">
        <v>9</v>
      </c>
      <c r="C26" s="2" t="s">
        <v>85</v>
      </c>
      <c r="D26" s="2" t="s">
        <v>86</v>
      </c>
      <c r="E26" s="4">
        <v>50</v>
      </c>
      <c r="F26" s="2" t="s">
        <v>12</v>
      </c>
      <c r="G26" s="2" t="s">
        <v>87</v>
      </c>
    </row>
    <row r="27" spans="1:7" x14ac:dyDescent="0.25">
      <c r="A27" s="3" t="s">
        <v>8</v>
      </c>
      <c r="B27" s="3" t="s">
        <v>9</v>
      </c>
      <c r="C27" s="3" t="s">
        <v>14</v>
      </c>
      <c r="D27" s="3" t="s">
        <v>15</v>
      </c>
      <c r="E27" s="5">
        <v>50</v>
      </c>
      <c r="F27" s="3" t="s">
        <v>12</v>
      </c>
      <c r="G27" s="3" t="s">
        <v>16</v>
      </c>
    </row>
    <row r="28" spans="1:7" x14ac:dyDescent="0.25">
      <c r="A28" s="2" t="s">
        <v>8</v>
      </c>
      <c r="B28" s="2" t="s">
        <v>9</v>
      </c>
      <c r="C28" s="2" t="s">
        <v>14</v>
      </c>
      <c r="D28" s="2" t="s">
        <v>15</v>
      </c>
      <c r="E28" s="4">
        <v>50</v>
      </c>
      <c r="F28" s="2" t="s">
        <v>12</v>
      </c>
      <c r="G28" s="2" t="s">
        <v>35</v>
      </c>
    </row>
    <row r="29" spans="1:7" x14ac:dyDescent="0.25">
      <c r="A29" s="2" t="s">
        <v>8</v>
      </c>
      <c r="B29" s="2" t="s">
        <v>9</v>
      </c>
      <c r="C29" s="2" t="s">
        <v>14</v>
      </c>
      <c r="D29" s="2" t="s">
        <v>15</v>
      </c>
      <c r="E29" s="4">
        <v>50</v>
      </c>
      <c r="F29" s="2" t="s">
        <v>12</v>
      </c>
      <c r="G29" s="2" t="s">
        <v>41</v>
      </c>
    </row>
    <row r="30" spans="1:7" x14ac:dyDescent="0.25">
      <c r="A30" s="2" t="s">
        <v>8</v>
      </c>
      <c r="B30" s="2" t="s">
        <v>9</v>
      </c>
      <c r="C30" s="2" t="s">
        <v>14</v>
      </c>
      <c r="D30" s="2" t="s">
        <v>15</v>
      </c>
      <c r="E30" s="4">
        <v>50</v>
      </c>
      <c r="F30" s="2" t="s">
        <v>12</v>
      </c>
      <c r="G30" s="2" t="s">
        <v>77</v>
      </c>
    </row>
    <row r="31" spans="1:7" x14ac:dyDescent="0.25">
      <c r="A31" s="3" t="s">
        <v>8</v>
      </c>
      <c r="B31" s="3" t="s">
        <v>9</v>
      </c>
      <c r="C31" s="3" t="s">
        <v>14</v>
      </c>
      <c r="D31" s="3" t="s">
        <v>15</v>
      </c>
      <c r="E31" s="5">
        <v>50</v>
      </c>
      <c r="F31" s="3" t="s">
        <v>12</v>
      </c>
      <c r="G31" s="3" t="s">
        <v>78</v>
      </c>
    </row>
    <row r="32" spans="1:7" x14ac:dyDescent="0.25">
      <c r="A32" s="2" t="s">
        <v>8</v>
      </c>
      <c r="B32" s="2" t="s">
        <v>9</v>
      </c>
      <c r="C32" s="2" t="s">
        <v>14</v>
      </c>
      <c r="D32" s="2" t="s">
        <v>15</v>
      </c>
      <c r="E32" s="4">
        <v>50</v>
      </c>
      <c r="F32" s="2" t="s">
        <v>12</v>
      </c>
      <c r="G32" s="2" t="s">
        <v>99</v>
      </c>
    </row>
    <row r="33" spans="1:7" x14ac:dyDescent="0.25">
      <c r="A33" s="3" t="s">
        <v>8</v>
      </c>
      <c r="B33" s="3" t="s">
        <v>9</v>
      </c>
      <c r="C33" s="3" t="s">
        <v>14</v>
      </c>
      <c r="D33" s="3" t="s">
        <v>15</v>
      </c>
      <c r="E33" s="5">
        <v>50</v>
      </c>
      <c r="F33" s="3" t="s">
        <v>12</v>
      </c>
      <c r="G33" s="3" t="s">
        <v>124</v>
      </c>
    </row>
    <row r="34" spans="1:7" x14ac:dyDescent="0.25">
      <c r="A34" s="2" t="s">
        <v>8</v>
      </c>
      <c r="B34" s="2" t="s">
        <v>9</v>
      </c>
      <c r="C34" s="2" t="s">
        <v>14</v>
      </c>
      <c r="D34" s="2" t="s">
        <v>15</v>
      </c>
      <c r="E34" s="4">
        <v>50</v>
      </c>
      <c r="F34" s="2" t="s">
        <v>12</v>
      </c>
      <c r="G34" s="2" t="s">
        <v>127</v>
      </c>
    </row>
    <row r="35" spans="1:7" x14ac:dyDescent="0.25">
      <c r="A35" s="2" t="s">
        <v>8</v>
      </c>
      <c r="B35" s="2" t="s">
        <v>9</v>
      </c>
      <c r="C35" s="2" t="s">
        <v>10</v>
      </c>
      <c r="D35" s="2" t="s">
        <v>11</v>
      </c>
      <c r="E35" s="4">
        <v>50</v>
      </c>
      <c r="F35" s="2" t="s">
        <v>12</v>
      </c>
      <c r="G35" s="2" t="s">
        <v>13</v>
      </c>
    </row>
    <row r="36" spans="1:7" x14ac:dyDescent="0.25">
      <c r="A36" s="2" t="s">
        <v>8</v>
      </c>
      <c r="B36" s="2" t="s">
        <v>9</v>
      </c>
      <c r="C36" s="2" t="s">
        <v>10</v>
      </c>
      <c r="D36" s="2" t="s">
        <v>11</v>
      </c>
      <c r="E36" s="4">
        <v>50</v>
      </c>
      <c r="F36" s="2" t="s">
        <v>12</v>
      </c>
      <c r="G36" s="2" t="s">
        <v>17</v>
      </c>
    </row>
    <row r="37" spans="1:7" x14ac:dyDescent="0.25">
      <c r="A37" s="3" t="s">
        <v>8</v>
      </c>
      <c r="B37" s="3" t="s">
        <v>9</v>
      </c>
      <c r="C37" s="3" t="s">
        <v>10</v>
      </c>
      <c r="D37" s="3" t="s">
        <v>11</v>
      </c>
      <c r="E37" s="5">
        <v>50</v>
      </c>
      <c r="F37" s="3" t="s">
        <v>12</v>
      </c>
      <c r="G37" s="3" t="s">
        <v>18</v>
      </c>
    </row>
    <row r="38" spans="1:7" x14ac:dyDescent="0.25">
      <c r="A38" s="3" t="s">
        <v>8</v>
      </c>
      <c r="B38" s="3" t="s">
        <v>9</v>
      </c>
      <c r="C38" s="3" t="s">
        <v>10</v>
      </c>
      <c r="D38" s="3" t="s">
        <v>11</v>
      </c>
      <c r="E38" s="5">
        <v>50</v>
      </c>
      <c r="F38" s="3" t="s">
        <v>12</v>
      </c>
      <c r="G38" s="3" t="s">
        <v>28</v>
      </c>
    </row>
    <row r="39" spans="1:7" x14ac:dyDescent="0.25">
      <c r="A39" s="3" t="s">
        <v>8</v>
      </c>
      <c r="B39" s="3" t="s">
        <v>9</v>
      </c>
      <c r="C39" s="3" t="s">
        <v>10</v>
      </c>
      <c r="D39" s="3" t="s">
        <v>11</v>
      </c>
      <c r="E39" s="5">
        <v>50</v>
      </c>
      <c r="F39" s="3" t="s">
        <v>12</v>
      </c>
      <c r="G39" s="3" t="s">
        <v>36</v>
      </c>
    </row>
    <row r="40" spans="1:7" x14ac:dyDescent="0.25">
      <c r="A40" s="3" t="s">
        <v>8</v>
      </c>
      <c r="B40" s="3" t="s">
        <v>9</v>
      </c>
      <c r="C40" s="3" t="s">
        <v>10</v>
      </c>
      <c r="D40" s="3" t="s">
        <v>11</v>
      </c>
      <c r="E40" s="5">
        <v>50</v>
      </c>
      <c r="F40" s="3" t="s">
        <v>12</v>
      </c>
      <c r="G40" s="3" t="s">
        <v>42</v>
      </c>
    </row>
    <row r="41" spans="1:7" x14ac:dyDescent="0.25">
      <c r="A41" s="3" t="s">
        <v>8</v>
      </c>
      <c r="B41" s="3" t="s">
        <v>9</v>
      </c>
      <c r="C41" s="3" t="s">
        <v>10</v>
      </c>
      <c r="D41" s="3" t="s">
        <v>11</v>
      </c>
      <c r="E41" s="5">
        <v>50</v>
      </c>
      <c r="F41" s="3" t="s">
        <v>12</v>
      </c>
      <c r="G41" s="3" t="s">
        <v>48</v>
      </c>
    </row>
    <row r="42" spans="1:7" x14ac:dyDescent="0.25">
      <c r="A42" s="2" t="s">
        <v>8</v>
      </c>
      <c r="B42" s="2" t="s">
        <v>9</v>
      </c>
      <c r="C42" s="2" t="s">
        <v>10</v>
      </c>
      <c r="D42" s="2" t="s">
        <v>11</v>
      </c>
      <c r="E42" s="4">
        <v>50</v>
      </c>
      <c r="F42" s="2" t="s">
        <v>12</v>
      </c>
      <c r="G42" s="2" t="s">
        <v>49</v>
      </c>
    </row>
    <row r="43" spans="1:7" x14ac:dyDescent="0.25">
      <c r="A43" s="2" t="s">
        <v>8</v>
      </c>
      <c r="B43" s="2" t="s">
        <v>9</v>
      </c>
      <c r="C43" s="2" t="s">
        <v>10</v>
      </c>
      <c r="D43" s="2" t="s">
        <v>11</v>
      </c>
      <c r="E43" s="4">
        <v>50</v>
      </c>
      <c r="F43" s="2" t="s">
        <v>12</v>
      </c>
      <c r="G43" s="2" t="s">
        <v>63</v>
      </c>
    </row>
    <row r="44" spans="1:7" x14ac:dyDescent="0.25">
      <c r="A44" s="2" t="s">
        <v>8</v>
      </c>
      <c r="B44" s="2" t="s">
        <v>9</v>
      </c>
      <c r="C44" s="2" t="s">
        <v>10</v>
      </c>
      <c r="D44" s="2" t="s">
        <v>11</v>
      </c>
      <c r="E44" s="4">
        <v>50</v>
      </c>
      <c r="F44" s="2" t="s">
        <v>12</v>
      </c>
      <c r="G44" s="2" t="s">
        <v>67</v>
      </c>
    </row>
    <row r="45" spans="1:7" x14ac:dyDescent="0.25">
      <c r="A45" s="2" t="s">
        <v>8</v>
      </c>
      <c r="B45" s="2" t="s">
        <v>9</v>
      </c>
      <c r="C45" s="2" t="s">
        <v>10</v>
      </c>
      <c r="D45" s="2" t="s">
        <v>11</v>
      </c>
      <c r="E45" s="4">
        <v>50</v>
      </c>
      <c r="F45" s="2" t="s">
        <v>12</v>
      </c>
      <c r="G45" s="2" t="s">
        <v>69</v>
      </c>
    </row>
    <row r="46" spans="1:7" x14ac:dyDescent="0.25">
      <c r="A46" s="3" t="s">
        <v>8</v>
      </c>
      <c r="B46" s="3" t="s">
        <v>9</v>
      </c>
      <c r="C46" s="3" t="s">
        <v>10</v>
      </c>
      <c r="D46" s="3" t="s">
        <v>11</v>
      </c>
      <c r="E46" s="5">
        <v>50</v>
      </c>
      <c r="F46" s="3" t="s">
        <v>12</v>
      </c>
      <c r="G46" s="3" t="s">
        <v>70</v>
      </c>
    </row>
    <row r="47" spans="1:7" x14ac:dyDescent="0.25">
      <c r="A47" s="3" t="s">
        <v>8</v>
      </c>
      <c r="B47" s="3" t="s">
        <v>9</v>
      </c>
      <c r="C47" s="3" t="s">
        <v>10</v>
      </c>
      <c r="D47" s="3" t="s">
        <v>11</v>
      </c>
      <c r="E47" s="5">
        <v>50</v>
      </c>
      <c r="F47" s="3" t="s">
        <v>12</v>
      </c>
      <c r="G47" s="3" t="s">
        <v>76</v>
      </c>
    </row>
    <row r="48" spans="1:7" x14ac:dyDescent="0.25">
      <c r="A48" s="2" t="s">
        <v>8</v>
      </c>
      <c r="B48" s="2" t="s">
        <v>9</v>
      </c>
      <c r="C48" s="2" t="s">
        <v>10</v>
      </c>
      <c r="D48" s="2" t="s">
        <v>11</v>
      </c>
      <c r="E48" s="4">
        <v>50</v>
      </c>
      <c r="F48" s="2" t="s">
        <v>12</v>
      </c>
      <c r="G48" s="2" t="s">
        <v>79</v>
      </c>
    </row>
    <row r="49" spans="1:7" x14ac:dyDescent="0.25">
      <c r="A49" s="3" t="s">
        <v>8</v>
      </c>
      <c r="B49" s="3" t="s">
        <v>9</v>
      </c>
      <c r="C49" s="3" t="s">
        <v>10</v>
      </c>
      <c r="D49" s="3" t="s">
        <v>11</v>
      </c>
      <c r="E49" s="5">
        <v>50</v>
      </c>
      <c r="F49" s="3" t="s">
        <v>12</v>
      </c>
      <c r="G49" s="3" t="s">
        <v>92</v>
      </c>
    </row>
    <row r="50" spans="1:7" x14ac:dyDescent="0.25">
      <c r="A50" s="2" t="s">
        <v>8</v>
      </c>
      <c r="B50" s="2" t="s">
        <v>9</v>
      </c>
      <c r="C50" s="2" t="s">
        <v>10</v>
      </c>
      <c r="D50" s="2" t="s">
        <v>11</v>
      </c>
      <c r="E50" s="4">
        <v>50</v>
      </c>
      <c r="F50" s="2" t="s">
        <v>12</v>
      </c>
      <c r="G50" s="2" t="s">
        <v>93</v>
      </c>
    </row>
    <row r="51" spans="1:7" x14ac:dyDescent="0.25">
      <c r="A51" s="2" t="s">
        <v>8</v>
      </c>
      <c r="B51" s="2" t="s">
        <v>9</v>
      </c>
      <c r="C51" s="2" t="s">
        <v>10</v>
      </c>
      <c r="D51" s="2" t="s">
        <v>11</v>
      </c>
      <c r="E51" s="4">
        <v>50</v>
      </c>
      <c r="F51" s="2" t="s">
        <v>12</v>
      </c>
      <c r="G51" s="2" t="s">
        <v>95</v>
      </c>
    </row>
    <row r="52" spans="1:7" x14ac:dyDescent="0.25">
      <c r="A52" s="3" t="s">
        <v>8</v>
      </c>
      <c r="B52" s="3" t="s">
        <v>9</v>
      </c>
      <c r="C52" s="3" t="s">
        <v>10</v>
      </c>
      <c r="D52" s="3" t="s">
        <v>11</v>
      </c>
      <c r="E52" s="5">
        <v>50</v>
      </c>
      <c r="F52" s="3" t="s">
        <v>12</v>
      </c>
      <c r="G52" s="3" t="s">
        <v>98</v>
      </c>
    </row>
    <row r="53" spans="1:7" x14ac:dyDescent="0.25">
      <c r="A53" s="3" t="s">
        <v>8</v>
      </c>
      <c r="B53" s="3" t="s">
        <v>9</v>
      </c>
      <c r="C53" s="3" t="s">
        <v>10</v>
      </c>
      <c r="D53" s="3" t="s">
        <v>11</v>
      </c>
      <c r="E53" s="5">
        <v>50</v>
      </c>
      <c r="F53" s="3" t="s">
        <v>12</v>
      </c>
      <c r="G53" s="3" t="s">
        <v>108</v>
      </c>
    </row>
    <row r="54" spans="1:7" x14ac:dyDescent="0.25">
      <c r="A54" s="2" t="s">
        <v>8</v>
      </c>
      <c r="B54" s="2" t="s">
        <v>9</v>
      </c>
      <c r="C54" s="2" t="s">
        <v>10</v>
      </c>
      <c r="D54" s="2" t="s">
        <v>11</v>
      </c>
      <c r="E54" s="4">
        <v>50</v>
      </c>
      <c r="F54" s="2" t="s">
        <v>12</v>
      </c>
      <c r="G54" s="2" t="s">
        <v>125</v>
      </c>
    </row>
    <row r="55" spans="1:7" x14ac:dyDescent="0.25">
      <c r="A55" s="3" t="s">
        <v>8</v>
      </c>
      <c r="B55" s="3" t="s">
        <v>9</v>
      </c>
      <c r="C55" s="3" t="s">
        <v>10</v>
      </c>
      <c r="D55" s="3" t="s">
        <v>11</v>
      </c>
      <c r="E55" s="5">
        <v>50</v>
      </c>
      <c r="F55" s="3" t="s">
        <v>12</v>
      </c>
      <c r="G55" s="3" t="s">
        <v>126</v>
      </c>
    </row>
    <row r="56" spans="1:7" x14ac:dyDescent="0.25">
      <c r="A56" s="2" t="s">
        <v>8</v>
      </c>
      <c r="B56" s="2" t="s">
        <v>9</v>
      </c>
      <c r="C56" s="2" t="s">
        <v>10</v>
      </c>
      <c r="D56" s="2" t="s">
        <v>11</v>
      </c>
      <c r="E56" s="4">
        <v>50</v>
      </c>
      <c r="F56" s="2" t="s">
        <v>12</v>
      </c>
      <c r="G56" s="2" t="s">
        <v>131</v>
      </c>
    </row>
    <row r="57" spans="1:7" x14ac:dyDescent="0.25">
      <c r="A57" s="2" t="s">
        <v>8</v>
      </c>
      <c r="B57" s="2" t="s">
        <v>9</v>
      </c>
      <c r="C57" s="2" t="s">
        <v>43</v>
      </c>
      <c r="D57" s="2" t="s">
        <v>44</v>
      </c>
      <c r="E57" s="4">
        <v>50</v>
      </c>
      <c r="F57" s="2" t="s">
        <v>12</v>
      </c>
      <c r="G57" s="2" t="s">
        <v>45</v>
      </c>
    </row>
    <row r="58" spans="1:7" x14ac:dyDescent="0.25">
      <c r="A58" s="2" t="s">
        <v>8</v>
      </c>
      <c r="B58" s="2" t="s">
        <v>9</v>
      </c>
      <c r="C58" s="2" t="s">
        <v>43</v>
      </c>
      <c r="D58" s="2" t="s">
        <v>44</v>
      </c>
      <c r="E58" s="4">
        <v>50</v>
      </c>
      <c r="F58" s="2" t="s">
        <v>12</v>
      </c>
      <c r="G58" s="2" t="s">
        <v>47</v>
      </c>
    </row>
    <row r="59" spans="1:7" x14ac:dyDescent="0.25">
      <c r="A59" s="3" t="s">
        <v>8</v>
      </c>
      <c r="B59" s="3" t="s">
        <v>9</v>
      </c>
      <c r="C59" s="3" t="s">
        <v>43</v>
      </c>
      <c r="D59" s="3" t="s">
        <v>44</v>
      </c>
      <c r="E59" s="5">
        <v>50</v>
      </c>
      <c r="F59" s="3" t="s">
        <v>12</v>
      </c>
      <c r="G59" s="3" t="s">
        <v>64</v>
      </c>
    </row>
    <row r="60" spans="1:7" x14ac:dyDescent="0.25">
      <c r="A60" s="3" t="s">
        <v>8</v>
      </c>
      <c r="B60" s="3" t="s">
        <v>9</v>
      </c>
      <c r="C60" s="3" t="s">
        <v>43</v>
      </c>
      <c r="D60" s="3" t="s">
        <v>44</v>
      </c>
      <c r="E60" s="5">
        <v>50</v>
      </c>
      <c r="F60" s="3" t="s">
        <v>12</v>
      </c>
      <c r="G60" s="3" t="s">
        <v>68</v>
      </c>
    </row>
    <row r="61" spans="1:7" x14ac:dyDescent="0.25">
      <c r="A61" s="3" t="s">
        <v>8</v>
      </c>
      <c r="B61" s="3" t="s">
        <v>9</v>
      </c>
      <c r="C61" s="3" t="s">
        <v>43</v>
      </c>
      <c r="D61" s="3" t="s">
        <v>44</v>
      </c>
      <c r="E61" s="5">
        <v>50</v>
      </c>
      <c r="F61" s="3" t="s">
        <v>12</v>
      </c>
      <c r="G61" s="3" t="s">
        <v>72</v>
      </c>
    </row>
    <row r="62" spans="1:7" x14ac:dyDescent="0.25">
      <c r="A62" s="2" t="s">
        <v>8</v>
      </c>
      <c r="B62" s="2" t="s">
        <v>9</v>
      </c>
      <c r="C62" s="2" t="s">
        <v>43</v>
      </c>
      <c r="D62" s="2" t="s">
        <v>44</v>
      </c>
      <c r="E62" s="4">
        <v>50</v>
      </c>
      <c r="F62" s="2" t="s">
        <v>12</v>
      </c>
      <c r="G62" s="2" t="s">
        <v>113</v>
      </c>
    </row>
    <row r="63" spans="1:7" x14ac:dyDescent="0.25">
      <c r="A63" s="2" t="s">
        <v>8</v>
      </c>
      <c r="B63" s="2" t="s">
        <v>9</v>
      </c>
      <c r="C63" s="2" t="s">
        <v>43</v>
      </c>
      <c r="D63" s="2" t="s">
        <v>44</v>
      </c>
      <c r="E63" s="4">
        <v>50</v>
      </c>
      <c r="F63" s="2" t="s">
        <v>12</v>
      </c>
      <c r="G63" s="2" t="s">
        <v>133</v>
      </c>
    </row>
    <row r="64" spans="1:7" x14ac:dyDescent="0.25">
      <c r="A64" s="3" t="s">
        <v>8</v>
      </c>
      <c r="B64" s="3" t="s">
        <v>9</v>
      </c>
      <c r="C64" s="3" t="s">
        <v>104</v>
      </c>
      <c r="D64" s="3" t="s">
        <v>105</v>
      </c>
      <c r="E64" s="5">
        <v>50</v>
      </c>
      <c r="F64" s="3" t="s">
        <v>12</v>
      </c>
      <c r="G64" s="3" t="s">
        <v>106</v>
      </c>
    </row>
    <row r="65" spans="1:7" x14ac:dyDescent="0.25">
      <c r="A65" s="2" t="s">
        <v>8</v>
      </c>
      <c r="B65" s="2" t="s">
        <v>9</v>
      </c>
      <c r="C65" s="2" t="s">
        <v>25</v>
      </c>
      <c r="D65" s="2" t="s">
        <v>26</v>
      </c>
      <c r="E65" s="4">
        <v>50</v>
      </c>
      <c r="F65" s="2" t="s">
        <v>12</v>
      </c>
      <c r="G65" s="2" t="s">
        <v>27</v>
      </c>
    </row>
    <row r="66" spans="1:7" x14ac:dyDescent="0.25">
      <c r="A66" s="2" t="s">
        <v>8</v>
      </c>
      <c r="B66" s="2" t="s">
        <v>9</v>
      </c>
      <c r="C66" s="2" t="s">
        <v>25</v>
      </c>
      <c r="D66" s="2" t="s">
        <v>26</v>
      </c>
      <c r="E66" s="4">
        <v>50</v>
      </c>
      <c r="F66" s="2" t="s">
        <v>12</v>
      </c>
      <c r="G66" s="2" t="s">
        <v>65</v>
      </c>
    </row>
    <row r="67" spans="1:7" x14ac:dyDescent="0.25">
      <c r="A67" s="2" t="s">
        <v>8</v>
      </c>
      <c r="B67" s="2" t="s">
        <v>9</v>
      </c>
      <c r="C67" s="2" t="s">
        <v>25</v>
      </c>
      <c r="D67" s="2" t="s">
        <v>26</v>
      </c>
      <c r="E67" s="4">
        <v>50</v>
      </c>
      <c r="F67" s="2" t="s">
        <v>12</v>
      </c>
      <c r="G67" s="2" t="s">
        <v>73</v>
      </c>
    </row>
    <row r="68" spans="1:7" x14ac:dyDescent="0.25">
      <c r="A68" s="3" t="s">
        <v>8</v>
      </c>
      <c r="B68" s="3" t="s">
        <v>9</v>
      </c>
      <c r="C68" s="3" t="s">
        <v>25</v>
      </c>
      <c r="D68" s="3" t="s">
        <v>26</v>
      </c>
      <c r="E68" s="5">
        <v>50</v>
      </c>
      <c r="F68" s="3" t="s">
        <v>12</v>
      </c>
      <c r="G68" s="3" t="s">
        <v>88</v>
      </c>
    </row>
    <row r="69" spans="1:7" x14ac:dyDescent="0.25">
      <c r="A69" s="2" t="s">
        <v>8</v>
      </c>
      <c r="B69" s="2" t="s">
        <v>9</v>
      </c>
      <c r="C69" s="2" t="s">
        <v>25</v>
      </c>
      <c r="D69" s="2" t="s">
        <v>26</v>
      </c>
      <c r="E69" s="4">
        <v>50</v>
      </c>
      <c r="F69" s="2" t="s">
        <v>12</v>
      </c>
      <c r="G69" s="2" t="s">
        <v>97</v>
      </c>
    </row>
    <row r="70" spans="1:7" x14ac:dyDescent="0.25">
      <c r="A70" s="2" t="s">
        <v>8</v>
      </c>
      <c r="B70" s="2" t="s">
        <v>9</v>
      </c>
      <c r="C70" s="2" t="s">
        <v>89</v>
      </c>
      <c r="D70" s="2" t="s">
        <v>90</v>
      </c>
      <c r="E70" s="4">
        <v>50</v>
      </c>
      <c r="F70" s="2" t="s">
        <v>12</v>
      </c>
      <c r="G70" s="2" t="s">
        <v>91</v>
      </c>
    </row>
    <row r="71" spans="1:7" x14ac:dyDescent="0.25">
      <c r="A71" s="2" t="s">
        <v>8</v>
      </c>
      <c r="B71" s="2" t="s">
        <v>9</v>
      </c>
      <c r="C71" s="2" t="s">
        <v>55</v>
      </c>
      <c r="D71" s="2" t="s">
        <v>56</v>
      </c>
      <c r="E71" s="4">
        <v>50</v>
      </c>
      <c r="F71" s="2" t="s">
        <v>12</v>
      </c>
      <c r="G71" s="2" t="s">
        <v>57</v>
      </c>
    </row>
    <row r="72" spans="1:7" x14ac:dyDescent="0.25">
      <c r="A72" s="3" t="s">
        <v>8</v>
      </c>
      <c r="B72" s="3" t="s">
        <v>9</v>
      </c>
      <c r="C72" s="3" t="s">
        <v>55</v>
      </c>
      <c r="D72" s="3" t="s">
        <v>56</v>
      </c>
      <c r="E72" s="5">
        <v>50</v>
      </c>
      <c r="F72" s="3" t="s">
        <v>12</v>
      </c>
      <c r="G72" s="3" t="s">
        <v>66</v>
      </c>
    </row>
    <row r="73" spans="1:7" x14ac:dyDescent="0.25">
      <c r="A73" s="2" t="s">
        <v>8</v>
      </c>
      <c r="B73" s="2" t="s">
        <v>9</v>
      </c>
      <c r="C73" s="2" t="s">
        <v>55</v>
      </c>
      <c r="D73" s="2" t="s">
        <v>56</v>
      </c>
      <c r="E73" s="4">
        <v>50</v>
      </c>
      <c r="F73" s="2" t="s">
        <v>12</v>
      </c>
      <c r="G73" s="2" t="s">
        <v>121</v>
      </c>
    </row>
    <row r="74" spans="1:7" x14ac:dyDescent="0.25">
      <c r="A74" s="3" t="s">
        <v>8</v>
      </c>
      <c r="B74" s="3" t="s">
        <v>9</v>
      </c>
      <c r="C74" s="3" t="s">
        <v>55</v>
      </c>
      <c r="D74" s="3" t="s">
        <v>56</v>
      </c>
      <c r="E74" s="5">
        <v>50</v>
      </c>
      <c r="F74" s="3" t="s">
        <v>12</v>
      </c>
      <c r="G74" s="3" t="s">
        <v>122</v>
      </c>
    </row>
    <row r="75" spans="1:7" x14ac:dyDescent="0.25">
      <c r="A75" s="2" t="s">
        <v>8</v>
      </c>
      <c r="B75" s="2" t="s">
        <v>9</v>
      </c>
      <c r="C75" s="2" t="s">
        <v>19</v>
      </c>
      <c r="D75" s="2" t="s">
        <v>20</v>
      </c>
      <c r="E75" s="4">
        <v>50</v>
      </c>
      <c r="F75" s="2" t="s">
        <v>12</v>
      </c>
      <c r="G75" s="2" t="s">
        <v>21</v>
      </c>
    </row>
    <row r="76" spans="1:7" x14ac:dyDescent="0.25">
      <c r="A76" s="3" t="s">
        <v>8</v>
      </c>
      <c r="B76" s="3" t="s">
        <v>9</v>
      </c>
      <c r="C76" s="3" t="s">
        <v>19</v>
      </c>
      <c r="D76" s="3" t="s">
        <v>20</v>
      </c>
      <c r="E76" s="5">
        <v>50</v>
      </c>
      <c r="F76" s="3" t="s">
        <v>12</v>
      </c>
      <c r="G76" s="3" t="s">
        <v>46</v>
      </c>
    </row>
    <row r="77" spans="1:7" x14ac:dyDescent="0.25">
      <c r="A77" s="2" t="s">
        <v>8</v>
      </c>
      <c r="B77" s="2" t="s">
        <v>9</v>
      </c>
      <c r="C77" s="2" t="s">
        <v>19</v>
      </c>
      <c r="D77" s="2" t="s">
        <v>20</v>
      </c>
      <c r="E77" s="4">
        <v>50</v>
      </c>
      <c r="F77" s="2" t="s">
        <v>12</v>
      </c>
      <c r="G77" s="2" t="s">
        <v>83</v>
      </c>
    </row>
    <row r="78" spans="1:7" x14ac:dyDescent="0.25">
      <c r="A78" s="2" t="s">
        <v>8</v>
      </c>
      <c r="B78" s="2" t="s">
        <v>9</v>
      </c>
      <c r="C78" s="2" t="s">
        <v>29</v>
      </c>
      <c r="D78" s="2" t="s">
        <v>30</v>
      </c>
      <c r="E78" s="4">
        <v>50</v>
      </c>
      <c r="F78" s="2" t="s">
        <v>12</v>
      </c>
      <c r="G78" s="2" t="s">
        <v>31</v>
      </c>
    </row>
    <row r="79" spans="1:7" x14ac:dyDescent="0.25">
      <c r="A79" s="3" t="s">
        <v>8</v>
      </c>
      <c r="B79" s="3" t="s">
        <v>9</v>
      </c>
      <c r="C79" s="3" t="s">
        <v>114</v>
      </c>
      <c r="D79" s="3" t="s">
        <v>115</v>
      </c>
      <c r="E79" s="5">
        <v>50</v>
      </c>
      <c r="F79" s="3" t="s">
        <v>12</v>
      </c>
      <c r="G79" s="3" t="s">
        <v>116</v>
      </c>
    </row>
    <row r="80" spans="1:7" x14ac:dyDescent="0.25">
      <c r="A80" s="3" t="s">
        <v>8</v>
      </c>
      <c r="B80" s="3" t="s">
        <v>9</v>
      </c>
      <c r="C80" s="3" t="s">
        <v>128</v>
      </c>
      <c r="D80" s="3" t="s">
        <v>129</v>
      </c>
      <c r="E80" s="5">
        <v>50</v>
      </c>
      <c r="F80" s="3" t="s">
        <v>12</v>
      </c>
      <c r="G80" s="3" t="s">
        <v>130</v>
      </c>
    </row>
    <row r="81" spans="1:7" x14ac:dyDescent="0.25">
      <c r="A81" s="3" t="s">
        <v>8</v>
      </c>
      <c r="B81" s="3" t="s">
        <v>9</v>
      </c>
      <c r="C81" s="3" t="s">
        <v>50</v>
      </c>
      <c r="D81" s="3" t="s">
        <v>51</v>
      </c>
      <c r="E81" s="5">
        <v>50</v>
      </c>
      <c r="F81" s="3" t="s">
        <v>12</v>
      </c>
      <c r="G81" s="3" t="s">
        <v>52</v>
      </c>
    </row>
    <row r="82" spans="1:7" x14ac:dyDescent="0.25">
      <c r="A82" s="2" t="s">
        <v>8</v>
      </c>
      <c r="B82" s="2" t="s">
        <v>9</v>
      </c>
      <c r="C82" s="2" t="s">
        <v>50</v>
      </c>
      <c r="D82" s="2" t="s">
        <v>51</v>
      </c>
      <c r="E82" s="4">
        <v>50</v>
      </c>
      <c r="F82" s="2" t="s">
        <v>12</v>
      </c>
      <c r="G82" s="2" t="s">
        <v>53</v>
      </c>
    </row>
    <row r="83" spans="1:7" x14ac:dyDescent="0.25">
      <c r="A83" s="3" t="s">
        <v>8</v>
      </c>
      <c r="B83" s="3" t="s">
        <v>9</v>
      </c>
      <c r="C83" s="3" t="s">
        <v>50</v>
      </c>
      <c r="D83" s="3" t="s">
        <v>51</v>
      </c>
      <c r="E83" s="5">
        <v>50</v>
      </c>
      <c r="F83" s="3" t="s">
        <v>12</v>
      </c>
      <c r="G83" s="3" t="s">
        <v>54</v>
      </c>
    </row>
    <row r="84" spans="1:7" x14ac:dyDescent="0.25">
      <c r="A84" s="2" t="s">
        <v>8</v>
      </c>
      <c r="B84" s="2" t="s">
        <v>9</v>
      </c>
      <c r="C84" s="2" t="s">
        <v>50</v>
      </c>
      <c r="D84" s="2" t="s">
        <v>51</v>
      </c>
      <c r="E84" s="4">
        <v>50</v>
      </c>
      <c r="F84" s="2" t="s">
        <v>12</v>
      </c>
      <c r="G84" s="2" t="s">
        <v>107</v>
      </c>
    </row>
    <row r="85" spans="1:7" x14ac:dyDescent="0.25">
      <c r="A85" s="2" t="s">
        <v>8</v>
      </c>
      <c r="B85" s="2" t="s">
        <v>9</v>
      </c>
      <c r="C85" s="2" t="s">
        <v>50</v>
      </c>
      <c r="D85" s="2" t="s">
        <v>51</v>
      </c>
      <c r="E85" s="4">
        <v>50</v>
      </c>
      <c r="F85" s="2" t="s">
        <v>12</v>
      </c>
      <c r="G85" s="2" t="s">
        <v>109</v>
      </c>
    </row>
  </sheetData>
  <sortState xmlns:xlrd2="http://schemas.microsoft.com/office/spreadsheetml/2017/richdata2" ref="A3:I85">
    <sortCondition ref="D3:D85"/>
  </sortState>
  <mergeCells count="1"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8310-2867-4233-90F3-EB59499D8AF1}">
  <dimension ref="A1:J85"/>
  <sheetViews>
    <sheetView tabSelected="1" topLeftCell="A46" workbookViewId="0">
      <selection activeCell="G48" sqref="G48"/>
    </sheetView>
  </sheetViews>
  <sheetFormatPr defaultRowHeight="15" x14ac:dyDescent="0.25"/>
  <cols>
    <col min="1" max="1" width="23.5703125" style="9" bestFit="1" customWidth="1"/>
    <col min="2" max="2" width="20.42578125" style="9" bestFit="1" customWidth="1"/>
    <col min="3" max="3" width="26.42578125" style="9" bestFit="1" customWidth="1"/>
    <col min="4" max="4" width="23.85546875" style="9" bestFit="1" customWidth="1"/>
    <col min="5" max="5" width="16.42578125" style="9" bestFit="1" customWidth="1"/>
    <col min="6" max="6" width="16.28515625" style="9" bestFit="1" customWidth="1"/>
    <col min="7" max="7" width="19.7109375" style="9" bestFit="1" customWidth="1"/>
    <col min="8" max="8" width="15.7109375" style="9" bestFit="1" customWidth="1"/>
    <col min="9" max="9" width="36.42578125" style="9" bestFit="1" customWidth="1"/>
    <col min="10" max="16384" width="9.140625" style="9"/>
  </cols>
  <sheetData>
    <row r="1" spans="1:10" x14ac:dyDescent="0.25">
      <c r="D1" s="8" t="s">
        <v>0</v>
      </c>
      <c r="E1" s="10"/>
      <c r="F1" s="10"/>
    </row>
    <row r="2" spans="1:10" x14ac:dyDescent="0.2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</row>
    <row r="3" spans="1:10" x14ac:dyDescent="0.25">
      <c r="A3" s="12" t="s">
        <v>8</v>
      </c>
      <c r="B3" s="12" t="s">
        <v>9</v>
      </c>
      <c r="C3" s="12">
        <v>9079571</v>
      </c>
      <c r="D3" s="12" t="s">
        <v>23</v>
      </c>
      <c r="E3" s="13">
        <v>50</v>
      </c>
      <c r="F3" s="12" t="s">
        <v>12</v>
      </c>
      <c r="G3" s="12" t="s">
        <v>24</v>
      </c>
      <c r="H3" s="12" t="s">
        <v>134</v>
      </c>
      <c r="I3" s="9" t="str">
        <f>CONCATENATE(H3," ","-"," ",G3)</f>
        <v>Aetna Med Supp - Bonus for CLI7453502</v>
      </c>
      <c r="J3" s="9" t="str">
        <f>CONCATENATE("-",E3)</f>
        <v>-50</v>
      </c>
    </row>
    <row r="4" spans="1:10" x14ac:dyDescent="0.25">
      <c r="A4" s="12" t="s">
        <v>8</v>
      </c>
      <c r="B4" s="12" t="s">
        <v>9</v>
      </c>
      <c r="C4" s="12">
        <v>9079571</v>
      </c>
      <c r="D4" s="12" t="s">
        <v>23</v>
      </c>
      <c r="E4" s="13">
        <v>50</v>
      </c>
      <c r="F4" s="12" t="s">
        <v>12</v>
      </c>
      <c r="G4" s="12" t="s">
        <v>103</v>
      </c>
      <c r="H4" s="12" t="s">
        <v>134</v>
      </c>
      <c r="I4" s="9" t="str">
        <f t="shared" ref="I4:I64" si="0">CONCATENATE(H4," ","-"," ",G4)</f>
        <v>Aetna Med Supp - Bonus for CLI7442573</v>
      </c>
      <c r="J4" s="9" t="str">
        <f t="shared" ref="J4:J67" si="1">CONCATENATE("-",E4)</f>
        <v>-50</v>
      </c>
    </row>
    <row r="5" spans="1:10" x14ac:dyDescent="0.25">
      <c r="A5" s="12" t="s">
        <v>8</v>
      </c>
      <c r="B5" s="12" t="s">
        <v>9</v>
      </c>
      <c r="C5" s="12">
        <v>9079571</v>
      </c>
      <c r="D5" s="12" t="s">
        <v>23</v>
      </c>
      <c r="E5" s="13">
        <v>50</v>
      </c>
      <c r="F5" s="12" t="s">
        <v>12</v>
      </c>
      <c r="G5" s="12" t="s">
        <v>132</v>
      </c>
      <c r="H5" s="12" t="s">
        <v>134</v>
      </c>
      <c r="I5" s="9" t="str">
        <f t="shared" si="0"/>
        <v>Aetna Med Supp - Bonus for CLI7453500</v>
      </c>
      <c r="J5" s="9" t="str">
        <f t="shared" si="1"/>
        <v>-50</v>
      </c>
    </row>
    <row r="6" spans="1:10" x14ac:dyDescent="0.25">
      <c r="A6" s="12" t="s">
        <v>8</v>
      </c>
      <c r="B6" s="12" t="s">
        <v>9</v>
      </c>
      <c r="C6" s="12">
        <v>16912722</v>
      </c>
      <c r="D6" s="12" t="s">
        <v>81</v>
      </c>
      <c r="E6" s="13">
        <v>50</v>
      </c>
      <c r="F6" s="12" t="s">
        <v>12</v>
      </c>
      <c r="G6" s="12" t="s">
        <v>82</v>
      </c>
      <c r="H6" s="12" t="s">
        <v>134</v>
      </c>
      <c r="I6" s="9" t="str">
        <f t="shared" si="0"/>
        <v>Aetna Med Supp - Bonus for CLI7435284</v>
      </c>
      <c r="J6" s="9" t="str">
        <f t="shared" si="1"/>
        <v>-50</v>
      </c>
    </row>
    <row r="7" spans="1:10" x14ac:dyDescent="0.25">
      <c r="A7" s="12" t="s">
        <v>8</v>
      </c>
      <c r="B7" s="12" t="s">
        <v>9</v>
      </c>
      <c r="C7" s="12">
        <v>7146581</v>
      </c>
      <c r="D7" s="12" t="s">
        <v>111</v>
      </c>
      <c r="E7" s="13">
        <v>50</v>
      </c>
      <c r="F7" s="12" t="s">
        <v>12</v>
      </c>
      <c r="G7" s="12" t="s">
        <v>112</v>
      </c>
      <c r="H7" s="12" t="s">
        <v>134</v>
      </c>
      <c r="I7" s="9" t="str">
        <f t="shared" si="0"/>
        <v>Aetna Med Supp - Bonus for CLI7443817</v>
      </c>
      <c r="J7" s="9" t="str">
        <f t="shared" si="1"/>
        <v>-50</v>
      </c>
    </row>
    <row r="8" spans="1:10" x14ac:dyDescent="0.25">
      <c r="A8" s="12" t="s">
        <v>8</v>
      </c>
      <c r="B8" s="12" t="s">
        <v>9</v>
      </c>
      <c r="C8" s="12">
        <v>17554531</v>
      </c>
      <c r="D8" s="12" t="s">
        <v>59</v>
      </c>
      <c r="E8" s="13">
        <v>50</v>
      </c>
      <c r="F8" s="12" t="s">
        <v>12</v>
      </c>
      <c r="G8" s="12" t="s">
        <v>60</v>
      </c>
      <c r="H8" s="12" t="s">
        <v>134</v>
      </c>
      <c r="I8" s="9" t="str">
        <f t="shared" si="0"/>
        <v>Aetna Med Supp - Bonus for CLI7442197</v>
      </c>
      <c r="J8" s="9" t="str">
        <f t="shared" si="1"/>
        <v>-50</v>
      </c>
    </row>
    <row r="9" spans="1:10" x14ac:dyDescent="0.25">
      <c r="A9" s="12" t="s">
        <v>8</v>
      </c>
      <c r="B9" s="12" t="s">
        <v>9</v>
      </c>
      <c r="C9" s="12">
        <v>17554531</v>
      </c>
      <c r="D9" s="12" t="s">
        <v>59</v>
      </c>
      <c r="E9" s="13">
        <v>50</v>
      </c>
      <c r="F9" s="12" t="s">
        <v>12</v>
      </c>
      <c r="G9" s="12" t="s">
        <v>61</v>
      </c>
      <c r="H9" s="12" t="s">
        <v>134</v>
      </c>
      <c r="I9" s="9" t="str">
        <f t="shared" si="0"/>
        <v>Aetna Med Supp - Bonus for CLI7442054</v>
      </c>
      <c r="J9" s="9" t="str">
        <f t="shared" si="1"/>
        <v>-50</v>
      </c>
    </row>
    <row r="10" spans="1:10" x14ac:dyDescent="0.25">
      <c r="A10" s="12" t="s">
        <v>8</v>
      </c>
      <c r="B10" s="12" t="s">
        <v>9</v>
      </c>
      <c r="C10" s="12">
        <v>17554531</v>
      </c>
      <c r="D10" s="12" t="s">
        <v>59</v>
      </c>
      <c r="E10" s="13">
        <v>50</v>
      </c>
      <c r="F10" s="12" t="s">
        <v>12</v>
      </c>
      <c r="G10" s="12" t="s">
        <v>62</v>
      </c>
      <c r="H10" s="12" t="s">
        <v>134</v>
      </c>
      <c r="I10" s="9" t="str">
        <f t="shared" si="0"/>
        <v>Aetna Med Supp - Bonus for CLI7442052</v>
      </c>
      <c r="J10" s="9" t="str">
        <f t="shared" si="1"/>
        <v>-50</v>
      </c>
    </row>
    <row r="11" spans="1:10" x14ac:dyDescent="0.25">
      <c r="A11" s="12" t="s">
        <v>8</v>
      </c>
      <c r="B11" s="12" t="s">
        <v>9</v>
      </c>
      <c r="C11" s="12">
        <v>17554531</v>
      </c>
      <c r="D11" s="12" t="s">
        <v>59</v>
      </c>
      <c r="E11" s="13">
        <v>50</v>
      </c>
      <c r="F11" s="12" t="s">
        <v>12</v>
      </c>
      <c r="G11" s="12" t="s">
        <v>71</v>
      </c>
      <c r="H11" s="12" t="s">
        <v>134</v>
      </c>
      <c r="I11" s="9" t="str">
        <f t="shared" si="0"/>
        <v>Aetna Med Supp - Bonus for CLI7437365</v>
      </c>
      <c r="J11" s="9" t="str">
        <f t="shared" si="1"/>
        <v>-50</v>
      </c>
    </row>
    <row r="12" spans="1:10" x14ac:dyDescent="0.25">
      <c r="A12" s="12" t="s">
        <v>8</v>
      </c>
      <c r="B12" s="12" t="s">
        <v>9</v>
      </c>
      <c r="C12" s="12">
        <v>17554531</v>
      </c>
      <c r="D12" s="12" t="s">
        <v>59</v>
      </c>
      <c r="E12" s="13">
        <v>50</v>
      </c>
      <c r="F12" s="12" t="s">
        <v>12</v>
      </c>
      <c r="G12" s="12" t="s">
        <v>74</v>
      </c>
      <c r="H12" s="12" t="s">
        <v>134</v>
      </c>
      <c r="I12" s="9" t="str">
        <f t="shared" si="0"/>
        <v>Aetna Med Supp - Bonus for CLI7435365</v>
      </c>
      <c r="J12" s="9" t="str">
        <f t="shared" si="1"/>
        <v>-50</v>
      </c>
    </row>
    <row r="13" spans="1:10" x14ac:dyDescent="0.25">
      <c r="A13" s="12" t="s">
        <v>8</v>
      </c>
      <c r="B13" s="12" t="s">
        <v>9</v>
      </c>
      <c r="C13" s="12">
        <v>17554531</v>
      </c>
      <c r="D13" s="12" t="s">
        <v>59</v>
      </c>
      <c r="E13" s="13">
        <v>50</v>
      </c>
      <c r="F13" s="12" t="s">
        <v>12</v>
      </c>
      <c r="G13" s="12" t="s">
        <v>75</v>
      </c>
      <c r="H13" s="12" t="s">
        <v>134</v>
      </c>
      <c r="I13" s="9" t="str">
        <f t="shared" si="0"/>
        <v>Aetna Med Supp - Bonus for CLI7435363</v>
      </c>
      <c r="J13" s="9" t="str">
        <f t="shared" si="1"/>
        <v>-50</v>
      </c>
    </row>
    <row r="14" spans="1:10" x14ac:dyDescent="0.25">
      <c r="A14" s="12" t="s">
        <v>8</v>
      </c>
      <c r="B14" s="12" t="s">
        <v>9</v>
      </c>
      <c r="C14" s="12">
        <v>17554531</v>
      </c>
      <c r="D14" s="12" t="s">
        <v>59</v>
      </c>
      <c r="E14" s="13">
        <v>50</v>
      </c>
      <c r="F14" s="12" t="s">
        <v>12</v>
      </c>
      <c r="G14" s="12" t="s">
        <v>84</v>
      </c>
      <c r="H14" s="12" t="s">
        <v>134</v>
      </c>
      <c r="I14" s="9" t="str">
        <f t="shared" si="0"/>
        <v>Aetna Med Supp - Bonus for CLI7435364</v>
      </c>
      <c r="J14" s="9" t="str">
        <f t="shared" si="1"/>
        <v>-50</v>
      </c>
    </row>
    <row r="15" spans="1:10" x14ac:dyDescent="0.25">
      <c r="A15" s="12" t="s">
        <v>8</v>
      </c>
      <c r="B15" s="12" t="s">
        <v>9</v>
      </c>
      <c r="C15" s="12">
        <v>17554531</v>
      </c>
      <c r="D15" s="12" t="s">
        <v>59</v>
      </c>
      <c r="E15" s="13">
        <v>100</v>
      </c>
      <c r="F15" s="12" t="s">
        <v>12</v>
      </c>
      <c r="G15" s="12" t="s">
        <v>100</v>
      </c>
      <c r="H15" s="12" t="s">
        <v>134</v>
      </c>
      <c r="I15" s="9" t="str">
        <f t="shared" si="0"/>
        <v>Aetna Med Supp - Bonus for CLI7442020</v>
      </c>
      <c r="J15" s="9" t="str">
        <f t="shared" si="1"/>
        <v>-100</v>
      </c>
    </row>
    <row r="16" spans="1:10" x14ac:dyDescent="0.25">
      <c r="A16" s="12" t="s">
        <v>8</v>
      </c>
      <c r="B16" s="12" t="s">
        <v>9</v>
      </c>
      <c r="C16" s="12">
        <v>17554531</v>
      </c>
      <c r="D16" s="12" t="s">
        <v>59</v>
      </c>
      <c r="E16" s="13">
        <v>50</v>
      </c>
      <c r="F16" s="12" t="s">
        <v>12</v>
      </c>
      <c r="G16" s="12" t="s">
        <v>101</v>
      </c>
      <c r="H16" s="12" t="s">
        <v>134</v>
      </c>
      <c r="I16" s="9" t="str">
        <f t="shared" si="0"/>
        <v>Aetna Med Supp - Bonus for CLI7442053</v>
      </c>
      <c r="J16" s="9" t="str">
        <f t="shared" si="1"/>
        <v>-50</v>
      </c>
    </row>
    <row r="17" spans="1:10" x14ac:dyDescent="0.25">
      <c r="A17" s="12" t="s">
        <v>8</v>
      </c>
      <c r="B17" s="12" t="s">
        <v>9</v>
      </c>
      <c r="C17" s="12">
        <v>17554531</v>
      </c>
      <c r="D17" s="12" t="s">
        <v>59</v>
      </c>
      <c r="E17" s="13">
        <v>50</v>
      </c>
      <c r="F17" s="12" t="s">
        <v>12</v>
      </c>
      <c r="G17" s="12" t="s">
        <v>102</v>
      </c>
      <c r="H17" s="12" t="s">
        <v>134</v>
      </c>
      <c r="I17" s="9" t="str">
        <f t="shared" si="0"/>
        <v>Aetna Med Supp - Bonus for CLI7442193</v>
      </c>
      <c r="J17" s="9" t="str">
        <f t="shared" si="1"/>
        <v>-50</v>
      </c>
    </row>
    <row r="18" spans="1:10" x14ac:dyDescent="0.25">
      <c r="A18" s="12" t="s">
        <v>8</v>
      </c>
      <c r="B18" s="12" t="s">
        <v>9</v>
      </c>
      <c r="C18" s="12">
        <v>17425766</v>
      </c>
      <c r="D18" s="12" t="s">
        <v>33</v>
      </c>
      <c r="E18" s="13">
        <v>50</v>
      </c>
      <c r="F18" s="12" t="s">
        <v>12</v>
      </c>
      <c r="G18" s="12" t="s">
        <v>34</v>
      </c>
      <c r="H18" s="12" t="s">
        <v>134</v>
      </c>
      <c r="I18" s="9" t="str">
        <f t="shared" si="0"/>
        <v>Aetna Med Supp - Bonus for CLI7449477</v>
      </c>
      <c r="J18" s="9" t="str">
        <f t="shared" si="1"/>
        <v>-50</v>
      </c>
    </row>
    <row r="19" spans="1:10" x14ac:dyDescent="0.25">
      <c r="A19" s="12" t="s">
        <v>8</v>
      </c>
      <c r="B19" s="12" t="s">
        <v>9</v>
      </c>
      <c r="C19" s="12">
        <v>17425766</v>
      </c>
      <c r="D19" s="12" t="s">
        <v>33</v>
      </c>
      <c r="E19" s="13">
        <v>50</v>
      </c>
      <c r="F19" s="12" t="s">
        <v>12</v>
      </c>
      <c r="G19" s="12" t="s">
        <v>94</v>
      </c>
      <c r="H19" s="12" t="s">
        <v>134</v>
      </c>
      <c r="I19" s="9" t="str">
        <f t="shared" si="0"/>
        <v>Aetna Med Supp - Bonus for CLI7437644</v>
      </c>
      <c r="J19" s="9" t="str">
        <f t="shared" si="1"/>
        <v>-50</v>
      </c>
    </row>
    <row r="20" spans="1:10" x14ac:dyDescent="0.25">
      <c r="A20" s="12" t="s">
        <v>8</v>
      </c>
      <c r="B20" s="12" t="s">
        <v>9</v>
      </c>
      <c r="C20" s="12">
        <v>17425766</v>
      </c>
      <c r="D20" s="12" t="s">
        <v>33</v>
      </c>
      <c r="E20" s="13">
        <v>50</v>
      </c>
      <c r="F20" s="12" t="s">
        <v>12</v>
      </c>
      <c r="G20" s="12" t="s">
        <v>96</v>
      </c>
      <c r="H20" s="12" t="s">
        <v>134</v>
      </c>
      <c r="I20" s="9" t="str">
        <f t="shared" si="0"/>
        <v>Aetna Med Supp - Bonus for CLI7440195</v>
      </c>
      <c r="J20" s="9" t="str">
        <f t="shared" si="1"/>
        <v>-50</v>
      </c>
    </row>
    <row r="21" spans="1:10" x14ac:dyDescent="0.25">
      <c r="A21" s="12" t="s">
        <v>8</v>
      </c>
      <c r="B21" s="12" t="s">
        <v>9</v>
      </c>
      <c r="C21" s="12">
        <v>17425766</v>
      </c>
      <c r="D21" s="12" t="s">
        <v>33</v>
      </c>
      <c r="E21" s="13">
        <v>50</v>
      </c>
      <c r="F21" s="12" t="s">
        <v>12</v>
      </c>
      <c r="G21" s="12" t="s">
        <v>120</v>
      </c>
      <c r="H21" s="12" t="s">
        <v>134</v>
      </c>
      <c r="I21" s="9" t="str">
        <f t="shared" si="0"/>
        <v>Aetna Med Supp - Bonus for CLI7446103</v>
      </c>
      <c r="J21" s="9" t="str">
        <f t="shared" si="1"/>
        <v>-50</v>
      </c>
    </row>
    <row r="22" spans="1:10" x14ac:dyDescent="0.25">
      <c r="A22" s="12" t="s">
        <v>8</v>
      </c>
      <c r="B22" s="12" t="s">
        <v>9</v>
      </c>
      <c r="C22" s="12">
        <v>20003537</v>
      </c>
      <c r="D22" s="12" t="s">
        <v>38</v>
      </c>
      <c r="E22" s="13">
        <v>50</v>
      </c>
      <c r="F22" s="12" t="s">
        <v>12</v>
      </c>
      <c r="G22" s="12" t="s">
        <v>39</v>
      </c>
      <c r="H22" s="12" t="s">
        <v>134</v>
      </c>
      <c r="I22" s="9" t="str">
        <f t="shared" si="0"/>
        <v>Aetna Med Supp - Bonus for CLI7447962</v>
      </c>
      <c r="J22" s="9" t="str">
        <f t="shared" si="1"/>
        <v>-50</v>
      </c>
    </row>
    <row r="23" spans="1:10" x14ac:dyDescent="0.25">
      <c r="A23" s="12" t="s">
        <v>8</v>
      </c>
      <c r="B23" s="12" t="s">
        <v>9</v>
      </c>
      <c r="C23" s="12">
        <v>20003537</v>
      </c>
      <c r="D23" s="12" t="s">
        <v>38</v>
      </c>
      <c r="E23" s="13">
        <v>50</v>
      </c>
      <c r="F23" s="12" t="s">
        <v>12</v>
      </c>
      <c r="G23" s="12" t="s">
        <v>40</v>
      </c>
      <c r="H23" s="12" t="s">
        <v>134</v>
      </c>
      <c r="I23" s="9" t="str">
        <f t="shared" si="0"/>
        <v>Aetna Med Supp - Bonus for CLI7447960</v>
      </c>
      <c r="J23" s="9" t="str">
        <f t="shared" si="1"/>
        <v>-50</v>
      </c>
    </row>
    <row r="24" spans="1:10" x14ac:dyDescent="0.25">
      <c r="A24" s="12" t="s">
        <v>8</v>
      </c>
      <c r="B24" s="12" t="s">
        <v>9</v>
      </c>
      <c r="C24" s="12">
        <v>20003537</v>
      </c>
      <c r="D24" s="12" t="s">
        <v>38</v>
      </c>
      <c r="E24" s="13">
        <v>50</v>
      </c>
      <c r="F24" s="12" t="s">
        <v>12</v>
      </c>
      <c r="G24" s="12" t="s">
        <v>123</v>
      </c>
      <c r="H24" s="12" t="s">
        <v>134</v>
      </c>
      <c r="I24" s="9" t="str">
        <f t="shared" si="0"/>
        <v>Aetna Med Supp - Bonus for CLI7447961</v>
      </c>
      <c r="J24" s="9" t="str">
        <f t="shared" si="1"/>
        <v>-50</v>
      </c>
    </row>
    <row r="25" spans="1:10" x14ac:dyDescent="0.25">
      <c r="A25" s="12" t="s">
        <v>8</v>
      </c>
      <c r="B25" s="12" t="s">
        <v>9</v>
      </c>
      <c r="C25" s="12">
        <v>19681796</v>
      </c>
      <c r="D25" s="12" t="s">
        <v>118</v>
      </c>
      <c r="E25" s="13">
        <v>50</v>
      </c>
      <c r="F25" s="12" t="s">
        <v>12</v>
      </c>
      <c r="G25" s="12" t="s">
        <v>119</v>
      </c>
      <c r="H25" s="12" t="s">
        <v>134</v>
      </c>
      <c r="I25" s="9" t="str">
        <f t="shared" si="0"/>
        <v>Aetna Med Supp - Bonus for CLI7445071</v>
      </c>
      <c r="J25" s="9" t="str">
        <f t="shared" si="1"/>
        <v>-50</v>
      </c>
    </row>
    <row r="26" spans="1:10" x14ac:dyDescent="0.25">
      <c r="A26" s="12" t="s">
        <v>8</v>
      </c>
      <c r="B26" s="12" t="s">
        <v>9</v>
      </c>
      <c r="C26" s="12">
        <v>8325282</v>
      </c>
      <c r="D26" s="12" t="s">
        <v>86</v>
      </c>
      <c r="E26" s="13">
        <v>50</v>
      </c>
      <c r="F26" s="12" t="s">
        <v>12</v>
      </c>
      <c r="G26" s="12" t="s">
        <v>87</v>
      </c>
      <c r="H26" s="12" t="s">
        <v>134</v>
      </c>
      <c r="I26" s="9" t="str">
        <f t="shared" si="0"/>
        <v>Aetna Med Supp - Bonus for CLI7436169</v>
      </c>
      <c r="J26" s="9" t="str">
        <f t="shared" si="1"/>
        <v>-50</v>
      </c>
    </row>
    <row r="27" spans="1:10" x14ac:dyDescent="0.25">
      <c r="A27" s="12" t="s">
        <v>8</v>
      </c>
      <c r="B27" s="12" t="s">
        <v>9</v>
      </c>
      <c r="C27" s="12">
        <v>16849453</v>
      </c>
      <c r="D27" s="12" t="s">
        <v>15</v>
      </c>
      <c r="E27" s="13">
        <v>50</v>
      </c>
      <c r="F27" s="12" t="s">
        <v>12</v>
      </c>
      <c r="G27" s="12" t="s">
        <v>16</v>
      </c>
      <c r="H27" s="12" t="s">
        <v>134</v>
      </c>
      <c r="I27" s="9" t="str">
        <f t="shared" si="0"/>
        <v>Aetna Med Supp - Bonus for CLI7434296</v>
      </c>
      <c r="J27" s="9" t="str">
        <f t="shared" si="1"/>
        <v>-50</v>
      </c>
    </row>
    <row r="28" spans="1:10" x14ac:dyDescent="0.25">
      <c r="A28" s="12" t="s">
        <v>8</v>
      </c>
      <c r="B28" s="12" t="s">
        <v>9</v>
      </c>
      <c r="C28" s="12">
        <v>16849453</v>
      </c>
      <c r="D28" s="12" t="s">
        <v>15</v>
      </c>
      <c r="E28" s="13">
        <v>50</v>
      </c>
      <c r="F28" s="12" t="s">
        <v>12</v>
      </c>
      <c r="G28" s="12" t="s">
        <v>35</v>
      </c>
      <c r="H28" s="12" t="s">
        <v>134</v>
      </c>
      <c r="I28" s="9" t="str">
        <f t="shared" si="0"/>
        <v>Aetna Med Supp - Bonus for CLI7449379</v>
      </c>
      <c r="J28" s="9" t="str">
        <f t="shared" si="1"/>
        <v>-50</v>
      </c>
    </row>
    <row r="29" spans="1:10" x14ac:dyDescent="0.25">
      <c r="A29" s="12" t="s">
        <v>8</v>
      </c>
      <c r="B29" s="12" t="s">
        <v>9</v>
      </c>
      <c r="C29" s="12">
        <v>16849453</v>
      </c>
      <c r="D29" s="12" t="s">
        <v>15</v>
      </c>
      <c r="E29" s="13">
        <v>50</v>
      </c>
      <c r="F29" s="12" t="s">
        <v>12</v>
      </c>
      <c r="G29" s="12" t="s">
        <v>41</v>
      </c>
      <c r="H29" s="12" t="s">
        <v>134</v>
      </c>
      <c r="I29" s="9" t="str">
        <f t="shared" si="0"/>
        <v>Aetna Med Supp - Bonus for CLI7447393</v>
      </c>
      <c r="J29" s="9" t="str">
        <f t="shared" si="1"/>
        <v>-50</v>
      </c>
    </row>
    <row r="30" spans="1:10" x14ac:dyDescent="0.25">
      <c r="A30" s="12" t="s">
        <v>8</v>
      </c>
      <c r="B30" s="12" t="s">
        <v>9</v>
      </c>
      <c r="C30" s="12">
        <v>16849453</v>
      </c>
      <c r="D30" s="12" t="s">
        <v>15</v>
      </c>
      <c r="E30" s="13">
        <v>50</v>
      </c>
      <c r="F30" s="12" t="s">
        <v>12</v>
      </c>
      <c r="G30" s="12" t="s">
        <v>77</v>
      </c>
      <c r="H30" s="12" t="s">
        <v>134</v>
      </c>
      <c r="I30" s="9" t="str">
        <f t="shared" si="0"/>
        <v>Aetna Med Supp - Bonus for CLI7434045</v>
      </c>
      <c r="J30" s="9" t="str">
        <f t="shared" si="1"/>
        <v>-50</v>
      </c>
    </row>
    <row r="31" spans="1:10" x14ac:dyDescent="0.25">
      <c r="A31" s="12" t="s">
        <v>8</v>
      </c>
      <c r="B31" s="12" t="s">
        <v>9</v>
      </c>
      <c r="C31" s="12">
        <v>16849453</v>
      </c>
      <c r="D31" s="12" t="s">
        <v>15</v>
      </c>
      <c r="E31" s="13">
        <v>50</v>
      </c>
      <c r="F31" s="12" t="s">
        <v>12</v>
      </c>
      <c r="G31" s="12" t="s">
        <v>78</v>
      </c>
      <c r="H31" s="12" t="s">
        <v>134</v>
      </c>
      <c r="I31" s="9" t="str">
        <f t="shared" si="0"/>
        <v>Aetna Med Supp - Bonus for CLI7434315</v>
      </c>
      <c r="J31" s="9" t="str">
        <f t="shared" si="1"/>
        <v>-50</v>
      </c>
    </row>
    <row r="32" spans="1:10" x14ac:dyDescent="0.25">
      <c r="A32" s="12" t="s">
        <v>8</v>
      </c>
      <c r="B32" s="12" t="s">
        <v>9</v>
      </c>
      <c r="C32" s="12">
        <v>16849453</v>
      </c>
      <c r="D32" s="12" t="s">
        <v>15</v>
      </c>
      <c r="E32" s="13">
        <v>50</v>
      </c>
      <c r="F32" s="12" t="s">
        <v>12</v>
      </c>
      <c r="G32" s="12" t="s">
        <v>99</v>
      </c>
      <c r="H32" s="12" t="s">
        <v>134</v>
      </c>
      <c r="I32" s="9" t="str">
        <f t="shared" si="0"/>
        <v>Aetna Med Supp - Bonus for CLI7441956</v>
      </c>
      <c r="J32" s="9" t="str">
        <f t="shared" si="1"/>
        <v>-50</v>
      </c>
    </row>
    <row r="33" spans="1:10" x14ac:dyDescent="0.25">
      <c r="A33" s="12" t="s">
        <v>8</v>
      </c>
      <c r="B33" s="12" t="s">
        <v>9</v>
      </c>
      <c r="C33" s="12">
        <v>16849453</v>
      </c>
      <c r="D33" s="12" t="s">
        <v>15</v>
      </c>
      <c r="E33" s="13">
        <v>50</v>
      </c>
      <c r="F33" s="12" t="s">
        <v>12</v>
      </c>
      <c r="G33" s="12" t="s">
        <v>124</v>
      </c>
      <c r="H33" s="12" t="s">
        <v>134</v>
      </c>
      <c r="I33" s="9" t="str">
        <f t="shared" si="0"/>
        <v>Aetna Med Supp - Bonus for CLI7448076</v>
      </c>
      <c r="J33" s="9" t="str">
        <f t="shared" si="1"/>
        <v>-50</v>
      </c>
    </row>
    <row r="34" spans="1:10" x14ac:dyDescent="0.25">
      <c r="A34" s="12" t="s">
        <v>8</v>
      </c>
      <c r="B34" s="12" t="s">
        <v>9</v>
      </c>
      <c r="C34" s="12">
        <v>16849453</v>
      </c>
      <c r="D34" s="12" t="s">
        <v>15</v>
      </c>
      <c r="E34" s="13">
        <v>50</v>
      </c>
      <c r="F34" s="12" t="s">
        <v>12</v>
      </c>
      <c r="G34" s="12" t="s">
        <v>127</v>
      </c>
      <c r="H34" s="12" t="s">
        <v>134</v>
      </c>
      <c r="I34" s="9" t="str">
        <f t="shared" si="0"/>
        <v>Aetna Med Supp - Bonus for CLI7449726</v>
      </c>
      <c r="J34" s="9" t="str">
        <f t="shared" si="1"/>
        <v>-50</v>
      </c>
    </row>
    <row r="35" spans="1:10" x14ac:dyDescent="0.25">
      <c r="A35" s="12" t="s">
        <v>8</v>
      </c>
      <c r="B35" s="12" t="s">
        <v>9</v>
      </c>
      <c r="C35" s="12">
        <v>9213293</v>
      </c>
      <c r="D35" s="12" t="s">
        <v>11</v>
      </c>
      <c r="E35" s="13">
        <v>50</v>
      </c>
      <c r="F35" s="12" t="s">
        <v>12</v>
      </c>
      <c r="G35" s="12" t="s">
        <v>13</v>
      </c>
      <c r="H35" s="12" t="s">
        <v>134</v>
      </c>
      <c r="I35" s="9" t="str">
        <f t="shared" si="0"/>
        <v>Aetna Med Supp - Bonus for CLI7433999</v>
      </c>
      <c r="J35" s="9" t="str">
        <f t="shared" si="1"/>
        <v>-50</v>
      </c>
    </row>
    <row r="36" spans="1:10" x14ac:dyDescent="0.25">
      <c r="A36" s="12" t="s">
        <v>8</v>
      </c>
      <c r="B36" s="12" t="s">
        <v>9</v>
      </c>
      <c r="C36" s="12">
        <v>9213293</v>
      </c>
      <c r="D36" s="12" t="s">
        <v>11</v>
      </c>
      <c r="E36" s="13">
        <v>50</v>
      </c>
      <c r="F36" s="12" t="s">
        <v>12</v>
      </c>
      <c r="G36" s="12" t="s">
        <v>17</v>
      </c>
      <c r="H36" s="12" t="s">
        <v>134</v>
      </c>
      <c r="I36" s="9" t="str">
        <f t="shared" si="0"/>
        <v>Aetna Med Supp - Bonus for CLI7434441</v>
      </c>
      <c r="J36" s="9" t="str">
        <f t="shared" si="1"/>
        <v>-50</v>
      </c>
    </row>
    <row r="37" spans="1:10" x14ac:dyDescent="0.25">
      <c r="A37" s="12" t="s">
        <v>8</v>
      </c>
      <c r="B37" s="12" t="s">
        <v>9</v>
      </c>
      <c r="C37" s="12">
        <v>9213293</v>
      </c>
      <c r="D37" s="12" t="s">
        <v>11</v>
      </c>
      <c r="E37" s="13">
        <v>50</v>
      </c>
      <c r="F37" s="12" t="s">
        <v>12</v>
      </c>
      <c r="G37" s="12" t="s">
        <v>18</v>
      </c>
      <c r="H37" s="12" t="s">
        <v>134</v>
      </c>
      <c r="I37" s="9" t="str">
        <f t="shared" si="0"/>
        <v>Aetna Med Supp - Bonus for CLI7434666</v>
      </c>
      <c r="J37" s="9" t="str">
        <f t="shared" si="1"/>
        <v>-50</v>
      </c>
    </row>
    <row r="38" spans="1:10" x14ac:dyDescent="0.25">
      <c r="A38" s="12" t="s">
        <v>8</v>
      </c>
      <c r="B38" s="12" t="s">
        <v>9</v>
      </c>
      <c r="C38" s="12">
        <v>9213293</v>
      </c>
      <c r="D38" s="12" t="s">
        <v>11</v>
      </c>
      <c r="E38" s="13">
        <v>50</v>
      </c>
      <c r="F38" s="12" t="s">
        <v>12</v>
      </c>
      <c r="G38" s="12" t="s">
        <v>28</v>
      </c>
      <c r="H38" s="12" t="s">
        <v>134</v>
      </c>
      <c r="I38" s="9" t="str">
        <f t="shared" si="0"/>
        <v>Aetna Med Supp - Bonus for CLI7452130</v>
      </c>
      <c r="J38" s="9" t="str">
        <f t="shared" si="1"/>
        <v>-50</v>
      </c>
    </row>
    <row r="39" spans="1:10" x14ac:dyDescent="0.25">
      <c r="A39" s="12" t="s">
        <v>8</v>
      </c>
      <c r="B39" s="12" t="s">
        <v>9</v>
      </c>
      <c r="C39" s="12">
        <v>9213293</v>
      </c>
      <c r="D39" s="12" t="s">
        <v>11</v>
      </c>
      <c r="E39" s="13">
        <v>50</v>
      </c>
      <c r="F39" s="12" t="s">
        <v>12</v>
      </c>
      <c r="G39" s="12" t="s">
        <v>36</v>
      </c>
      <c r="H39" s="12" t="s">
        <v>134</v>
      </c>
      <c r="I39" s="9" t="str">
        <f t="shared" si="0"/>
        <v>Aetna Med Supp - Bonus for CLI7448091</v>
      </c>
      <c r="J39" s="9" t="str">
        <f t="shared" si="1"/>
        <v>-50</v>
      </c>
    </row>
    <row r="40" spans="1:10" x14ac:dyDescent="0.25">
      <c r="A40" s="12" t="s">
        <v>8</v>
      </c>
      <c r="B40" s="12" t="s">
        <v>9</v>
      </c>
      <c r="C40" s="12">
        <v>9213293</v>
      </c>
      <c r="D40" s="12" t="s">
        <v>11</v>
      </c>
      <c r="E40" s="13">
        <v>50</v>
      </c>
      <c r="F40" s="12" t="s">
        <v>12</v>
      </c>
      <c r="G40" s="12" t="s">
        <v>42</v>
      </c>
      <c r="H40" s="12" t="s">
        <v>134</v>
      </c>
      <c r="I40" s="9" t="str">
        <f t="shared" si="0"/>
        <v>Aetna Med Supp - Bonus for CLI7446253</v>
      </c>
      <c r="J40" s="9" t="str">
        <f t="shared" si="1"/>
        <v>-50</v>
      </c>
    </row>
    <row r="41" spans="1:10" x14ac:dyDescent="0.25">
      <c r="A41" s="12" t="s">
        <v>8</v>
      </c>
      <c r="B41" s="12" t="s">
        <v>9</v>
      </c>
      <c r="C41" s="12">
        <v>9213293</v>
      </c>
      <c r="D41" s="12" t="s">
        <v>11</v>
      </c>
      <c r="E41" s="13">
        <v>50</v>
      </c>
      <c r="F41" s="12" t="s">
        <v>12</v>
      </c>
      <c r="G41" s="12" t="s">
        <v>48</v>
      </c>
      <c r="H41" s="12" t="s">
        <v>134</v>
      </c>
      <c r="I41" s="9" t="str">
        <f t="shared" si="0"/>
        <v>Aetna Med Supp - Bonus for CLI7443930</v>
      </c>
      <c r="J41" s="9" t="str">
        <f t="shared" si="1"/>
        <v>-50</v>
      </c>
    </row>
    <row r="42" spans="1:10" x14ac:dyDescent="0.25">
      <c r="A42" s="12" t="s">
        <v>8</v>
      </c>
      <c r="B42" s="12" t="s">
        <v>9</v>
      </c>
      <c r="C42" s="12">
        <v>9213293</v>
      </c>
      <c r="D42" s="12" t="s">
        <v>11</v>
      </c>
      <c r="E42" s="13">
        <v>50</v>
      </c>
      <c r="F42" s="12" t="s">
        <v>12</v>
      </c>
      <c r="G42" s="12" t="s">
        <v>49</v>
      </c>
      <c r="H42" s="12" t="s">
        <v>134</v>
      </c>
      <c r="I42" s="9" t="str">
        <f t="shared" si="0"/>
        <v>Aetna Med Supp - Bonus for CLI7443600</v>
      </c>
      <c r="J42" s="9" t="str">
        <f t="shared" si="1"/>
        <v>-50</v>
      </c>
    </row>
    <row r="43" spans="1:10" x14ac:dyDescent="0.25">
      <c r="A43" s="12" t="s">
        <v>8</v>
      </c>
      <c r="B43" s="12" t="s">
        <v>9</v>
      </c>
      <c r="C43" s="12">
        <v>9213293</v>
      </c>
      <c r="D43" s="12" t="s">
        <v>11</v>
      </c>
      <c r="E43" s="13">
        <v>50</v>
      </c>
      <c r="F43" s="12" t="s">
        <v>12</v>
      </c>
      <c r="G43" s="12" t="s">
        <v>63</v>
      </c>
      <c r="H43" s="12" t="s">
        <v>134</v>
      </c>
      <c r="I43" s="9" t="str">
        <f t="shared" si="0"/>
        <v>Aetna Med Supp - Bonus for CLI7441991</v>
      </c>
      <c r="J43" s="9" t="str">
        <f t="shared" si="1"/>
        <v>-50</v>
      </c>
    </row>
    <row r="44" spans="1:10" x14ac:dyDescent="0.25">
      <c r="A44" s="12" t="s">
        <v>8</v>
      </c>
      <c r="B44" s="12" t="s">
        <v>9</v>
      </c>
      <c r="C44" s="12">
        <v>9213293</v>
      </c>
      <c r="D44" s="12" t="s">
        <v>11</v>
      </c>
      <c r="E44" s="13">
        <v>50</v>
      </c>
      <c r="F44" s="12" t="s">
        <v>12</v>
      </c>
      <c r="G44" s="12" t="s">
        <v>67</v>
      </c>
      <c r="H44" s="12" t="s">
        <v>134</v>
      </c>
      <c r="I44" s="9" t="str">
        <f t="shared" si="0"/>
        <v>Aetna Med Supp - Bonus for CLI7439584</v>
      </c>
      <c r="J44" s="9" t="str">
        <f t="shared" si="1"/>
        <v>-50</v>
      </c>
    </row>
    <row r="45" spans="1:10" x14ac:dyDescent="0.25">
      <c r="A45" s="12" t="s">
        <v>8</v>
      </c>
      <c r="B45" s="12" t="s">
        <v>9</v>
      </c>
      <c r="C45" s="12">
        <v>9213293</v>
      </c>
      <c r="D45" s="12" t="s">
        <v>11</v>
      </c>
      <c r="E45" s="13">
        <v>50</v>
      </c>
      <c r="F45" s="12" t="s">
        <v>12</v>
      </c>
      <c r="G45" s="12" t="s">
        <v>69</v>
      </c>
      <c r="H45" s="12" t="s">
        <v>134</v>
      </c>
      <c r="I45" s="9" t="str">
        <f t="shared" si="0"/>
        <v>Aetna Med Supp - Bonus for CLI7437639</v>
      </c>
      <c r="J45" s="9" t="str">
        <f t="shared" si="1"/>
        <v>-50</v>
      </c>
    </row>
    <row r="46" spans="1:10" x14ac:dyDescent="0.25">
      <c r="A46" s="12" t="s">
        <v>8</v>
      </c>
      <c r="B46" s="12" t="s">
        <v>9</v>
      </c>
      <c r="C46" s="12">
        <v>9213293</v>
      </c>
      <c r="D46" s="12" t="s">
        <v>11</v>
      </c>
      <c r="E46" s="13">
        <v>50</v>
      </c>
      <c r="F46" s="12" t="s">
        <v>12</v>
      </c>
      <c r="G46" s="12" t="s">
        <v>70</v>
      </c>
      <c r="H46" s="12" t="s">
        <v>134</v>
      </c>
      <c r="I46" s="9" t="str">
        <f t="shared" si="0"/>
        <v>Aetna Med Supp - Bonus for CLI7437397</v>
      </c>
      <c r="J46" s="9" t="str">
        <f t="shared" si="1"/>
        <v>-50</v>
      </c>
    </row>
    <row r="47" spans="1:10" x14ac:dyDescent="0.25">
      <c r="A47" s="12" t="s">
        <v>8</v>
      </c>
      <c r="B47" s="12" t="s">
        <v>9</v>
      </c>
      <c r="C47" s="12">
        <v>9213293</v>
      </c>
      <c r="D47" s="12" t="s">
        <v>11</v>
      </c>
      <c r="E47" s="13">
        <v>50</v>
      </c>
      <c r="F47" s="12" t="s">
        <v>12</v>
      </c>
      <c r="G47" s="12" t="s">
        <v>76</v>
      </c>
      <c r="H47" s="12" t="s">
        <v>134</v>
      </c>
      <c r="I47" s="9" t="str">
        <f t="shared" si="0"/>
        <v>Aetna Med Supp - Bonus for CLI7433998</v>
      </c>
      <c r="J47" s="9" t="str">
        <f t="shared" si="1"/>
        <v>-50</v>
      </c>
    </row>
    <row r="48" spans="1:10" x14ac:dyDescent="0.25">
      <c r="A48" s="12" t="s">
        <v>8</v>
      </c>
      <c r="B48" s="12" t="s">
        <v>9</v>
      </c>
      <c r="C48" s="12">
        <v>9213293</v>
      </c>
      <c r="D48" s="12" t="s">
        <v>11</v>
      </c>
      <c r="E48" s="13">
        <v>50</v>
      </c>
      <c r="F48" s="12" t="s">
        <v>12</v>
      </c>
      <c r="G48" s="12" t="s">
        <v>79</v>
      </c>
      <c r="H48" s="12" t="s">
        <v>134</v>
      </c>
      <c r="I48" s="9" t="str">
        <f t="shared" si="0"/>
        <v>Aetna Med Supp - Bonus for CLI7434448</v>
      </c>
      <c r="J48" s="9" t="str">
        <f t="shared" si="1"/>
        <v>-50</v>
      </c>
    </row>
    <row r="49" spans="1:10" x14ac:dyDescent="0.25">
      <c r="A49" s="12" t="s">
        <v>8</v>
      </c>
      <c r="B49" s="12" t="s">
        <v>9</v>
      </c>
      <c r="C49" s="12">
        <v>9213293</v>
      </c>
      <c r="D49" s="12" t="s">
        <v>11</v>
      </c>
      <c r="E49" s="13">
        <v>50</v>
      </c>
      <c r="F49" s="12" t="s">
        <v>12</v>
      </c>
      <c r="G49" s="12" t="s">
        <v>92</v>
      </c>
      <c r="H49" s="12" t="s">
        <v>134</v>
      </c>
      <c r="I49" s="9" t="str">
        <f t="shared" si="0"/>
        <v>Aetna Med Supp - Bonus for CLI7437396</v>
      </c>
      <c r="J49" s="9" t="str">
        <f t="shared" si="1"/>
        <v>-50</v>
      </c>
    </row>
    <row r="50" spans="1:10" x14ac:dyDescent="0.25">
      <c r="A50" s="12" t="s">
        <v>8</v>
      </c>
      <c r="B50" s="12" t="s">
        <v>9</v>
      </c>
      <c r="C50" s="12">
        <v>9213293</v>
      </c>
      <c r="D50" s="12" t="s">
        <v>11</v>
      </c>
      <c r="E50" s="13">
        <v>50</v>
      </c>
      <c r="F50" s="12" t="s">
        <v>12</v>
      </c>
      <c r="G50" s="12" t="s">
        <v>93</v>
      </c>
      <c r="H50" s="12" t="s">
        <v>134</v>
      </c>
      <c r="I50" s="9" t="str">
        <f t="shared" si="0"/>
        <v>Aetna Med Supp - Bonus for CLI7437638</v>
      </c>
      <c r="J50" s="9" t="str">
        <f t="shared" si="1"/>
        <v>-50</v>
      </c>
    </row>
    <row r="51" spans="1:10" x14ac:dyDescent="0.25">
      <c r="A51" s="12" t="s">
        <v>8</v>
      </c>
      <c r="B51" s="12" t="s">
        <v>9</v>
      </c>
      <c r="C51" s="12">
        <v>9213293</v>
      </c>
      <c r="D51" s="12" t="s">
        <v>11</v>
      </c>
      <c r="E51" s="13">
        <v>50</v>
      </c>
      <c r="F51" s="12" t="s">
        <v>12</v>
      </c>
      <c r="G51" s="12" t="s">
        <v>95</v>
      </c>
      <c r="H51" s="12" t="s">
        <v>134</v>
      </c>
      <c r="I51" s="9" t="str">
        <f t="shared" si="0"/>
        <v>Aetna Med Supp - Bonus for CLI7439471</v>
      </c>
      <c r="J51" s="9" t="str">
        <f t="shared" si="1"/>
        <v>-50</v>
      </c>
    </row>
    <row r="52" spans="1:10" x14ac:dyDescent="0.25">
      <c r="A52" s="12" t="s">
        <v>8</v>
      </c>
      <c r="B52" s="12" t="s">
        <v>9</v>
      </c>
      <c r="C52" s="12">
        <v>9213293</v>
      </c>
      <c r="D52" s="12" t="s">
        <v>11</v>
      </c>
      <c r="E52" s="13">
        <v>50</v>
      </c>
      <c r="F52" s="12" t="s">
        <v>12</v>
      </c>
      <c r="G52" s="12" t="s">
        <v>98</v>
      </c>
      <c r="H52" s="12" t="s">
        <v>134</v>
      </c>
      <c r="I52" s="9" t="str">
        <f t="shared" si="0"/>
        <v>Aetna Med Supp - Bonus for CLI7441202</v>
      </c>
      <c r="J52" s="9" t="str">
        <f t="shared" si="1"/>
        <v>-50</v>
      </c>
    </row>
    <row r="53" spans="1:10" x14ac:dyDescent="0.25">
      <c r="A53" s="12" t="s">
        <v>8</v>
      </c>
      <c r="B53" s="12" t="s">
        <v>9</v>
      </c>
      <c r="C53" s="12">
        <v>9213293</v>
      </c>
      <c r="D53" s="12" t="s">
        <v>11</v>
      </c>
      <c r="E53" s="13">
        <v>50</v>
      </c>
      <c r="F53" s="12" t="s">
        <v>12</v>
      </c>
      <c r="G53" s="12" t="s">
        <v>108</v>
      </c>
      <c r="H53" s="12" t="s">
        <v>134</v>
      </c>
      <c r="I53" s="9" t="str">
        <f t="shared" si="0"/>
        <v>Aetna Med Supp - Bonus for CLI7443349</v>
      </c>
      <c r="J53" s="9" t="str">
        <f t="shared" si="1"/>
        <v>-50</v>
      </c>
    </row>
    <row r="54" spans="1:10" x14ac:dyDescent="0.25">
      <c r="A54" s="12" t="s">
        <v>8</v>
      </c>
      <c r="B54" s="12" t="s">
        <v>9</v>
      </c>
      <c r="C54" s="12">
        <v>9213293</v>
      </c>
      <c r="D54" s="12" t="s">
        <v>11</v>
      </c>
      <c r="E54" s="13">
        <v>50</v>
      </c>
      <c r="F54" s="12" t="s">
        <v>12</v>
      </c>
      <c r="G54" s="12" t="s">
        <v>125</v>
      </c>
      <c r="H54" s="12" t="s">
        <v>134</v>
      </c>
      <c r="I54" s="9" t="str">
        <f t="shared" si="0"/>
        <v>Aetna Med Supp - Bonus for CLI7449068</v>
      </c>
      <c r="J54" s="9" t="str">
        <f t="shared" si="1"/>
        <v>-50</v>
      </c>
    </row>
    <row r="55" spans="1:10" x14ac:dyDescent="0.25">
      <c r="A55" s="12" t="s">
        <v>8</v>
      </c>
      <c r="B55" s="12" t="s">
        <v>9</v>
      </c>
      <c r="C55" s="12">
        <v>9213293</v>
      </c>
      <c r="D55" s="12" t="s">
        <v>11</v>
      </c>
      <c r="E55" s="13">
        <v>50</v>
      </c>
      <c r="F55" s="12" t="s">
        <v>12</v>
      </c>
      <c r="G55" s="12" t="s">
        <v>126</v>
      </c>
      <c r="H55" s="12" t="s">
        <v>134</v>
      </c>
      <c r="I55" s="9" t="str">
        <f t="shared" si="0"/>
        <v>Aetna Med Supp - Bonus for CLI7449473</v>
      </c>
      <c r="J55" s="9" t="str">
        <f t="shared" si="1"/>
        <v>-50</v>
      </c>
    </row>
    <row r="56" spans="1:10" x14ac:dyDescent="0.25">
      <c r="A56" s="12" t="s">
        <v>8</v>
      </c>
      <c r="B56" s="12" t="s">
        <v>9</v>
      </c>
      <c r="C56" s="12">
        <v>9213293</v>
      </c>
      <c r="D56" s="12" t="s">
        <v>11</v>
      </c>
      <c r="E56" s="13">
        <v>50</v>
      </c>
      <c r="F56" s="12" t="s">
        <v>12</v>
      </c>
      <c r="G56" s="12" t="s">
        <v>131</v>
      </c>
      <c r="H56" s="12" t="s">
        <v>134</v>
      </c>
      <c r="I56" s="9" t="str">
        <f t="shared" si="0"/>
        <v>Aetna Med Supp - Bonus for CLI7453299</v>
      </c>
      <c r="J56" s="9" t="str">
        <f t="shared" si="1"/>
        <v>-50</v>
      </c>
    </row>
    <row r="57" spans="1:10" x14ac:dyDescent="0.25">
      <c r="A57" s="12" t="s">
        <v>8</v>
      </c>
      <c r="B57" s="12" t="s">
        <v>9</v>
      </c>
      <c r="C57" s="12">
        <v>18754354</v>
      </c>
      <c r="D57" s="12" t="s">
        <v>44</v>
      </c>
      <c r="E57" s="13">
        <v>50</v>
      </c>
      <c r="F57" s="12" t="s">
        <v>12</v>
      </c>
      <c r="G57" s="12" t="s">
        <v>45</v>
      </c>
      <c r="H57" s="12" t="s">
        <v>134</v>
      </c>
      <c r="I57" s="9" t="str">
        <f t="shared" si="0"/>
        <v>Aetna Med Supp - Bonus for CLI7445979</v>
      </c>
      <c r="J57" s="9" t="str">
        <f t="shared" si="1"/>
        <v>-50</v>
      </c>
    </row>
    <row r="58" spans="1:10" x14ac:dyDescent="0.25">
      <c r="A58" s="12" t="s">
        <v>8</v>
      </c>
      <c r="B58" s="12" t="s">
        <v>9</v>
      </c>
      <c r="C58" s="12">
        <v>18754354</v>
      </c>
      <c r="D58" s="12" t="s">
        <v>44</v>
      </c>
      <c r="E58" s="13">
        <v>50</v>
      </c>
      <c r="F58" s="12" t="s">
        <v>12</v>
      </c>
      <c r="G58" s="12" t="s">
        <v>47</v>
      </c>
      <c r="H58" s="12" t="s">
        <v>134</v>
      </c>
      <c r="I58" s="9" t="str">
        <f t="shared" si="0"/>
        <v>Aetna Med Supp - Bonus for CLI7444446</v>
      </c>
      <c r="J58" s="9" t="str">
        <f t="shared" si="1"/>
        <v>-50</v>
      </c>
    </row>
    <row r="59" spans="1:10" x14ac:dyDescent="0.25">
      <c r="A59" s="12" t="s">
        <v>8</v>
      </c>
      <c r="B59" s="12" t="s">
        <v>9</v>
      </c>
      <c r="C59" s="12">
        <v>18754354</v>
      </c>
      <c r="D59" s="12" t="s">
        <v>44</v>
      </c>
      <c r="E59" s="13">
        <v>50</v>
      </c>
      <c r="F59" s="12" t="s">
        <v>12</v>
      </c>
      <c r="G59" s="12" t="s">
        <v>64</v>
      </c>
      <c r="H59" s="12" t="s">
        <v>134</v>
      </c>
      <c r="I59" s="9" t="str">
        <f t="shared" si="0"/>
        <v>Aetna Med Supp - Bonus for CLI7441501</v>
      </c>
      <c r="J59" s="9" t="str">
        <f t="shared" si="1"/>
        <v>-50</v>
      </c>
    </row>
    <row r="60" spans="1:10" x14ac:dyDescent="0.25">
      <c r="A60" s="12" t="s">
        <v>8</v>
      </c>
      <c r="B60" s="12" t="s">
        <v>9</v>
      </c>
      <c r="C60" s="12">
        <v>18754354</v>
      </c>
      <c r="D60" s="12" t="s">
        <v>44</v>
      </c>
      <c r="E60" s="13">
        <v>50</v>
      </c>
      <c r="F60" s="12" t="s">
        <v>12</v>
      </c>
      <c r="G60" s="12" t="s">
        <v>68</v>
      </c>
      <c r="H60" s="12" t="s">
        <v>134</v>
      </c>
      <c r="I60" s="9" t="str">
        <f t="shared" si="0"/>
        <v>Aetna Med Supp - Bonus for CLI7438848</v>
      </c>
      <c r="J60" s="9" t="str">
        <f t="shared" si="1"/>
        <v>-50</v>
      </c>
    </row>
    <row r="61" spans="1:10" x14ac:dyDescent="0.25">
      <c r="A61" s="12" t="s">
        <v>8</v>
      </c>
      <c r="B61" s="12" t="s">
        <v>9</v>
      </c>
      <c r="C61" s="12">
        <v>18754354</v>
      </c>
      <c r="D61" s="12" t="s">
        <v>44</v>
      </c>
      <c r="E61" s="13">
        <v>50</v>
      </c>
      <c r="F61" s="12" t="s">
        <v>12</v>
      </c>
      <c r="G61" s="12" t="s">
        <v>72</v>
      </c>
      <c r="H61" s="12" t="s">
        <v>134</v>
      </c>
      <c r="I61" s="9" t="str">
        <f t="shared" si="0"/>
        <v>Aetna Med Supp - Bonus for CLI7436636</v>
      </c>
      <c r="J61" s="9" t="str">
        <f t="shared" si="1"/>
        <v>-50</v>
      </c>
    </row>
    <row r="62" spans="1:10" x14ac:dyDescent="0.25">
      <c r="A62" s="12" t="s">
        <v>8</v>
      </c>
      <c r="B62" s="12" t="s">
        <v>9</v>
      </c>
      <c r="C62" s="12">
        <v>18754354</v>
      </c>
      <c r="D62" s="12" t="s">
        <v>44</v>
      </c>
      <c r="E62" s="13">
        <v>50</v>
      </c>
      <c r="F62" s="12" t="s">
        <v>12</v>
      </c>
      <c r="G62" s="12" t="s">
        <v>113</v>
      </c>
      <c r="H62" s="12" t="s">
        <v>134</v>
      </c>
      <c r="I62" s="9" t="str">
        <f t="shared" si="0"/>
        <v>Aetna Med Supp - Bonus for CLI7444445</v>
      </c>
      <c r="J62" s="9" t="str">
        <f t="shared" si="1"/>
        <v>-50</v>
      </c>
    </row>
    <row r="63" spans="1:10" x14ac:dyDescent="0.25">
      <c r="A63" s="12" t="s">
        <v>8</v>
      </c>
      <c r="B63" s="12" t="s">
        <v>9</v>
      </c>
      <c r="C63" s="12">
        <v>18754354</v>
      </c>
      <c r="D63" s="12" t="s">
        <v>44</v>
      </c>
      <c r="E63" s="13">
        <v>50</v>
      </c>
      <c r="F63" s="12" t="s">
        <v>12</v>
      </c>
      <c r="G63" s="12" t="s">
        <v>133</v>
      </c>
      <c r="H63" s="12" t="s">
        <v>134</v>
      </c>
      <c r="I63" s="9" t="str">
        <f t="shared" si="0"/>
        <v>Aetna Med Supp - Bonus for CLI7454230</v>
      </c>
      <c r="J63" s="9" t="str">
        <f t="shared" si="1"/>
        <v>-50</v>
      </c>
    </row>
    <row r="64" spans="1:10" x14ac:dyDescent="0.25">
      <c r="A64" s="12" t="s">
        <v>8</v>
      </c>
      <c r="B64" s="12" t="s">
        <v>9</v>
      </c>
      <c r="C64" s="12">
        <v>19279958</v>
      </c>
      <c r="D64" s="12" t="s">
        <v>105</v>
      </c>
      <c r="E64" s="13">
        <v>50</v>
      </c>
      <c r="F64" s="12" t="s">
        <v>12</v>
      </c>
      <c r="G64" s="12" t="s">
        <v>106</v>
      </c>
      <c r="H64" s="12" t="s">
        <v>134</v>
      </c>
      <c r="I64" s="9" t="str">
        <f>CONCATENATE(H64," ","-"," ",G64)</f>
        <v>Aetna Med Supp - Bonus for CLI7443079</v>
      </c>
      <c r="J64" s="9" t="str">
        <f t="shared" si="1"/>
        <v>-50</v>
      </c>
    </row>
    <row r="65" spans="1:10" s="16" customFormat="1" x14ac:dyDescent="0.25">
      <c r="A65" s="14" t="s">
        <v>8</v>
      </c>
      <c r="B65" s="14" t="s">
        <v>9</v>
      </c>
      <c r="C65" s="14">
        <v>19491313</v>
      </c>
      <c r="D65" s="14" t="s">
        <v>135</v>
      </c>
      <c r="E65" s="15">
        <v>50</v>
      </c>
      <c r="F65" s="14" t="s">
        <v>12</v>
      </c>
      <c r="G65" s="14" t="s">
        <v>27</v>
      </c>
      <c r="H65" s="14" t="s">
        <v>134</v>
      </c>
      <c r="I65" s="9" t="str">
        <f>CONCATENATE(H65," ","-"," ",G65, " ", "For"," ",D65)</f>
        <v>Aetna Med Supp - Bonus for CLI7453371 For Jennifer Halsaver</v>
      </c>
      <c r="J65" s="9" t="str">
        <f t="shared" si="1"/>
        <v>-50</v>
      </c>
    </row>
    <row r="66" spans="1:10" s="16" customFormat="1" x14ac:dyDescent="0.25">
      <c r="A66" s="14" t="s">
        <v>8</v>
      </c>
      <c r="B66" s="14" t="s">
        <v>9</v>
      </c>
      <c r="C66" s="14">
        <v>19491313</v>
      </c>
      <c r="D66" s="14" t="s">
        <v>135</v>
      </c>
      <c r="E66" s="15">
        <v>50</v>
      </c>
      <c r="F66" s="14" t="s">
        <v>12</v>
      </c>
      <c r="G66" s="14" t="s">
        <v>65</v>
      </c>
      <c r="H66" s="14" t="s">
        <v>134</v>
      </c>
      <c r="I66" s="9" t="str">
        <f t="shared" ref="I66:I70" si="2">CONCATENATE(H66," ","-"," ",G66, " ", "For"," ",D66)</f>
        <v>Aetna Med Supp - Bonus for CLI7440629 For Jennifer Halsaver</v>
      </c>
      <c r="J66" s="9" t="str">
        <f t="shared" si="1"/>
        <v>-50</v>
      </c>
    </row>
    <row r="67" spans="1:10" s="16" customFormat="1" x14ac:dyDescent="0.25">
      <c r="A67" s="14" t="s">
        <v>8</v>
      </c>
      <c r="B67" s="14" t="s">
        <v>9</v>
      </c>
      <c r="C67" s="14">
        <v>19491313</v>
      </c>
      <c r="D67" s="14" t="s">
        <v>135</v>
      </c>
      <c r="E67" s="15">
        <v>50</v>
      </c>
      <c r="F67" s="14" t="s">
        <v>12</v>
      </c>
      <c r="G67" s="14" t="s">
        <v>73</v>
      </c>
      <c r="H67" s="14" t="s">
        <v>134</v>
      </c>
      <c r="I67" s="9" t="str">
        <f t="shared" si="2"/>
        <v>Aetna Med Supp - Bonus for CLI7436506 For Jennifer Halsaver</v>
      </c>
      <c r="J67" s="9" t="str">
        <f t="shared" si="1"/>
        <v>-50</v>
      </c>
    </row>
    <row r="68" spans="1:10" s="16" customFormat="1" x14ac:dyDescent="0.25">
      <c r="A68" s="14" t="s">
        <v>8</v>
      </c>
      <c r="B68" s="14" t="s">
        <v>9</v>
      </c>
      <c r="C68" s="14">
        <v>19491313</v>
      </c>
      <c r="D68" s="14" t="s">
        <v>135</v>
      </c>
      <c r="E68" s="15">
        <v>50</v>
      </c>
      <c r="F68" s="14" t="s">
        <v>12</v>
      </c>
      <c r="G68" s="14" t="s">
        <v>88</v>
      </c>
      <c r="H68" s="14" t="s">
        <v>134</v>
      </c>
      <c r="I68" s="9" t="str">
        <f t="shared" si="2"/>
        <v>Aetna Med Supp - Bonus for CLI7436507 For Jennifer Halsaver</v>
      </c>
      <c r="J68" s="9" t="str">
        <f t="shared" ref="J68:J85" si="3">CONCATENATE("-",E68)</f>
        <v>-50</v>
      </c>
    </row>
    <row r="69" spans="1:10" s="16" customFormat="1" x14ac:dyDescent="0.25">
      <c r="A69" s="14" t="s">
        <v>8</v>
      </c>
      <c r="B69" s="14" t="s">
        <v>9</v>
      </c>
      <c r="C69" s="14">
        <v>19491313</v>
      </c>
      <c r="D69" s="14" t="s">
        <v>135</v>
      </c>
      <c r="E69" s="15">
        <v>50</v>
      </c>
      <c r="F69" s="14" t="s">
        <v>12</v>
      </c>
      <c r="G69" s="14" t="s">
        <v>97</v>
      </c>
      <c r="H69" s="14" t="s">
        <v>134</v>
      </c>
      <c r="I69" s="9" t="str">
        <f t="shared" si="2"/>
        <v>Aetna Med Supp - Bonus for CLI7440628 For Jennifer Halsaver</v>
      </c>
      <c r="J69" s="9" t="str">
        <f t="shared" si="3"/>
        <v>-50</v>
      </c>
    </row>
    <row r="70" spans="1:10" s="16" customFormat="1" x14ac:dyDescent="0.25">
      <c r="A70" s="14" t="s">
        <v>8</v>
      </c>
      <c r="B70" s="14" t="s">
        <v>9</v>
      </c>
      <c r="C70" s="14">
        <v>16170994</v>
      </c>
      <c r="D70" s="14" t="s">
        <v>90</v>
      </c>
      <c r="E70" s="15">
        <v>50</v>
      </c>
      <c r="F70" s="14" t="s">
        <v>12</v>
      </c>
      <c r="G70" s="14" t="s">
        <v>91</v>
      </c>
      <c r="H70" s="14" t="s">
        <v>134</v>
      </c>
      <c r="I70" s="9" t="str">
        <f t="shared" si="2"/>
        <v>Aetna Med Supp - Bonus for CLI7437301 For Jill Shepard</v>
      </c>
      <c r="J70" s="9" t="str">
        <f t="shared" si="3"/>
        <v>-50</v>
      </c>
    </row>
    <row r="71" spans="1:10" x14ac:dyDescent="0.25">
      <c r="A71" s="12" t="s">
        <v>8</v>
      </c>
      <c r="B71" s="12" t="s">
        <v>9</v>
      </c>
      <c r="C71" s="12">
        <v>1706194</v>
      </c>
      <c r="D71" s="12" t="s">
        <v>56</v>
      </c>
      <c r="E71" s="13">
        <v>50</v>
      </c>
      <c r="F71" s="12" t="s">
        <v>12</v>
      </c>
      <c r="G71" s="12" t="s">
        <v>57</v>
      </c>
      <c r="H71" s="12" t="s">
        <v>134</v>
      </c>
      <c r="I71" s="9" t="str">
        <f t="shared" ref="I71:I85" si="4">CONCATENATE(H71," ","-"," ",G71)</f>
        <v>Aetna Med Supp - Bonus for CLI7442721</v>
      </c>
      <c r="J71" s="9" t="str">
        <f t="shared" si="3"/>
        <v>-50</v>
      </c>
    </row>
    <row r="72" spans="1:10" x14ac:dyDescent="0.25">
      <c r="A72" s="12" t="s">
        <v>8</v>
      </c>
      <c r="B72" s="12" t="s">
        <v>9</v>
      </c>
      <c r="C72" s="12">
        <v>1706194</v>
      </c>
      <c r="D72" s="12" t="s">
        <v>56</v>
      </c>
      <c r="E72" s="13">
        <v>50</v>
      </c>
      <c r="F72" s="12" t="s">
        <v>12</v>
      </c>
      <c r="G72" s="12" t="s">
        <v>66</v>
      </c>
      <c r="H72" s="12" t="s">
        <v>134</v>
      </c>
      <c r="I72" s="9" t="str">
        <f t="shared" si="4"/>
        <v>Aetna Med Supp - Bonus for CLI7440597</v>
      </c>
      <c r="J72" s="9" t="str">
        <f t="shared" si="3"/>
        <v>-50</v>
      </c>
    </row>
    <row r="73" spans="1:10" x14ac:dyDescent="0.25">
      <c r="A73" s="12" t="s">
        <v>8</v>
      </c>
      <c r="B73" s="12" t="s">
        <v>9</v>
      </c>
      <c r="C73" s="12">
        <v>1706194</v>
      </c>
      <c r="D73" s="12" t="s">
        <v>56</v>
      </c>
      <c r="E73" s="13">
        <v>50</v>
      </c>
      <c r="F73" s="12" t="s">
        <v>12</v>
      </c>
      <c r="G73" s="12" t="s">
        <v>121</v>
      </c>
      <c r="H73" s="12" t="s">
        <v>134</v>
      </c>
      <c r="I73" s="9" t="str">
        <f t="shared" si="4"/>
        <v>Aetna Med Supp - Bonus for CLI7446938</v>
      </c>
      <c r="J73" s="9" t="str">
        <f t="shared" si="3"/>
        <v>-50</v>
      </c>
    </row>
    <row r="74" spans="1:10" x14ac:dyDescent="0.25">
      <c r="A74" s="12" t="s">
        <v>8</v>
      </c>
      <c r="B74" s="12" t="s">
        <v>9</v>
      </c>
      <c r="C74" s="12">
        <v>1706194</v>
      </c>
      <c r="D74" s="12" t="s">
        <v>56</v>
      </c>
      <c r="E74" s="13">
        <v>50</v>
      </c>
      <c r="F74" s="12" t="s">
        <v>12</v>
      </c>
      <c r="G74" s="12" t="s">
        <v>122</v>
      </c>
      <c r="H74" s="12" t="s">
        <v>134</v>
      </c>
      <c r="I74" s="9" t="str">
        <f t="shared" si="4"/>
        <v>Aetna Med Supp - Bonus for CLI7447640</v>
      </c>
      <c r="J74" s="9" t="str">
        <f t="shared" si="3"/>
        <v>-50</v>
      </c>
    </row>
    <row r="75" spans="1:10" x14ac:dyDescent="0.25">
      <c r="A75" s="12" t="s">
        <v>8</v>
      </c>
      <c r="B75" s="12" t="s">
        <v>9</v>
      </c>
      <c r="C75" s="12">
        <v>21222981</v>
      </c>
      <c r="D75" s="12" t="s">
        <v>20</v>
      </c>
      <c r="E75" s="13">
        <v>50</v>
      </c>
      <c r="F75" s="12" t="s">
        <v>12</v>
      </c>
      <c r="G75" s="12" t="s">
        <v>21</v>
      </c>
      <c r="H75" s="12" t="s">
        <v>134</v>
      </c>
      <c r="I75" s="9" t="str">
        <f t="shared" si="4"/>
        <v>Aetna Med Supp - Bonus for CLI7435322</v>
      </c>
      <c r="J75" s="9" t="str">
        <f t="shared" si="3"/>
        <v>-50</v>
      </c>
    </row>
    <row r="76" spans="1:10" x14ac:dyDescent="0.25">
      <c r="A76" s="12" t="s">
        <v>8</v>
      </c>
      <c r="B76" s="12" t="s">
        <v>9</v>
      </c>
      <c r="C76" s="12">
        <v>21222981</v>
      </c>
      <c r="D76" s="12" t="s">
        <v>20</v>
      </c>
      <c r="E76" s="13">
        <v>50</v>
      </c>
      <c r="F76" s="12" t="s">
        <v>12</v>
      </c>
      <c r="G76" s="12" t="s">
        <v>46</v>
      </c>
      <c r="H76" s="12" t="s">
        <v>134</v>
      </c>
      <c r="I76" s="9" t="str">
        <f t="shared" si="4"/>
        <v>Aetna Med Supp - Bonus for CLI7444910</v>
      </c>
      <c r="J76" s="9" t="str">
        <f t="shared" si="3"/>
        <v>-50</v>
      </c>
    </row>
    <row r="77" spans="1:10" x14ac:dyDescent="0.25">
      <c r="A77" s="12" t="s">
        <v>8</v>
      </c>
      <c r="B77" s="12" t="s">
        <v>9</v>
      </c>
      <c r="C77" s="12">
        <v>21222981</v>
      </c>
      <c r="D77" s="12" t="s">
        <v>20</v>
      </c>
      <c r="E77" s="13">
        <v>50</v>
      </c>
      <c r="F77" s="12" t="s">
        <v>12</v>
      </c>
      <c r="G77" s="12" t="s">
        <v>83</v>
      </c>
      <c r="H77" s="12" t="s">
        <v>134</v>
      </c>
      <c r="I77" s="9" t="str">
        <f t="shared" si="4"/>
        <v>Aetna Med Supp - Bonus for CLI7435323</v>
      </c>
      <c r="J77" s="9" t="str">
        <f t="shared" si="3"/>
        <v>-50</v>
      </c>
    </row>
    <row r="78" spans="1:10" x14ac:dyDescent="0.25">
      <c r="A78" s="12" t="s">
        <v>8</v>
      </c>
      <c r="B78" s="12" t="s">
        <v>9</v>
      </c>
      <c r="C78" s="12">
        <v>16509456</v>
      </c>
      <c r="D78" s="12" t="s">
        <v>30</v>
      </c>
      <c r="E78" s="13">
        <v>50</v>
      </c>
      <c r="F78" s="12" t="s">
        <v>12</v>
      </c>
      <c r="G78" s="12" t="s">
        <v>31</v>
      </c>
      <c r="H78" s="12" t="s">
        <v>134</v>
      </c>
      <c r="I78" s="9" t="str">
        <f t="shared" si="4"/>
        <v>Aetna Med Supp - Bonus for CLI7450068</v>
      </c>
      <c r="J78" s="9" t="str">
        <f t="shared" si="3"/>
        <v>-50</v>
      </c>
    </row>
    <row r="79" spans="1:10" x14ac:dyDescent="0.25">
      <c r="A79" s="12" t="s">
        <v>8</v>
      </c>
      <c r="B79" s="12" t="s">
        <v>9</v>
      </c>
      <c r="C79" s="12">
        <v>5442438</v>
      </c>
      <c r="D79" s="12" t="s">
        <v>115</v>
      </c>
      <c r="E79" s="13">
        <v>50</v>
      </c>
      <c r="F79" s="12" t="s">
        <v>12</v>
      </c>
      <c r="G79" s="12" t="s">
        <v>116</v>
      </c>
      <c r="H79" s="12" t="s">
        <v>134</v>
      </c>
      <c r="I79" s="9" t="str">
        <f t="shared" si="4"/>
        <v>Aetna Med Supp - Bonus for CLI7444619</v>
      </c>
      <c r="J79" s="9" t="str">
        <f t="shared" si="3"/>
        <v>-50</v>
      </c>
    </row>
    <row r="80" spans="1:10" x14ac:dyDescent="0.25">
      <c r="A80" s="12" t="s">
        <v>8</v>
      </c>
      <c r="B80" s="12" t="s">
        <v>9</v>
      </c>
      <c r="C80" s="12">
        <v>8977234</v>
      </c>
      <c r="D80" s="12" t="s">
        <v>129</v>
      </c>
      <c r="E80" s="13">
        <v>50</v>
      </c>
      <c r="F80" s="12" t="s">
        <v>12</v>
      </c>
      <c r="G80" s="12" t="s">
        <v>130</v>
      </c>
      <c r="H80" s="12" t="s">
        <v>134</v>
      </c>
      <c r="I80" s="9" t="str">
        <f t="shared" si="4"/>
        <v>Aetna Med Supp - Bonus for CLI7451503</v>
      </c>
      <c r="J80" s="9" t="str">
        <f t="shared" si="3"/>
        <v>-50</v>
      </c>
    </row>
    <row r="81" spans="1:10" x14ac:dyDescent="0.25">
      <c r="A81" s="12" t="s">
        <v>8</v>
      </c>
      <c r="B81" s="12" t="s">
        <v>9</v>
      </c>
      <c r="C81" s="12">
        <v>19645587</v>
      </c>
      <c r="D81" s="12" t="s">
        <v>51</v>
      </c>
      <c r="E81" s="13">
        <v>50</v>
      </c>
      <c r="F81" s="12" t="s">
        <v>12</v>
      </c>
      <c r="G81" s="12" t="s">
        <v>52</v>
      </c>
      <c r="H81" s="12" t="s">
        <v>134</v>
      </c>
      <c r="I81" s="9" t="str">
        <f t="shared" si="4"/>
        <v>Aetna Med Supp - Bonus for CLI7443495</v>
      </c>
      <c r="J81" s="9" t="str">
        <f t="shared" si="3"/>
        <v>-50</v>
      </c>
    </row>
    <row r="82" spans="1:10" x14ac:dyDescent="0.25">
      <c r="A82" s="12" t="s">
        <v>8</v>
      </c>
      <c r="B82" s="12" t="s">
        <v>9</v>
      </c>
      <c r="C82" s="12">
        <v>19645587</v>
      </c>
      <c r="D82" s="12" t="s">
        <v>51</v>
      </c>
      <c r="E82" s="13">
        <v>50</v>
      </c>
      <c r="F82" s="12" t="s">
        <v>12</v>
      </c>
      <c r="G82" s="12" t="s">
        <v>53</v>
      </c>
      <c r="H82" s="12" t="s">
        <v>134</v>
      </c>
      <c r="I82" s="9" t="str">
        <f t="shared" si="4"/>
        <v>Aetna Med Supp - Bonus for CLI7443093</v>
      </c>
      <c r="J82" s="9" t="str">
        <f t="shared" si="3"/>
        <v>-50</v>
      </c>
    </row>
    <row r="83" spans="1:10" x14ac:dyDescent="0.25">
      <c r="A83" s="12" t="s">
        <v>8</v>
      </c>
      <c r="B83" s="12" t="s">
        <v>9</v>
      </c>
      <c r="C83" s="12">
        <v>19645587</v>
      </c>
      <c r="D83" s="12" t="s">
        <v>51</v>
      </c>
      <c r="E83" s="13">
        <v>50</v>
      </c>
      <c r="F83" s="12" t="s">
        <v>12</v>
      </c>
      <c r="G83" s="12" t="s">
        <v>54</v>
      </c>
      <c r="H83" s="12" t="s">
        <v>134</v>
      </c>
      <c r="I83" s="9" t="str">
        <f t="shared" si="4"/>
        <v>Aetna Med Supp - Bonus for CLI7443090</v>
      </c>
      <c r="J83" s="9" t="str">
        <f t="shared" si="3"/>
        <v>-50</v>
      </c>
    </row>
    <row r="84" spans="1:10" x14ac:dyDescent="0.25">
      <c r="A84" s="12" t="s">
        <v>8</v>
      </c>
      <c r="B84" s="12" t="s">
        <v>9</v>
      </c>
      <c r="C84" s="12">
        <v>19645587</v>
      </c>
      <c r="D84" s="12" t="s">
        <v>51</v>
      </c>
      <c r="E84" s="13">
        <v>50</v>
      </c>
      <c r="F84" s="12" t="s">
        <v>12</v>
      </c>
      <c r="G84" s="12" t="s">
        <v>107</v>
      </c>
      <c r="H84" s="12" t="s">
        <v>134</v>
      </c>
      <c r="I84" s="9" t="str">
        <f t="shared" si="4"/>
        <v>Aetna Med Supp - Bonus for CLI7443091</v>
      </c>
      <c r="J84" s="9" t="str">
        <f t="shared" si="3"/>
        <v>-50</v>
      </c>
    </row>
    <row r="85" spans="1:10" x14ac:dyDescent="0.25">
      <c r="A85" s="12" t="s">
        <v>8</v>
      </c>
      <c r="B85" s="12" t="s">
        <v>9</v>
      </c>
      <c r="C85" s="12">
        <v>19645587</v>
      </c>
      <c r="D85" s="12" t="s">
        <v>51</v>
      </c>
      <c r="E85" s="13">
        <v>50</v>
      </c>
      <c r="F85" s="12" t="s">
        <v>12</v>
      </c>
      <c r="G85" s="12" t="s">
        <v>109</v>
      </c>
      <c r="H85" s="12" t="s">
        <v>134</v>
      </c>
      <c r="I85" s="9" t="str">
        <f t="shared" si="4"/>
        <v>Aetna Med Supp - Bonus for CLI7443496</v>
      </c>
      <c r="J85" s="9" t="str">
        <f t="shared" si="3"/>
        <v>-50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Earned Bonus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2025-12-08T14:25:21Z</dcterms:created>
  <dcterms:modified xsi:type="dcterms:W3CDTF">2025-12-08T16:47:11Z</dcterms:modified>
</cp:coreProperties>
</file>