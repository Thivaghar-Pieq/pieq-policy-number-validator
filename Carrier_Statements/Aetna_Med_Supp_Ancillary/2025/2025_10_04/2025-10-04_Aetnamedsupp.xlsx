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0-04-25\"/>
    </mc:Choice>
  </mc:AlternateContent>
  <xr:revisionPtr revIDLastSave="0" documentId="13_ncr:1_{1F06DFAD-E7E3-4207-9B27-F8F3C9981B48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3" l="1"/>
  <c r="J46" i="3"/>
  <c r="J45" i="3"/>
  <c r="J51" i="3"/>
  <c r="J2" i="3"/>
  <c r="J35" i="3"/>
  <c r="J8" i="3"/>
  <c r="J4" i="3"/>
  <c r="J5" i="3"/>
  <c r="J6" i="3"/>
  <c r="J7" i="3"/>
  <c r="J3" i="3"/>
  <c r="J11" i="3"/>
  <c r="J12" i="3"/>
  <c r="J13" i="3"/>
  <c r="J14" i="3"/>
  <c r="J15" i="3"/>
  <c r="J16" i="3"/>
  <c r="J17" i="3"/>
  <c r="J24" i="3"/>
  <c r="J28" i="3"/>
  <c r="J25" i="3"/>
  <c r="J26" i="3"/>
  <c r="J27" i="3"/>
  <c r="J29" i="3"/>
  <c r="J32" i="3"/>
  <c r="J23" i="3"/>
  <c r="J18" i="3"/>
  <c r="J43" i="3"/>
  <c r="J19" i="3"/>
  <c r="J20" i="3"/>
  <c r="J21" i="3"/>
  <c r="J22" i="3"/>
  <c r="J31" i="3"/>
  <c r="J30" i="3"/>
  <c r="J53" i="3"/>
  <c r="J52" i="3"/>
  <c r="J47" i="3"/>
  <c r="J48" i="3"/>
  <c r="J49" i="3"/>
  <c r="J50" i="3"/>
  <c r="J42" i="3"/>
  <c r="J33" i="3"/>
  <c r="J34" i="3"/>
  <c r="J41" i="3"/>
  <c r="J36" i="3"/>
  <c r="J40" i="3"/>
  <c r="J37" i="3"/>
  <c r="J38" i="3"/>
  <c r="J39" i="3"/>
  <c r="J10" i="3"/>
  <c r="J9" i="3"/>
  <c r="J54" i="3"/>
</calcChain>
</file>

<file path=xl/sharedStrings.xml><?xml version="1.0" encoding="utf-8"?>
<sst xmlns="http://schemas.openxmlformats.org/spreadsheetml/2006/main" count="1739" uniqueCount="253">
  <si>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</si>
  <si>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</si>
  <si>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</si>
  <si>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</si>
  <si>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</si>
  <si>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</si>
  <si>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</si>
  <si>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10/04/2025</t>
  </si>
  <si>
    <t>Day of Week</t>
  </si>
  <si>
    <t>FRIDAY</t>
  </si>
  <si>
    <t>Aetna Health Ins Company(AHIC)</t>
  </si>
  <si>
    <t>$52.67</t>
  </si>
  <si>
    <t>CONTINENTAL LIFE INSURANCE CO(CLI)</t>
  </si>
  <si>
    <t>$1,155.45</t>
  </si>
  <si>
    <t>Total Commission Paid</t>
  </si>
  <si>
    <t>$1,208.12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</si>
  <si>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</si>
  <si>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</si>
  <si>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</si>
  <si>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</si>
  <si>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</si>
  <si>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</si>
  <si>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</si>
  <si>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</si>
  <si>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</si>
  <si>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</si>
  <si>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$170.94</t>
  </si>
  <si>
    <t>First Year Total:</t>
  </si>
  <si>
    <t>First Year Override:</t>
  </si>
  <si>
    <t>$46.63</t>
  </si>
  <si>
    <t>$940.39</t>
  </si>
  <si>
    <t>Renewal Total:</t>
  </si>
  <si>
    <t>Renewal Override:</t>
  </si>
  <si>
    <t>$6.04</t>
  </si>
  <si>
    <t>$44.12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</si>
  <si>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</si>
  <si>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</si>
  <si>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</si>
  <si>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</si>
  <si>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</si>
  <si>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</si>
  <si>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</si>
  <si>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</si>
  <si>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</si>
  <si>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</si>
  <si>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</si>
  <si>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</si>
  <si>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</si>
  <si>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</si>
  <si>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</si>
  <si>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</si>
  <si>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</si>
  <si>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</si>
  <si>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</si>
  <si>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</si>
  <si>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</si>
  <si>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</si>
  <si>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</si>
  <si>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</si>
  <si>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</si>
  <si>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</si>
  <si>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GNW5010621</t>
  </si>
  <si>
    <t>KLAUS HERCHENRODER</t>
  </si>
  <si>
    <t>DIANE GIBBLE</t>
  </si>
  <si>
    <t>AHC6729730</t>
  </si>
  <si>
    <t>Renewal</t>
  </si>
  <si>
    <t>04/26/2024</t>
  </si>
  <si>
    <t>PA</t>
  </si>
  <si>
    <t>Medicare Supplement Plan N</t>
  </si>
  <si>
    <t>06/01/2024</t>
  </si>
  <si>
    <t>10/01/2025</t>
  </si>
  <si>
    <t>0.00</t>
  </si>
  <si>
    <t>4.00%</t>
  </si>
  <si>
    <t>000</t>
  </si>
  <si>
    <t>Monthly</t>
  </si>
  <si>
    <t xml:space="preserve">Med Supp Plan N 2010          </t>
  </si>
  <si>
    <t>GNW5021656</t>
  </si>
  <si>
    <t>GARY PORTUGAL</t>
  </si>
  <si>
    <t>MICHAEL COOK</t>
  </si>
  <si>
    <t>CLI7433999</t>
  </si>
  <si>
    <t>Initial</t>
  </si>
  <si>
    <t>FL</t>
  </si>
  <si>
    <t>HIP Flex Daily Hospital Indemnity</t>
  </si>
  <si>
    <t>60.00%</t>
  </si>
  <si>
    <t xml:space="preserve">DAILY HOSPITAL INDEMNITY      </t>
  </si>
  <si>
    <t>CLI7159382</t>
  </si>
  <si>
    <t>Dental Vision Hearing 2000</t>
  </si>
  <si>
    <t>1.75%</t>
  </si>
  <si>
    <t xml:space="preserve">Dental,Vision,Hearing 2000 PA </t>
  </si>
  <si>
    <t>GNW5015801</t>
  </si>
  <si>
    <t>RONALD MAX</t>
  </si>
  <si>
    <t>GABRIELA THOMSETT</t>
  </si>
  <si>
    <t>CLI7354199</t>
  </si>
  <si>
    <t>First Year</t>
  </si>
  <si>
    <t>05/02/2025</t>
  </si>
  <si>
    <t>MD</t>
  </si>
  <si>
    <t>Heart Attack or Stroke Insurance</t>
  </si>
  <si>
    <t>05/03/2025</t>
  </si>
  <si>
    <t>10/03/2025</t>
  </si>
  <si>
    <t>95.00%</t>
  </si>
  <si>
    <t xml:space="preserve">CHAS PLUS Heart/Stroke        </t>
  </si>
  <si>
    <t>EVA ERCOLE</t>
  </si>
  <si>
    <t>CLI7219108</t>
  </si>
  <si>
    <t>08/22/2024</t>
  </si>
  <si>
    <t>09/01/2024</t>
  </si>
  <si>
    <t>5.00%</t>
  </si>
  <si>
    <t>GNW5005221</t>
  </si>
  <si>
    <t>THOMAS KUCAN</t>
  </si>
  <si>
    <t>CATHERINE NMAH</t>
  </si>
  <si>
    <t>CLI7154610</t>
  </si>
  <si>
    <t>04/16/2024</t>
  </si>
  <si>
    <t>VA</t>
  </si>
  <si>
    <t>05/01/2024</t>
  </si>
  <si>
    <t>30.00%</t>
  </si>
  <si>
    <t>GNW5008239</t>
  </si>
  <si>
    <t>CAROL FOLEY</t>
  </si>
  <si>
    <t>RONALD FARRUGIA</t>
  </si>
  <si>
    <t>CLI7433738</t>
  </si>
  <si>
    <t>09/30/2025</t>
  </si>
  <si>
    <t>MI</t>
  </si>
  <si>
    <t>GNW0089770</t>
  </si>
  <si>
    <t>ADAM RICHTER</t>
  </si>
  <si>
    <t>AMANDA PARKS</t>
  </si>
  <si>
    <t>CLI7107136</t>
  </si>
  <si>
    <t>12/20/2023</t>
  </si>
  <si>
    <t>Dental Only 2000</t>
  </si>
  <si>
    <t>01/01/2024</t>
  </si>
  <si>
    <t>3.50%</t>
  </si>
  <si>
    <t xml:space="preserve">Dental Only 2000 MD           </t>
  </si>
  <si>
    <t>GNW5013451</t>
  </si>
  <si>
    <t>BARRY SCHUMANN</t>
  </si>
  <si>
    <t>CLI7317965</t>
  </si>
  <si>
    <t>02/20/2025</t>
  </si>
  <si>
    <t>IL</t>
  </si>
  <si>
    <t>Cancer Insurance</t>
  </si>
  <si>
    <t>03/01/2025</t>
  </si>
  <si>
    <t>105.00%</t>
  </si>
  <si>
    <t xml:space="preserve">CHAS PLUS CANCER ONLY         </t>
  </si>
  <si>
    <t>JOSEPH BURKHARDT</t>
  </si>
  <si>
    <t>CLI7332678</t>
  </si>
  <si>
    <t>03/21/2025</t>
  </si>
  <si>
    <t>DVH PLUS 2000</t>
  </si>
  <si>
    <t>04/01/2025</t>
  </si>
  <si>
    <t>8.00%</t>
  </si>
  <si>
    <t xml:space="preserve">DVH PLUS PA 2000 100 DED      </t>
  </si>
  <si>
    <t>LORI SACKETT</t>
  </si>
  <si>
    <t>AHC6734215</t>
  </si>
  <si>
    <t>07/29/2024</t>
  </si>
  <si>
    <t>Medicare Supplement Plan G</t>
  </si>
  <si>
    <t>1.50%</t>
  </si>
  <si>
    <t>012</t>
  </si>
  <si>
    <t xml:space="preserve">Med Supp Plan G 2010          </t>
  </si>
  <si>
    <t>CECIL ALGOO</t>
  </si>
  <si>
    <t>CLI7323467</t>
  </si>
  <si>
    <t>03/04/2025</t>
  </si>
  <si>
    <t>Cancer Insurance with Recurrence Benefit</t>
  </si>
  <si>
    <t>CHAS PLUS CANCER ONLY W/ RECUR</t>
  </si>
  <si>
    <t>CLI7323468</t>
  </si>
  <si>
    <t>Heart Attack or Stroke Insurance with Recurrence Benefit</t>
  </si>
  <si>
    <t xml:space="preserve">CHAS PLUS Heart/Strk w/ recuc </t>
  </si>
  <si>
    <t>LINA BROKER</t>
  </si>
  <si>
    <t>CLI7372958</t>
  </si>
  <si>
    <t>06/08/2025</t>
  </si>
  <si>
    <t>09/01/2025</t>
  </si>
  <si>
    <t>65.00%</t>
  </si>
  <si>
    <t>GNW5027638</t>
  </si>
  <si>
    <t>BRITTANY OLIVER</t>
  </si>
  <si>
    <t>DANIELLA HOLMES</t>
  </si>
  <si>
    <t>CLI7433196</t>
  </si>
  <si>
    <t>HIP Flex Hospital Admission Indemnity</t>
  </si>
  <si>
    <t>HOSPITAL CONFINEMENT INDEMNITY</t>
  </si>
  <si>
    <t>MARY REESE</t>
  </si>
  <si>
    <t>CLI7424848</t>
  </si>
  <si>
    <t>09/10/2025</t>
  </si>
  <si>
    <t>10/10/2025</t>
  </si>
  <si>
    <t>THOMAS VONDRASEK</t>
  </si>
  <si>
    <t>CLI7405207</t>
  </si>
  <si>
    <t>08/04/2025</t>
  </si>
  <si>
    <t>CHRISTOPHER DUFFEY</t>
  </si>
  <si>
    <t>CLI7323278</t>
  </si>
  <si>
    <t>CLI7405206</t>
  </si>
  <si>
    <t>CLI7354201</t>
  </si>
  <si>
    <t>58.00%</t>
  </si>
  <si>
    <t>CLI7354198</t>
  </si>
  <si>
    <t>GNW5030443</t>
  </si>
  <si>
    <t>JENNIFER HALSAVER</t>
  </si>
  <si>
    <t>JOHN HOUY</t>
  </si>
  <si>
    <t>CLI7394335</t>
  </si>
  <si>
    <t>07/16/2025</t>
  </si>
  <si>
    <t>OH</t>
  </si>
  <si>
    <t>07/17/2025</t>
  </si>
  <si>
    <t>09/17/2025</t>
  </si>
  <si>
    <t>100.00%</t>
  </si>
  <si>
    <t>CLI7394333</t>
  </si>
  <si>
    <t>RICHARD CURRY</t>
  </si>
  <si>
    <t>CLI7435363</t>
  </si>
  <si>
    <t>AL</t>
  </si>
  <si>
    <t>DVH FLX Option 3</t>
  </si>
  <si>
    <t>10/28/2025</t>
  </si>
  <si>
    <t xml:space="preserve">DVH FLX Option 3              </t>
  </si>
  <si>
    <t>GNW0087421</t>
  </si>
  <si>
    <t>ANNE KOZACHECK</t>
  </si>
  <si>
    <t>PHILIP LYNCH</t>
  </si>
  <si>
    <t>AHC6749903</t>
  </si>
  <si>
    <t>04/24/2025</t>
  </si>
  <si>
    <t>05/01/2025</t>
  </si>
  <si>
    <t>26.00%</t>
  </si>
  <si>
    <t>CLI7433998</t>
  </si>
  <si>
    <t>GNW5019789</t>
  </si>
  <si>
    <t>ANDREA PETRUNGARO</t>
  </si>
  <si>
    <t>RYAN PIOTTER</t>
  </si>
  <si>
    <t>CLI7435284</t>
  </si>
  <si>
    <t>DVH FLX Option 2</t>
  </si>
  <si>
    <t xml:space="preserve">DVH FLX Option 2              </t>
  </si>
  <si>
    <t>CLI7354202</t>
  </si>
  <si>
    <t>KIM KONTOPOULOS</t>
  </si>
  <si>
    <t>CLI7322727</t>
  </si>
  <si>
    <t>03/03/2025</t>
  </si>
  <si>
    <t>DVH PLUS 1000</t>
  </si>
  <si>
    <t xml:space="preserve">DVH PLUS 1000 100 DEDUCTIBLE  </t>
  </si>
  <si>
    <t>GNW5002639</t>
  </si>
  <si>
    <t>MATTHEW DAUGHERTY</t>
  </si>
  <si>
    <t>MARY WEATHERSTONE</t>
  </si>
  <si>
    <t>CLI7369326</t>
  </si>
  <si>
    <t>06/02/2025</t>
  </si>
  <si>
    <t>TX</t>
  </si>
  <si>
    <t>06/03/2025</t>
  </si>
  <si>
    <t>ROLAND NYONKA</t>
  </si>
  <si>
    <t>CLI7209333</t>
  </si>
  <si>
    <t>08/02/2024</t>
  </si>
  <si>
    <t>08/03/2024</t>
  </si>
  <si>
    <t>3.75%</t>
  </si>
  <si>
    <t>CLI7369327</t>
  </si>
  <si>
    <t>NB</t>
  </si>
  <si>
    <t>AV</t>
  </si>
  <si>
    <t>RN</t>
  </si>
  <si>
    <t>AE</t>
  </si>
  <si>
    <t>Cancer and Heart</t>
  </si>
  <si>
    <t>Cancer and Heart Attack or Stroke 105</t>
  </si>
  <si>
    <t>Cancer and Heart Attack or Stroke 100%</t>
  </si>
  <si>
    <t>Hospital Indemnity Flex: AZ, CT, FL, IA, MA, MD, MI, ND, NH, SC, UT, VA, VT</t>
  </si>
  <si>
    <t>Dental, Vision, and Hearing Plus</t>
  </si>
  <si>
    <t>Aetna Senior OVR</t>
  </si>
  <si>
    <t>Cancer &amp; Heart Attack/Stroke</t>
  </si>
  <si>
    <t>Hospital Indemnity-AL, AR, DE, GA, ID, IL, IN, KS, KY, etc.</t>
  </si>
  <si>
    <t>Home Recovery Hospital Nursing Care 65</t>
  </si>
  <si>
    <t>IL (all Marketed Plans except Plan N) Ages 65 to 79</t>
  </si>
  <si>
    <t>Medicare Supplement Plan N 30%</t>
  </si>
  <si>
    <t>Medicare Supplement Plan- KS &amp; MD 1.5</t>
  </si>
  <si>
    <t>Medicare Supplements IL &amp; WI</t>
  </si>
  <si>
    <t>Main Line Benefits</t>
  </si>
  <si>
    <t>16912722AV8</t>
  </si>
  <si>
    <t>17554531AV8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</si>
</sst>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6" t="s">
        <v>0</v>
      </c>
      <c r="E1" s="27"/>
      <c r="F1" s="27"/>
    </row>
    <row r="2" spans="1:19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28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5"/>
  <sheetViews>
    <sheetView topLeftCell="D1" workbookViewId="0">
      <pane ySplit="2" topLeftCell="A27" activePane="bottomLeft" state="frozen"/>
      <selection pane="bottomLeft" activeCell="A40" sqref="A40:XFD40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52.5703125" bestFit="1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9" t="s">
        <v>38</v>
      </c>
      <c r="E1" s="27"/>
      <c r="F1" s="27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18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82.72</v>
      </c>
      <c r="N3" s="9" t="s">
        <v>71</v>
      </c>
      <c r="O3" s="9" t="s">
        <v>72</v>
      </c>
      <c r="P3" s="9" t="s">
        <v>73</v>
      </c>
      <c r="Q3" s="11">
        <v>3.31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70</v>
      </c>
      <c r="I4" s="10" t="s">
        <v>81</v>
      </c>
      <c r="J4" s="10" t="s">
        <v>82</v>
      </c>
      <c r="K4" s="10" t="s">
        <v>70</v>
      </c>
      <c r="L4" s="10" t="s">
        <v>70</v>
      </c>
      <c r="M4" s="12">
        <v>1.22</v>
      </c>
      <c r="N4" s="10" t="s">
        <v>71</v>
      </c>
      <c r="O4" s="10" t="s">
        <v>83</v>
      </c>
      <c r="P4" s="10" t="s">
        <v>73</v>
      </c>
      <c r="Q4" s="12">
        <v>0.73</v>
      </c>
      <c r="R4" s="10" t="s">
        <v>74</v>
      </c>
      <c r="S4" s="10" t="s">
        <v>0</v>
      </c>
      <c r="T4" s="10" t="s">
        <v>0</v>
      </c>
      <c r="U4" s="10" t="s">
        <v>84</v>
      </c>
    </row>
    <row r="5" spans="1:21" x14ac:dyDescent="0.25">
      <c r="A5" s="9" t="s">
        <v>19</v>
      </c>
      <c r="B5" s="9" t="s">
        <v>60</v>
      </c>
      <c r="C5" s="9" t="s">
        <v>61</v>
      </c>
      <c r="D5" s="9" t="s">
        <v>62</v>
      </c>
      <c r="E5" s="9" t="s">
        <v>63</v>
      </c>
      <c r="F5" s="9" t="s">
        <v>85</v>
      </c>
      <c r="G5" s="9" t="s">
        <v>65</v>
      </c>
      <c r="H5" s="9" t="s">
        <v>66</v>
      </c>
      <c r="I5" s="9" t="s">
        <v>67</v>
      </c>
      <c r="J5" s="9" t="s">
        <v>86</v>
      </c>
      <c r="K5" s="9" t="s">
        <v>69</v>
      </c>
      <c r="L5" s="9" t="s">
        <v>70</v>
      </c>
      <c r="M5" s="11">
        <v>45</v>
      </c>
      <c r="N5" s="9" t="s">
        <v>71</v>
      </c>
      <c r="O5" s="9" t="s">
        <v>87</v>
      </c>
      <c r="P5" s="9" t="s">
        <v>73</v>
      </c>
      <c r="Q5" s="11">
        <v>0.79</v>
      </c>
      <c r="R5" s="9" t="s">
        <v>74</v>
      </c>
      <c r="S5" s="9" t="s">
        <v>0</v>
      </c>
      <c r="T5" s="9" t="s">
        <v>0</v>
      </c>
      <c r="U5" s="9" t="s">
        <v>88</v>
      </c>
    </row>
    <row r="6" spans="1:21" x14ac:dyDescent="0.25">
      <c r="A6" s="10" t="s">
        <v>19</v>
      </c>
      <c r="B6" s="10" t="s">
        <v>60</v>
      </c>
      <c r="C6" s="10" t="s">
        <v>89</v>
      </c>
      <c r="D6" s="10" t="s">
        <v>90</v>
      </c>
      <c r="E6" s="10" t="s">
        <v>91</v>
      </c>
      <c r="F6" s="10" t="s">
        <v>92</v>
      </c>
      <c r="G6" s="10" t="s">
        <v>93</v>
      </c>
      <c r="H6" s="10" t="s">
        <v>94</v>
      </c>
      <c r="I6" s="10" t="s">
        <v>95</v>
      </c>
      <c r="J6" s="10" t="s">
        <v>96</v>
      </c>
      <c r="K6" s="10" t="s">
        <v>97</v>
      </c>
      <c r="L6" s="10" t="s">
        <v>98</v>
      </c>
      <c r="M6" s="12">
        <v>61</v>
      </c>
      <c r="N6" s="10" t="s">
        <v>71</v>
      </c>
      <c r="O6" s="10" t="s">
        <v>99</v>
      </c>
      <c r="P6" s="10" t="s">
        <v>73</v>
      </c>
      <c r="Q6" s="12">
        <v>57.95</v>
      </c>
      <c r="R6" s="10" t="s">
        <v>74</v>
      </c>
      <c r="S6" s="10" t="s">
        <v>0</v>
      </c>
      <c r="T6" s="10" t="s">
        <v>0</v>
      </c>
      <c r="U6" s="10" t="s">
        <v>100</v>
      </c>
    </row>
    <row r="7" spans="1:21" x14ac:dyDescent="0.25">
      <c r="A7" s="9" t="s">
        <v>19</v>
      </c>
      <c r="B7" s="9" t="s">
        <v>60</v>
      </c>
      <c r="C7" s="9" t="s">
        <v>61</v>
      </c>
      <c r="D7" s="9" t="s">
        <v>62</v>
      </c>
      <c r="E7" s="9" t="s">
        <v>101</v>
      </c>
      <c r="F7" s="9" t="s">
        <v>102</v>
      </c>
      <c r="G7" s="9" t="s">
        <v>65</v>
      </c>
      <c r="H7" s="9" t="s">
        <v>103</v>
      </c>
      <c r="I7" s="9" t="s">
        <v>67</v>
      </c>
      <c r="J7" s="9" t="s">
        <v>82</v>
      </c>
      <c r="K7" s="9" t="s">
        <v>104</v>
      </c>
      <c r="L7" s="9" t="s">
        <v>70</v>
      </c>
      <c r="M7" s="11">
        <v>34.01</v>
      </c>
      <c r="N7" s="9" t="s">
        <v>71</v>
      </c>
      <c r="O7" s="9" t="s">
        <v>105</v>
      </c>
      <c r="P7" s="9" t="s">
        <v>73</v>
      </c>
      <c r="Q7" s="11">
        <v>1.7</v>
      </c>
      <c r="R7" s="9" t="s">
        <v>74</v>
      </c>
      <c r="S7" s="9" t="s">
        <v>0</v>
      </c>
      <c r="T7" s="9" t="s">
        <v>0</v>
      </c>
      <c r="U7" s="9" t="s">
        <v>84</v>
      </c>
    </row>
    <row r="8" spans="1:21" x14ac:dyDescent="0.25">
      <c r="A8" s="10" t="s">
        <v>19</v>
      </c>
      <c r="B8" s="10" t="s">
        <v>60</v>
      </c>
      <c r="C8" s="10" t="s">
        <v>61</v>
      </c>
      <c r="D8" s="10" t="s">
        <v>62</v>
      </c>
      <c r="E8" s="10" t="s">
        <v>101</v>
      </c>
      <c r="F8" s="10" t="s">
        <v>102</v>
      </c>
      <c r="G8" s="10" t="s">
        <v>65</v>
      </c>
      <c r="H8" s="10" t="s">
        <v>103</v>
      </c>
      <c r="I8" s="10" t="s">
        <v>67</v>
      </c>
      <c r="J8" s="10" t="s">
        <v>82</v>
      </c>
      <c r="K8" s="10" t="s">
        <v>104</v>
      </c>
      <c r="L8" s="10" t="s">
        <v>70</v>
      </c>
      <c r="M8" s="12">
        <v>12.78</v>
      </c>
      <c r="N8" s="10" t="s">
        <v>71</v>
      </c>
      <c r="O8" s="10" t="s">
        <v>105</v>
      </c>
      <c r="P8" s="10" t="s">
        <v>73</v>
      </c>
      <c r="Q8" s="12">
        <v>0.64</v>
      </c>
      <c r="R8" s="10" t="s">
        <v>74</v>
      </c>
      <c r="S8" s="10" t="s">
        <v>0</v>
      </c>
      <c r="T8" s="10" t="s">
        <v>0</v>
      </c>
      <c r="U8" s="10" t="s">
        <v>84</v>
      </c>
    </row>
    <row r="9" spans="1:21" x14ac:dyDescent="0.25">
      <c r="A9" s="9" t="s">
        <v>19</v>
      </c>
      <c r="B9" s="9" t="s">
        <v>60</v>
      </c>
      <c r="C9" s="9" t="s">
        <v>61</v>
      </c>
      <c r="D9" s="9" t="s">
        <v>62</v>
      </c>
      <c r="E9" s="9" t="s">
        <v>101</v>
      </c>
      <c r="F9" s="9" t="s">
        <v>102</v>
      </c>
      <c r="G9" s="9" t="s">
        <v>65</v>
      </c>
      <c r="H9" s="9" t="s">
        <v>103</v>
      </c>
      <c r="I9" s="9" t="s">
        <v>67</v>
      </c>
      <c r="J9" s="9" t="s">
        <v>82</v>
      </c>
      <c r="K9" s="9" t="s">
        <v>104</v>
      </c>
      <c r="L9" s="9" t="s">
        <v>70</v>
      </c>
      <c r="M9" s="11">
        <v>11.04</v>
      </c>
      <c r="N9" s="9" t="s">
        <v>71</v>
      </c>
      <c r="O9" s="9" t="s">
        <v>105</v>
      </c>
      <c r="P9" s="9" t="s">
        <v>73</v>
      </c>
      <c r="Q9" s="11">
        <v>0.56000000000000005</v>
      </c>
      <c r="R9" s="9" t="s">
        <v>74</v>
      </c>
      <c r="S9" s="9" t="s">
        <v>0</v>
      </c>
      <c r="T9" s="9" t="s">
        <v>0</v>
      </c>
      <c r="U9" s="9" t="s">
        <v>84</v>
      </c>
    </row>
    <row r="10" spans="1:21" x14ac:dyDescent="0.25">
      <c r="A10" s="10" t="s">
        <v>19</v>
      </c>
      <c r="B10" s="10" t="s">
        <v>60</v>
      </c>
      <c r="C10" s="10" t="s">
        <v>61</v>
      </c>
      <c r="D10" s="10" t="s">
        <v>62</v>
      </c>
      <c r="E10" s="10" t="s">
        <v>101</v>
      </c>
      <c r="F10" s="10" t="s">
        <v>102</v>
      </c>
      <c r="G10" s="10" t="s">
        <v>65</v>
      </c>
      <c r="H10" s="10" t="s">
        <v>103</v>
      </c>
      <c r="I10" s="10" t="s">
        <v>67</v>
      </c>
      <c r="J10" s="10" t="s">
        <v>82</v>
      </c>
      <c r="K10" s="10" t="s">
        <v>104</v>
      </c>
      <c r="L10" s="10" t="s">
        <v>70</v>
      </c>
      <c r="M10" s="12">
        <v>2.63</v>
      </c>
      <c r="N10" s="10" t="s">
        <v>71</v>
      </c>
      <c r="O10" s="10" t="s">
        <v>105</v>
      </c>
      <c r="P10" s="10" t="s">
        <v>73</v>
      </c>
      <c r="Q10" s="12">
        <v>0.13</v>
      </c>
      <c r="R10" s="10" t="s">
        <v>74</v>
      </c>
      <c r="S10" s="10" t="s">
        <v>0</v>
      </c>
      <c r="T10" s="10" t="s">
        <v>0</v>
      </c>
      <c r="U10" s="10" t="s">
        <v>84</v>
      </c>
    </row>
    <row r="11" spans="1:21" x14ac:dyDescent="0.25">
      <c r="A11" s="9" t="s">
        <v>19</v>
      </c>
      <c r="B11" s="9" t="s">
        <v>60</v>
      </c>
      <c r="C11" s="9" t="s">
        <v>106</v>
      </c>
      <c r="D11" s="9" t="s">
        <v>107</v>
      </c>
      <c r="E11" s="9" t="s">
        <v>108</v>
      </c>
      <c r="F11" s="9" t="s">
        <v>109</v>
      </c>
      <c r="G11" s="9" t="s">
        <v>65</v>
      </c>
      <c r="H11" s="9" t="s">
        <v>110</v>
      </c>
      <c r="I11" s="9" t="s">
        <v>111</v>
      </c>
      <c r="J11" s="9" t="s">
        <v>68</v>
      </c>
      <c r="K11" s="9" t="s">
        <v>112</v>
      </c>
      <c r="L11" s="9" t="s">
        <v>70</v>
      </c>
      <c r="M11" s="11">
        <v>128.28</v>
      </c>
      <c r="N11" s="9" t="s">
        <v>71</v>
      </c>
      <c r="O11" s="9" t="s">
        <v>113</v>
      </c>
      <c r="P11" s="9" t="s">
        <v>73</v>
      </c>
      <c r="Q11" s="11">
        <v>38.479999999999997</v>
      </c>
      <c r="R11" s="9" t="s">
        <v>74</v>
      </c>
      <c r="S11" s="9" t="s">
        <v>0</v>
      </c>
      <c r="T11" s="9" t="s">
        <v>0</v>
      </c>
      <c r="U11" s="9" t="s">
        <v>75</v>
      </c>
    </row>
    <row r="12" spans="1:21" x14ac:dyDescent="0.25">
      <c r="A12" s="10" t="s">
        <v>19</v>
      </c>
      <c r="B12" s="10" t="s">
        <v>60</v>
      </c>
      <c r="C12" s="10" t="s">
        <v>114</v>
      </c>
      <c r="D12" s="10" t="s">
        <v>115</v>
      </c>
      <c r="E12" s="10" t="s">
        <v>116</v>
      </c>
      <c r="F12" s="10" t="s">
        <v>117</v>
      </c>
      <c r="G12" s="10" t="s">
        <v>80</v>
      </c>
      <c r="H12" s="10" t="s">
        <v>118</v>
      </c>
      <c r="I12" s="10" t="s">
        <v>119</v>
      </c>
      <c r="J12" s="10" t="s">
        <v>82</v>
      </c>
      <c r="K12" s="10" t="s">
        <v>70</v>
      </c>
      <c r="L12" s="10" t="s">
        <v>70</v>
      </c>
      <c r="M12" s="12">
        <v>4.2</v>
      </c>
      <c r="N12" s="10" t="s">
        <v>71</v>
      </c>
      <c r="O12" s="10" t="s">
        <v>83</v>
      </c>
      <c r="P12" s="10" t="s">
        <v>73</v>
      </c>
      <c r="Q12" s="12">
        <v>2.52</v>
      </c>
      <c r="R12" s="10" t="s">
        <v>74</v>
      </c>
      <c r="S12" s="10" t="s">
        <v>0</v>
      </c>
      <c r="T12" s="10" t="s">
        <v>0</v>
      </c>
      <c r="U12" s="10" t="s">
        <v>84</v>
      </c>
    </row>
    <row r="13" spans="1:21" x14ac:dyDescent="0.25">
      <c r="A13" s="9" t="s">
        <v>19</v>
      </c>
      <c r="B13" s="9" t="s">
        <v>60</v>
      </c>
      <c r="C13" s="9" t="s">
        <v>114</v>
      </c>
      <c r="D13" s="9" t="s">
        <v>115</v>
      </c>
      <c r="E13" s="9" t="s">
        <v>116</v>
      </c>
      <c r="F13" s="9" t="s">
        <v>117</v>
      </c>
      <c r="G13" s="9" t="s">
        <v>80</v>
      </c>
      <c r="H13" s="9" t="s">
        <v>118</v>
      </c>
      <c r="I13" s="9" t="s">
        <v>119</v>
      </c>
      <c r="J13" s="9" t="s">
        <v>82</v>
      </c>
      <c r="K13" s="9" t="s">
        <v>70</v>
      </c>
      <c r="L13" s="9" t="s">
        <v>70</v>
      </c>
      <c r="M13" s="11">
        <v>2.75</v>
      </c>
      <c r="N13" s="9" t="s">
        <v>71</v>
      </c>
      <c r="O13" s="9" t="s">
        <v>83</v>
      </c>
      <c r="P13" s="9" t="s">
        <v>73</v>
      </c>
      <c r="Q13" s="11">
        <v>1.65</v>
      </c>
      <c r="R13" s="9" t="s">
        <v>74</v>
      </c>
      <c r="S13" s="9" t="s">
        <v>0</v>
      </c>
      <c r="T13" s="9" t="s">
        <v>0</v>
      </c>
      <c r="U13" s="9" t="s">
        <v>84</v>
      </c>
    </row>
    <row r="14" spans="1:21" x14ac:dyDescent="0.25">
      <c r="A14" s="10" t="s">
        <v>19</v>
      </c>
      <c r="B14" s="10" t="s">
        <v>60</v>
      </c>
      <c r="C14" s="10" t="s">
        <v>114</v>
      </c>
      <c r="D14" s="10" t="s">
        <v>115</v>
      </c>
      <c r="E14" s="10" t="s">
        <v>116</v>
      </c>
      <c r="F14" s="10" t="s">
        <v>117</v>
      </c>
      <c r="G14" s="10" t="s">
        <v>80</v>
      </c>
      <c r="H14" s="10" t="s">
        <v>118</v>
      </c>
      <c r="I14" s="10" t="s">
        <v>119</v>
      </c>
      <c r="J14" s="10" t="s">
        <v>82</v>
      </c>
      <c r="K14" s="10" t="s">
        <v>70</v>
      </c>
      <c r="L14" s="10" t="s">
        <v>70</v>
      </c>
      <c r="M14" s="12">
        <v>14.42</v>
      </c>
      <c r="N14" s="10" t="s">
        <v>71</v>
      </c>
      <c r="O14" s="10" t="s">
        <v>83</v>
      </c>
      <c r="P14" s="10" t="s">
        <v>73</v>
      </c>
      <c r="Q14" s="12">
        <v>8.65</v>
      </c>
      <c r="R14" s="10" t="s">
        <v>74</v>
      </c>
      <c r="S14" s="10" t="s">
        <v>0</v>
      </c>
      <c r="T14" s="10" t="s">
        <v>0</v>
      </c>
      <c r="U14" s="10" t="s">
        <v>84</v>
      </c>
    </row>
    <row r="15" spans="1:21" x14ac:dyDescent="0.25">
      <c r="A15" s="9" t="s">
        <v>19</v>
      </c>
      <c r="B15" s="9" t="s">
        <v>60</v>
      </c>
      <c r="C15" s="9" t="s">
        <v>114</v>
      </c>
      <c r="D15" s="9" t="s">
        <v>115</v>
      </c>
      <c r="E15" s="9" t="s">
        <v>116</v>
      </c>
      <c r="F15" s="9" t="s">
        <v>117</v>
      </c>
      <c r="G15" s="9" t="s">
        <v>80</v>
      </c>
      <c r="H15" s="9" t="s">
        <v>118</v>
      </c>
      <c r="I15" s="9" t="s">
        <v>119</v>
      </c>
      <c r="J15" s="9" t="s">
        <v>82</v>
      </c>
      <c r="K15" s="9" t="s">
        <v>70</v>
      </c>
      <c r="L15" s="9" t="s">
        <v>70</v>
      </c>
      <c r="M15" s="11">
        <v>16.489999999999998</v>
      </c>
      <c r="N15" s="9" t="s">
        <v>71</v>
      </c>
      <c r="O15" s="9" t="s">
        <v>83</v>
      </c>
      <c r="P15" s="9" t="s">
        <v>73</v>
      </c>
      <c r="Q15" s="11">
        <v>9.89</v>
      </c>
      <c r="R15" s="9" t="s">
        <v>74</v>
      </c>
      <c r="S15" s="9" t="s">
        <v>0</v>
      </c>
      <c r="T15" s="9" t="s">
        <v>0</v>
      </c>
      <c r="U15" s="9" t="s">
        <v>84</v>
      </c>
    </row>
    <row r="16" spans="1:21" x14ac:dyDescent="0.25">
      <c r="A16" s="10" t="s">
        <v>19</v>
      </c>
      <c r="B16" s="10" t="s">
        <v>60</v>
      </c>
      <c r="C16" s="10" t="s">
        <v>114</v>
      </c>
      <c r="D16" s="10" t="s">
        <v>115</v>
      </c>
      <c r="E16" s="10" t="s">
        <v>116</v>
      </c>
      <c r="F16" s="10" t="s">
        <v>117</v>
      </c>
      <c r="G16" s="10" t="s">
        <v>80</v>
      </c>
      <c r="H16" s="10" t="s">
        <v>118</v>
      </c>
      <c r="I16" s="10" t="s">
        <v>119</v>
      </c>
      <c r="J16" s="10" t="s">
        <v>82</v>
      </c>
      <c r="K16" s="10" t="s">
        <v>70</v>
      </c>
      <c r="L16" s="10" t="s">
        <v>70</v>
      </c>
      <c r="M16" s="12">
        <v>9.8000000000000007</v>
      </c>
      <c r="N16" s="10" t="s">
        <v>71</v>
      </c>
      <c r="O16" s="10" t="s">
        <v>83</v>
      </c>
      <c r="P16" s="10" t="s">
        <v>73</v>
      </c>
      <c r="Q16" s="12">
        <v>5.88</v>
      </c>
      <c r="R16" s="10" t="s">
        <v>74</v>
      </c>
      <c r="S16" s="10" t="s">
        <v>0</v>
      </c>
      <c r="T16" s="10" t="s">
        <v>0</v>
      </c>
      <c r="U16" s="10" t="s">
        <v>84</v>
      </c>
    </row>
    <row r="17" spans="1:21" x14ac:dyDescent="0.25">
      <c r="A17" s="9" t="s">
        <v>19</v>
      </c>
      <c r="B17" s="9" t="s">
        <v>60</v>
      </c>
      <c r="C17" s="9" t="s">
        <v>120</v>
      </c>
      <c r="D17" s="9" t="s">
        <v>121</v>
      </c>
      <c r="E17" s="9" t="s">
        <v>122</v>
      </c>
      <c r="F17" s="9" t="s">
        <v>123</v>
      </c>
      <c r="G17" s="9" t="s">
        <v>65</v>
      </c>
      <c r="H17" s="9" t="s">
        <v>124</v>
      </c>
      <c r="I17" s="9" t="s">
        <v>95</v>
      </c>
      <c r="J17" s="9" t="s">
        <v>125</v>
      </c>
      <c r="K17" s="9" t="s">
        <v>126</v>
      </c>
      <c r="L17" s="9" t="s">
        <v>70</v>
      </c>
      <c r="M17" s="11">
        <v>22.42</v>
      </c>
      <c r="N17" s="9" t="s">
        <v>71</v>
      </c>
      <c r="O17" s="9" t="s">
        <v>127</v>
      </c>
      <c r="P17" s="9" t="s">
        <v>73</v>
      </c>
      <c r="Q17" s="11">
        <v>0.78</v>
      </c>
      <c r="R17" s="9" t="s">
        <v>74</v>
      </c>
      <c r="S17" s="9" t="s">
        <v>0</v>
      </c>
      <c r="T17" s="9" t="s">
        <v>0</v>
      </c>
      <c r="U17" s="9" t="s">
        <v>128</v>
      </c>
    </row>
    <row r="18" spans="1:21" x14ac:dyDescent="0.25">
      <c r="A18" s="10" t="s">
        <v>19</v>
      </c>
      <c r="B18" s="10" t="s">
        <v>60</v>
      </c>
      <c r="C18" s="10" t="s">
        <v>129</v>
      </c>
      <c r="D18" s="10" t="s">
        <v>130</v>
      </c>
      <c r="E18" s="10" t="s">
        <v>130</v>
      </c>
      <c r="F18" s="10" t="s">
        <v>131</v>
      </c>
      <c r="G18" s="10" t="s">
        <v>93</v>
      </c>
      <c r="H18" s="10" t="s">
        <v>132</v>
      </c>
      <c r="I18" s="10" t="s">
        <v>133</v>
      </c>
      <c r="J18" s="10" t="s">
        <v>134</v>
      </c>
      <c r="K18" s="10" t="s">
        <v>135</v>
      </c>
      <c r="L18" s="10" t="s">
        <v>70</v>
      </c>
      <c r="M18" s="12">
        <v>93.75</v>
      </c>
      <c r="N18" s="10" t="s">
        <v>71</v>
      </c>
      <c r="O18" s="10" t="s">
        <v>136</v>
      </c>
      <c r="P18" s="10" t="s">
        <v>73</v>
      </c>
      <c r="Q18" s="12">
        <v>98.44</v>
      </c>
      <c r="R18" s="10" t="s">
        <v>74</v>
      </c>
      <c r="S18" s="10" t="s">
        <v>0</v>
      </c>
      <c r="T18" s="10" t="s">
        <v>0</v>
      </c>
      <c r="U18" s="10" t="s">
        <v>137</v>
      </c>
    </row>
    <row r="19" spans="1:21" x14ac:dyDescent="0.25">
      <c r="A19" s="9" t="s">
        <v>19</v>
      </c>
      <c r="B19" s="9" t="s">
        <v>60</v>
      </c>
      <c r="C19" s="9" t="s">
        <v>61</v>
      </c>
      <c r="D19" s="9" t="s">
        <v>62</v>
      </c>
      <c r="E19" s="9" t="s">
        <v>138</v>
      </c>
      <c r="F19" s="9" t="s">
        <v>139</v>
      </c>
      <c r="G19" s="9" t="s">
        <v>93</v>
      </c>
      <c r="H19" s="9" t="s">
        <v>140</v>
      </c>
      <c r="I19" s="9" t="s">
        <v>67</v>
      </c>
      <c r="J19" s="9" t="s">
        <v>141</v>
      </c>
      <c r="K19" s="9" t="s">
        <v>142</v>
      </c>
      <c r="L19" s="9" t="s">
        <v>70</v>
      </c>
      <c r="M19" s="11">
        <v>65.97</v>
      </c>
      <c r="N19" s="9" t="s">
        <v>71</v>
      </c>
      <c r="O19" s="9" t="s">
        <v>143</v>
      </c>
      <c r="P19" s="9" t="s">
        <v>73</v>
      </c>
      <c r="Q19" s="11">
        <v>5.27</v>
      </c>
      <c r="R19" s="9" t="s">
        <v>74</v>
      </c>
      <c r="S19" s="9" t="s">
        <v>0</v>
      </c>
      <c r="T19" s="9" t="s">
        <v>0</v>
      </c>
      <c r="U19" s="9" t="s">
        <v>144</v>
      </c>
    </row>
    <row r="20" spans="1:21" x14ac:dyDescent="0.25">
      <c r="A20" s="10" t="s">
        <v>18</v>
      </c>
      <c r="B20" s="10" t="s">
        <v>60</v>
      </c>
      <c r="C20" s="10" t="s">
        <v>106</v>
      </c>
      <c r="D20" s="10" t="s">
        <v>107</v>
      </c>
      <c r="E20" s="10" t="s">
        <v>145</v>
      </c>
      <c r="F20" s="10" t="s">
        <v>146</v>
      </c>
      <c r="G20" s="10" t="s">
        <v>65</v>
      </c>
      <c r="H20" s="10" t="s">
        <v>147</v>
      </c>
      <c r="I20" s="10" t="s">
        <v>95</v>
      </c>
      <c r="J20" s="10" t="s">
        <v>148</v>
      </c>
      <c r="K20" s="10" t="s">
        <v>104</v>
      </c>
      <c r="L20" s="10" t="s">
        <v>70</v>
      </c>
      <c r="M20" s="12">
        <v>181.68</v>
      </c>
      <c r="N20" s="10" t="s">
        <v>71</v>
      </c>
      <c r="O20" s="10" t="s">
        <v>149</v>
      </c>
      <c r="P20" s="10" t="s">
        <v>150</v>
      </c>
      <c r="Q20" s="12">
        <v>2.73</v>
      </c>
      <c r="R20" s="10" t="s">
        <v>74</v>
      </c>
      <c r="S20" s="10" t="s">
        <v>0</v>
      </c>
      <c r="T20" s="10" t="s">
        <v>0</v>
      </c>
      <c r="U20" s="10" t="s">
        <v>151</v>
      </c>
    </row>
    <row r="21" spans="1:21" x14ac:dyDescent="0.25">
      <c r="A21" s="9" t="s">
        <v>19</v>
      </c>
      <c r="B21" s="9" t="s">
        <v>60</v>
      </c>
      <c r="C21" s="9" t="s">
        <v>120</v>
      </c>
      <c r="D21" s="9" t="s">
        <v>121</v>
      </c>
      <c r="E21" s="9" t="s">
        <v>152</v>
      </c>
      <c r="F21" s="9" t="s">
        <v>153</v>
      </c>
      <c r="G21" s="9" t="s">
        <v>93</v>
      </c>
      <c r="H21" s="9" t="s">
        <v>154</v>
      </c>
      <c r="I21" s="9" t="s">
        <v>95</v>
      </c>
      <c r="J21" s="9" t="s">
        <v>155</v>
      </c>
      <c r="K21" s="9" t="s">
        <v>154</v>
      </c>
      <c r="L21" s="9" t="s">
        <v>7</v>
      </c>
      <c r="M21" s="11">
        <v>36.770000000000003</v>
      </c>
      <c r="N21" s="9" t="s">
        <v>71</v>
      </c>
      <c r="O21" s="9" t="s">
        <v>99</v>
      </c>
      <c r="P21" s="9" t="s">
        <v>73</v>
      </c>
      <c r="Q21" s="11">
        <v>34.93</v>
      </c>
      <c r="R21" s="9" t="s">
        <v>74</v>
      </c>
      <c r="S21" s="9" t="s">
        <v>0</v>
      </c>
      <c r="T21" s="9" t="s">
        <v>0</v>
      </c>
      <c r="U21" s="9" t="s">
        <v>156</v>
      </c>
    </row>
    <row r="22" spans="1:21" x14ac:dyDescent="0.25">
      <c r="A22" s="10" t="s">
        <v>19</v>
      </c>
      <c r="B22" s="10" t="s">
        <v>60</v>
      </c>
      <c r="C22" s="10" t="s">
        <v>120</v>
      </c>
      <c r="D22" s="10" t="s">
        <v>121</v>
      </c>
      <c r="E22" s="10" t="s">
        <v>152</v>
      </c>
      <c r="F22" s="10" t="s">
        <v>157</v>
      </c>
      <c r="G22" s="10" t="s">
        <v>93</v>
      </c>
      <c r="H22" s="10" t="s">
        <v>154</v>
      </c>
      <c r="I22" s="10" t="s">
        <v>95</v>
      </c>
      <c r="J22" s="10" t="s">
        <v>158</v>
      </c>
      <c r="K22" s="10" t="s">
        <v>154</v>
      </c>
      <c r="L22" s="10" t="s">
        <v>7</v>
      </c>
      <c r="M22" s="12">
        <v>35.630000000000003</v>
      </c>
      <c r="N22" s="10" t="s">
        <v>71</v>
      </c>
      <c r="O22" s="10" t="s">
        <v>99</v>
      </c>
      <c r="P22" s="10" t="s">
        <v>73</v>
      </c>
      <c r="Q22" s="12">
        <v>33.85</v>
      </c>
      <c r="R22" s="10" t="s">
        <v>74</v>
      </c>
      <c r="S22" s="10" t="s">
        <v>0</v>
      </c>
      <c r="T22" s="10" t="s">
        <v>0</v>
      </c>
      <c r="U22" s="10" t="s">
        <v>159</v>
      </c>
    </row>
    <row r="23" spans="1:21" x14ac:dyDescent="0.25">
      <c r="A23" s="9" t="s">
        <v>19</v>
      </c>
      <c r="B23" s="9" t="s">
        <v>60</v>
      </c>
      <c r="C23" s="9" t="s">
        <v>76</v>
      </c>
      <c r="D23" s="9" t="s">
        <v>77</v>
      </c>
      <c r="E23" s="9" t="s">
        <v>160</v>
      </c>
      <c r="F23" s="9" t="s">
        <v>161</v>
      </c>
      <c r="G23" s="9" t="s">
        <v>93</v>
      </c>
      <c r="H23" s="9" t="s">
        <v>162</v>
      </c>
      <c r="I23" s="9" t="s">
        <v>133</v>
      </c>
      <c r="J23" s="9" t="s">
        <v>82</v>
      </c>
      <c r="K23" s="9" t="s">
        <v>163</v>
      </c>
      <c r="L23" s="9" t="s">
        <v>70</v>
      </c>
      <c r="M23" s="11">
        <v>15.8</v>
      </c>
      <c r="N23" s="9" t="s">
        <v>71</v>
      </c>
      <c r="O23" s="9" t="s">
        <v>164</v>
      </c>
      <c r="P23" s="9" t="s">
        <v>73</v>
      </c>
      <c r="Q23" s="11">
        <v>10.27</v>
      </c>
      <c r="R23" s="9" t="s">
        <v>74</v>
      </c>
      <c r="S23" s="9" t="s">
        <v>0</v>
      </c>
      <c r="T23" s="9" t="s">
        <v>0</v>
      </c>
      <c r="U23" s="9" t="s">
        <v>84</v>
      </c>
    </row>
    <row r="24" spans="1:21" x14ac:dyDescent="0.25">
      <c r="A24" s="10" t="s">
        <v>19</v>
      </c>
      <c r="B24" s="10" t="s">
        <v>60</v>
      </c>
      <c r="C24" s="10" t="s">
        <v>165</v>
      </c>
      <c r="D24" s="10" t="s">
        <v>166</v>
      </c>
      <c r="E24" s="10" t="s">
        <v>167</v>
      </c>
      <c r="F24" s="10" t="s">
        <v>168</v>
      </c>
      <c r="G24" s="10" t="s">
        <v>80</v>
      </c>
      <c r="H24" s="10" t="s">
        <v>118</v>
      </c>
      <c r="I24" s="10" t="s">
        <v>111</v>
      </c>
      <c r="J24" s="10" t="s">
        <v>169</v>
      </c>
      <c r="K24" s="10" t="s">
        <v>70</v>
      </c>
      <c r="L24" s="10" t="s">
        <v>70</v>
      </c>
      <c r="M24" s="12">
        <v>6.83</v>
      </c>
      <c r="N24" s="10" t="s">
        <v>71</v>
      </c>
      <c r="O24" s="10" t="s">
        <v>83</v>
      </c>
      <c r="P24" s="10" t="s">
        <v>73</v>
      </c>
      <c r="Q24" s="12">
        <v>4.0999999999999996</v>
      </c>
      <c r="R24" s="10" t="s">
        <v>74</v>
      </c>
      <c r="S24" s="10" t="s">
        <v>0</v>
      </c>
      <c r="T24" s="10" t="s">
        <v>0</v>
      </c>
      <c r="U24" s="10" t="s">
        <v>170</v>
      </c>
    </row>
    <row r="25" spans="1:21" x14ac:dyDescent="0.25">
      <c r="A25" s="9" t="s">
        <v>19</v>
      </c>
      <c r="B25" s="9" t="s">
        <v>60</v>
      </c>
      <c r="C25" s="9" t="s">
        <v>165</v>
      </c>
      <c r="D25" s="9" t="s">
        <v>166</v>
      </c>
      <c r="E25" s="9" t="s">
        <v>167</v>
      </c>
      <c r="F25" s="9" t="s">
        <v>168</v>
      </c>
      <c r="G25" s="9" t="s">
        <v>80</v>
      </c>
      <c r="H25" s="9" t="s">
        <v>118</v>
      </c>
      <c r="I25" s="9" t="s">
        <v>111</v>
      </c>
      <c r="J25" s="9" t="s">
        <v>169</v>
      </c>
      <c r="K25" s="9" t="s">
        <v>70</v>
      </c>
      <c r="L25" s="9" t="s">
        <v>70</v>
      </c>
      <c r="M25" s="11">
        <v>7.26</v>
      </c>
      <c r="N25" s="9" t="s">
        <v>71</v>
      </c>
      <c r="O25" s="9" t="s">
        <v>83</v>
      </c>
      <c r="P25" s="9" t="s">
        <v>73</v>
      </c>
      <c r="Q25" s="11">
        <v>4.3600000000000003</v>
      </c>
      <c r="R25" s="9" t="s">
        <v>74</v>
      </c>
      <c r="S25" s="9" t="s">
        <v>0</v>
      </c>
      <c r="T25" s="9" t="s">
        <v>0</v>
      </c>
      <c r="U25" s="9" t="s">
        <v>170</v>
      </c>
    </row>
    <row r="26" spans="1:21" x14ac:dyDescent="0.25">
      <c r="A26" s="10" t="s">
        <v>19</v>
      </c>
      <c r="B26" s="10" t="s">
        <v>60</v>
      </c>
      <c r="C26" s="10" t="s">
        <v>76</v>
      </c>
      <c r="D26" s="10" t="s">
        <v>77</v>
      </c>
      <c r="E26" s="10" t="s">
        <v>171</v>
      </c>
      <c r="F26" s="10" t="s">
        <v>172</v>
      </c>
      <c r="G26" s="10" t="s">
        <v>93</v>
      </c>
      <c r="H26" s="10" t="s">
        <v>173</v>
      </c>
      <c r="I26" s="10" t="s">
        <v>133</v>
      </c>
      <c r="J26" s="10" t="s">
        <v>155</v>
      </c>
      <c r="K26" s="10" t="s">
        <v>173</v>
      </c>
      <c r="L26" s="10" t="s">
        <v>174</v>
      </c>
      <c r="M26" s="12">
        <v>19.63</v>
      </c>
      <c r="N26" s="10" t="s">
        <v>71</v>
      </c>
      <c r="O26" s="10" t="s">
        <v>136</v>
      </c>
      <c r="P26" s="10" t="s">
        <v>73</v>
      </c>
      <c r="Q26" s="12">
        <v>20.61</v>
      </c>
      <c r="R26" s="10" t="s">
        <v>74</v>
      </c>
      <c r="S26" s="10" t="s">
        <v>0</v>
      </c>
      <c r="T26" s="10" t="s">
        <v>0</v>
      </c>
      <c r="U26" s="10" t="s">
        <v>156</v>
      </c>
    </row>
    <row r="27" spans="1:21" x14ac:dyDescent="0.25">
      <c r="A27" s="9" t="s">
        <v>19</v>
      </c>
      <c r="B27" s="9" t="s">
        <v>60</v>
      </c>
      <c r="C27" s="9" t="s">
        <v>76</v>
      </c>
      <c r="D27" s="9" t="s">
        <v>77</v>
      </c>
      <c r="E27" s="9" t="s">
        <v>160</v>
      </c>
      <c r="F27" s="9" t="s">
        <v>161</v>
      </c>
      <c r="G27" s="9" t="s">
        <v>93</v>
      </c>
      <c r="H27" s="9" t="s">
        <v>162</v>
      </c>
      <c r="I27" s="9" t="s">
        <v>133</v>
      </c>
      <c r="J27" s="9" t="s">
        <v>82</v>
      </c>
      <c r="K27" s="9" t="s">
        <v>163</v>
      </c>
      <c r="L27" s="9" t="s">
        <v>70</v>
      </c>
      <c r="M27" s="11">
        <v>11.04</v>
      </c>
      <c r="N27" s="9" t="s">
        <v>71</v>
      </c>
      <c r="O27" s="9" t="s">
        <v>164</v>
      </c>
      <c r="P27" s="9" t="s">
        <v>73</v>
      </c>
      <c r="Q27" s="11">
        <v>7.18</v>
      </c>
      <c r="R27" s="9" t="s">
        <v>74</v>
      </c>
      <c r="S27" s="9" t="s">
        <v>0</v>
      </c>
      <c r="T27" s="9" t="s">
        <v>0</v>
      </c>
      <c r="U27" s="9" t="s">
        <v>84</v>
      </c>
    </row>
    <row r="28" spans="1:21" x14ac:dyDescent="0.25">
      <c r="A28" s="10" t="s">
        <v>19</v>
      </c>
      <c r="B28" s="10" t="s">
        <v>60</v>
      </c>
      <c r="C28" s="10" t="s">
        <v>76</v>
      </c>
      <c r="D28" s="10" t="s">
        <v>77</v>
      </c>
      <c r="E28" s="10" t="s">
        <v>160</v>
      </c>
      <c r="F28" s="10" t="s">
        <v>161</v>
      </c>
      <c r="G28" s="10" t="s">
        <v>93</v>
      </c>
      <c r="H28" s="10" t="s">
        <v>162</v>
      </c>
      <c r="I28" s="10" t="s">
        <v>133</v>
      </c>
      <c r="J28" s="10" t="s">
        <v>82</v>
      </c>
      <c r="K28" s="10" t="s">
        <v>163</v>
      </c>
      <c r="L28" s="10" t="s">
        <v>70</v>
      </c>
      <c r="M28" s="12">
        <v>29.5</v>
      </c>
      <c r="N28" s="10" t="s">
        <v>71</v>
      </c>
      <c r="O28" s="10" t="s">
        <v>164</v>
      </c>
      <c r="P28" s="10" t="s">
        <v>73</v>
      </c>
      <c r="Q28" s="12">
        <v>19.18</v>
      </c>
      <c r="R28" s="10" t="s">
        <v>74</v>
      </c>
      <c r="S28" s="10" t="s">
        <v>0</v>
      </c>
      <c r="T28" s="10" t="s">
        <v>0</v>
      </c>
      <c r="U28" s="10" t="s">
        <v>84</v>
      </c>
    </row>
    <row r="29" spans="1:21" x14ac:dyDescent="0.25">
      <c r="A29" s="9" t="s">
        <v>19</v>
      </c>
      <c r="B29" s="9" t="s">
        <v>60</v>
      </c>
      <c r="C29" s="9" t="s">
        <v>76</v>
      </c>
      <c r="D29" s="9" t="s">
        <v>77</v>
      </c>
      <c r="E29" s="9" t="s">
        <v>160</v>
      </c>
      <c r="F29" s="9" t="s">
        <v>161</v>
      </c>
      <c r="G29" s="9" t="s">
        <v>93</v>
      </c>
      <c r="H29" s="9" t="s">
        <v>162</v>
      </c>
      <c r="I29" s="9" t="s">
        <v>133</v>
      </c>
      <c r="J29" s="9" t="s">
        <v>82</v>
      </c>
      <c r="K29" s="9" t="s">
        <v>163</v>
      </c>
      <c r="L29" s="9" t="s">
        <v>70</v>
      </c>
      <c r="M29" s="11">
        <v>14.17</v>
      </c>
      <c r="N29" s="9" t="s">
        <v>71</v>
      </c>
      <c r="O29" s="9" t="s">
        <v>164</v>
      </c>
      <c r="P29" s="9" t="s">
        <v>73</v>
      </c>
      <c r="Q29" s="11">
        <v>9.2100000000000009</v>
      </c>
      <c r="R29" s="9" t="s">
        <v>74</v>
      </c>
      <c r="S29" s="9" t="s">
        <v>0</v>
      </c>
      <c r="T29" s="9" t="s">
        <v>0</v>
      </c>
      <c r="U29" s="9" t="s">
        <v>84</v>
      </c>
    </row>
    <row r="30" spans="1:21" x14ac:dyDescent="0.25">
      <c r="A30" s="10" t="s">
        <v>19</v>
      </c>
      <c r="B30" s="10" t="s">
        <v>60</v>
      </c>
      <c r="C30" s="10" t="s">
        <v>76</v>
      </c>
      <c r="D30" s="10" t="s">
        <v>77</v>
      </c>
      <c r="E30" s="10" t="s">
        <v>175</v>
      </c>
      <c r="F30" s="10" t="s">
        <v>176</v>
      </c>
      <c r="G30" s="10" t="s">
        <v>93</v>
      </c>
      <c r="H30" s="10" t="s">
        <v>177</v>
      </c>
      <c r="I30" s="10" t="s">
        <v>133</v>
      </c>
      <c r="J30" s="10" t="s">
        <v>82</v>
      </c>
      <c r="K30" s="10" t="s">
        <v>177</v>
      </c>
      <c r="L30" s="10" t="s">
        <v>7</v>
      </c>
      <c r="M30" s="12">
        <v>39.33</v>
      </c>
      <c r="N30" s="10" t="s">
        <v>71</v>
      </c>
      <c r="O30" s="10" t="s">
        <v>164</v>
      </c>
      <c r="P30" s="10" t="s">
        <v>73</v>
      </c>
      <c r="Q30" s="12">
        <v>25.56</v>
      </c>
      <c r="R30" s="10" t="s">
        <v>74</v>
      </c>
      <c r="S30" s="10" t="s">
        <v>0</v>
      </c>
      <c r="T30" s="10" t="s">
        <v>0</v>
      </c>
      <c r="U30" s="10" t="s">
        <v>84</v>
      </c>
    </row>
    <row r="31" spans="1:21" x14ac:dyDescent="0.25">
      <c r="A31" s="9" t="s">
        <v>19</v>
      </c>
      <c r="B31" s="9" t="s">
        <v>60</v>
      </c>
      <c r="C31" s="9" t="s">
        <v>120</v>
      </c>
      <c r="D31" s="9" t="s">
        <v>121</v>
      </c>
      <c r="E31" s="9" t="s">
        <v>178</v>
      </c>
      <c r="F31" s="9" t="s">
        <v>179</v>
      </c>
      <c r="G31" s="9" t="s">
        <v>93</v>
      </c>
      <c r="H31" s="9" t="s">
        <v>154</v>
      </c>
      <c r="I31" s="9" t="s">
        <v>95</v>
      </c>
      <c r="J31" s="9" t="s">
        <v>155</v>
      </c>
      <c r="K31" s="9" t="s">
        <v>154</v>
      </c>
      <c r="L31" s="9" t="s">
        <v>7</v>
      </c>
      <c r="M31" s="11">
        <v>23.22</v>
      </c>
      <c r="N31" s="9" t="s">
        <v>71</v>
      </c>
      <c r="O31" s="9" t="s">
        <v>99</v>
      </c>
      <c r="P31" s="9" t="s">
        <v>73</v>
      </c>
      <c r="Q31" s="11">
        <v>22.06</v>
      </c>
      <c r="R31" s="9" t="s">
        <v>74</v>
      </c>
      <c r="S31" s="9" t="s">
        <v>0</v>
      </c>
      <c r="T31" s="9" t="s">
        <v>0</v>
      </c>
      <c r="U31" s="9" t="s">
        <v>156</v>
      </c>
    </row>
    <row r="32" spans="1:21" x14ac:dyDescent="0.25">
      <c r="A32" s="10" t="s">
        <v>19</v>
      </c>
      <c r="B32" s="10" t="s">
        <v>60</v>
      </c>
      <c r="C32" s="10" t="s">
        <v>76</v>
      </c>
      <c r="D32" s="10" t="s">
        <v>77</v>
      </c>
      <c r="E32" s="10" t="s">
        <v>175</v>
      </c>
      <c r="F32" s="10" t="s">
        <v>180</v>
      </c>
      <c r="G32" s="10" t="s">
        <v>93</v>
      </c>
      <c r="H32" s="10" t="s">
        <v>177</v>
      </c>
      <c r="I32" s="10" t="s">
        <v>133</v>
      </c>
      <c r="J32" s="10" t="s">
        <v>155</v>
      </c>
      <c r="K32" s="10" t="s">
        <v>177</v>
      </c>
      <c r="L32" s="10" t="s">
        <v>7</v>
      </c>
      <c r="M32" s="12">
        <v>27.8</v>
      </c>
      <c r="N32" s="10" t="s">
        <v>71</v>
      </c>
      <c r="O32" s="10" t="s">
        <v>136</v>
      </c>
      <c r="P32" s="10" t="s">
        <v>73</v>
      </c>
      <c r="Q32" s="12">
        <v>29.19</v>
      </c>
      <c r="R32" s="10" t="s">
        <v>74</v>
      </c>
      <c r="S32" s="10" t="s">
        <v>0</v>
      </c>
      <c r="T32" s="10" t="s">
        <v>0</v>
      </c>
      <c r="U32" s="10" t="s">
        <v>156</v>
      </c>
    </row>
    <row r="33" spans="1:21" x14ac:dyDescent="0.25">
      <c r="A33" s="9" t="s">
        <v>19</v>
      </c>
      <c r="B33" s="9" t="s">
        <v>60</v>
      </c>
      <c r="C33" s="9" t="s">
        <v>165</v>
      </c>
      <c r="D33" s="9" t="s">
        <v>166</v>
      </c>
      <c r="E33" s="9" t="s">
        <v>167</v>
      </c>
      <c r="F33" s="9" t="s">
        <v>168</v>
      </c>
      <c r="G33" s="9" t="s">
        <v>80</v>
      </c>
      <c r="H33" s="9" t="s">
        <v>118</v>
      </c>
      <c r="I33" s="9" t="s">
        <v>111</v>
      </c>
      <c r="J33" s="9" t="s">
        <v>169</v>
      </c>
      <c r="K33" s="9" t="s">
        <v>70</v>
      </c>
      <c r="L33" s="9" t="s">
        <v>70</v>
      </c>
      <c r="M33" s="11">
        <v>1.63</v>
      </c>
      <c r="N33" s="9" t="s">
        <v>71</v>
      </c>
      <c r="O33" s="9" t="s">
        <v>83</v>
      </c>
      <c r="P33" s="9" t="s">
        <v>73</v>
      </c>
      <c r="Q33" s="11">
        <v>0.98</v>
      </c>
      <c r="R33" s="9" t="s">
        <v>74</v>
      </c>
      <c r="S33" s="9" t="s">
        <v>0</v>
      </c>
      <c r="T33" s="9" t="s">
        <v>0</v>
      </c>
      <c r="U33" s="9" t="s">
        <v>170</v>
      </c>
    </row>
    <row r="34" spans="1:21" x14ac:dyDescent="0.25">
      <c r="A34" s="10" t="s">
        <v>19</v>
      </c>
      <c r="B34" s="10" t="s">
        <v>60</v>
      </c>
      <c r="C34" s="10" t="s">
        <v>165</v>
      </c>
      <c r="D34" s="10" t="s">
        <v>166</v>
      </c>
      <c r="E34" s="10" t="s">
        <v>167</v>
      </c>
      <c r="F34" s="10" t="s">
        <v>168</v>
      </c>
      <c r="G34" s="10" t="s">
        <v>80</v>
      </c>
      <c r="H34" s="10" t="s">
        <v>118</v>
      </c>
      <c r="I34" s="10" t="s">
        <v>111</v>
      </c>
      <c r="J34" s="10" t="s">
        <v>169</v>
      </c>
      <c r="K34" s="10" t="s">
        <v>70</v>
      </c>
      <c r="L34" s="10" t="s">
        <v>70</v>
      </c>
      <c r="M34" s="12">
        <v>4.88</v>
      </c>
      <c r="N34" s="10" t="s">
        <v>71</v>
      </c>
      <c r="O34" s="10" t="s">
        <v>83</v>
      </c>
      <c r="P34" s="10" t="s">
        <v>73</v>
      </c>
      <c r="Q34" s="12">
        <v>2.93</v>
      </c>
      <c r="R34" s="10" t="s">
        <v>74</v>
      </c>
      <c r="S34" s="10" t="s">
        <v>0</v>
      </c>
      <c r="T34" s="10" t="s">
        <v>0</v>
      </c>
      <c r="U34" s="10" t="s">
        <v>170</v>
      </c>
    </row>
    <row r="35" spans="1:21" x14ac:dyDescent="0.25">
      <c r="A35" s="9" t="s">
        <v>19</v>
      </c>
      <c r="B35" s="9" t="s">
        <v>60</v>
      </c>
      <c r="C35" s="9" t="s">
        <v>89</v>
      </c>
      <c r="D35" s="9" t="s">
        <v>90</v>
      </c>
      <c r="E35" s="9" t="s">
        <v>91</v>
      </c>
      <c r="F35" s="9" t="s">
        <v>181</v>
      </c>
      <c r="G35" s="9" t="s">
        <v>93</v>
      </c>
      <c r="H35" s="9" t="s">
        <v>94</v>
      </c>
      <c r="I35" s="9" t="s">
        <v>95</v>
      </c>
      <c r="J35" s="9" t="s">
        <v>125</v>
      </c>
      <c r="K35" s="9" t="s">
        <v>97</v>
      </c>
      <c r="L35" s="9" t="s">
        <v>98</v>
      </c>
      <c r="M35" s="11">
        <v>27.63</v>
      </c>
      <c r="N35" s="9" t="s">
        <v>71</v>
      </c>
      <c r="O35" s="9" t="s">
        <v>182</v>
      </c>
      <c r="P35" s="9" t="s">
        <v>73</v>
      </c>
      <c r="Q35" s="11">
        <v>16.03</v>
      </c>
      <c r="R35" s="9" t="s">
        <v>74</v>
      </c>
      <c r="S35" s="9" t="s">
        <v>0</v>
      </c>
      <c r="T35" s="9" t="s">
        <v>0</v>
      </c>
      <c r="U35" s="9" t="s">
        <v>128</v>
      </c>
    </row>
    <row r="36" spans="1:21" x14ac:dyDescent="0.25">
      <c r="A36" s="10" t="s">
        <v>19</v>
      </c>
      <c r="B36" s="10" t="s">
        <v>60</v>
      </c>
      <c r="C36" s="10" t="s">
        <v>89</v>
      </c>
      <c r="D36" s="10" t="s">
        <v>90</v>
      </c>
      <c r="E36" s="10" t="s">
        <v>91</v>
      </c>
      <c r="F36" s="10" t="s">
        <v>183</v>
      </c>
      <c r="G36" s="10" t="s">
        <v>93</v>
      </c>
      <c r="H36" s="10" t="s">
        <v>94</v>
      </c>
      <c r="I36" s="10" t="s">
        <v>95</v>
      </c>
      <c r="J36" s="10" t="s">
        <v>134</v>
      </c>
      <c r="K36" s="10" t="s">
        <v>97</v>
      </c>
      <c r="L36" s="10" t="s">
        <v>98</v>
      </c>
      <c r="M36" s="12">
        <v>59.25</v>
      </c>
      <c r="N36" s="10" t="s">
        <v>71</v>
      </c>
      <c r="O36" s="10" t="s">
        <v>99</v>
      </c>
      <c r="P36" s="10" t="s">
        <v>73</v>
      </c>
      <c r="Q36" s="12">
        <v>56.29</v>
      </c>
      <c r="R36" s="10" t="s">
        <v>74</v>
      </c>
      <c r="S36" s="10" t="s">
        <v>0</v>
      </c>
      <c r="T36" s="10" t="s">
        <v>0</v>
      </c>
      <c r="U36" s="10" t="s">
        <v>137</v>
      </c>
    </row>
    <row r="37" spans="1:21" x14ac:dyDescent="0.25">
      <c r="A37" s="9" t="s">
        <v>19</v>
      </c>
      <c r="B37" s="9" t="s">
        <v>60</v>
      </c>
      <c r="C37" s="9" t="s">
        <v>184</v>
      </c>
      <c r="D37" s="9" t="s">
        <v>185</v>
      </c>
      <c r="E37" s="9" t="s">
        <v>186</v>
      </c>
      <c r="F37" s="9" t="s">
        <v>187</v>
      </c>
      <c r="G37" s="9" t="s">
        <v>93</v>
      </c>
      <c r="H37" s="9" t="s">
        <v>188</v>
      </c>
      <c r="I37" s="9" t="s">
        <v>189</v>
      </c>
      <c r="J37" s="9" t="s">
        <v>158</v>
      </c>
      <c r="K37" s="9" t="s">
        <v>190</v>
      </c>
      <c r="L37" s="9" t="s">
        <v>191</v>
      </c>
      <c r="M37" s="11">
        <v>72</v>
      </c>
      <c r="N37" s="9" t="s">
        <v>71</v>
      </c>
      <c r="O37" s="9" t="s">
        <v>192</v>
      </c>
      <c r="P37" s="9" t="s">
        <v>73</v>
      </c>
      <c r="Q37" s="11">
        <v>72</v>
      </c>
      <c r="R37" s="9" t="s">
        <v>74</v>
      </c>
      <c r="S37" s="9" t="s">
        <v>0</v>
      </c>
      <c r="T37" s="9" t="s">
        <v>0</v>
      </c>
      <c r="U37" s="9" t="s">
        <v>159</v>
      </c>
    </row>
    <row r="38" spans="1:21" x14ac:dyDescent="0.25">
      <c r="A38" s="10" t="s">
        <v>19</v>
      </c>
      <c r="B38" s="10" t="s">
        <v>60</v>
      </c>
      <c r="C38" s="10" t="s">
        <v>184</v>
      </c>
      <c r="D38" s="10" t="s">
        <v>185</v>
      </c>
      <c r="E38" s="10" t="s">
        <v>186</v>
      </c>
      <c r="F38" s="10" t="s">
        <v>193</v>
      </c>
      <c r="G38" s="10" t="s">
        <v>93</v>
      </c>
      <c r="H38" s="10" t="s">
        <v>188</v>
      </c>
      <c r="I38" s="10" t="s">
        <v>189</v>
      </c>
      <c r="J38" s="10" t="s">
        <v>155</v>
      </c>
      <c r="K38" s="10" t="s">
        <v>190</v>
      </c>
      <c r="L38" s="10" t="s">
        <v>191</v>
      </c>
      <c r="M38" s="12">
        <v>69.52</v>
      </c>
      <c r="N38" s="10" t="s">
        <v>71</v>
      </c>
      <c r="O38" s="10" t="s">
        <v>192</v>
      </c>
      <c r="P38" s="10" t="s">
        <v>73</v>
      </c>
      <c r="Q38" s="12">
        <v>69.52</v>
      </c>
      <c r="R38" s="10" t="s">
        <v>74</v>
      </c>
      <c r="S38" s="10" t="s">
        <v>0</v>
      </c>
      <c r="T38" s="10" t="s">
        <v>0</v>
      </c>
      <c r="U38" s="10" t="s">
        <v>156</v>
      </c>
    </row>
    <row r="39" spans="1:21" x14ac:dyDescent="0.25">
      <c r="A39" s="9" t="s">
        <v>19</v>
      </c>
      <c r="B39" s="9" t="s">
        <v>60</v>
      </c>
      <c r="C39" s="9" t="s">
        <v>165</v>
      </c>
      <c r="D39" s="9" t="s">
        <v>166</v>
      </c>
      <c r="E39" s="9" t="s">
        <v>194</v>
      </c>
      <c r="F39" s="9" t="s">
        <v>195</v>
      </c>
      <c r="G39" s="9" t="s">
        <v>80</v>
      </c>
      <c r="H39" s="9" t="s">
        <v>98</v>
      </c>
      <c r="I39" s="9" t="s">
        <v>196</v>
      </c>
      <c r="J39" s="9" t="s">
        <v>197</v>
      </c>
      <c r="K39" s="9" t="s">
        <v>198</v>
      </c>
      <c r="L39" s="9" t="s">
        <v>198</v>
      </c>
      <c r="M39" s="11">
        <v>22.92</v>
      </c>
      <c r="N39" s="9" t="s">
        <v>71</v>
      </c>
      <c r="O39" s="9" t="s">
        <v>182</v>
      </c>
      <c r="P39" s="9" t="s">
        <v>73</v>
      </c>
      <c r="Q39" s="11">
        <v>13.29</v>
      </c>
      <c r="R39" s="9" t="s">
        <v>74</v>
      </c>
      <c r="S39" s="9" t="s">
        <v>0</v>
      </c>
      <c r="T39" s="9" t="s">
        <v>0</v>
      </c>
      <c r="U39" s="9" t="s">
        <v>199</v>
      </c>
    </row>
    <row r="40" spans="1:21" s="32" customFormat="1" x14ac:dyDescent="0.25">
      <c r="A40" s="30" t="s">
        <v>18</v>
      </c>
      <c r="B40" s="30" t="s">
        <v>60</v>
      </c>
      <c r="C40" s="30" t="s">
        <v>200</v>
      </c>
      <c r="D40" s="30" t="s">
        <v>201</v>
      </c>
      <c r="E40" s="30" t="s">
        <v>202</v>
      </c>
      <c r="F40" s="30" t="s">
        <v>203</v>
      </c>
      <c r="G40" s="30" t="s">
        <v>93</v>
      </c>
      <c r="H40" s="30" t="s">
        <v>204</v>
      </c>
      <c r="I40" s="30" t="s">
        <v>67</v>
      </c>
      <c r="J40" s="30" t="s">
        <v>148</v>
      </c>
      <c r="K40" s="30" t="s">
        <v>205</v>
      </c>
      <c r="L40" s="30" t="s">
        <v>70</v>
      </c>
      <c r="M40" s="31">
        <v>179.34</v>
      </c>
      <c r="N40" s="30" t="s">
        <v>71</v>
      </c>
      <c r="O40" s="30" t="s">
        <v>206</v>
      </c>
      <c r="P40" s="30" t="s">
        <v>73</v>
      </c>
      <c r="Q40" s="31">
        <v>46.63</v>
      </c>
      <c r="R40" s="30" t="s">
        <v>74</v>
      </c>
      <c r="S40" s="30" t="s">
        <v>0</v>
      </c>
      <c r="T40" s="30" t="s">
        <v>0</v>
      </c>
      <c r="U40" s="30" t="s">
        <v>151</v>
      </c>
    </row>
    <row r="41" spans="1:21" x14ac:dyDescent="0.25">
      <c r="A41" s="9" t="s">
        <v>19</v>
      </c>
      <c r="B41" s="9" t="s">
        <v>60</v>
      </c>
      <c r="C41" s="9" t="s">
        <v>76</v>
      </c>
      <c r="D41" s="9" t="s">
        <v>77</v>
      </c>
      <c r="E41" s="9" t="s">
        <v>78</v>
      </c>
      <c r="F41" s="9" t="s">
        <v>207</v>
      </c>
      <c r="G41" s="9" t="s">
        <v>80</v>
      </c>
      <c r="H41" s="9" t="s">
        <v>70</v>
      </c>
      <c r="I41" s="9" t="s">
        <v>81</v>
      </c>
      <c r="J41" s="9" t="s">
        <v>158</v>
      </c>
      <c r="K41" s="9" t="s">
        <v>70</v>
      </c>
      <c r="L41" s="9" t="s">
        <v>70</v>
      </c>
      <c r="M41" s="11">
        <v>25.36</v>
      </c>
      <c r="N41" s="9" t="s">
        <v>71</v>
      </c>
      <c r="O41" s="9" t="s">
        <v>192</v>
      </c>
      <c r="P41" s="9" t="s">
        <v>73</v>
      </c>
      <c r="Q41" s="11">
        <v>25.36</v>
      </c>
      <c r="R41" s="9" t="s">
        <v>74</v>
      </c>
      <c r="S41" s="9" t="s">
        <v>0</v>
      </c>
      <c r="T41" s="9" t="s">
        <v>0</v>
      </c>
      <c r="U41" s="9" t="s">
        <v>159</v>
      </c>
    </row>
    <row r="42" spans="1:21" x14ac:dyDescent="0.25">
      <c r="A42" s="10" t="s">
        <v>19</v>
      </c>
      <c r="B42" s="10" t="s">
        <v>60</v>
      </c>
      <c r="C42" s="10" t="s">
        <v>208</v>
      </c>
      <c r="D42" s="10" t="s">
        <v>209</v>
      </c>
      <c r="E42" s="10" t="s">
        <v>210</v>
      </c>
      <c r="F42" s="10" t="s">
        <v>211</v>
      </c>
      <c r="G42" s="10" t="s">
        <v>80</v>
      </c>
      <c r="H42" s="10" t="s">
        <v>98</v>
      </c>
      <c r="I42" s="10" t="s">
        <v>133</v>
      </c>
      <c r="J42" s="10" t="s">
        <v>212</v>
      </c>
      <c r="K42" s="10" t="s">
        <v>7</v>
      </c>
      <c r="L42" s="10" t="s">
        <v>7</v>
      </c>
      <c r="M42" s="12">
        <v>97.57</v>
      </c>
      <c r="N42" s="10" t="s">
        <v>71</v>
      </c>
      <c r="O42" s="10" t="s">
        <v>182</v>
      </c>
      <c r="P42" s="10" t="s">
        <v>73</v>
      </c>
      <c r="Q42" s="12">
        <v>56.59</v>
      </c>
      <c r="R42" s="10" t="s">
        <v>74</v>
      </c>
      <c r="S42" s="10" t="s">
        <v>0</v>
      </c>
      <c r="T42" s="10" t="s">
        <v>0</v>
      </c>
      <c r="U42" s="10" t="s">
        <v>213</v>
      </c>
    </row>
    <row r="43" spans="1:21" x14ac:dyDescent="0.25">
      <c r="A43" s="9" t="s">
        <v>19</v>
      </c>
      <c r="B43" s="9" t="s">
        <v>60</v>
      </c>
      <c r="C43" s="9" t="s">
        <v>89</v>
      </c>
      <c r="D43" s="9" t="s">
        <v>90</v>
      </c>
      <c r="E43" s="9" t="s">
        <v>91</v>
      </c>
      <c r="F43" s="9" t="s">
        <v>214</v>
      </c>
      <c r="G43" s="9" t="s">
        <v>93</v>
      </c>
      <c r="H43" s="9" t="s">
        <v>94</v>
      </c>
      <c r="I43" s="9" t="s">
        <v>95</v>
      </c>
      <c r="J43" s="9" t="s">
        <v>169</v>
      </c>
      <c r="K43" s="9" t="s">
        <v>97</v>
      </c>
      <c r="L43" s="9" t="s">
        <v>98</v>
      </c>
      <c r="M43" s="11">
        <v>20.63</v>
      </c>
      <c r="N43" s="9" t="s">
        <v>71</v>
      </c>
      <c r="O43" s="9" t="s">
        <v>83</v>
      </c>
      <c r="P43" s="9" t="s">
        <v>73</v>
      </c>
      <c r="Q43" s="11">
        <v>12.38</v>
      </c>
      <c r="R43" s="9" t="s">
        <v>74</v>
      </c>
      <c r="S43" s="9" t="s">
        <v>0</v>
      </c>
      <c r="T43" s="9" t="s">
        <v>0</v>
      </c>
      <c r="U43" s="9" t="s">
        <v>170</v>
      </c>
    </row>
    <row r="44" spans="1:21" x14ac:dyDescent="0.25">
      <c r="A44" s="10" t="s">
        <v>19</v>
      </c>
      <c r="B44" s="10" t="s">
        <v>60</v>
      </c>
      <c r="C44" s="10" t="s">
        <v>89</v>
      </c>
      <c r="D44" s="10" t="s">
        <v>90</v>
      </c>
      <c r="E44" s="10" t="s">
        <v>91</v>
      </c>
      <c r="F44" s="10" t="s">
        <v>214</v>
      </c>
      <c r="G44" s="10" t="s">
        <v>93</v>
      </c>
      <c r="H44" s="10" t="s">
        <v>94</v>
      </c>
      <c r="I44" s="10" t="s">
        <v>95</v>
      </c>
      <c r="J44" s="10" t="s">
        <v>169</v>
      </c>
      <c r="K44" s="10" t="s">
        <v>97</v>
      </c>
      <c r="L44" s="10" t="s">
        <v>98</v>
      </c>
      <c r="M44" s="12">
        <v>22.73</v>
      </c>
      <c r="N44" s="10" t="s">
        <v>71</v>
      </c>
      <c r="O44" s="10" t="s">
        <v>83</v>
      </c>
      <c r="P44" s="10" t="s">
        <v>73</v>
      </c>
      <c r="Q44" s="12">
        <v>13.64</v>
      </c>
      <c r="R44" s="10" t="s">
        <v>74</v>
      </c>
      <c r="S44" s="10" t="s">
        <v>0</v>
      </c>
      <c r="T44" s="10" t="s">
        <v>0</v>
      </c>
      <c r="U44" s="10" t="s">
        <v>170</v>
      </c>
    </row>
    <row r="45" spans="1:21" x14ac:dyDescent="0.25">
      <c r="A45" s="9" t="s">
        <v>19</v>
      </c>
      <c r="B45" s="9" t="s">
        <v>60</v>
      </c>
      <c r="C45" s="9" t="s">
        <v>89</v>
      </c>
      <c r="D45" s="9" t="s">
        <v>90</v>
      </c>
      <c r="E45" s="9" t="s">
        <v>91</v>
      </c>
      <c r="F45" s="9" t="s">
        <v>214</v>
      </c>
      <c r="G45" s="9" t="s">
        <v>93</v>
      </c>
      <c r="H45" s="9" t="s">
        <v>94</v>
      </c>
      <c r="I45" s="9" t="s">
        <v>95</v>
      </c>
      <c r="J45" s="9" t="s">
        <v>169</v>
      </c>
      <c r="K45" s="9" t="s">
        <v>97</v>
      </c>
      <c r="L45" s="9" t="s">
        <v>98</v>
      </c>
      <c r="M45" s="11">
        <v>14.2</v>
      </c>
      <c r="N45" s="9" t="s">
        <v>71</v>
      </c>
      <c r="O45" s="9" t="s">
        <v>83</v>
      </c>
      <c r="P45" s="9" t="s">
        <v>73</v>
      </c>
      <c r="Q45" s="11">
        <v>8.52</v>
      </c>
      <c r="R45" s="9" t="s">
        <v>74</v>
      </c>
      <c r="S45" s="9" t="s">
        <v>0</v>
      </c>
      <c r="T45" s="9" t="s">
        <v>0</v>
      </c>
      <c r="U45" s="9" t="s">
        <v>170</v>
      </c>
    </row>
    <row r="46" spans="1:21" x14ac:dyDescent="0.25">
      <c r="A46" s="10" t="s">
        <v>19</v>
      </c>
      <c r="B46" s="10" t="s">
        <v>60</v>
      </c>
      <c r="C46" s="10" t="s">
        <v>76</v>
      </c>
      <c r="D46" s="10" t="s">
        <v>77</v>
      </c>
      <c r="E46" s="10" t="s">
        <v>78</v>
      </c>
      <c r="F46" s="10" t="s">
        <v>79</v>
      </c>
      <c r="G46" s="10" t="s">
        <v>80</v>
      </c>
      <c r="H46" s="10" t="s">
        <v>70</v>
      </c>
      <c r="I46" s="10" t="s">
        <v>81</v>
      </c>
      <c r="J46" s="10" t="s">
        <v>82</v>
      </c>
      <c r="K46" s="10" t="s">
        <v>70</v>
      </c>
      <c r="L46" s="10" t="s">
        <v>70</v>
      </c>
      <c r="M46" s="12">
        <v>16.670000000000002</v>
      </c>
      <c r="N46" s="10" t="s">
        <v>71</v>
      </c>
      <c r="O46" s="10" t="s">
        <v>83</v>
      </c>
      <c r="P46" s="10" t="s">
        <v>73</v>
      </c>
      <c r="Q46" s="12">
        <v>10</v>
      </c>
      <c r="R46" s="10" t="s">
        <v>74</v>
      </c>
      <c r="S46" s="10" t="s">
        <v>0</v>
      </c>
      <c r="T46" s="10" t="s">
        <v>0</v>
      </c>
      <c r="U46" s="10" t="s">
        <v>84</v>
      </c>
    </row>
    <row r="47" spans="1:21" x14ac:dyDescent="0.25">
      <c r="A47" s="9" t="s">
        <v>19</v>
      </c>
      <c r="B47" s="9" t="s">
        <v>60</v>
      </c>
      <c r="C47" s="9" t="s">
        <v>76</v>
      </c>
      <c r="D47" s="9" t="s">
        <v>77</v>
      </c>
      <c r="E47" s="9" t="s">
        <v>215</v>
      </c>
      <c r="F47" s="9" t="s">
        <v>216</v>
      </c>
      <c r="G47" s="9" t="s">
        <v>93</v>
      </c>
      <c r="H47" s="9" t="s">
        <v>217</v>
      </c>
      <c r="I47" s="9" t="s">
        <v>133</v>
      </c>
      <c r="J47" s="9" t="s">
        <v>218</v>
      </c>
      <c r="K47" s="9" t="s">
        <v>217</v>
      </c>
      <c r="L47" s="9" t="s">
        <v>98</v>
      </c>
      <c r="M47" s="11">
        <v>62.33</v>
      </c>
      <c r="N47" s="9" t="s">
        <v>71</v>
      </c>
      <c r="O47" s="9" t="s">
        <v>182</v>
      </c>
      <c r="P47" s="9" t="s">
        <v>73</v>
      </c>
      <c r="Q47" s="11">
        <v>36.15</v>
      </c>
      <c r="R47" s="9" t="s">
        <v>74</v>
      </c>
      <c r="S47" s="9" t="s">
        <v>0</v>
      </c>
      <c r="T47" s="9" t="s">
        <v>0</v>
      </c>
      <c r="U47" s="9" t="s">
        <v>219</v>
      </c>
    </row>
    <row r="48" spans="1:21" x14ac:dyDescent="0.25">
      <c r="A48" s="10" t="s">
        <v>19</v>
      </c>
      <c r="B48" s="10" t="s">
        <v>60</v>
      </c>
      <c r="C48" s="10" t="s">
        <v>220</v>
      </c>
      <c r="D48" s="10" t="s">
        <v>221</v>
      </c>
      <c r="E48" s="10" t="s">
        <v>222</v>
      </c>
      <c r="F48" s="10" t="s">
        <v>223</v>
      </c>
      <c r="G48" s="10" t="s">
        <v>93</v>
      </c>
      <c r="H48" s="10" t="s">
        <v>224</v>
      </c>
      <c r="I48" s="10" t="s">
        <v>225</v>
      </c>
      <c r="J48" s="10" t="s">
        <v>155</v>
      </c>
      <c r="K48" s="10" t="s">
        <v>226</v>
      </c>
      <c r="L48" s="10" t="s">
        <v>98</v>
      </c>
      <c r="M48" s="12">
        <v>129.72999999999999</v>
      </c>
      <c r="N48" s="10" t="s">
        <v>71</v>
      </c>
      <c r="O48" s="10" t="s">
        <v>136</v>
      </c>
      <c r="P48" s="10" t="s">
        <v>73</v>
      </c>
      <c r="Q48" s="12">
        <v>136.22</v>
      </c>
      <c r="R48" s="10" t="s">
        <v>74</v>
      </c>
      <c r="S48" s="10" t="s">
        <v>0</v>
      </c>
      <c r="T48" s="10" t="s">
        <v>0</v>
      </c>
      <c r="U48" s="10" t="s">
        <v>156</v>
      </c>
    </row>
    <row r="49" spans="1:21" x14ac:dyDescent="0.25">
      <c r="A49" s="9" t="s">
        <v>19</v>
      </c>
      <c r="B49" s="9" t="s">
        <v>60</v>
      </c>
      <c r="C49" s="9" t="s">
        <v>76</v>
      </c>
      <c r="D49" s="9" t="s">
        <v>77</v>
      </c>
      <c r="E49" s="9" t="s">
        <v>78</v>
      </c>
      <c r="F49" s="9" t="s">
        <v>79</v>
      </c>
      <c r="G49" s="9" t="s">
        <v>80</v>
      </c>
      <c r="H49" s="9" t="s">
        <v>70</v>
      </c>
      <c r="I49" s="9" t="s">
        <v>81</v>
      </c>
      <c r="J49" s="9" t="s">
        <v>82</v>
      </c>
      <c r="K49" s="9" t="s">
        <v>70</v>
      </c>
      <c r="L49" s="9" t="s">
        <v>70</v>
      </c>
      <c r="M49" s="11">
        <v>11.83</v>
      </c>
      <c r="N49" s="9" t="s">
        <v>71</v>
      </c>
      <c r="O49" s="9" t="s">
        <v>83</v>
      </c>
      <c r="P49" s="9" t="s">
        <v>73</v>
      </c>
      <c r="Q49" s="11">
        <v>7.1</v>
      </c>
      <c r="R49" s="9" t="s">
        <v>74</v>
      </c>
      <c r="S49" s="9" t="s">
        <v>0</v>
      </c>
      <c r="T49" s="9" t="s">
        <v>0</v>
      </c>
      <c r="U49" s="9" t="s">
        <v>84</v>
      </c>
    </row>
    <row r="50" spans="1:21" x14ac:dyDescent="0.25">
      <c r="A50" s="10" t="s">
        <v>19</v>
      </c>
      <c r="B50" s="10" t="s">
        <v>60</v>
      </c>
      <c r="C50" s="10" t="s">
        <v>76</v>
      </c>
      <c r="D50" s="10" t="s">
        <v>77</v>
      </c>
      <c r="E50" s="10" t="s">
        <v>78</v>
      </c>
      <c r="F50" s="10" t="s">
        <v>79</v>
      </c>
      <c r="G50" s="10" t="s">
        <v>80</v>
      </c>
      <c r="H50" s="10" t="s">
        <v>70</v>
      </c>
      <c r="I50" s="10" t="s">
        <v>81</v>
      </c>
      <c r="J50" s="10" t="s">
        <v>82</v>
      </c>
      <c r="K50" s="10" t="s">
        <v>70</v>
      </c>
      <c r="L50" s="10" t="s">
        <v>70</v>
      </c>
      <c r="M50" s="12">
        <v>6.85</v>
      </c>
      <c r="N50" s="10" t="s">
        <v>71</v>
      </c>
      <c r="O50" s="10" t="s">
        <v>83</v>
      </c>
      <c r="P50" s="10" t="s">
        <v>73</v>
      </c>
      <c r="Q50" s="12">
        <v>4.1100000000000003</v>
      </c>
      <c r="R50" s="10" t="s">
        <v>74</v>
      </c>
      <c r="S50" s="10" t="s">
        <v>0</v>
      </c>
      <c r="T50" s="10" t="s">
        <v>0</v>
      </c>
      <c r="U50" s="10" t="s">
        <v>84</v>
      </c>
    </row>
    <row r="51" spans="1:21" x14ac:dyDescent="0.25">
      <c r="A51" s="9" t="s">
        <v>19</v>
      </c>
      <c r="B51" s="9" t="s">
        <v>60</v>
      </c>
      <c r="C51" s="9" t="s">
        <v>76</v>
      </c>
      <c r="D51" s="9" t="s">
        <v>77</v>
      </c>
      <c r="E51" s="9" t="s">
        <v>78</v>
      </c>
      <c r="F51" s="9" t="s">
        <v>79</v>
      </c>
      <c r="G51" s="9" t="s">
        <v>80</v>
      </c>
      <c r="H51" s="9" t="s">
        <v>70</v>
      </c>
      <c r="I51" s="9" t="s">
        <v>81</v>
      </c>
      <c r="J51" s="9" t="s">
        <v>82</v>
      </c>
      <c r="K51" s="9" t="s">
        <v>70</v>
      </c>
      <c r="L51" s="9" t="s">
        <v>70</v>
      </c>
      <c r="M51" s="11">
        <v>4.41</v>
      </c>
      <c r="N51" s="9" t="s">
        <v>71</v>
      </c>
      <c r="O51" s="9" t="s">
        <v>83</v>
      </c>
      <c r="P51" s="9" t="s">
        <v>73</v>
      </c>
      <c r="Q51" s="11">
        <v>2.65</v>
      </c>
      <c r="R51" s="9" t="s">
        <v>74</v>
      </c>
      <c r="S51" s="9" t="s">
        <v>0</v>
      </c>
      <c r="T51" s="9" t="s">
        <v>0</v>
      </c>
      <c r="U51" s="9" t="s">
        <v>84</v>
      </c>
    </row>
    <row r="52" spans="1:21" x14ac:dyDescent="0.25">
      <c r="A52" s="10" t="s">
        <v>19</v>
      </c>
      <c r="B52" s="10" t="s">
        <v>60</v>
      </c>
      <c r="C52" s="10" t="s">
        <v>76</v>
      </c>
      <c r="D52" s="10" t="s">
        <v>77</v>
      </c>
      <c r="E52" s="10" t="s">
        <v>78</v>
      </c>
      <c r="F52" s="10" t="s">
        <v>79</v>
      </c>
      <c r="G52" s="10" t="s">
        <v>80</v>
      </c>
      <c r="H52" s="10" t="s">
        <v>70</v>
      </c>
      <c r="I52" s="10" t="s">
        <v>81</v>
      </c>
      <c r="J52" s="10" t="s">
        <v>82</v>
      </c>
      <c r="K52" s="10" t="s">
        <v>70</v>
      </c>
      <c r="L52" s="10" t="s">
        <v>70</v>
      </c>
      <c r="M52" s="12">
        <v>6.13</v>
      </c>
      <c r="N52" s="10" t="s">
        <v>71</v>
      </c>
      <c r="O52" s="10" t="s">
        <v>83</v>
      </c>
      <c r="P52" s="10" t="s">
        <v>73</v>
      </c>
      <c r="Q52" s="12">
        <v>3.68</v>
      </c>
      <c r="R52" s="10" t="s">
        <v>74</v>
      </c>
      <c r="S52" s="10" t="s">
        <v>0</v>
      </c>
      <c r="T52" s="10" t="s">
        <v>0</v>
      </c>
      <c r="U52" s="10" t="s">
        <v>84</v>
      </c>
    </row>
    <row r="53" spans="1:21" x14ac:dyDescent="0.25">
      <c r="A53" s="9" t="s">
        <v>19</v>
      </c>
      <c r="B53" s="9" t="s">
        <v>60</v>
      </c>
      <c r="C53" s="9" t="s">
        <v>120</v>
      </c>
      <c r="D53" s="9" t="s">
        <v>121</v>
      </c>
      <c r="E53" s="9" t="s">
        <v>227</v>
      </c>
      <c r="F53" s="9" t="s">
        <v>228</v>
      </c>
      <c r="G53" s="9" t="s">
        <v>65</v>
      </c>
      <c r="H53" s="9" t="s">
        <v>229</v>
      </c>
      <c r="I53" s="9" t="s">
        <v>95</v>
      </c>
      <c r="J53" s="9" t="s">
        <v>125</v>
      </c>
      <c r="K53" s="9" t="s">
        <v>230</v>
      </c>
      <c r="L53" s="9" t="s">
        <v>98</v>
      </c>
      <c r="M53" s="11">
        <v>27.63</v>
      </c>
      <c r="N53" s="9" t="s">
        <v>71</v>
      </c>
      <c r="O53" s="9" t="s">
        <v>231</v>
      </c>
      <c r="P53" s="9" t="s">
        <v>73</v>
      </c>
      <c r="Q53" s="11">
        <v>1.04</v>
      </c>
      <c r="R53" s="9" t="s">
        <v>74</v>
      </c>
      <c r="S53" s="9" t="s">
        <v>0</v>
      </c>
      <c r="T53" s="9" t="s">
        <v>0</v>
      </c>
      <c r="U53" s="9" t="s">
        <v>128</v>
      </c>
    </row>
    <row r="54" spans="1:21" x14ac:dyDescent="0.25">
      <c r="A54" s="10" t="s">
        <v>19</v>
      </c>
      <c r="B54" s="10" t="s">
        <v>60</v>
      </c>
      <c r="C54" s="10" t="s">
        <v>220</v>
      </c>
      <c r="D54" s="10" t="s">
        <v>221</v>
      </c>
      <c r="E54" s="10" t="s">
        <v>222</v>
      </c>
      <c r="F54" s="10" t="s">
        <v>232</v>
      </c>
      <c r="G54" s="10" t="s">
        <v>93</v>
      </c>
      <c r="H54" s="10" t="s">
        <v>224</v>
      </c>
      <c r="I54" s="10" t="s">
        <v>225</v>
      </c>
      <c r="J54" s="10" t="s">
        <v>158</v>
      </c>
      <c r="K54" s="10" t="s">
        <v>226</v>
      </c>
      <c r="L54" s="10" t="s">
        <v>98</v>
      </c>
      <c r="M54" s="12">
        <v>138.99</v>
      </c>
      <c r="N54" s="10" t="s">
        <v>71</v>
      </c>
      <c r="O54" s="10" t="s">
        <v>136</v>
      </c>
      <c r="P54" s="10" t="s">
        <v>73</v>
      </c>
      <c r="Q54" s="12">
        <v>145.94</v>
      </c>
      <c r="R54" s="10" t="s">
        <v>74</v>
      </c>
      <c r="S54" s="10" t="s">
        <v>0</v>
      </c>
      <c r="T54" s="10" t="s">
        <v>0</v>
      </c>
      <c r="U54" s="10" t="s">
        <v>159</v>
      </c>
    </row>
    <row r="55" spans="1:21" x14ac:dyDescent="0.25">
      <c r="A55" s="9" t="s">
        <v>19</v>
      </c>
      <c r="B55" s="9" t="s">
        <v>60</v>
      </c>
      <c r="C55" s="9" t="s">
        <v>114</v>
      </c>
      <c r="D55" s="9" t="s">
        <v>115</v>
      </c>
      <c r="E55" s="9" t="s">
        <v>116</v>
      </c>
      <c r="F55" s="9" t="s">
        <v>117</v>
      </c>
      <c r="G55" s="9" t="s">
        <v>80</v>
      </c>
      <c r="H55" s="9" t="s">
        <v>118</v>
      </c>
      <c r="I55" s="9" t="s">
        <v>119</v>
      </c>
      <c r="J55" s="9" t="s">
        <v>82</v>
      </c>
      <c r="K55" s="9" t="s">
        <v>70</v>
      </c>
      <c r="L55" s="9" t="s">
        <v>70</v>
      </c>
      <c r="M55" s="11">
        <v>10.79</v>
      </c>
      <c r="N55" s="9" t="s">
        <v>71</v>
      </c>
      <c r="O55" s="9" t="s">
        <v>83</v>
      </c>
      <c r="P55" s="9" t="s">
        <v>73</v>
      </c>
      <c r="Q55" s="11">
        <v>6.47</v>
      </c>
      <c r="R55" s="9" t="s">
        <v>74</v>
      </c>
      <c r="S55" s="9" t="s">
        <v>0</v>
      </c>
      <c r="T55" s="9" t="s">
        <v>0</v>
      </c>
      <c r="U55" s="9" t="s">
        <v>84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12C6-3BA4-49CC-8DA5-DB30F6EE3179}">
  <dimension ref="A1:Y54"/>
  <sheetViews>
    <sheetView tabSelected="1" topLeftCell="A35" workbookViewId="0">
      <selection activeCell="G63" sqref="G63"/>
    </sheetView>
  </sheetViews>
  <sheetFormatPr defaultRowHeight="15" x14ac:dyDescent="0.25"/>
  <cols>
    <col min="1" max="1" width="21" style="14" customWidth="1"/>
    <col min="2" max="2" width="13.5703125" style="14" customWidth="1"/>
    <col min="3" max="3" width="11" style="14" customWidth="1"/>
    <col min="4" max="4" width="17" style="14" customWidth="1"/>
    <col min="5" max="5" width="12.28515625" style="14" customWidth="1"/>
    <col min="6" max="6" width="10" style="14" customWidth="1"/>
    <col min="7" max="7" width="12" style="14" customWidth="1"/>
    <col min="8" max="8" width="14.140625" style="14" customWidth="1"/>
    <col min="9" max="9" width="14" style="14" customWidth="1"/>
    <col min="10" max="10" width="9.42578125" style="14" customWidth="1"/>
    <col min="11" max="11" width="6.85546875" style="14" customWidth="1"/>
    <col min="12" max="12" width="7" style="14" customWidth="1"/>
    <col min="13" max="13" width="11" style="14" customWidth="1"/>
    <col min="14" max="14" width="10" style="14" customWidth="1"/>
    <col min="15" max="15" width="21" style="14" customWidth="1"/>
    <col min="16" max="16" width="34.42578125" style="14" bestFit="1" customWidth="1"/>
    <col min="17" max="16384" width="9.140625" style="14"/>
  </cols>
  <sheetData>
    <row r="1" spans="1:25" x14ac:dyDescent="0.25">
      <c r="A1" s="13" t="s">
        <v>42</v>
      </c>
      <c r="B1" s="13"/>
      <c r="C1" s="13" t="s">
        <v>43</v>
      </c>
      <c r="D1" s="13" t="s">
        <v>44</v>
      </c>
      <c r="E1" s="13" t="s">
        <v>45</v>
      </c>
      <c r="F1" s="13" t="s">
        <v>47</v>
      </c>
      <c r="G1" s="13" t="s">
        <v>48</v>
      </c>
      <c r="H1" s="13" t="s">
        <v>49</v>
      </c>
      <c r="I1" s="13" t="s">
        <v>50</v>
      </c>
      <c r="J1" s="13"/>
      <c r="K1" s="13"/>
      <c r="L1" s="13"/>
      <c r="M1" s="13" t="s">
        <v>51</v>
      </c>
      <c r="N1" s="13" t="s">
        <v>53</v>
      </c>
      <c r="O1" s="13" t="s">
        <v>55</v>
      </c>
      <c r="P1" s="13" t="s">
        <v>59</v>
      </c>
    </row>
    <row r="2" spans="1:25" s="21" customFormat="1" x14ac:dyDescent="0.25">
      <c r="A2" s="18" t="s">
        <v>209</v>
      </c>
      <c r="B2" s="18" t="s">
        <v>251</v>
      </c>
      <c r="C2" s="18" t="s">
        <v>210</v>
      </c>
      <c r="D2" s="18" t="s">
        <v>211</v>
      </c>
      <c r="E2" s="18" t="s">
        <v>80</v>
      </c>
      <c r="F2" s="18" t="s">
        <v>133</v>
      </c>
      <c r="G2" s="18" t="s">
        <v>212</v>
      </c>
      <c r="H2" s="18" t="s">
        <v>7</v>
      </c>
      <c r="I2" s="18" t="s">
        <v>7</v>
      </c>
      <c r="J2" s="18">
        <f t="shared" ref="J2:J33" si="0">DATEDIF(H2,I2,"M")</f>
        <v>0</v>
      </c>
      <c r="K2" s="18" t="s">
        <v>233</v>
      </c>
      <c r="L2" s="18" t="s">
        <v>234</v>
      </c>
      <c r="M2" s="19">
        <v>97.57</v>
      </c>
      <c r="N2" s="20">
        <v>0.57999999999999996</v>
      </c>
      <c r="O2" s="19">
        <v>56.59</v>
      </c>
      <c r="P2" s="18" t="s">
        <v>213</v>
      </c>
      <c r="Q2" s="21" t="s">
        <v>240</v>
      </c>
    </row>
    <row r="3" spans="1:25" s="21" customFormat="1" x14ac:dyDescent="0.25">
      <c r="A3" s="18" t="s">
        <v>166</v>
      </c>
      <c r="B3" s="18" t="s">
        <v>252</v>
      </c>
      <c r="C3" s="18" t="s">
        <v>194</v>
      </c>
      <c r="D3" s="18" t="s">
        <v>195</v>
      </c>
      <c r="E3" s="18" t="s">
        <v>80</v>
      </c>
      <c r="F3" s="18" t="s">
        <v>196</v>
      </c>
      <c r="G3" s="18" t="s">
        <v>197</v>
      </c>
      <c r="H3" s="18" t="s">
        <v>198</v>
      </c>
      <c r="I3" s="18" t="s">
        <v>198</v>
      </c>
      <c r="J3" s="18">
        <f t="shared" si="0"/>
        <v>0</v>
      </c>
      <c r="K3" s="18" t="s">
        <v>233</v>
      </c>
      <c r="L3" s="18" t="s">
        <v>234</v>
      </c>
      <c r="M3" s="19">
        <v>22.92</v>
      </c>
      <c r="N3" s="20">
        <v>0.57999999999999996</v>
      </c>
      <c r="O3" s="19">
        <v>13.29</v>
      </c>
      <c r="P3" s="18" t="s">
        <v>199</v>
      </c>
      <c r="Q3" s="21" t="s">
        <v>240</v>
      </c>
    </row>
    <row r="4" spans="1:25" s="21" customFormat="1" x14ac:dyDescent="0.25">
      <c r="A4" s="18" t="s">
        <v>166</v>
      </c>
      <c r="B4" s="18" t="s">
        <v>252</v>
      </c>
      <c r="C4" s="18" t="s">
        <v>167</v>
      </c>
      <c r="D4" s="18" t="s">
        <v>168</v>
      </c>
      <c r="E4" s="18" t="s">
        <v>80</v>
      </c>
      <c r="F4" s="18" t="s">
        <v>111</v>
      </c>
      <c r="G4" s="18" t="s">
        <v>169</v>
      </c>
      <c r="H4" s="18" t="s">
        <v>70</v>
      </c>
      <c r="I4" s="18" t="s">
        <v>70</v>
      </c>
      <c r="J4" s="18">
        <f t="shared" si="0"/>
        <v>0</v>
      </c>
      <c r="K4" s="18" t="s">
        <v>233</v>
      </c>
      <c r="L4" s="18" t="s">
        <v>234</v>
      </c>
      <c r="M4" s="19">
        <v>6.83</v>
      </c>
      <c r="N4" s="20">
        <v>0.6</v>
      </c>
      <c r="O4" s="19">
        <v>4.0999999999999996</v>
      </c>
      <c r="P4" s="18" t="s">
        <v>170</v>
      </c>
      <c r="Q4" s="21" t="s">
        <v>244</v>
      </c>
    </row>
    <row r="5" spans="1:25" s="21" customFormat="1" x14ac:dyDescent="0.25">
      <c r="A5" s="18" t="s">
        <v>166</v>
      </c>
      <c r="B5" s="18" t="s">
        <v>252</v>
      </c>
      <c r="C5" s="18" t="s">
        <v>167</v>
      </c>
      <c r="D5" s="18" t="s">
        <v>168</v>
      </c>
      <c r="E5" s="18" t="s">
        <v>80</v>
      </c>
      <c r="F5" s="18" t="s">
        <v>111</v>
      </c>
      <c r="G5" s="18" t="s">
        <v>169</v>
      </c>
      <c r="H5" s="18" t="s">
        <v>70</v>
      </c>
      <c r="I5" s="18" t="s">
        <v>70</v>
      </c>
      <c r="J5" s="18">
        <f t="shared" si="0"/>
        <v>0</v>
      </c>
      <c r="K5" s="18" t="s">
        <v>233</v>
      </c>
      <c r="L5" s="18" t="s">
        <v>234</v>
      </c>
      <c r="M5" s="19">
        <v>7.26</v>
      </c>
      <c r="N5" s="20">
        <v>0.6</v>
      </c>
      <c r="O5" s="19">
        <v>4.3600000000000003</v>
      </c>
      <c r="P5" s="18" t="s">
        <v>170</v>
      </c>
      <c r="Q5" s="21" t="s">
        <v>244</v>
      </c>
    </row>
    <row r="6" spans="1:25" s="21" customFormat="1" x14ac:dyDescent="0.25">
      <c r="A6" s="18" t="s">
        <v>166</v>
      </c>
      <c r="B6" s="18" t="s">
        <v>252</v>
      </c>
      <c r="C6" s="18" t="s">
        <v>167</v>
      </c>
      <c r="D6" s="18" t="s">
        <v>168</v>
      </c>
      <c r="E6" s="18" t="s">
        <v>80</v>
      </c>
      <c r="F6" s="18" t="s">
        <v>111</v>
      </c>
      <c r="G6" s="18" t="s">
        <v>169</v>
      </c>
      <c r="H6" s="18" t="s">
        <v>70</v>
      </c>
      <c r="I6" s="18" t="s">
        <v>70</v>
      </c>
      <c r="J6" s="18">
        <f t="shared" si="0"/>
        <v>0</v>
      </c>
      <c r="K6" s="18" t="s">
        <v>233</v>
      </c>
      <c r="L6" s="18" t="s">
        <v>234</v>
      </c>
      <c r="M6" s="19">
        <v>1.63</v>
      </c>
      <c r="N6" s="20">
        <v>0.6</v>
      </c>
      <c r="O6" s="19">
        <v>0.98</v>
      </c>
      <c r="P6" s="18" t="s">
        <v>170</v>
      </c>
      <c r="Q6" s="21" t="s">
        <v>244</v>
      </c>
    </row>
    <row r="7" spans="1:25" s="21" customFormat="1" x14ac:dyDescent="0.25">
      <c r="A7" s="18" t="s">
        <v>166</v>
      </c>
      <c r="B7" s="18" t="s">
        <v>252</v>
      </c>
      <c r="C7" s="18" t="s">
        <v>167</v>
      </c>
      <c r="D7" s="18" t="s">
        <v>168</v>
      </c>
      <c r="E7" s="18" t="s">
        <v>80</v>
      </c>
      <c r="F7" s="18" t="s">
        <v>111</v>
      </c>
      <c r="G7" s="18" t="s">
        <v>169</v>
      </c>
      <c r="H7" s="18" t="s">
        <v>70</v>
      </c>
      <c r="I7" s="18" t="s">
        <v>70</v>
      </c>
      <c r="J7" s="18">
        <f t="shared" si="0"/>
        <v>0</v>
      </c>
      <c r="K7" s="18" t="s">
        <v>233</v>
      </c>
      <c r="L7" s="18" t="s">
        <v>234</v>
      </c>
      <c r="M7" s="19">
        <v>4.88</v>
      </c>
      <c r="N7" s="20">
        <v>0.6</v>
      </c>
      <c r="O7" s="19">
        <v>2.93</v>
      </c>
      <c r="P7" s="18" t="s">
        <v>170</v>
      </c>
      <c r="Q7" s="21" t="s">
        <v>244</v>
      </c>
    </row>
    <row r="8" spans="1:25" s="21" customFormat="1" x14ac:dyDescent="0.25">
      <c r="A8" s="18" t="s">
        <v>130</v>
      </c>
      <c r="B8" s="18">
        <v>19586992</v>
      </c>
      <c r="C8" s="18" t="s">
        <v>130</v>
      </c>
      <c r="D8" s="18" t="s">
        <v>131</v>
      </c>
      <c r="E8" s="18" t="s">
        <v>93</v>
      </c>
      <c r="F8" s="18" t="s">
        <v>133</v>
      </c>
      <c r="G8" s="18" t="s">
        <v>134</v>
      </c>
      <c r="H8" s="18" t="s">
        <v>135</v>
      </c>
      <c r="I8" s="18" t="s">
        <v>70</v>
      </c>
      <c r="J8" s="18">
        <f t="shared" si="0"/>
        <v>7</v>
      </c>
      <c r="K8" s="18" t="s">
        <v>235</v>
      </c>
      <c r="L8" s="18" t="s">
        <v>236</v>
      </c>
      <c r="M8" s="19">
        <v>93.75</v>
      </c>
      <c r="N8" s="20">
        <v>1.05</v>
      </c>
      <c r="O8" s="19">
        <v>98.44</v>
      </c>
      <c r="P8" s="18" t="s">
        <v>137</v>
      </c>
      <c r="Q8" s="21" t="s">
        <v>238</v>
      </c>
    </row>
    <row r="9" spans="1:25" s="21" customFormat="1" x14ac:dyDescent="0.25">
      <c r="A9" s="18" t="s">
        <v>107</v>
      </c>
      <c r="B9" s="18">
        <v>16202925</v>
      </c>
      <c r="C9" s="18" t="s">
        <v>145</v>
      </c>
      <c r="D9" s="18" t="s">
        <v>146</v>
      </c>
      <c r="E9" s="18" t="s">
        <v>65</v>
      </c>
      <c r="F9" s="18" t="s">
        <v>95</v>
      </c>
      <c r="G9" s="18" t="s">
        <v>148</v>
      </c>
      <c r="H9" s="18" t="s">
        <v>104</v>
      </c>
      <c r="I9" s="18" t="s">
        <v>70</v>
      </c>
      <c r="J9" s="18">
        <f t="shared" si="0"/>
        <v>13</v>
      </c>
      <c r="K9" s="18" t="s">
        <v>235</v>
      </c>
      <c r="L9" s="18" t="s">
        <v>236</v>
      </c>
      <c r="M9" s="19">
        <v>181.68</v>
      </c>
      <c r="N9" s="20">
        <v>1.4999999999999999E-2</v>
      </c>
      <c r="O9" s="19">
        <v>2.73</v>
      </c>
      <c r="P9" s="18" t="s">
        <v>151</v>
      </c>
      <c r="Q9" s="21" t="s">
        <v>248</v>
      </c>
    </row>
    <row r="10" spans="1:25" s="21" customFormat="1" x14ac:dyDescent="0.25">
      <c r="A10" s="18" t="s">
        <v>107</v>
      </c>
      <c r="B10" s="18">
        <v>16202925</v>
      </c>
      <c r="C10" s="18" t="s">
        <v>108</v>
      </c>
      <c r="D10" s="18" t="s">
        <v>109</v>
      </c>
      <c r="E10" s="18" t="s">
        <v>65</v>
      </c>
      <c r="F10" s="18" t="s">
        <v>111</v>
      </c>
      <c r="G10" s="18" t="s">
        <v>68</v>
      </c>
      <c r="H10" s="18" t="s">
        <v>112</v>
      </c>
      <c r="I10" s="18" t="s">
        <v>70</v>
      </c>
      <c r="J10" s="18">
        <f t="shared" si="0"/>
        <v>17</v>
      </c>
      <c r="K10" s="18" t="s">
        <v>235</v>
      </c>
      <c r="L10" s="18" t="s">
        <v>236</v>
      </c>
      <c r="M10" s="19">
        <v>128.28</v>
      </c>
      <c r="N10" s="20">
        <v>0.3</v>
      </c>
      <c r="O10" s="19">
        <v>38.479999999999997</v>
      </c>
      <c r="P10" s="18" t="s">
        <v>75</v>
      </c>
      <c r="Q10" s="21" t="s">
        <v>247</v>
      </c>
    </row>
    <row r="11" spans="1:25" s="21" customFormat="1" x14ac:dyDescent="0.25">
      <c r="A11" s="15" t="s">
        <v>115</v>
      </c>
      <c r="B11" s="15">
        <v>17425766</v>
      </c>
      <c r="C11" s="15" t="s">
        <v>116</v>
      </c>
      <c r="D11" s="15" t="s">
        <v>117</v>
      </c>
      <c r="E11" s="15" t="s">
        <v>80</v>
      </c>
      <c r="F11" s="15" t="s">
        <v>119</v>
      </c>
      <c r="G11" s="15" t="s">
        <v>82</v>
      </c>
      <c r="H11" s="15" t="s">
        <v>70</v>
      </c>
      <c r="I11" s="15" t="s">
        <v>70</v>
      </c>
      <c r="J11" s="15">
        <f t="shared" si="0"/>
        <v>0</v>
      </c>
      <c r="K11" s="15" t="s">
        <v>235</v>
      </c>
      <c r="L11" s="15" t="s">
        <v>236</v>
      </c>
      <c r="M11" s="16">
        <v>4.2</v>
      </c>
      <c r="N11" s="17">
        <v>0.6</v>
      </c>
      <c r="O11" s="16">
        <v>2.52</v>
      </c>
      <c r="P11" s="15" t="s">
        <v>84</v>
      </c>
      <c r="Q11" s="14" t="s">
        <v>244</v>
      </c>
      <c r="R11" s="14"/>
      <c r="S11" s="14"/>
      <c r="T11" s="14"/>
      <c r="U11" s="14"/>
      <c r="V11" s="14"/>
      <c r="W11" s="14"/>
      <c r="X11" s="14"/>
      <c r="Y11" s="14"/>
    </row>
    <row r="12" spans="1:25" s="21" customFormat="1" x14ac:dyDescent="0.25">
      <c r="A12" s="15" t="s">
        <v>115</v>
      </c>
      <c r="B12" s="15">
        <v>17425766</v>
      </c>
      <c r="C12" s="15" t="s">
        <v>116</v>
      </c>
      <c r="D12" s="15" t="s">
        <v>117</v>
      </c>
      <c r="E12" s="15" t="s">
        <v>80</v>
      </c>
      <c r="F12" s="15" t="s">
        <v>119</v>
      </c>
      <c r="G12" s="15" t="s">
        <v>82</v>
      </c>
      <c r="H12" s="15" t="s">
        <v>70</v>
      </c>
      <c r="I12" s="15" t="s">
        <v>70</v>
      </c>
      <c r="J12" s="15">
        <f t="shared" si="0"/>
        <v>0</v>
      </c>
      <c r="K12" s="15" t="s">
        <v>235</v>
      </c>
      <c r="L12" s="15" t="s">
        <v>236</v>
      </c>
      <c r="M12" s="16">
        <v>2.75</v>
      </c>
      <c r="N12" s="17">
        <v>0.6</v>
      </c>
      <c r="O12" s="16">
        <v>1.65</v>
      </c>
      <c r="P12" s="15" t="s">
        <v>84</v>
      </c>
      <c r="Q12" s="14" t="s">
        <v>244</v>
      </c>
      <c r="R12" s="14"/>
      <c r="S12" s="14"/>
      <c r="T12" s="14"/>
      <c r="U12" s="14"/>
      <c r="V12" s="14"/>
      <c r="W12" s="14"/>
      <c r="X12" s="14"/>
      <c r="Y12" s="14"/>
    </row>
    <row r="13" spans="1:25" s="25" customFormat="1" x14ac:dyDescent="0.25">
      <c r="A13" s="15" t="s">
        <v>115</v>
      </c>
      <c r="B13" s="15">
        <v>17425766</v>
      </c>
      <c r="C13" s="15" t="s">
        <v>116</v>
      </c>
      <c r="D13" s="15" t="s">
        <v>117</v>
      </c>
      <c r="E13" s="15" t="s">
        <v>80</v>
      </c>
      <c r="F13" s="15" t="s">
        <v>119</v>
      </c>
      <c r="G13" s="15" t="s">
        <v>82</v>
      </c>
      <c r="H13" s="15" t="s">
        <v>70</v>
      </c>
      <c r="I13" s="15" t="s">
        <v>70</v>
      </c>
      <c r="J13" s="15">
        <f t="shared" si="0"/>
        <v>0</v>
      </c>
      <c r="K13" s="15" t="s">
        <v>235</v>
      </c>
      <c r="L13" s="15" t="s">
        <v>236</v>
      </c>
      <c r="M13" s="16">
        <v>14.42</v>
      </c>
      <c r="N13" s="17">
        <v>0.6</v>
      </c>
      <c r="O13" s="16">
        <v>8.65</v>
      </c>
      <c r="P13" s="15" t="s">
        <v>84</v>
      </c>
      <c r="Q13" s="14" t="s">
        <v>244</v>
      </c>
      <c r="R13" s="14"/>
      <c r="S13" s="14"/>
      <c r="T13" s="14"/>
      <c r="U13" s="14"/>
      <c r="V13" s="14"/>
      <c r="W13" s="14"/>
      <c r="X13" s="14"/>
      <c r="Y13" s="14"/>
    </row>
    <row r="14" spans="1:25" s="21" customFormat="1" x14ac:dyDescent="0.25">
      <c r="A14" s="15" t="s">
        <v>115</v>
      </c>
      <c r="B14" s="15">
        <v>17425766</v>
      </c>
      <c r="C14" s="15" t="s">
        <v>116</v>
      </c>
      <c r="D14" s="15" t="s">
        <v>117</v>
      </c>
      <c r="E14" s="15" t="s">
        <v>80</v>
      </c>
      <c r="F14" s="15" t="s">
        <v>119</v>
      </c>
      <c r="G14" s="15" t="s">
        <v>82</v>
      </c>
      <c r="H14" s="15" t="s">
        <v>70</v>
      </c>
      <c r="I14" s="15" t="s">
        <v>70</v>
      </c>
      <c r="J14" s="15">
        <f t="shared" si="0"/>
        <v>0</v>
      </c>
      <c r="K14" s="15" t="s">
        <v>235</v>
      </c>
      <c r="L14" s="15" t="s">
        <v>236</v>
      </c>
      <c r="M14" s="16">
        <v>16.489999999999998</v>
      </c>
      <c r="N14" s="17">
        <v>0.6</v>
      </c>
      <c r="O14" s="16">
        <v>9.89</v>
      </c>
      <c r="P14" s="15" t="s">
        <v>84</v>
      </c>
      <c r="Q14" s="14" t="s">
        <v>244</v>
      </c>
      <c r="R14" s="14"/>
      <c r="S14" s="14"/>
      <c r="T14" s="14"/>
      <c r="U14" s="14"/>
      <c r="V14" s="14"/>
      <c r="W14" s="14"/>
      <c r="X14" s="14"/>
      <c r="Y14" s="14"/>
    </row>
    <row r="15" spans="1:25" x14ac:dyDescent="0.25">
      <c r="A15" s="15" t="s">
        <v>115</v>
      </c>
      <c r="B15" s="15">
        <v>17425766</v>
      </c>
      <c r="C15" s="15" t="s">
        <v>116</v>
      </c>
      <c r="D15" s="15" t="s">
        <v>117</v>
      </c>
      <c r="E15" s="15" t="s">
        <v>80</v>
      </c>
      <c r="F15" s="15" t="s">
        <v>119</v>
      </c>
      <c r="G15" s="15" t="s">
        <v>82</v>
      </c>
      <c r="H15" s="15" t="s">
        <v>70</v>
      </c>
      <c r="I15" s="15" t="s">
        <v>70</v>
      </c>
      <c r="J15" s="15">
        <f t="shared" si="0"/>
        <v>0</v>
      </c>
      <c r="K15" s="15" t="s">
        <v>235</v>
      </c>
      <c r="L15" s="15" t="s">
        <v>236</v>
      </c>
      <c r="M15" s="16">
        <v>9.8000000000000007</v>
      </c>
      <c r="N15" s="17">
        <v>0.6</v>
      </c>
      <c r="O15" s="16">
        <v>5.88</v>
      </c>
      <c r="P15" s="15" t="s">
        <v>84</v>
      </c>
      <c r="Q15" s="14" t="s">
        <v>244</v>
      </c>
    </row>
    <row r="16" spans="1:25" x14ac:dyDescent="0.25">
      <c r="A16" s="15" t="s">
        <v>115</v>
      </c>
      <c r="B16" s="15">
        <v>17425766</v>
      </c>
      <c r="C16" s="15" t="s">
        <v>116</v>
      </c>
      <c r="D16" s="15" t="s">
        <v>117</v>
      </c>
      <c r="E16" s="15" t="s">
        <v>80</v>
      </c>
      <c r="F16" s="15" t="s">
        <v>119</v>
      </c>
      <c r="G16" s="15" t="s">
        <v>82</v>
      </c>
      <c r="H16" s="15" t="s">
        <v>70</v>
      </c>
      <c r="I16" s="15" t="s">
        <v>70</v>
      </c>
      <c r="J16" s="15">
        <f t="shared" si="0"/>
        <v>0</v>
      </c>
      <c r="K16" s="15" t="s">
        <v>235</v>
      </c>
      <c r="L16" s="15" t="s">
        <v>236</v>
      </c>
      <c r="M16" s="16">
        <v>10.79</v>
      </c>
      <c r="N16" s="17">
        <v>0.6</v>
      </c>
      <c r="O16" s="16">
        <v>6.47</v>
      </c>
      <c r="P16" s="15" t="s">
        <v>84</v>
      </c>
      <c r="Q16" s="14" t="s">
        <v>244</v>
      </c>
    </row>
    <row r="17" spans="1:17" x14ac:dyDescent="0.25">
      <c r="A17" s="15" t="s">
        <v>77</v>
      </c>
      <c r="B17" s="15">
        <v>9213293</v>
      </c>
      <c r="C17" s="15" t="s">
        <v>78</v>
      </c>
      <c r="D17" s="15" t="s">
        <v>79</v>
      </c>
      <c r="E17" s="15" t="s">
        <v>80</v>
      </c>
      <c r="F17" s="15" t="s">
        <v>81</v>
      </c>
      <c r="G17" s="15" t="s">
        <v>82</v>
      </c>
      <c r="H17" s="15" t="s">
        <v>70</v>
      </c>
      <c r="I17" s="15" t="s">
        <v>70</v>
      </c>
      <c r="J17" s="15">
        <f t="shared" si="0"/>
        <v>0</v>
      </c>
      <c r="K17" s="15" t="s">
        <v>235</v>
      </c>
      <c r="L17" s="15" t="s">
        <v>236</v>
      </c>
      <c r="M17" s="16">
        <v>1.22</v>
      </c>
      <c r="N17" s="17">
        <v>0.6</v>
      </c>
      <c r="O17" s="16">
        <v>0.73</v>
      </c>
      <c r="P17" s="15" t="s">
        <v>84</v>
      </c>
      <c r="Q17" s="14" t="s">
        <v>244</v>
      </c>
    </row>
    <row r="18" spans="1:17" x14ac:dyDescent="0.25">
      <c r="A18" s="15" t="s">
        <v>77</v>
      </c>
      <c r="B18" s="15">
        <v>9213293</v>
      </c>
      <c r="C18" s="15" t="s">
        <v>78</v>
      </c>
      <c r="D18" s="15" t="s">
        <v>79</v>
      </c>
      <c r="E18" s="15" t="s">
        <v>80</v>
      </c>
      <c r="F18" s="15" t="s">
        <v>81</v>
      </c>
      <c r="G18" s="15" t="s">
        <v>82</v>
      </c>
      <c r="H18" s="15" t="s">
        <v>70</v>
      </c>
      <c r="I18" s="15" t="s">
        <v>70</v>
      </c>
      <c r="J18" s="15">
        <f t="shared" si="0"/>
        <v>0</v>
      </c>
      <c r="K18" s="15" t="s">
        <v>235</v>
      </c>
      <c r="L18" s="15" t="s">
        <v>236</v>
      </c>
      <c r="M18" s="16">
        <v>16.670000000000002</v>
      </c>
      <c r="N18" s="17">
        <v>0.6</v>
      </c>
      <c r="O18" s="16">
        <v>10</v>
      </c>
      <c r="P18" s="15" t="s">
        <v>84</v>
      </c>
      <c r="Q18" s="14" t="s">
        <v>244</v>
      </c>
    </row>
    <row r="19" spans="1:17" x14ac:dyDescent="0.25">
      <c r="A19" s="15" t="s">
        <v>77</v>
      </c>
      <c r="B19" s="15">
        <v>9213293</v>
      </c>
      <c r="C19" s="15" t="s">
        <v>78</v>
      </c>
      <c r="D19" s="15" t="s">
        <v>79</v>
      </c>
      <c r="E19" s="15" t="s">
        <v>80</v>
      </c>
      <c r="F19" s="15" t="s">
        <v>81</v>
      </c>
      <c r="G19" s="15" t="s">
        <v>82</v>
      </c>
      <c r="H19" s="15" t="s">
        <v>70</v>
      </c>
      <c r="I19" s="15" t="s">
        <v>70</v>
      </c>
      <c r="J19" s="15">
        <f t="shared" si="0"/>
        <v>0</v>
      </c>
      <c r="K19" s="15" t="s">
        <v>235</v>
      </c>
      <c r="L19" s="15" t="s">
        <v>236</v>
      </c>
      <c r="M19" s="16">
        <v>11.83</v>
      </c>
      <c r="N19" s="17">
        <v>0.6</v>
      </c>
      <c r="O19" s="16">
        <v>7.1</v>
      </c>
      <c r="P19" s="15" t="s">
        <v>84</v>
      </c>
      <c r="Q19" s="14" t="s">
        <v>244</v>
      </c>
    </row>
    <row r="20" spans="1:17" x14ac:dyDescent="0.25">
      <c r="A20" s="15" t="s">
        <v>77</v>
      </c>
      <c r="B20" s="15">
        <v>9213293</v>
      </c>
      <c r="C20" s="15" t="s">
        <v>78</v>
      </c>
      <c r="D20" s="15" t="s">
        <v>79</v>
      </c>
      <c r="E20" s="15" t="s">
        <v>80</v>
      </c>
      <c r="F20" s="15" t="s">
        <v>81</v>
      </c>
      <c r="G20" s="15" t="s">
        <v>82</v>
      </c>
      <c r="H20" s="15" t="s">
        <v>70</v>
      </c>
      <c r="I20" s="15" t="s">
        <v>70</v>
      </c>
      <c r="J20" s="15">
        <f t="shared" si="0"/>
        <v>0</v>
      </c>
      <c r="K20" s="15" t="s">
        <v>235</v>
      </c>
      <c r="L20" s="15" t="s">
        <v>236</v>
      </c>
      <c r="M20" s="16">
        <v>6.85</v>
      </c>
      <c r="N20" s="17">
        <v>0.6</v>
      </c>
      <c r="O20" s="16">
        <v>4.1100000000000003</v>
      </c>
      <c r="P20" s="15" t="s">
        <v>84</v>
      </c>
      <c r="Q20" s="14" t="s">
        <v>244</v>
      </c>
    </row>
    <row r="21" spans="1:17" x14ac:dyDescent="0.25">
      <c r="A21" s="15" t="s">
        <v>77</v>
      </c>
      <c r="B21" s="15">
        <v>9213293</v>
      </c>
      <c r="C21" s="15" t="s">
        <v>78</v>
      </c>
      <c r="D21" s="15" t="s">
        <v>79</v>
      </c>
      <c r="E21" s="15" t="s">
        <v>80</v>
      </c>
      <c r="F21" s="15" t="s">
        <v>81</v>
      </c>
      <c r="G21" s="15" t="s">
        <v>82</v>
      </c>
      <c r="H21" s="15" t="s">
        <v>70</v>
      </c>
      <c r="I21" s="15" t="s">
        <v>70</v>
      </c>
      <c r="J21" s="15">
        <f t="shared" si="0"/>
        <v>0</v>
      </c>
      <c r="K21" s="15" t="s">
        <v>235</v>
      </c>
      <c r="L21" s="15" t="s">
        <v>236</v>
      </c>
      <c r="M21" s="16">
        <v>4.41</v>
      </c>
      <c r="N21" s="17">
        <v>0.6</v>
      </c>
      <c r="O21" s="16">
        <v>2.65</v>
      </c>
      <c r="P21" s="15" t="s">
        <v>84</v>
      </c>
      <c r="Q21" s="14" t="s">
        <v>244</v>
      </c>
    </row>
    <row r="22" spans="1:17" x14ac:dyDescent="0.25">
      <c r="A22" s="15" t="s">
        <v>77</v>
      </c>
      <c r="B22" s="15">
        <v>9213293</v>
      </c>
      <c r="C22" s="15" t="s">
        <v>78</v>
      </c>
      <c r="D22" s="15" t="s">
        <v>79</v>
      </c>
      <c r="E22" s="15" t="s">
        <v>80</v>
      </c>
      <c r="F22" s="15" t="s">
        <v>81</v>
      </c>
      <c r="G22" s="15" t="s">
        <v>82</v>
      </c>
      <c r="H22" s="15" t="s">
        <v>70</v>
      </c>
      <c r="I22" s="15" t="s">
        <v>70</v>
      </c>
      <c r="J22" s="15">
        <f t="shared" si="0"/>
        <v>0</v>
      </c>
      <c r="K22" s="15" t="s">
        <v>235</v>
      </c>
      <c r="L22" s="15" t="s">
        <v>236</v>
      </c>
      <c r="M22" s="16">
        <v>6.13</v>
      </c>
      <c r="N22" s="17">
        <v>0.6</v>
      </c>
      <c r="O22" s="16">
        <v>3.68</v>
      </c>
      <c r="P22" s="15" t="s">
        <v>84</v>
      </c>
      <c r="Q22" s="14" t="s">
        <v>244</v>
      </c>
    </row>
    <row r="23" spans="1:17" x14ac:dyDescent="0.25">
      <c r="A23" s="15" t="s">
        <v>77</v>
      </c>
      <c r="B23" s="15">
        <v>9213293</v>
      </c>
      <c r="C23" s="15" t="s">
        <v>78</v>
      </c>
      <c r="D23" s="15" t="s">
        <v>207</v>
      </c>
      <c r="E23" s="15" t="s">
        <v>80</v>
      </c>
      <c r="F23" s="15" t="s">
        <v>81</v>
      </c>
      <c r="G23" s="15" t="s">
        <v>158</v>
      </c>
      <c r="H23" s="15" t="s">
        <v>70</v>
      </c>
      <c r="I23" s="15" t="s">
        <v>70</v>
      </c>
      <c r="J23" s="15">
        <f t="shared" si="0"/>
        <v>0</v>
      </c>
      <c r="K23" s="15" t="s">
        <v>235</v>
      </c>
      <c r="L23" s="15" t="s">
        <v>236</v>
      </c>
      <c r="M23" s="16">
        <v>25.36</v>
      </c>
      <c r="N23" s="17">
        <v>1</v>
      </c>
      <c r="O23" s="16">
        <v>25.36</v>
      </c>
      <c r="P23" s="15" t="s">
        <v>159</v>
      </c>
      <c r="Q23" s="14" t="s">
        <v>239</v>
      </c>
    </row>
    <row r="24" spans="1:17" x14ac:dyDescent="0.25">
      <c r="A24" s="15" t="s">
        <v>77</v>
      </c>
      <c r="B24" s="15">
        <v>9213293</v>
      </c>
      <c r="C24" s="15" t="s">
        <v>160</v>
      </c>
      <c r="D24" s="15" t="s">
        <v>161</v>
      </c>
      <c r="E24" s="15" t="s">
        <v>93</v>
      </c>
      <c r="F24" s="15" t="s">
        <v>133</v>
      </c>
      <c r="G24" s="15" t="s">
        <v>82</v>
      </c>
      <c r="H24" s="15" t="s">
        <v>163</v>
      </c>
      <c r="I24" s="15" t="s">
        <v>70</v>
      </c>
      <c r="J24" s="15">
        <f t="shared" si="0"/>
        <v>1</v>
      </c>
      <c r="K24" s="15" t="s">
        <v>235</v>
      </c>
      <c r="L24" s="15" t="s">
        <v>236</v>
      </c>
      <c r="M24" s="16">
        <v>15.8</v>
      </c>
      <c r="N24" s="17">
        <v>0.65</v>
      </c>
      <c r="O24" s="16">
        <v>10.27</v>
      </c>
      <c r="P24" s="15" t="s">
        <v>84</v>
      </c>
      <c r="Q24" s="14" t="s">
        <v>245</v>
      </c>
    </row>
    <row r="25" spans="1:17" x14ac:dyDescent="0.25">
      <c r="A25" s="15" t="s">
        <v>77</v>
      </c>
      <c r="B25" s="15">
        <v>9213293</v>
      </c>
      <c r="C25" s="15" t="s">
        <v>160</v>
      </c>
      <c r="D25" s="15" t="s">
        <v>161</v>
      </c>
      <c r="E25" s="15" t="s">
        <v>93</v>
      </c>
      <c r="F25" s="15" t="s">
        <v>133</v>
      </c>
      <c r="G25" s="15" t="s">
        <v>82</v>
      </c>
      <c r="H25" s="15" t="s">
        <v>163</v>
      </c>
      <c r="I25" s="15" t="s">
        <v>70</v>
      </c>
      <c r="J25" s="15">
        <f t="shared" si="0"/>
        <v>1</v>
      </c>
      <c r="K25" s="15" t="s">
        <v>235</v>
      </c>
      <c r="L25" s="15" t="s">
        <v>236</v>
      </c>
      <c r="M25" s="16">
        <v>11.04</v>
      </c>
      <c r="N25" s="17">
        <v>0.65</v>
      </c>
      <c r="O25" s="16">
        <v>7.18</v>
      </c>
      <c r="P25" s="15" t="s">
        <v>84</v>
      </c>
      <c r="Q25" s="14" t="s">
        <v>245</v>
      </c>
    </row>
    <row r="26" spans="1:17" x14ac:dyDescent="0.25">
      <c r="A26" s="15" t="s">
        <v>77</v>
      </c>
      <c r="B26" s="15">
        <v>9213293</v>
      </c>
      <c r="C26" s="15" t="s">
        <v>160</v>
      </c>
      <c r="D26" s="15" t="s">
        <v>161</v>
      </c>
      <c r="E26" s="15" t="s">
        <v>93</v>
      </c>
      <c r="F26" s="15" t="s">
        <v>133</v>
      </c>
      <c r="G26" s="15" t="s">
        <v>82</v>
      </c>
      <c r="H26" s="15" t="s">
        <v>163</v>
      </c>
      <c r="I26" s="15" t="s">
        <v>70</v>
      </c>
      <c r="J26" s="15">
        <f t="shared" si="0"/>
        <v>1</v>
      </c>
      <c r="K26" s="15" t="s">
        <v>235</v>
      </c>
      <c r="L26" s="15" t="s">
        <v>236</v>
      </c>
      <c r="M26" s="16">
        <v>29.5</v>
      </c>
      <c r="N26" s="17">
        <v>0.65</v>
      </c>
      <c r="O26" s="16">
        <v>19.18</v>
      </c>
      <c r="P26" s="15" t="s">
        <v>84</v>
      </c>
      <c r="Q26" s="14" t="s">
        <v>245</v>
      </c>
    </row>
    <row r="27" spans="1:17" x14ac:dyDescent="0.25">
      <c r="A27" s="15" t="s">
        <v>77</v>
      </c>
      <c r="B27" s="15">
        <v>9213293</v>
      </c>
      <c r="C27" s="15" t="s">
        <v>160</v>
      </c>
      <c r="D27" s="15" t="s">
        <v>161</v>
      </c>
      <c r="E27" s="15" t="s">
        <v>93</v>
      </c>
      <c r="F27" s="15" t="s">
        <v>133</v>
      </c>
      <c r="G27" s="15" t="s">
        <v>82</v>
      </c>
      <c r="H27" s="15" t="s">
        <v>163</v>
      </c>
      <c r="I27" s="15" t="s">
        <v>70</v>
      </c>
      <c r="J27" s="15">
        <f t="shared" si="0"/>
        <v>1</v>
      </c>
      <c r="K27" s="15" t="s">
        <v>235</v>
      </c>
      <c r="L27" s="15" t="s">
        <v>236</v>
      </c>
      <c r="M27" s="16">
        <v>14.17</v>
      </c>
      <c r="N27" s="17">
        <v>0.65</v>
      </c>
      <c r="O27" s="16">
        <v>9.2100000000000009</v>
      </c>
      <c r="P27" s="15" t="s">
        <v>84</v>
      </c>
      <c r="Q27" s="14" t="s">
        <v>245</v>
      </c>
    </row>
    <row r="28" spans="1:17" x14ac:dyDescent="0.25">
      <c r="A28" s="15" t="s">
        <v>77</v>
      </c>
      <c r="B28" s="15">
        <v>9213293</v>
      </c>
      <c r="C28" s="15" t="s">
        <v>171</v>
      </c>
      <c r="D28" s="15" t="s">
        <v>172</v>
      </c>
      <c r="E28" s="15" t="s">
        <v>93</v>
      </c>
      <c r="F28" s="15" t="s">
        <v>133</v>
      </c>
      <c r="G28" s="15" t="s">
        <v>155</v>
      </c>
      <c r="H28" s="15" t="s">
        <v>173</v>
      </c>
      <c r="I28" s="15" t="s">
        <v>174</v>
      </c>
      <c r="J28" s="15">
        <f t="shared" si="0"/>
        <v>1</v>
      </c>
      <c r="K28" s="15" t="s">
        <v>235</v>
      </c>
      <c r="L28" s="15" t="s">
        <v>236</v>
      </c>
      <c r="M28" s="16">
        <v>19.63</v>
      </c>
      <c r="N28" s="17">
        <v>1.05</v>
      </c>
      <c r="O28" s="16">
        <v>20.61</v>
      </c>
      <c r="P28" s="15" t="s">
        <v>156</v>
      </c>
      <c r="Q28" s="14" t="s">
        <v>238</v>
      </c>
    </row>
    <row r="29" spans="1:17" x14ac:dyDescent="0.25">
      <c r="A29" s="15" t="s">
        <v>77</v>
      </c>
      <c r="B29" s="15">
        <v>9213293</v>
      </c>
      <c r="C29" s="15" t="s">
        <v>175</v>
      </c>
      <c r="D29" s="15" t="s">
        <v>176</v>
      </c>
      <c r="E29" s="15" t="s">
        <v>93</v>
      </c>
      <c r="F29" s="15" t="s">
        <v>133</v>
      </c>
      <c r="G29" s="15" t="s">
        <v>82</v>
      </c>
      <c r="H29" s="15" t="s">
        <v>177</v>
      </c>
      <c r="I29" s="15" t="s">
        <v>7</v>
      </c>
      <c r="J29" s="15">
        <f t="shared" si="0"/>
        <v>2</v>
      </c>
      <c r="K29" s="15" t="s">
        <v>235</v>
      </c>
      <c r="L29" s="15" t="s">
        <v>236</v>
      </c>
      <c r="M29" s="16">
        <v>39.33</v>
      </c>
      <c r="N29" s="17">
        <v>0.65</v>
      </c>
      <c r="O29" s="16">
        <v>25.56</v>
      </c>
      <c r="P29" s="15" t="s">
        <v>84</v>
      </c>
      <c r="Q29" s="14" t="s">
        <v>245</v>
      </c>
    </row>
    <row r="30" spans="1:17" x14ac:dyDescent="0.25">
      <c r="A30" s="15" t="s">
        <v>185</v>
      </c>
      <c r="B30" s="15">
        <v>21564088</v>
      </c>
      <c r="C30" s="15" t="s">
        <v>186</v>
      </c>
      <c r="D30" s="15" t="s">
        <v>193</v>
      </c>
      <c r="E30" s="15" t="s">
        <v>93</v>
      </c>
      <c r="F30" s="15" t="s">
        <v>189</v>
      </c>
      <c r="G30" s="15" t="s">
        <v>155</v>
      </c>
      <c r="H30" s="15" t="s">
        <v>190</v>
      </c>
      <c r="I30" s="15" t="s">
        <v>191</v>
      </c>
      <c r="J30" s="15">
        <f t="shared" si="0"/>
        <v>2</v>
      </c>
      <c r="K30" s="15" t="s">
        <v>235</v>
      </c>
      <c r="L30" s="15" t="s">
        <v>236</v>
      </c>
      <c r="M30" s="16">
        <v>69.52</v>
      </c>
      <c r="N30" s="17">
        <v>1</v>
      </c>
      <c r="O30" s="16">
        <v>69.52</v>
      </c>
      <c r="P30" s="15" t="s">
        <v>156</v>
      </c>
      <c r="Q30" s="14" t="s">
        <v>239</v>
      </c>
    </row>
    <row r="31" spans="1:17" x14ac:dyDescent="0.25">
      <c r="A31" s="15" t="s">
        <v>185</v>
      </c>
      <c r="B31" s="15">
        <v>21564088</v>
      </c>
      <c r="C31" s="15" t="s">
        <v>186</v>
      </c>
      <c r="D31" s="15" t="s">
        <v>187</v>
      </c>
      <c r="E31" s="15" t="s">
        <v>93</v>
      </c>
      <c r="F31" s="15" t="s">
        <v>189</v>
      </c>
      <c r="G31" s="15" t="s">
        <v>158</v>
      </c>
      <c r="H31" s="15" t="s">
        <v>190</v>
      </c>
      <c r="I31" s="15" t="s">
        <v>191</v>
      </c>
      <c r="J31" s="15">
        <f t="shared" si="0"/>
        <v>2</v>
      </c>
      <c r="K31" s="15" t="s">
        <v>235</v>
      </c>
      <c r="L31" s="15" t="s">
        <v>236</v>
      </c>
      <c r="M31" s="16">
        <v>72</v>
      </c>
      <c r="N31" s="17">
        <v>1</v>
      </c>
      <c r="O31" s="16">
        <v>72</v>
      </c>
      <c r="P31" s="15" t="s">
        <v>159</v>
      </c>
      <c r="Q31" s="14" t="s">
        <v>239</v>
      </c>
    </row>
    <row r="32" spans="1:17" x14ac:dyDescent="0.25">
      <c r="A32" s="15" t="s">
        <v>77</v>
      </c>
      <c r="B32" s="15">
        <v>9213293</v>
      </c>
      <c r="C32" s="15" t="s">
        <v>175</v>
      </c>
      <c r="D32" s="15" t="s">
        <v>180</v>
      </c>
      <c r="E32" s="15" t="s">
        <v>93</v>
      </c>
      <c r="F32" s="15" t="s">
        <v>133</v>
      </c>
      <c r="G32" s="15" t="s">
        <v>155</v>
      </c>
      <c r="H32" s="15" t="s">
        <v>177</v>
      </c>
      <c r="I32" s="15" t="s">
        <v>7</v>
      </c>
      <c r="J32" s="15">
        <f t="shared" si="0"/>
        <v>2</v>
      </c>
      <c r="K32" s="15" t="s">
        <v>235</v>
      </c>
      <c r="L32" s="15" t="s">
        <v>236</v>
      </c>
      <c r="M32" s="16">
        <v>27.8</v>
      </c>
      <c r="N32" s="17">
        <v>1.05</v>
      </c>
      <c r="O32" s="16">
        <v>29.19</v>
      </c>
      <c r="P32" s="15" t="s">
        <v>156</v>
      </c>
      <c r="Q32" s="14" t="s">
        <v>238</v>
      </c>
    </row>
    <row r="33" spans="1:17" x14ac:dyDescent="0.25">
      <c r="A33" s="15" t="s">
        <v>221</v>
      </c>
      <c r="B33" s="15">
        <v>1706194</v>
      </c>
      <c r="C33" s="15" t="s">
        <v>222</v>
      </c>
      <c r="D33" s="15" t="s">
        <v>223</v>
      </c>
      <c r="E33" s="15" t="s">
        <v>93</v>
      </c>
      <c r="F33" s="15" t="s">
        <v>225</v>
      </c>
      <c r="G33" s="15" t="s">
        <v>155</v>
      </c>
      <c r="H33" s="15" t="s">
        <v>226</v>
      </c>
      <c r="I33" s="15" t="s">
        <v>98</v>
      </c>
      <c r="J33" s="15">
        <f t="shared" si="0"/>
        <v>4</v>
      </c>
      <c r="K33" s="15" t="s">
        <v>235</v>
      </c>
      <c r="L33" s="15" t="s">
        <v>236</v>
      </c>
      <c r="M33" s="16">
        <v>129.72999999999999</v>
      </c>
      <c r="N33" s="17">
        <v>1.05</v>
      </c>
      <c r="O33" s="16">
        <v>136.22</v>
      </c>
      <c r="P33" s="15" t="s">
        <v>156</v>
      </c>
      <c r="Q33" s="14" t="s">
        <v>238</v>
      </c>
    </row>
    <row r="34" spans="1:17" x14ac:dyDescent="0.25">
      <c r="A34" s="15" t="s">
        <v>221</v>
      </c>
      <c r="B34" s="15">
        <v>1706194</v>
      </c>
      <c r="C34" s="15" t="s">
        <v>222</v>
      </c>
      <c r="D34" s="15" t="s">
        <v>232</v>
      </c>
      <c r="E34" s="15" t="s">
        <v>93</v>
      </c>
      <c r="F34" s="15" t="s">
        <v>225</v>
      </c>
      <c r="G34" s="15" t="s">
        <v>158</v>
      </c>
      <c r="H34" s="15" t="s">
        <v>226</v>
      </c>
      <c r="I34" s="15" t="s">
        <v>98</v>
      </c>
      <c r="J34" s="15">
        <f t="shared" ref="J34:J54" si="1">DATEDIF(H34,I34,"M")</f>
        <v>4</v>
      </c>
      <c r="K34" s="15" t="s">
        <v>235</v>
      </c>
      <c r="L34" s="15" t="s">
        <v>236</v>
      </c>
      <c r="M34" s="16">
        <v>138.99</v>
      </c>
      <c r="N34" s="17">
        <v>1.05</v>
      </c>
      <c r="O34" s="16">
        <v>145.94</v>
      </c>
      <c r="P34" s="15" t="s">
        <v>159</v>
      </c>
      <c r="Q34" s="14" t="s">
        <v>238</v>
      </c>
    </row>
    <row r="35" spans="1:17" x14ac:dyDescent="0.25">
      <c r="A35" s="15" t="s">
        <v>201</v>
      </c>
      <c r="B35" s="15">
        <v>19278370</v>
      </c>
      <c r="C35" s="15" t="s">
        <v>202</v>
      </c>
      <c r="D35" s="15" t="s">
        <v>203</v>
      </c>
      <c r="E35" s="15" t="s">
        <v>93</v>
      </c>
      <c r="F35" s="15" t="s">
        <v>67</v>
      </c>
      <c r="G35" s="15" t="s">
        <v>148</v>
      </c>
      <c r="H35" s="15" t="s">
        <v>205</v>
      </c>
      <c r="I35" s="15" t="s">
        <v>70</v>
      </c>
      <c r="J35" s="15">
        <f t="shared" si="1"/>
        <v>5</v>
      </c>
      <c r="K35" s="15" t="s">
        <v>235</v>
      </c>
      <c r="L35" s="15" t="s">
        <v>236</v>
      </c>
      <c r="M35" s="16">
        <v>179.34</v>
      </c>
      <c r="N35" s="17">
        <v>0.26</v>
      </c>
      <c r="O35" s="16">
        <v>46.63</v>
      </c>
      <c r="P35" s="15" t="s">
        <v>151</v>
      </c>
      <c r="Q35" s="14" t="s">
        <v>246</v>
      </c>
    </row>
    <row r="36" spans="1:17" x14ac:dyDescent="0.25">
      <c r="A36" s="15" t="s">
        <v>90</v>
      </c>
      <c r="B36" s="15">
        <v>5442438</v>
      </c>
      <c r="C36" s="15" t="s">
        <v>91</v>
      </c>
      <c r="D36" s="15" t="s">
        <v>181</v>
      </c>
      <c r="E36" s="15" t="s">
        <v>93</v>
      </c>
      <c r="F36" s="15" t="s">
        <v>95</v>
      </c>
      <c r="G36" s="15" t="s">
        <v>125</v>
      </c>
      <c r="H36" s="15" t="s">
        <v>97</v>
      </c>
      <c r="I36" s="15" t="s">
        <v>98</v>
      </c>
      <c r="J36" s="15">
        <f t="shared" si="1"/>
        <v>5</v>
      </c>
      <c r="K36" s="15" t="s">
        <v>235</v>
      </c>
      <c r="L36" s="15" t="s">
        <v>236</v>
      </c>
      <c r="M36" s="16">
        <v>27.63</v>
      </c>
      <c r="N36" s="17">
        <v>0.57999999999999996</v>
      </c>
      <c r="O36" s="16">
        <v>16.03</v>
      </c>
      <c r="P36" s="15" t="s">
        <v>128</v>
      </c>
      <c r="Q36" s="14" t="s">
        <v>240</v>
      </c>
    </row>
    <row r="37" spans="1:17" x14ac:dyDescent="0.25">
      <c r="A37" s="15" t="s">
        <v>90</v>
      </c>
      <c r="B37" s="15">
        <v>5442438</v>
      </c>
      <c r="C37" s="15" t="s">
        <v>91</v>
      </c>
      <c r="D37" s="15" t="s">
        <v>214</v>
      </c>
      <c r="E37" s="15" t="s">
        <v>93</v>
      </c>
      <c r="F37" s="15" t="s">
        <v>95</v>
      </c>
      <c r="G37" s="15" t="s">
        <v>169</v>
      </c>
      <c r="H37" s="15" t="s">
        <v>97</v>
      </c>
      <c r="I37" s="15" t="s">
        <v>98</v>
      </c>
      <c r="J37" s="15">
        <f t="shared" si="1"/>
        <v>5</v>
      </c>
      <c r="K37" s="15" t="s">
        <v>235</v>
      </c>
      <c r="L37" s="15" t="s">
        <v>236</v>
      </c>
      <c r="M37" s="16">
        <v>20.63</v>
      </c>
      <c r="N37" s="17">
        <v>0.6</v>
      </c>
      <c r="O37" s="16">
        <v>12.38</v>
      </c>
      <c r="P37" s="15" t="s">
        <v>170</v>
      </c>
      <c r="Q37" s="14" t="s">
        <v>244</v>
      </c>
    </row>
    <row r="38" spans="1:17" x14ac:dyDescent="0.25">
      <c r="A38" s="15" t="s">
        <v>90</v>
      </c>
      <c r="B38" s="15">
        <v>5442438</v>
      </c>
      <c r="C38" s="15" t="s">
        <v>91</v>
      </c>
      <c r="D38" s="15" t="s">
        <v>214</v>
      </c>
      <c r="E38" s="15" t="s">
        <v>93</v>
      </c>
      <c r="F38" s="15" t="s">
        <v>95</v>
      </c>
      <c r="G38" s="15" t="s">
        <v>169</v>
      </c>
      <c r="H38" s="15" t="s">
        <v>97</v>
      </c>
      <c r="I38" s="15" t="s">
        <v>98</v>
      </c>
      <c r="J38" s="15">
        <f t="shared" si="1"/>
        <v>5</v>
      </c>
      <c r="K38" s="15" t="s">
        <v>235</v>
      </c>
      <c r="L38" s="15" t="s">
        <v>236</v>
      </c>
      <c r="M38" s="16">
        <v>22.73</v>
      </c>
      <c r="N38" s="17">
        <v>0.6</v>
      </c>
      <c r="O38" s="16">
        <v>13.64</v>
      </c>
      <c r="P38" s="15" t="s">
        <v>170</v>
      </c>
      <c r="Q38" s="14" t="s">
        <v>244</v>
      </c>
    </row>
    <row r="39" spans="1:17" x14ac:dyDescent="0.25">
      <c r="A39" s="15" t="s">
        <v>90</v>
      </c>
      <c r="B39" s="15">
        <v>5442438</v>
      </c>
      <c r="C39" s="15" t="s">
        <v>91</v>
      </c>
      <c r="D39" s="15" t="s">
        <v>214</v>
      </c>
      <c r="E39" s="15" t="s">
        <v>93</v>
      </c>
      <c r="F39" s="15" t="s">
        <v>95</v>
      </c>
      <c r="G39" s="15" t="s">
        <v>169</v>
      </c>
      <c r="H39" s="15" t="s">
        <v>97</v>
      </c>
      <c r="I39" s="15" t="s">
        <v>98</v>
      </c>
      <c r="J39" s="15">
        <f t="shared" si="1"/>
        <v>5</v>
      </c>
      <c r="K39" s="15" t="s">
        <v>235</v>
      </c>
      <c r="L39" s="15" t="s">
        <v>236</v>
      </c>
      <c r="M39" s="16">
        <v>14.2</v>
      </c>
      <c r="N39" s="17">
        <v>0.6</v>
      </c>
      <c r="O39" s="16">
        <v>8.52</v>
      </c>
      <c r="P39" s="15" t="s">
        <v>170</v>
      </c>
      <c r="Q39" s="14" t="s">
        <v>244</v>
      </c>
    </row>
    <row r="40" spans="1:17" x14ac:dyDescent="0.25">
      <c r="A40" s="15" t="s">
        <v>90</v>
      </c>
      <c r="B40" s="15">
        <v>5442438</v>
      </c>
      <c r="C40" s="15" t="s">
        <v>91</v>
      </c>
      <c r="D40" s="15" t="s">
        <v>183</v>
      </c>
      <c r="E40" s="15" t="s">
        <v>93</v>
      </c>
      <c r="F40" s="15" t="s">
        <v>95</v>
      </c>
      <c r="G40" s="15" t="s">
        <v>134</v>
      </c>
      <c r="H40" s="15" t="s">
        <v>97</v>
      </c>
      <c r="I40" s="15" t="s">
        <v>98</v>
      </c>
      <c r="J40" s="15">
        <f t="shared" si="1"/>
        <v>5</v>
      </c>
      <c r="K40" s="15" t="s">
        <v>235</v>
      </c>
      <c r="L40" s="15" t="s">
        <v>236</v>
      </c>
      <c r="M40" s="16">
        <v>59.25</v>
      </c>
      <c r="N40" s="17">
        <v>0.95</v>
      </c>
      <c r="O40" s="16">
        <v>56.29</v>
      </c>
      <c r="P40" s="15" t="s">
        <v>137</v>
      </c>
      <c r="Q40" s="14" t="s">
        <v>237</v>
      </c>
    </row>
    <row r="41" spans="1:17" x14ac:dyDescent="0.25">
      <c r="A41" s="15" t="s">
        <v>90</v>
      </c>
      <c r="B41" s="15">
        <v>5442438</v>
      </c>
      <c r="C41" s="15" t="s">
        <v>91</v>
      </c>
      <c r="D41" s="15" t="s">
        <v>92</v>
      </c>
      <c r="E41" s="15" t="s">
        <v>93</v>
      </c>
      <c r="F41" s="15" t="s">
        <v>95</v>
      </c>
      <c r="G41" s="15" t="s">
        <v>96</v>
      </c>
      <c r="H41" s="15" t="s">
        <v>97</v>
      </c>
      <c r="I41" s="15" t="s">
        <v>98</v>
      </c>
      <c r="J41" s="15">
        <f t="shared" si="1"/>
        <v>5</v>
      </c>
      <c r="K41" s="15" t="s">
        <v>235</v>
      </c>
      <c r="L41" s="15" t="s">
        <v>236</v>
      </c>
      <c r="M41" s="16">
        <v>61</v>
      </c>
      <c r="N41" s="17">
        <v>0.95</v>
      </c>
      <c r="O41" s="16">
        <v>57.95</v>
      </c>
      <c r="P41" s="15" t="s">
        <v>100</v>
      </c>
      <c r="Q41" s="14" t="s">
        <v>243</v>
      </c>
    </row>
    <row r="42" spans="1:17" x14ac:dyDescent="0.25">
      <c r="A42" s="15" t="s">
        <v>62</v>
      </c>
      <c r="B42" s="15">
        <v>14936854</v>
      </c>
      <c r="C42" s="15" t="s">
        <v>138</v>
      </c>
      <c r="D42" s="15" t="s">
        <v>139</v>
      </c>
      <c r="E42" s="15" t="s">
        <v>93</v>
      </c>
      <c r="F42" s="15" t="s">
        <v>67</v>
      </c>
      <c r="G42" s="15" t="s">
        <v>141</v>
      </c>
      <c r="H42" s="15" t="s">
        <v>142</v>
      </c>
      <c r="I42" s="15" t="s">
        <v>70</v>
      </c>
      <c r="J42" s="15">
        <f t="shared" si="1"/>
        <v>6</v>
      </c>
      <c r="K42" s="15" t="s">
        <v>235</v>
      </c>
      <c r="L42" s="15" t="s">
        <v>236</v>
      </c>
      <c r="M42" s="16">
        <v>65.97</v>
      </c>
      <c r="N42" s="17">
        <v>0.08</v>
      </c>
      <c r="O42" s="16">
        <v>5.27</v>
      </c>
      <c r="P42" s="15" t="s">
        <v>144</v>
      </c>
      <c r="Q42" s="14" t="s">
        <v>239</v>
      </c>
    </row>
    <row r="43" spans="1:17" x14ac:dyDescent="0.25">
      <c r="A43" s="15" t="s">
        <v>77</v>
      </c>
      <c r="B43" s="15">
        <v>9213293</v>
      </c>
      <c r="C43" s="15" t="s">
        <v>215</v>
      </c>
      <c r="D43" s="15" t="s">
        <v>216</v>
      </c>
      <c r="E43" s="15" t="s">
        <v>93</v>
      </c>
      <c r="F43" s="15" t="s">
        <v>133</v>
      </c>
      <c r="G43" s="15" t="s">
        <v>218</v>
      </c>
      <c r="H43" s="15" t="s">
        <v>217</v>
      </c>
      <c r="I43" s="15" t="s">
        <v>98</v>
      </c>
      <c r="J43" s="15">
        <f t="shared" si="1"/>
        <v>7</v>
      </c>
      <c r="K43" s="15" t="s">
        <v>235</v>
      </c>
      <c r="L43" s="15" t="s">
        <v>236</v>
      </c>
      <c r="M43" s="16">
        <v>62.33</v>
      </c>
      <c r="N43" s="17">
        <v>0.57999999999999996</v>
      </c>
      <c r="O43" s="16">
        <v>36.15</v>
      </c>
      <c r="P43" s="15" t="s">
        <v>219</v>
      </c>
      <c r="Q43" s="14" t="s">
        <v>240</v>
      </c>
    </row>
    <row r="44" spans="1:17" x14ac:dyDescent="0.25">
      <c r="A44" s="15" t="s">
        <v>121</v>
      </c>
      <c r="B44" s="15">
        <v>9079571</v>
      </c>
      <c r="C44" s="15" t="s">
        <v>152</v>
      </c>
      <c r="D44" s="15" t="s">
        <v>153</v>
      </c>
      <c r="E44" s="15" t="s">
        <v>93</v>
      </c>
      <c r="F44" s="15" t="s">
        <v>95</v>
      </c>
      <c r="G44" s="15" t="s">
        <v>155</v>
      </c>
      <c r="H44" s="15" t="s">
        <v>154</v>
      </c>
      <c r="I44" s="15" t="s">
        <v>7</v>
      </c>
      <c r="J44" s="15">
        <f t="shared" si="1"/>
        <v>7</v>
      </c>
      <c r="K44" s="15" t="s">
        <v>235</v>
      </c>
      <c r="L44" s="15" t="s">
        <v>236</v>
      </c>
      <c r="M44" s="16">
        <v>36.770000000000003</v>
      </c>
      <c r="N44" s="17">
        <v>0.95</v>
      </c>
      <c r="O44" s="16">
        <v>34.93</v>
      </c>
      <c r="P44" s="15" t="s">
        <v>156</v>
      </c>
      <c r="Q44" s="14" t="s">
        <v>237</v>
      </c>
    </row>
    <row r="45" spans="1:17" x14ac:dyDescent="0.25">
      <c r="A45" s="15" t="s">
        <v>121</v>
      </c>
      <c r="B45" s="15">
        <v>9079571</v>
      </c>
      <c r="C45" s="15" t="s">
        <v>178</v>
      </c>
      <c r="D45" s="15" t="s">
        <v>179</v>
      </c>
      <c r="E45" s="15" t="s">
        <v>93</v>
      </c>
      <c r="F45" s="15" t="s">
        <v>95</v>
      </c>
      <c r="G45" s="15" t="s">
        <v>155</v>
      </c>
      <c r="H45" s="15" t="s">
        <v>154</v>
      </c>
      <c r="I45" s="15" t="s">
        <v>7</v>
      </c>
      <c r="J45" s="15">
        <f t="shared" si="1"/>
        <v>7</v>
      </c>
      <c r="K45" s="15" t="s">
        <v>235</v>
      </c>
      <c r="L45" s="15" t="s">
        <v>236</v>
      </c>
      <c r="M45" s="16">
        <v>23.22</v>
      </c>
      <c r="N45" s="17">
        <v>0.95</v>
      </c>
      <c r="O45" s="16">
        <v>22.06</v>
      </c>
      <c r="P45" s="15" t="s">
        <v>156</v>
      </c>
      <c r="Q45" s="14" t="s">
        <v>237</v>
      </c>
    </row>
    <row r="46" spans="1:17" x14ac:dyDescent="0.25">
      <c r="A46" s="15" t="s">
        <v>121</v>
      </c>
      <c r="B46" s="15">
        <v>9079571</v>
      </c>
      <c r="C46" s="15" t="s">
        <v>152</v>
      </c>
      <c r="D46" s="15" t="s">
        <v>157</v>
      </c>
      <c r="E46" s="15" t="s">
        <v>93</v>
      </c>
      <c r="F46" s="15" t="s">
        <v>95</v>
      </c>
      <c r="G46" s="15" t="s">
        <v>158</v>
      </c>
      <c r="H46" s="15" t="s">
        <v>154</v>
      </c>
      <c r="I46" s="15" t="s">
        <v>7</v>
      </c>
      <c r="J46" s="15">
        <f t="shared" si="1"/>
        <v>7</v>
      </c>
      <c r="K46" s="15" t="s">
        <v>235</v>
      </c>
      <c r="L46" s="15" t="s">
        <v>236</v>
      </c>
      <c r="M46" s="16">
        <v>35.630000000000003</v>
      </c>
      <c r="N46" s="17">
        <v>0.95</v>
      </c>
      <c r="O46" s="16">
        <v>33.85</v>
      </c>
      <c r="P46" s="15" t="s">
        <v>159</v>
      </c>
      <c r="Q46" s="14" t="s">
        <v>243</v>
      </c>
    </row>
    <row r="47" spans="1:17" x14ac:dyDescent="0.25">
      <c r="A47" s="15" t="s">
        <v>62</v>
      </c>
      <c r="B47" s="15">
        <v>14936854</v>
      </c>
      <c r="C47" s="15" t="s">
        <v>101</v>
      </c>
      <c r="D47" s="15" t="s">
        <v>102</v>
      </c>
      <c r="E47" s="15" t="s">
        <v>65</v>
      </c>
      <c r="F47" s="15" t="s">
        <v>67</v>
      </c>
      <c r="G47" s="15" t="s">
        <v>82</v>
      </c>
      <c r="H47" s="15" t="s">
        <v>104</v>
      </c>
      <c r="I47" s="15" t="s">
        <v>70</v>
      </c>
      <c r="J47" s="15">
        <f t="shared" si="1"/>
        <v>13</v>
      </c>
      <c r="K47" s="15" t="s">
        <v>235</v>
      </c>
      <c r="L47" s="15" t="s">
        <v>236</v>
      </c>
      <c r="M47" s="16">
        <v>34.01</v>
      </c>
      <c r="N47" s="17">
        <v>0.05</v>
      </c>
      <c r="O47" s="16">
        <v>1.7</v>
      </c>
      <c r="P47" s="15" t="s">
        <v>84</v>
      </c>
      <c r="Q47" s="14" t="s">
        <v>249</v>
      </c>
    </row>
    <row r="48" spans="1:17" x14ac:dyDescent="0.25">
      <c r="A48" s="15" t="s">
        <v>62</v>
      </c>
      <c r="B48" s="15">
        <v>14936854</v>
      </c>
      <c r="C48" s="15" t="s">
        <v>101</v>
      </c>
      <c r="D48" s="15" t="s">
        <v>102</v>
      </c>
      <c r="E48" s="15" t="s">
        <v>65</v>
      </c>
      <c r="F48" s="15" t="s">
        <v>67</v>
      </c>
      <c r="G48" s="15" t="s">
        <v>82</v>
      </c>
      <c r="H48" s="15" t="s">
        <v>104</v>
      </c>
      <c r="I48" s="15" t="s">
        <v>70</v>
      </c>
      <c r="J48" s="15">
        <f t="shared" si="1"/>
        <v>13</v>
      </c>
      <c r="K48" s="15" t="s">
        <v>235</v>
      </c>
      <c r="L48" s="15" t="s">
        <v>236</v>
      </c>
      <c r="M48" s="16">
        <v>12.78</v>
      </c>
      <c r="N48" s="17">
        <v>0.05</v>
      </c>
      <c r="O48" s="16">
        <v>0.64</v>
      </c>
      <c r="P48" s="15" t="s">
        <v>84</v>
      </c>
      <c r="Q48" s="14" t="s">
        <v>249</v>
      </c>
    </row>
    <row r="49" spans="1:25" x14ac:dyDescent="0.25">
      <c r="A49" s="15" t="s">
        <v>62</v>
      </c>
      <c r="B49" s="15">
        <v>14936854</v>
      </c>
      <c r="C49" s="15" t="s">
        <v>101</v>
      </c>
      <c r="D49" s="15" t="s">
        <v>102</v>
      </c>
      <c r="E49" s="15" t="s">
        <v>65</v>
      </c>
      <c r="F49" s="15" t="s">
        <v>67</v>
      </c>
      <c r="G49" s="15" t="s">
        <v>82</v>
      </c>
      <c r="H49" s="15" t="s">
        <v>104</v>
      </c>
      <c r="I49" s="15" t="s">
        <v>70</v>
      </c>
      <c r="J49" s="15">
        <f t="shared" si="1"/>
        <v>13</v>
      </c>
      <c r="K49" s="15" t="s">
        <v>235</v>
      </c>
      <c r="L49" s="15" t="s">
        <v>236</v>
      </c>
      <c r="M49" s="16">
        <v>11.04</v>
      </c>
      <c r="N49" s="17">
        <v>0.05</v>
      </c>
      <c r="O49" s="16">
        <v>0.56000000000000005</v>
      </c>
      <c r="P49" s="15" t="s">
        <v>84</v>
      </c>
      <c r="Q49" s="14" t="s">
        <v>249</v>
      </c>
    </row>
    <row r="50" spans="1:25" x14ac:dyDescent="0.25">
      <c r="A50" s="15" t="s">
        <v>62</v>
      </c>
      <c r="B50" s="15">
        <v>14936854</v>
      </c>
      <c r="C50" s="15" t="s">
        <v>101</v>
      </c>
      <c r="D50" s="15" t="s">
        <v>102</v>
      </c>
      <c r="E50" s="15" t="s">
        <v>65</v>
      </c>
      <c r="F50" s="15" t="s">
        <v>67</v>
      </c>
      <c r="G50" s="15" t="s">
        <v>82</v>
      </c>
      <c r="H50" s="15" t="s">
        <v>104</v>
      </c>
      <c r="I50" s="15" t="s">
        <v>70</v>
      </c>
      <c r="J50" s="15">
        <f t="shared" si="1"/>
        <v>13</v>
      </c>
      <c r="K50" s="15" t="s">
        <v>235</v>
      </c>
      <c r="L50" s="15" t="s">
        <v>236</v>
      </c>
      <c r="M50" s="16">
        <v>2.63</v>
      </c>
      <c r="N50" s="17">
        <v>0.05</v>
      </c>
      <c r="O50" s="16">
        <v>0.13</v>
      </c>
      <c r="P50" s="15" t="s">
        <v>84</v>
      </c>
      <c r="Q50" s="14" t="s">
        <v>249</v>
      </c>
    </row>
    <row r="51" spans="1:25" s="21" customFormat="1" x14ac:dyDescent="0.25">
      <c r="A51" s="15" t="s">
        <v>121</v>
      </c>
      <c r="B51" s="15">
        <v>9079571</v>
      </c>
      <c r="C51" s="15" t="s">
        <v>227</v>
      </c>
      <c r="D51" s="15" t="s">
        <v>228</v>
      </c>
      <c r="E51" s="15" t="s">
        <v>65</v>
      </c>
      <c r="F51" s="15" t="s">
        <v>95</v>
      </c>
      <c r="G51" s="15" t="s">
        <v>125</v>
      </c>
      <c r="H51" s="15" t="s">
        <v>230</v>
      </c>
      <c r="I51" s="15" t="s">
        <v>98</v>
      </c>
      <c r="J51" s="15">
        <f t="shared" si="1"/>
        <v>14</v>
      </c>
      <c r="K51" s="15" t="s">
        <v>235</v>
      </c>
      <c r="L51" s="15" t="s">
        <v>236</v>
      </c>
      <c r="M51" s="16">
        <v>27.63</v>
      </c>
      <c r="N51" s="17">
        <v>3.7499999999999999E-2</v>
      </c>
      <c r="O51" s="16">
        <v>1.04</v>
      </c>
      <c r="P51" s="15" t="s">
        <v>128</v>
      </c>
      <c r="Q51" s="14" t="s">
        <v>241</v>
      </c>
      <c r="R51" s="14"/>
      <c r="S51" s="14"/>
      <c r="T51" s="14"/>
      <c r="U51" s="14"/>
      <c r="V51" s="14"/>
      <c r="W51" s="14"/>
      <c r="X51" s="14"/>
      <c r="Y51" s="14"/>
    </row>
    <row r="52" spans="1:25" x14ac:dyDescent="0.25">
      <c r="A52" s="22" t="s">
        <v>250</v>
      </c>
      <c r="B52" s="22">
        <v>20411454</v>
      </c>
      <c r="C52" s="22" t="s">
        <v>63</v>
      </c>
      <c r="D52" s="22" t="s">
        <v>85</v>
      </c>
      <c r="E52" s="22" t="s">
        <v>65</v>
      </c>
      <c r="F52" s="22" t="s">
        <v>67</v>
      </c>
      <c r="G52" s="22" t="s">
        <v>86</v>
      </c>
      <c r="H52" s="22" t="s">
        <v>69</v>
      </c>
      <c r="I52" s="22" t="s">
        <v>70</v>
      </c>
      <c r="J52" s="22">
        <f t="shared" si="1"/>
        <v>16</v>
      </c>
      <c r="K52" s="15" t="s">
        <v>235</v>
      </c>
      <c r="L52" s="15" t="s">
        <v>236</v>
      </c>
      <c r="M52" s="23">
        <v>0.79</v>
      </c>
      <c r="N52" s="24">
        <v>1.7500000000000002E-2</v>
      </c>
      <c r="O52" s="23">
        <v>0.79</v>
      </c>
      <c r="P52" s="22" t="s">
        <v>88</v>
      </c>
      <c r="Q52" s="25" t="s">
        <v>242</v>
      </c>
      <c r="R52" s="25"/>
      <c r="S52" s="25"/>
      <c r="T52" s="25"/>
      <c r="U52" s="25"/>
      <c r="V52" s="25"/>
      <c r="W52" s="25"/>
      <c r="X52" s="25"/>
      <c r="Y52" s="25"/>
    </row>
    <row r="53" spans="1:25" s="25" customFormat="1" x14ac:dyDescent="0.25">
      <c r="A53" s="22" t="s">
        <v>250</v>
      </c>
      <c r="B53" s="22">
        <v>20411454</v>
      </c>
      <c r="C53" s="22" t="s">
        <v>63</v>
      </c>
      <c r="D53" s="22" t="s">
        <v>64</v>
      </c>
      <c r="E53" s="22" t="s">
        <v>65</v>
      </c>
      <c r="F53" s="22" t="s">
        <v>67</v>
      </c>
      <c r="G53" s="22" t="s">
        <v>68</v>
      </c>
      <c r="H53" s="22" t="s">
        <v>69</v>
      </c>
      <c r="I53" s="22" t="s">
        <v>70</v>
      </c>
      <c r="J53" s="22">
        <f t="shared" si="1"/>
        <v>16</v>
      </c>
      <c r="K53" s="15" t="s">
        <v>235</v>
      </c>
      <c r="L53" s="15" t="s">
        <v>236</v>
      </c>
      <c r="M53" s="23">
        <v>3.31</v>
      </c>
      <c r="N53" s="24">
        <v>0.04</v>
      </c>
      <c r="O53" s="23">
        <v>3.31</v>
      </c>
      <c r="P53" s="22" t="s">
        <v>75</v>
      </c>
      <c r="Q53" s="25" t="s">
        <v>242</v>
      </c>
    </row>
    <row r="54" spans="1:25" s="21" customFormat="1" x14ac:dyDescent="0.25">
      <c r="A54" s="15" t="s">
        <v>121</v>
      </c>
      <c r="B54" s="15">
        <v>9079571</v>
      </c>
      <c r="C54" s="15" t="s">
        <v>122</v>
      </c>
      <c r="D54" s="15" t="s">
        <v>123</v>
      </c>
      <c r="E54" s="15" t="s">
        <v>65</v>
      </c>
      <c r="F54" s="15" t="s">
        <v>95</v>
      </c>
      <c r="G54" s="15" t="s">
        <v>125</v>
      </c>
      <c r="H54" s="15" t="s">
        <v>126</v>
      </c>
      <c r="I54" s="15" t="s">
        <v>70</v>
      </c>
      <c r="J54" s="15">
        <f t="shared" si="1"/>
        <v>21</v>
      </c>
      <c r="K54" s="15" t="s">
        <v>235</v>
      </c>
      <c r="L54" s="15" t="s">
        <v>236</v>
      </c>
      <c r="M54" s="16">
        <v>22.42</v>
      </c>
      <c r="N54" s="17">
        <v>3.5000000000000003E-2</v>
      </c>
      <c r="O54" s="16">
        <v>0.78</v>
      </c>
      <c r="P54" s="15" t="s">
        <v>128</v>
      </c>
      <c r="Q54" s="14" t="s">
        <v>125</v>
      </c>
      <c r="R54" s="14"/>
      <c r="S54" s="14"/>
      <c r="T54" s="14"/>
      <c r="U54" s="14"/>
      <c r="V54" s="14"/>
      <c r="W54" s="14"/>
      <c r="X54" s="14"/>
      <c r="Y54" s="14"/>
    </row>
  </sheetData>
  <sortState xmlns:xlrd2="http://schemas.microsoft.com/office/spreadsheetml/2017/richdata2" ref="A2:Y54">
    <sortCondition sortBy="cellColor" ref="G2:G54" dxfId="0"/>
    <sortCondition ref="J2:J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2025-10-06T13:53:14Z</dcterms:created>
  <dcterms:modified xsi:type="dcterms:W3CDTF">2025-10-09T16:53:21Z</dcterms:modified>
</cp:coreProperties>
</file>