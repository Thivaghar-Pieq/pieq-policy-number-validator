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8-16-25 to 08-20-25\"/>
    </mc:Choice>
  </mc:AlternateContent>
  <xr:revisionPtr revIDLastSave="0" documentId="13_ncr:1_{026AA013-174E-44BE-B19A-F35463442C9C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L47" i="3" l="1"/>
  <c r="L48" i="3"/>
  <c r="L46" i="3"/>
  <c r="L49" i="3"/>
  <c r="L101" i="3"/>
  <c r="L89" i="3"/>
  <c r="L88" i="3"/>
  <c r="L95" i="3"/>
  <c r="L96" i="3"/>
  <c r="L94" i="3"/>
  <c r="L74" i="3"/>
  <c r="L90" i="3"/>
  <c r="L28" i="3"/>
  <c r="L25" i="3"/>
  <c r="L23" i="3"/>
  <c r="L81" i="3"/>
  <c r="L11" i="3"/>
  <c r="L82" i="3"/>
  <c r="L72" i="3"/>
  <c r="L65" i="3"/>
  <c r="L66" i="3"/>
  <c r="L67" i="3"/>
  <c r="L68" i="3"/>
  <c r="L17" i="3"/>
  <c r="L19" i="3"/>
  <c r="L20" i="3"/>
  <c r="L21" i="3"/>
  <c r="L87" i="3"/>
  <c r="L83" i="3"/>
  <c r="L84" i="3"/>
  <c r="L70" i="3"/>
  <c r="L61" i="3"/>
  <c r="L62" i="3"/>
  <c r="L63" i="3"/>
  <c r="L64" i="3"/>
  <c r="L59" i="3"/>
  <c r="L57" i="3"/>
  <c r="L51" i="3"/>
  <c r="L50" i="3"/>
  <c r="L52" i="3"/>
  <c r="L53" i="3"/>
  <c r="L54" i="3"/>
  <c r="L45" i="3"/>
  <c r="L32" i="3"/>
  <c r="L29" i="3"/>
  <c r="L2" i="3"/>
  <c r="L40" i="3"/>
  <c r="L41" i="3"/>
  <c r="L42" i="3"/>
  <c r="L43" i="3"/>
  <c r="L55" i="3"/>
  <c r="L56" i="3"/>
  <c r="L27" i="3"/>
  <c r="L33" i="3"/>
  <c r="L34" i="3"/>
  <c r="L24" i="3"/>
  <c r="L60" i="3"/>
  <c r="L75" i="3"/>
  <c r="L58" i="3"/>
  <c r="L26" i="3"/>
  <c r="L35" i="3"/>
  <c r="L36" i="3"/>
  <c r="L37" i="3"/>
  <c r="L38" i="3"/>
  <c r="L30" i="3"/>
  <c r="L31" i="3"/>
  <c r="L4" i="3"/>
  <c r="L3" i="3"/>
  <c r="L98" i="3"/>
  <c r="L97" i="3"/>
  <c r="L100" i="3"/>
  <c r="L93" i="3"/>
  <c r="L92" i="3"/>
  <c r="L91" i="3"/>
  <c r="L102" i="3"/>
  <c r="L99" i="3"/>
  <c r="L44" i="3"/>
  <c r="L69" i="3"/>
  <c r="L86" i="3"/>
  <c r="L14" i="3"/>
  <c r="L22" i="3"/>
  <c r="L16" i="3"/>
  <c r="L18" i="3"/>
  <c r="L8" i="3"/>
  <c r="L6" i="3"/>
  <c r="L9" i="3"/>
  <c r="L12" i="3"/>
  <c r="L15" i="3"/>
  <c r="L77" i="3"/>
  <c r="L78" i="3"/>
  <c r="L76" i="3"/>
  <c r="L85" i="3"/>
  <c r="L79" i="3"/>
  <c r="L80" i="3"/>
  <c r="L73" i="3"/>
  <c r="L39" i="3"/>
  <c r="L13" i="3"/>
  <c r="L5" i="3"/>
  <c r="L10" i="3"/>
  <c r="L7" i="3"/>
  <c r="L71" i="3"/>
</calcChain>
</file>

<file path=xl/sharedStrings.xml><?xml version="1.0" encoding="utf-8"?>
<sst xmlns="http://schemas.openxmlformats.org/spreadsheetml/2006/main" count="3339" uniqueCount="444">
  <si>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</si>
  <si>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</si>
  <si>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</si>
  <si>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</si>
  <si>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</si>
  <si>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</si>
  <si>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</si>
  <si>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08/16/2025</t>
  </si>
  <si>
    <t>Day of Week</t>
  </si>
  <si>
    <t>FRIDAY</t>
  </si>
  <si>
    <t>Aetna Health Ins Company(AHIC)</t>
  </si>
  <si>
    <t>$299.57</t>
  </si>
  <si>
    <t>CONTINENTAL LIFE INSURANCE CO(CLI)</t>
  </si>
  <si>
    <t>$2,073.79</t>
  </si>
  <si>
    <t>Total Commission Paid</t>
  </si>
  <si>
    <t>$2,373.36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</si>
  <si>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</si>
  <si>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</si>
  <si>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</si>
  <si>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</si>
  <si>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</si>
  <si>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</si>
  <si>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</si>
  <si>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</si>
  <si>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</si>
  <si>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</si>
  <si>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-$265.99</t>
  </si>
  <si>
    <t>First Year Total:</t>
  </si>
  <si>
    <t>First Year Override:</t>
  </si>
  <si>
    <t>$231.48</t>
  </si>
  <si>
    <t>$2,305.18</t>
  </si>
  <si>
    <t>Renewal Total:</t>
  </si>
  <si>
    <t>Renewal Override:</t>
  </si>
  <si>
    <t>$68.09</t>
  </si>
  <si>
    <t>$34.60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</si>
  <si>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</si>
  <si>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</si>
  <si>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</si>
  <si>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</si>
  <si>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</si>
  <si>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</si>
  <si>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</si>
  <si>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</si>
  <si>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</si>
  <si>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</si>
  <si>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</si>
  <si>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</si>
  <si>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</si>
  <si>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</si>
  <si>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</si>
  <si>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</si>
  <si>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</si>
  <si>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</si>
  <si>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</si>
  <si>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</si>
  <si>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</si>
  <si>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</si>
  <si>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</si>
  <si>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</si>
  <si>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</si>
  <si>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</si>
  <si>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GNW0089770</t>
  </si>
  <si>
    <t>ADAM RICHTER</t>
  </si>
  <si>
    <t>KENNETH SPINNER</t>
  </si>
  <si>
    <t>CLI7287144</t>
  </si>
  <si>
    <t>First Year</t>
  </si>
  <si>
    <t>12/12/2024</t>
  </si>
  <si>
    <t>MD</t>
  </si>
  <si>
    <t>Dental Only 2000</t>
  </si>
  <si>
    <t>08/12/2025</t>
  </si>
  <si>
    <t>0.00</t>
  </si>
  <si>
    <t>57.00%</t>
  </si>
  <si>
    <t>000</t>
  </si>
  <si>
    <t>Monthly</t>
  </si>
  <si>
    <t xml:space="preserve">Dental Only 2000 MD           </t>
  </si>
  <si>
    <t>GNW5019932</t>
  </si>
  <si>
    <t>DALE WALENGA</t>
  </si>
  <si>
    <t>CONSTANCE FIPPINGER</t>
  </si>
  <si>
    <t>CLI7255295</t>
  </si>
  <si>
    <t>10/29/2024</t>
  </si>
  <si>
    <t>IL</t>
  </si>
  <si>
    <t>Home Care Plus</t>
  </si>
  <si>
    <t>11/01/2024</t>
  </si>
  <si>
    <t>08/01/2025</t>
  </si>
  <si>
    <t>62.50%</t>
  </si>
  <si>
    <t xml:space="preserve">Home Care Plus                </t>
  </si>
  <si>
    <t>GNW5014846</t>
  </si>
  <si>
    <t>RICARDO SANTOS</t>
  </si>
  <si>
    <t>MILOS RADOVANOVIC</t>
  </si>
  <si>
    <t>CLI0023170</t>
  </si>
  <si>
    <t>01/15/2025</t>
  </si>
  <si>
    <t>DVH PLUS 1500</t>
  </si>
  <si>
    <t>01/16/2025</t>
  </si>
  <si>
    <t xml:space="preserve">DVH PLUS 1500 100 DEDUCTIBLE  </t>
  </si>
  <si>
    <t>GNW5014631</t>
  </si>
  <si>
    <t>PAMELA DEATON</t>
  </si>
  <si>
    <t>STEVEN SMITH</t>
  </si>
  <si>
    <t>AHC6741008</t>
  </si>
  <si>
    <t>11/15/2024</t>
  </si>
  <si>
    <t>Medicare Supplement Plan G</t>
  </si>
  <si>
    <t>01/01/2025</t>
  </si>
  <si>
    <t>25.00%</t>
  </si>
  <si>
    <t xml:space="preserve">Med Supp Plan G 2010          </t>
  </si>
  <si>
    <t>SOPHIA POOLE</t>
  </si>
  <si>
    <t>CLI7361746</t>
  </si>
  <si>
    <t>05/16/2025</t>
  </si>
  <si>
    <t>HIP Flex Hospital Admission Indemnity</t>
  </si>
  <si>
    <t>60.00%</t>
  </si>
  <si>
    <t>HOSPITAL CONFINEMENT INDEMNITY</t>
  </si>
  <si>
    <t>CLI7361745</t>
  </si>
  <si>
    <t>58.00%</t>
  </si>
  <si>
    <t>GNW5005221</t>
  </si>
  <si>
    <t>THOMAS KUCAN</t>
  </si>
  <si>
    <t>ANN DELLARCO</t>
  </si>
  <si>
    <t>AHC6746928</t>
  </si>
  <si>
    <t>02/12/2025</t>
  </si>
  <si>
    <t>03/01/2025</t>
  </si>
  <si>
    <t>09/01/2025</t>
  </si>
  <si>
    <t>26.00%</t>
  </si>
  <si>
    <t>VICTORIA STEVENSON</t>
  </si>
  <si>
    <t>CLI7336613</t>
  </si>
  <si>
    <t>03/31/2025</t>
  </si>
  <si>
    <t>Cancer Insurance with Recurrence Benefit</t>
  </si>
  <si>
    <t>04/01/2025</t>
  </si>
  <si>
    <t>95.00%</t>
  </si>
  <si>
    <t>CHAS PLUS CANCER ONLY W/ RECUR</t>
  </si>
  <si>
    <t>DANIEL MOORE</t>
  </si>
  <si>
    <t>AHC6750220</t>
  </si>
  <si>
    <t>05/01/2025</t>
  </si>
  <si>
    <t>Medicare Supplement Plan N</t>
  </si>
  <si>
    <t>06/01/2025</t>
  </si>
  <si>
    <t>31.00%</t>
  </si>
  <si>
    <t xml:space="preserve">Med Supp Plan N 2010          </t>
  </si>
  <si>
    <t>MICHAEL JETT</t>
  </si>
  <si>
    <t>CLI7021094</t>
  </si>
  <si>
    <t>Renewal</t>
  </si>
  <si>
    <t>06/16/2023</t>
  </si>
  <si>
    <t>3.50%</t>
  </si>
  <si>
    <t>ERICA BANUELOS</t>
  </si>
  <si>
    <t>CLI7292674</t>
  </si>
  <si>
    <t>12/30/2024</t>
  </si>
  <si>
    <t>TX</t>
  </si>
  <si>
    <t>DVH PLUS 5000</t>
  </si>
  <si>
    <t xml:space="preserve">DVH PLUS 5000 100 DEDUCTIBLE  </t>
  </si>
  <si>
    <t>GNW0087421</t>
  </si>
  <si>
    <t>ANNE KOZACHECK</t>
  </si>
  <si>
    <t>BONNIE CARNEY</t>
  </si>
  <si>
    <t>AHC6734480</t>
  </si>
  <si>
    <t>08/02/2024</t>
  </si>
  <si>
    <t>PA</t>
  </si>
  <si>
    <t>GNW5007313</t>
  </si>
  <si>
    <t>DEBORAH INSKIPT</t>
  </si>
  <si>
    <t>JEREMY KEENE</t>
  </si>
  <si>
    <t>CLI7391561</t>
  </si>
  <si>
    <t>07/11/2025</t>
  </si>
  <si>
    <t>WV</t>
  </si>
  <si>
    <t>Heart Attack or Stroke Insurance with Recurrence Benefit</t>
  </si>
  <si>
    <t>07/12/2025</t>
  </si>
  <si>
    <t>105.00%</t>
  </si>
  <si>
    <t xml:space="preserve">CHAS PLUS Heart/Strk w/ recuc </t>
  </si>
  <si>
    <t>KAREN KLAGES</t>
  </si>
  <si>
    <t>CLI7304978</t>
  </si>
  <si>
    <t>01/27/2025</t>
  </si>
  <si>
    <t>HIP Flex Daily Hospital Indemnity</t>
  </si>
  <si>
    <t>02/01/2025</t>
  </si>
  <si>
    <t xml:space="preserve">DAILY HOSPITAL INDEMNITY      </t>
  </si>
  <si>
    <t>CLI7391560</t>
  </si>
  <si>
    <t>TIMOTHY KUHN JR</t>
  </si>
  <si>
    <t>CLI7115300</t>
  </si>
  <si>
    <t>01/15/2024</t>
  </si>
  <si>
    <t>08/15/2025</t>
  </si>
  <si>
    <t>LUZ ESTER VALERA</t>
  </si>
  <si>
    <t>CLI7344062</t>
  </si>
  <si>
    <t>04/14/2025</t>
  </si>
  <si>
    <t>DVH PLUS 2000</t>
  </si>
  <si>
    <t>04/15/2025</t>
  </si>
  <si>
    <t xml:space="preserve">DVH PLUS 2000 100 DEDUCTIBLE  </t>
  </si>
  <si>
    <t>GNW0089726</t>
  </si>
  <si>
    <t>KELLY CARRYER</t>
  </si>
  <si>
    <t>ROBERT SLANEY</t>
  </si>
  <si>
    <t>CLI7024787</t>
  </si>
  <si>
    <t>06/27/2023</t>
  </si>
  <si>
    <t>08/01/2023</t>
  </si>
  <si>
    <t>7.50%</t>
  </si>
  <si>
    <t>CLI7024785</t>
  </si>
  <si>
    <t>GNW5013630</t>
  </si>
  <si>
    <t>STEPHANIE DRAPAC</t>
  </si>
  <si>
    <t>HOWARD BOONE</t>
  </si>
  <si>
    <t>CLI7360623</t>
  </si>
  <si>
    <t>05/14/2025</t>
  </si>
  <si>
    <t>Cancer Insurance</t>
  </si>
  <si>
    <t xml:space="preserve">CHAS PLUS CANCER ONLY         </t>
  </si>
  <si>
    <t>GNW5019378</t>
  </si>
  <si>
    <t>CHRIS TAUGNER</t>
  </si>
  <si>
    <t>STACY OLSEN</t>
  </si>
  <si>
    <t>CLI7300298</t>
  </si>
  <si>
    <t>WI</t>
  </si>
  <si>
    <t>01/17/2025</t>
  </si>
  <si>
    <t>08/17/2025</t>
  </si>
  <si>
    <t>TEOFILA CALINGA</t>
  </si>
  <si>
    <t>CLI7379447</t>
  </si>
  <si>
    <t>06/19/2025</t>
  </si>
  <si>
    <t>08/19/2025</t>
  </si>
  <si>
    <t>JINA HALL</t>
  </si>
  <si>
    <t>CLI7126946</t>
  </si>
  <si>
    <t>02/12/2024</t>
  </si>
  <si>
    <t>03/15/2024</t>
  </si>
  <si>
    <t>MICHAEL GOODMAN</t>
  </si>
  <si>
    <t>CLI7299676</t>
  </si>
  <si>
    <t>100.00%</t>
  </si>
  <si>
    <t>BRIDGET CARTER</t>
  </si>
  <si>
    <t>CLI7293753</t>
  </si>
  <si>
    <t>01/02/2025</t>
  </si>
  <si>
    <t>IN</t>
  </si>
  <si>
    <t>Dental Vision Hearing 2000</t>
  </si>
  <si>
    <t>Dental, Vision, &amp; Hearing 2000</t>
  </si>
  <si>
    <t>CLI7304977</t>
  </si>
  <si>
    <t>LOGAN NENCIONI</t>
  </si>
  <si>
    <t>CLI7031278</t>
  </si>
  <si>
    <t>07/13/2023</t>
  </si>
  <si>
    <t>07/14/2023</t>
  </si>
  <si>
    <t>08/14/2025</t>
  </si>
  <si>
    <t>VASILIOS KARELAS</t>
  </si>
  <si>
    <t>CLI7069465</t>
  </si>
  <si>
    <t>10/16/2023</t>
  </si>
  <si>
    <t>10/17/2023</t>
  </si>
  <si>
    <t>11.00%</t>
  </si>
  <si>
    <t>CLI7069464</t>
  </si>
  <si>
    <t>THOMAS FROCK</t>
  </si>
  <si>
    <t>CLI7295290</t>
  </si>
  <si>
    <t>01/07/2025</t>
  </si>
  <si>
    <t>01/08/2025</t>
  </si>
  <si>
    <t>08/08/2025</t>
  </si>
  <si>
    <t>GNW5005484</t>
  </si>
  <si>
    <t>CATHY LEMON</t>
  </si>
  <si>
    <t>ARNOLD GAMBLE</t>
  </si>
  <si>
    <t>CLI7243804</t>
  </si>
  <si>
    <t>10/11/2024</t>
  </si>
  <si>
    <t>91.00%</t>
  </si>
  <si>
    <t>GNW5013451</t>
  </si>
  <si>
    <t>BARRY SCHUMANN</t>
  </si>
  <si>
    <t>KATHLEEN HERRITY</t>
  </si>
  <si>
    <t>CLI7259966</t>
  </si>
  <si>
    <t>11/04/2024</t>
  </si>
  <si>
    <t>GNW5015801</t>
  </si>
  <si>
    <t>RONALD MAX</t>
  </si>
  <si>
    <t>BRENDA RIPLEY</t>
  </si>
  <si>
    <t>CLI7259790</t>
  </si>
  <si>
    <t>GNW5021353</t>
  </si>
  <si>
    <t>JACOB YALE</t>
  </si>
  <si>
    <t>WENDELL ARNOLD</t>
  </si>
  <si>
    <t>CLI7411679</t>
  </si>
  <si>
    <t>Initial</t>
  </si>
  <si>
    <t>FL</t>
  </si>
  <si>
    <t>RONALD COSTANZO</t>
  </si>
  <si>
    <t>CLI7077075</t>
  </si>
  <si>
    <t>10/30/2023</t>
  </si>
  <si>
    <t>11/01/2023</t>
  </si>
  <si>
    <t>NANCY SEDDON</t>
  </si>
  <si>
    <t>AHC6742262</t>
  </si>
  <si>
    <t>11/26/2024</t>
  </si>
  <si>
    <t>30.00%</t>
  </si>
  <si>
    <t>CLI7259787</t>
  </si>
  <si>
    <t>Heart Attack or Stroke Insurance</t>
  </si>
  <si>
    <t xml:space="preserve">CHAS PLUS Heart/Stroke        </t>
  </si>
  <si>
    <t>GNW5021656</t>
  </si>
  <si>
    <t>GARY PORTUGAL</t>
  </si>
  <si>
    <t>JUAN MERCADO</t>
  </si>
  <si>
    <t>CLI7380854</t>
  </si>
  <si>
    <t>06/23/2025</t>
  </si>
  <si>
    <t>08/23/2025</t>
  </si>
  <si>
    <t>65.00%</t>
  </si>
  <si>
    <t>SHARON FORREST</t>
  </si>
  <si>
    <t>CLI7266057</t>
  </si>
  <si>
    <t>11/13/2024</t>
  </si>
  <si>
    <t>JADA MCKENNA</t>
  </si>
  <si>
    <t>CLI7243696</t>
  </si>
  <si>
    <t>10/15/2024</t>
  </si>
  <si>
    <t>THOMAS RIPLEY</t>
  </si>
  <si>
    <t>CLI7259791</t>
  </si>
  <si>
    <t>CLI7259785</t>
  </si>
  <si>
    <t>GNW6114443</t>
  </si>
  <si>
    <t>KIMBERLY DICKERSON</t>
  </si>
  <si>
    <t>RICK UHLER</t>
  </si>
  <si>
    <t>CLI6941284</t>
  </si>
  <si>
    <t>12/15/2022</t>
  </si>
  <si>
    <t>BETH ANN PIELIN</t>
  </si>
  <si>
    <t>CLI7346098</t>
  </si>
  <si>
    <t>04/17/2025</t>
  </si>
  <si>
    <t>BRIAN WHITE</t>
  </si>
  <si>
    <t>CLI7114504</t>
  </si>
  <si>
    <t>01/12/2024</t>
  </si>
  <si>
    <t>CATHERINE SOTACK</t>
  </si>
  <si>
    <t>CLI7289580</t>
  </si>
  <si>
    <t>12/18/2024</t>
  </si>
  <si>
    <t xml:space="preserve">Dental Only 2000              </t>
  </si>
  <si>
    <t>GLENN MCNALLY</t>
  </si>
  <si>
    <t>CLI7247846</t>
  </si>
  <si>
    <t>10/17/2024</t>
  </si>
  <si>
    <t>GNW0089678</t>
  </si>
  <si>
    <t>RYAN CALTAGIRONE</t>
  </si>
  <si>
    <t>MARK BOWERS</t>
  </si>
  <si>
    <t>CLI7376880</t>
  </si>
  <si>
    <t>06/16/2025</t>
  </si>
  <si>
    <t>06/17/2025</t>
  </si>
  <si>
    <t>GNW5020131</t>
  </si>
  <si>
    <t>CHAD YALE</t>
  </si>
  <si>
    <t>PAUL FARLEY</t>
  </si>
  <si>
    <t>CLI7285738</t>
  </si>
  <si>
    <t>12/10/2024</t>
  </si>
  <si>
    <t>Refund of Unearned Commissions</t>
  </si>
  <si>
    <t>LENORA MCCRAY</t>
  </si>
  <si>
    <t>CLI7409211</t>
  </si>
  <si>
    <t>08/11/2025</t>
  </si>
  <si>
    <t>09/12/2025</t>
  </si>
  <si>
    <t>Quarterly</t>
  </si>
  <si>
    <t>GNW5013701</t>
  </si>
  <si>
    <t>JARED KINYUA</t>
  </si>
  <si>
    <t>TAIWO OLU AJAYI</t>
  </si>
  <si>
    <t>CLI7388936</t>
  </si>
  <si>
    <t>07/08/2025</t>
  </si>
  <si>
    <t>07/09/2025</t>
  </si>
  <si>
    <t>08/09/2025</t>
  </si>
  <si>
    <t>CLI7388934</t>
  </si>
  <si>
    <t>GNW5005086</t>
  </si>
  <si>
    <t>CAROLYN WILSON SMITH</t>
  </si>
  <si>
    <t>ALBERTA GREEN</t>
  </si>
  <si>
    <t>AHC6738690</t>
  </si>
  <si>
    <t>10/23/2024</t>
  </si>
  <si>
    <t>1.50%</t>
  </si>
  <si>
    <t>LUCY BARTLETT</t>
  </si>
  <si>
    <t>CLI7311105</t>
  </si>
  <si>
    <t>02/06/2025</t>
  </si>
  <si>
    <t>MS</t>
  </si>
  <si>
    <t>02/15/2025</t>
  </si>
  <si>
    <t>DIANE VAN DORN</t>
  </si>
  <si>
    <t>CLI7284897</t>
  </si>
  <si>
    <t>12/09/2024</t>
  </si>
  <si>
    <t>RUTH LINDO JONES</t>
  </si>
  <si>
    <t>CLI7288060</t>
  </si>
  <si>
    <t>12/14/2024</t>
  </si>
  <si>
    <t>GNW5000839</t>
  </si>
  <si>
    <t>PETER RICHTER</t>
  </si>
  <si>
    <t>MANUEL RIVERA</t>
  </si>
  <si>
    <t>CLI7268487</t>
  </si>
  <si>
    <t>52.00%</t>
  </si>
  <si>
    <t xml:space="preserve">Dental,Vision,Hearing 2000 PA </t>
  </si>
  <si>
    <t>LESLIE SCHOFFSTALL</t>
  </si>
  <si>
    <t>CLI7201001</t>
  </si>
  <si>
    <t>07/18/2024</t>
  </si>
  <si>
    <t>07/19/2024</t>
  </si>
  <si>
    <t>8.00%</t>
  </si>
  <si>
    <t>CHERYL LITTLE</t>
  </si>
  <si>
    <t>CLI7067136</t>
  </si>
  <si>
    <t>10/11/2023</t>
  </si>
  <si>
    <t>12/01/2023</t>
  </si>
  <si>
    <t>CHARLES PARTAIN</t>
  </si>
  <si>
    <t>CLI7267631</t>
  </si>
  <si>
    <t>11/14/2024</t>
  </si>
  <si>
    <t>CLI7067135</t>
  </si>
  <si>
    <t>CLI7299675</t>
  </si>
  <si>
    <t>CLI7388935</t>
  </si>
  <si>
    <t>GNW5030443</t>
  </si>
  <si>
    <t>JENNIFER HALSAVER</t>
  </si>
  <si>
    <t>ANITA MERCER</t>
  </si>
  <si>
    <t>CLI7405358</t>
  </si>
  <si>
    <t>08/04/2025</t>
  </si>
  <si>
    <t>OH</t>
  </si>
  <si>
    <t>08/05/2025</t>
  </si>
  <si>
    <t>09/05/2025</t>
  </si>
  <si>
    <t>GNW5020580</t>
  </si>
  <si>
    <t>STACEY PORTUGAL</t>
  </si>
  <si>
    <t>JACQUELINE GOLLAY</t>
  </si>
  <si>
    <t>CLI7284679</t>
  </si>
  <si>
    <t>DENTAL ONLY PLUS 3000</t>
  </si>
  <si>
    <t xml:space="preserve">DEN ONLY PLUS FL 3000 100 DED </t>
  </si>
  <si>
    <t>LINDA DEANTONIO</t>
  </si>
  <si>
    <t>AHC6698232</t>
  </si>
  <si>
    <t>05/26/2023</t>
  </si>
  <si>
    <t>06/01/2023</t>
  </si>
  <si>
    <t>24.00%</t>
  </si>
  <si>
    <t>SHERYL AMOS</t>
  </si>
  <si>
    <t>CLI7406685</t>
  </si>
  <si>
    <t>08/06/2025</t>
  </si>
  <si>
    <t>CHARLOTTE FARLEY</t>
  </si>
  <si>
    <t>CLI7285739</t>
  </si>
  <si>
    <t>CLI7284896</t>
  </si>
  <si>
    <t>DEBORAH COSTANZO</t>
  </si>
  <si>
    <t>CLI7225345</t>
  </si>
  <si>
    <t>09/05/2024</t>
  </si>
  <si>
    <t>10/01/2024</t>
  </si>
  <si>
    <t>ROBERT GRIMES</t>
  </si>
  <si>
    <t>CLI7237845</t>
  </si>
  <si>
    <t>CLI7411680</t>
  </si>
  <si>
    <t>RICHARD AMOS</t>
  </si>
  <si>
    <t>CLI7393394</t>
  </si>
  <si>
    <t>07/15/2025</t>
  </si>
  <si>
    <t>10/01/2025</t>
  </si>
  <si>
    <t>11/01/2025</t>
  </si>
  <si>
    <t>GNW5020386</t>
  </si>
  <si>
    <t>FRANK LISKOVEC</t>
  </si>
  <si>
    <t>JUNE SMITH</t>
  </si>
  <si>
    <t>CLI7411133</t>
  </si>
  <si>
    <t>DOUG ROBERTSON</t>
  </si>
  <si>
    <t>CLI7288079</t>
  </si>
  <si>
    <t>12/15/2024</t>
  </si>
  <si>
    <t>12/16/2024</t>
  </si>
  <si>
    <t>CLI7405357</t>
  </si>
  <si>
    <t>GNW5002639</t>
  </si>
  <si>
    <t>MATTHEW DAUGHERTY</t>
  </si>
  <si>
    <t>DEVI MARTIN</t>
  </si>
  <si>
    <t>CLI7401597</t>
  </si>
  <si>
    <t>07/29/2025</t>
  </si>
  <si>
    <t>DAVID WISE</t>
  </si>
  <si>
    <t>CLI7411194</t>
  </si>
  <si>
    <t>CLI7411193</t>
  </si>
  <si>
    <t>GNW5000567</t>
  </si>
  <si>
    <t>LAURIE CASTA</t>
  </si>
  <si>
    <t>PATRICIA OSBORN</t>
  </si>
  <si>
    <t>AHC6697954</t>
  </si>
  <si>
    <t>05/24/2023</t>
  </si>
  <si>
    <t>29.00%</t>
  </si>
  <si>
    <t>17528908N</t>
  </si>
  <si>
    <t>AE</t>
  </si>
  <si>
    <t>RN</t>
  </si>
  <si>
    <t>AV1</t>
  </si>
  <si>
    <t>AV</t>
  </si>
  <si>
    <t>NB</t>
  </si>
  <si>
    <t>8814784AV8</t>
  </si>
  <si>
    <t>Cancer and Heart Attack or Stroke Plus</t>
  </si>
  <si>
    <t>Cancer and Heart Attack or Stroke 100%</t>
  </si>
  <si>
    <t>Cancer and Heart Attack or Stroke 105</t>
  </si>
  <si>
    <t>Cancer and Heart</t>
  </si>
  <si>
    <t>Dental, Vision, and Hearing Plus</t>
  </si>
  <si>
    <t>Hospital Indemnity Flex: AZ, CT, FL, IA, MA, MD, MI, ND, NH, SC, UT, VA, VT</t>
  </si>
  <si>
    <t>DVH Plus AL AR AZ CT DE FL GA IA ID IL</t>
  </si>
  <si>
    <t>Cancer and Heart Attack or Stroke Plus (2024) 4% RN</t>
  </si>
  <si>
    <t>Home Recovery Hospital Nursing Care 65</t>
  </si>
  <si>
    <t>Hospital Indemnity AZ CT FL IA MA MD MI ND NH SC UT VA VT</t>
  </si>
  <si>
    <t>Hospital Indemnity-AL, AR, DE, GA, ID, IL, IN, KS, KY, etc.</t>
  </si>
  <si>
    <t>Medicare Supplement Plan G 2024</t>
  </si>
  <si>
    <t>IL (all Marketed Plans except Plan N) Ages 65 to 79</t>
  </si>
  <si>
    <t>Medicare Supplement Plan- KS &amp; MD 1.5</t>
  </si>
  <si>
    <t>Medicare Supplement Plan N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</si>
</sst>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horizontal="left"/>
    </xf>
    <xf numFmtId="164" fontId="11" fillId="0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left"/>
    </xf>
    <xf numFmtId="164" fontId="11" fillId="4" borderId="0" xfId="0" applyNumberFormat="1" applyFont="1" applyFill="1" applyAlignment="1">
      <alignment horizontal="left"/>
    </xf>
    <xf numFmtId="0" fontId="11" fillId="4" borderId="0" xfId="0" applyFont="1" applyFill="1"/>
    <xf numFmtId="10" fontId="11" fillId="4" borderId="0" xfId="0" applyNumberFormat="1" applyFont="1" applyFill="1" applyAlignment="1">
      <alignment horizontal="left"/>
    </xf>
    <xf numFmtId="10" fontId="11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3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38</v>
      </c>
      <c r="E1" s="14"/>
      <c r="F1" s="14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66</v>
      </c>
      <c r="L3" s="9" t="s">
        <v>69</v>
      </c>
      <c r="M3" s="11">
        <v>32.130000000000003</v>
      </c>
      <c r="N3" s="9" t="s">
        <v>70</v>
      </c>
      <c r="O3" s="9" t="s">
        <v>71</v>
      </c>
      <c r="P3" s="9" t="s">
        <v>72</v>
      </c>
      <c r="Q3" s="11">
        <v>18.309999999999999</v>
      </c>
      <c r="R3" s="9" t="s">
        <v>73</v>
      </c>
      <c r="S3" s="9" t="s">
        <v>0</v>
      </c>
      <c r="T3" s="9" t="s">
        <v>0</v>
      </c>
      <c r="U3" s="9" t="s">
        <v>74</v>
      </c>
    </row>
    <row r="4" spans="1:21" x14ac:dyDescent="0.25">
      <c r="A4" s="10" t="s">
        <v>19</v>
      </c>
      <c r="B4" s="10" t="s">
        <v>60</v>
      </c>
      <c r="C4" s="10" t="s">
        <v>75</v>
      </c>
      <c r="D4" s="10" t="s">
        <v>76</v>
      </c>
      <c r="E4" s="10" t="s">
        <v>77</v>
      </c>
      <c r="F4" s="10" t="s">
        <v>78</v>
      </c>
      <c r="G4" s="10" t="s">
        <v>65</v>
      </c>
      <c r="H4" s="10" t="s">
        <v>79</v>
      </c>
      <c r="I4" s="10" t="s">
        <v>80</v>
      </c>
      <c r="J4" s="10" t="s">
        <v>81</v>
      </c>
      <c r="K4" s="10" t="s">
        <v>82</v>
      </c>
      <c r="L4" s="10" t="s">
        <v>83</v>
      </c>
      <c r="M4" s="12">
        <v>48.66</v>
      </c>
      <c r="N4" s="10" t="s">
        <v>70</v>
      </c>
      <c r="O4" s="10" t="s">
        <v>84</v>
      </c>
      <c r="P4" s="10" t="s">
        <v>72</v>
      </c>
      <c r="Q4" s="12">
        <v>30.41</v>
      </c>
      <c r="R4" s="10" t="s">
        <v>73</v>
      </c>
      <c r="S4" s="10" t="s">
        <v>0</v>
      </c>
      <c r="T4" s="10" t="s">
        <v>0</v>
      </c>
      <c r="U4" s="10" t="s">
        <v>85</v>
      </c>
    </row>
    <row r="5" spans="1:21" x14ac:dyDescent="0.25">
      <c r="A5" s="9" t="s">
        <v>19</v>
      </c>
      <c r="B5" s="9" t="s">
        <v>60</v>
      </c>
      <c r="C5" s="9" t="s">
        <v>75</v>
      </c>
      <c r="D5" s="9" t="s">
        <v>76</v>
      </c>
      <c r="E5" s="9" t="s">
        <v>77</v>
      </c>
      <c r="F5" s="9" t="s">
        <v>78</v>
      </c>
      <c r="G5" s="9" t="s">
        <v>65</v>
      </c>
      <c r="H5" s="9" t="s">
        <v>79</v>
      </c>
      <c r="I5" s="9" t="s">
        <v>80</v>
      </c>
      <c r="J5" s="9" t="s">
        <v>81</v>
      </c>
      <c r="K5" s="9" t="s">
        <v>82</v>
      </c>
      <c r="L5" s="9" t="s">
        <v>83</v>
      </c>
      <c r="M5" s="11">
        <v>4.75</v>
      </c>
      <c r="N5" s="9" t="s">
        <v>70</v>
      </c>
      <c r="O5" s="9" t="s">
        <v>84</v>
      </c>
      <c r="P5" s="9" t="s">
        <v>72</v>
      </c>
      <c r="Q5" s="11">
        <v>2.97</v>
      </c>
      <c r="R5" s="9" t="s">
        <v>73</v>
      </c>
      <c r="S5" s="9" t="s">
        <v>0</v>
      </c>
      <c r="T5" s="9" t="s">
        <v>0</v>
      </c>
      <c r="U5" s="9" t="s">
        <v>85</v>
      </c>
    </row>
    <row r="6" spans="1:21" x14ac:dyDescent="0.25">
      <c r="A6" s="10" t="s">
        <v>19</v>
      </c>
      <c r="B6" s="10" t="s">
        <v>60</v>
      </c>
      <c r="C6" s="10" t="s">
        <v>86</v>
      </c>
      <c r="D6" s="10" t="s">
        <v>87</v>
      </c>
      <c r="E6" s="10" t="s">
        <v>88</v>
      </c>
      <c r="F6" s="10" t="s">
        <v>89</v>
      </c>
      <c r="G6" s="10" t="s">
        <v>65</v>
      </c>
      <c r="H6" s="10" t="s">
        <v>90</v>
      </c>
      <c r="I6" s="10" t="s">
        <v>80</v>
      </c>
      <c r="J6" s="10" t="s">
        <v>91</v>
      </c>
      <c r="K6" s="10" t="s">
        <v>92</v>
      </c>
      <c r="L6" s="10" t="s">
        <v>7</v>
      </c>
      <c r="M6" s="12">
        <v>117.17</v>
      </c>
      <c r="N6" s="10" t="s">
        <v>70</v>
      </c>
      <c r="O6" s="10" t="s">
        <v>71</v>
      </c>
      <c r="P6" s="10" t="s">
        <v>72</v>
      </c>
      <c r="Q6" s="12">
        <v>66.790000000000006</v>
      </c>
      <c r="R6" s="10" t="s">
        <v>73</v>
      </c>
      <c r="S6" s="10" t="s">
        <v>0</v>
      </c>
      <c r="T6" s="10" t="s">
        <v>0</v>
      </c>
      <c r="U6" s="10" t="s">
        <v>93</v>
      </c>
    </row>
    <row r="7" spans="1:21" x14ac:dyDescent="0.25">
      <c r="A7" s="9" t="s">
        <v>18</v>
      </c>
      <c r="B7" s="9" t="s">
        <v>60</v>
      </c>
      <c r="C7" s="9" t="s">
        <v>94</v>
      </c>
      <c r="D7" s="9" t="s">
        <v>95</v>
      </c>
      <c r="E7" s="9" t="s">
        <v>96</v>
      </c>
      <c r="F7" s="9" t="s">
        <v>97</v>
      </c>
      <c r="G7" s="9" t="s">
        <v>65</v>
      </c>
      <c r="H7" s="9" t="s">
        <v>98</v>
      </c>
      <c r="I7" s="9" t="s">
        <v>80</v>
      </c>
      <c r="J7" s="9" t="s">
        <v>99</v>
      </c>
      <c r="K7" s="9" t="s">
        <v>100</v>
      </c>
      <c r="L7" s="9" t="s">
        <v>83</v>
      </c>
      <c r="M7" s="11">
        <v>170.5</v>
      </c>
      <c r="N7" s="9" t="s">
        <v>70</v>
      </c>
      <c r="O7" s="9" t="s">
        <v>101</v>
      </c>
      <c r="P7" s="9" t="s">
        <v>72</v>
      </c>
      <c r="Q7" s="11">
        <v>42.63</v>
      </c>
      <c r="R7" s="9" t="s">
        <v>73</v>
      </c>
      <c r="S7" s="9" t="s">
        <v>0</v>
      </c>
      <c r="T7" s="9" t="s">
        <v>0</v>
      </c>
      <c r="U7" s="9" t="s">
        <v>102</v>
      </c>
    </row>
    <row r="8" spans="1:21" x14ac:dyDescent="0.25">
      <c r="A8" s="10" t="s">
        <v>19</v>
      </c>
      <c r="B8" s="10" t="s">
        <v>60</v>
      </c>
      <c r="C8" s="10" t="s">
        <v>61</v>
      </c>
      <c r="D8" s="10" t="s">
        <v>62</v>
      </c>
      <c r="E8" s="10" t="s">
        <v>103</v>
      </c>
      <c r="F8" s="10" t="s">
        <v>104</v>
      </c>
      <c r="G8" s="10" t="s">
        <v>65</v>
      </c>
      <c r="H8" s="10" t="s">
        <v>105</v>
      </c>
      <c r="I8" s="10" t="s">
        <v>67</v>
      </c>
      <c r="J8" s="10" t="s">
        <v>106</v>
      </c>
      <c r="K8" s="10" t="s">
        <v>105</v>
      </c>
      <c r="L8" s="10" t="s">
        <v>7</v>
      </c>
      <c r="M8" s="12">
        <v>19.7</v>
      </c>
      <c r="N8" s="10" t="s">
        <v>70</v>
      </c>
      <c r="O8" s="10" t="s">
        <v>107</v>
      </c>
      <c r="P8" s="10" t="s">
        <v>72</v>
      </c>
      <c r="Q8" s="12">
        <v>11.82</v>
      </c>
      <c r="R8" s="10" t="s">
        <v>73</v>
      </c>
      <c r="S8" s="10" t="s">
        <v>0</v>
      </c>
      <c r="T8" s="10" t="s">
        <v>0</v>
      </c>
      <c r="U8" s="10" t="s">
        <v>108</v>
      </c>
    </row>
    <row r="9" spans="1:21" x14ac:dyDescent="0.25">
      <c r="A9" s="9" t="s">
        <v>19</v>
      </c>
      <c r="B9" s="9" t="s">
        <v>60</v>
      </c>
      <c r="C9" s="9" t="s">
        <v>61</v>
      </c>
      <c r="D9" s="9" t="s">
        <v>62</v>
      </c>
      <c r="E9" s="9" t="s">
        <v>103</v>
      </c>
      <c r="F9" s="9" t="s">
        <v>104</v>
      </c>
      <c r="G9" s="9" t="s">
        <v>65</v>
      </c>
      <c r="H9" s="9" t="s">
        <v>105</v>
      </c>
      <c r="I9" s="9" t="s">
        <v>67</v>
      </c>
      <c r="J9" s="9" t="s">
        <v>106</v>
      </c>
      <c r="K9" s="9" t="s">
        <v>105</v>
      </c>
      <c r="L9" s="9" t="s">
        <v>7</v>
      </c>
      <c r="M9" s="11">
        <v>12.47</v>
      </c>
      <c r="N9" s="9" t="s">
        <v>70</v>
      </c>
      <c r="O9" s="9" t="s">
        <v>107</v>
      </c>
      <c r="P9" s="9" t="s">
        <v>72</v>
      </c>
      <c r="Q9" s="11">
        <v>7.48</v>
      </c>
      <c r="R9" s="9" t="s">
        <v>73</v>
      </c>
      <c r="S9" s="9" t="s">
        <v>0</v>
      </c>
      <c r="T9" s="9" t="s">
        <v>0</v>
      </c>
      <c r="U9" s="9" t="s">
        <v>108</v>
      </c>
    </row>
    <row r="10" spans="1:21" x14ac:dyDescent="0.25">
      <c r="A10" s="10" t="s">
        <v>19</v>
      </c>
      <c r="B10" s="10" t="s">
        <v>60</v>
      </c>
      <c r="C10" s="10" t="s">
        <v>61</v>
      </c>
      <c r="D10" s="10" t="s">
        <v>62</v>
      </c>
      <c r="E10" s="10" t="s">
        <v>103</v>
      </c>
      <c r="F10" s="10" t="s">
        <v>109</v>
      </c>
      <c r="G10" s="10" t="s">
        <v>65</v>
      </c>
      <c r="H10" s="10" t="s">
        <v>105</v>
      </c>
      <c r="I10" s="10" t="s">
        <v>67</v>
      </c>
      <c r="J10" s="10" t="s">
        <v>68</v>
      </c>
      <c r="K10" s="10" t="s">
        <v>105</v>
      </c>
      <c r="L10" s="10" t="s">
        <v>7</v>
      </c>
      <c r="M10" s="12">
        <v>22.42</v>
      </c>
      <c r="N10" s="10" t="s">
        <v>70</v>
      </c>
      <c r="O10" s="10" t="s">
        <v>110</v>
      </c>
      <c r="P10" s="10" t="s">
        <v>72</v>
      </c>
      <c r="Q10" s="12">
        <v>13</v>
      </c>
      <c r="R10" s="10" t="s">
        <v>73</v>
      </c>
      <c r="S10" s="10" t="s">
        <v>0</v>
      </c>
      <c r="T10" s="10" t="s">
        <v>0</v>
      </c>
      <c r="U10" s="10" t="s">
        <v>74</v>
      </c>
    </row>
    <row r="11" spans="1:21" x14ac:dyDescent="0.25">
      <c r="A11" s="9" t="s">
        <v>18</v>
      </c>
      <c r="B11" s="9" t="s">
        <v>60</v>
      </c>
      <c r="C11" s="9" t="s">
        <v>111</v>
      </c>
      <c r="D11" s="9" t="s">
        <v>112</v>
      </c>
      <c r="E11" s="9" t="s">
        <v>113</v>
      </c>
      <c r="F11" s="9" t="s">
        <v>114</v>
      </c>
      <c r="G11" s="9" t="s">
        <v>65</v>
      </c>
      <c r="H11" s="9" t="s">
        <v>115</v>
      </c>
      <c r="I11" s="9" t="s">
        <v>67</v>
      </c>
      <c r="J11" s="9" t="s">
        <v>99</v>
      </c>
      <c r="K11" s="9" t="s">
        <v>116</v>
      </c>
      <c r="L11" s="9" t="s">
        <v>117</v>
      </c>
      <c r="M11" s="11">
        <v>181.68</v>
      </c>
      <c r="N11" s="9" t="s">
        <v>70</v>
      </c>
      <c r="O11" s="9" t="s">
        <v>118</v>
      </c>
      <c r="P11" s="9" t="s">
        <v>72</v>
      </c>
      <c r="Q11" s="11">
        <v>47.24</v>
      </c>
      <c r="R11" s="9" t="s">
        <v>73</v>
      </c>
      <c r="S11" s="9" t="s">
        <v>0</v>
      </c>
      <c r="T11" s="9" t="s">
        <v>0</v>
      </c>
      <c r="U11" s="9" t="s">
        <v>102</v>
      </c>
    </row>
    <row r="12" spans="1:21" x14ac:dyDescent="0.25">
      <c r="A12" s="10" t="s">
        <v>19</v>
      </c>
      <c r="B12" s="10" t="s">
        <v>60</v>
      </c>
      <c r="C12" s="10" t="s">
        <v>61</v>
      </c>
      <c r="D12" s="10" t="s">
        <v>62</v>
      </c>
      <c r="E12" s="10" t="s">
        <v>119</v>
      </c>
      <c r="F12" s="10" t="s">
        <v>120</v>
      </c>
      <c r="G12" s="10" t="s">
        <v>65</v>
      </c>
      <c r="H12" s="10" t="s">
        <v>121</v>
      </c>
      <c r="I12" s="10" t="s">
        <v>67</v>
      </c>
      <c r="J12" s="10" t="s">
        <v>122</v>
      </c>
      <c r="K12" s="10" t="s">
        <v>123</v>
      </c>
      <c r="L12" s="10" t="s">
        <v>83</v>
      </c>
      <c r="M12" s="12">
        <v>23.22</v>
      </c>
      <c r="N12" s="10" t="s">
        <v>70</v>
      </c>
      <c r="O12" s="10" t="s">
        <v>124</v>
      </c>
      <c r="P12" s="10" t="s">
        <v>72</v>
      </c>
      <c r="Q12" s="12">
        <v>22.06</v>
      </c>
      <c r="R12" s="10" t="s">
        <v>73</v>
      </c>
      <c r="S12" s="10" t="s">
        <v>0</v>
      </c>
      <c r="T12" s="10" t="s">
        <v>0</v>
      </c>
      <c r="U12" s="10" t="s">
        <v>125</v>
      </c>
    </row>
    <row r="13" spans="1:21" x14ac:dyDescent="0.25">
      <c r="A13" s="9" t="s">
        <v>18</v>
      </c>
      <c r="B13" s="9" t="s">
        <v>60</v>
      </c>
      <c r="C13" s="9" t="s">
        <v>111</v>
      </c>
      <c r="D13" s="9" t="s">
        <v>112</v>
      </c>
      <c r="E13" s="9" t="s">
        <v>126</v>
      </c>
      <c r="F13" s="9" t="s">
        <v>127</v>
      </c>
      <c r="G13" s="9" t="s">
        <v>65</v>
      </c>
      <c r="H13" s="9" t="s">
        <v>128</v>
      </c>
      <c r="I13" s="9" t="s">
        <v>67</v>
      </c>
      <c r="J13" s="9" t="s">
        <v>129</v>
      </c>
      <c r="K13" s="9" t="s">
        <v>130</v>
      </c>
      <c r="L13" s="9" t="s">
        <v>83</v>
      </c>
      <c r="M13" s="11">
        <v>150.13</v>
      </c>
      <c r="N13" s="9" t="s">
        <v>70</v>
      </c>
      <c r="O13" s="9" t="s">
        <v>131</v>
      </c>
      <c r="P13" s="9" t="s">
        <v>72</v>
      </c>
      <c r="Q13" s="11">
        <v>46.54</v>
      </c>
      <c r="R13" s="9" t="s">
        <v>73</v>
      </c>
      <c r="S13" s="9" t="s">
        <v>0</v>
      </c>
      <c r="T13" s="9" t="s">
        <v>0</v>
      </c>
      <c r="U13" s="9" t="s">
        <v>132</v>
      </c>
    </row>
    <row r="14" spans="1:21" x14ac:dyDescent="0.25">
      <c r="A14" s="10" t="s">
        <v>19</v>
      </c>
      <c r="B14" s="10" t="s">
        <v>60</v>
      </c>
      <c r="C14" s="10" t="s">
        <v>61</v>
      </c>
      <c r="D14" s="10" t="s">
        <v>62</v>
      </c>
      <c r="E14" s="10" t="s">
        <v>133</v>
      </c>
      <c r="F14" s="10" t="s">
        <v>134</v>
      </c>
      <c r="G14" s="10" t="s">
        <v>135</v>
      </c>
      <c r="H14" s="10" t="s">
        <v>136</v>
      </c>
      <c r="I14" s="10" t="s">
        <v>67</v>
      </c>
      <c r="J14" s="10" t="s">
        <v>68</v>
      </c>
      <c r="K14" s="10" t="s">
        <v>136</v>
      </c>
      <c r="L14" s="10" t="s">
        <v>7</v>
      </c>
      <c r="M14" s="12">
        <v>27.63</v>
      </c>
      <c r="N14" s="10" t="s">
        <v>70</v>
      </c>
      <c r="O14" s="10" t="s">
        <v>137</v>
      </c>
      <c r="P14" s="10" t="s">
        <v>72</v>
      </c>
      <c r="Q14" s="12">
        <v>0.97</v>
      </c>
      <c r="R14" s="10" t="s">
        <v>73</v>
      </c>
      <c r="S14" s="10" t="s">
        <v>0</v>
      </c>
      <c r="T14" s="10" t="s">
        <v>0</v>
      </c>
      <c r="U14" s="10" t="s">
        <v>74</v>
      </c>
    </row>
    <row r="15" spans="1:21" x14ac:dyDescent="0.25">
      <c r="A15" s="9" t="s">
        <v>19</v>
      </c>
      <c r="B15" s="9" t="s">
        <v>60</v>
      </c>
      <c r="C15" s="9" t="s">
        <v>86</v>
      </c>
      <c r="D15" s="9" t="s">
        <v>87</v>
      </c>
      <c r="E15" s="9" t="s">
        <v>138</v>
      </c>
      <c r="F15" s="9" t="s">
        <v>139</v>
      </c>
      <c r="G15" s="9" t="s">
        <v>65</v>
      </c>
      <c r="H15" s="9" t="s">
        <v>140</v>
      </c>
      <c r="I15" s="9" t="s">
        <v>141</v>
      </c>
      <c r="J15" s="9" t="s">
        <v>142</v>
      </c>
      <c r="K15" s="9" t="s">
        <v>100</v>
      </c>
      <c r="L15" s="9" t="s">
        <v>83</v>
      </c>
      <c r="M15" s="11">
        <v>59.78</v>
      </c>
      <c r="N15" s="9" t="s">
        <v>70</v>
      </c>
      <c r="O15" s="9" t="s">
        <v>71</v>
      </c>
      <c r="P15" s="9" t="s">
        <v>72</v>
      </c>
      <c r="Q15" s="11">
        <v>34.07</v>
      </c>
      <c r="R15" s="9" t="s">
        <v>73</v>
      </c>
      <c r="S15" s="9" t="s">
        <v>0</v>
      </c>
      <c r="T15" s="9" t="s">
        <v>0</v>
      </c>
      <c r="U15" s="9" t="s">
        <v>143</v>
      </c>
    </row>
    <row r="16" spans="1:21" x14ac:dyDescent="0.25">
      <c r="A16" s="10" t="s">
        <v>18</v>
      </c>
      <c r="B16" s="10" t="s">
        <v>60</v>
      </c>
      <c r="C16" s="10" t="s">
        <v>144</v>
      </c>
      <c r="D16" s="10" t="s">
        <v>145</v>
      </c>
      <c r="E16" s="10" t="s">
        <v>146</v>
      </c>
      <c r="F16" s="10" t="s">
        <v>147</v>
      </c>
      <c r="G16" s="10" t="s">
        <v>65</v>
      </c>
      <c r="H16" s="10" t="s">
        <v>148</v>
      </c>
      <c r="I16" s="10" t="s">
        <v>149</v>
      </c>
      <c r="J16" s="10" t="s">
        <v>99</v>
      </c>
      <c r="K16" s="10" t="s">
        <v>82</v>
      </c>
      <c r="L16" s="10" t="s">
        <v>83</v>
      </c>
      <c r="M16" s="12">
        <v>167.68</v>
      </c>
      <c r="N16" s="10" t="s">
        <v>70</v>
      </c>
      <c r="O16" s="10" t="s">
        <v>101</v>
      </c>
      <c r="P16" s="10" t="s">
        <v>72</v>
      </c>
      <c r="Q16" s="12">
        <v>41.92</v>
      </c>
      <c r="R16" s="10" t="s">
        <v>73</v>
      </c>
      <c r="S16" s="10" t="s">
        <v>0</v>
      </c>
      <c r="T16" s="10" t="s">
        <v>0</v>
      </c>
      <c r="U16" s="10" t="s">
        <v>102</v>
      </c>
    </row>
    <row r="17" spans="1:21" x14ac:dyDescent="0.25">
      <c r="A17" s="9" t="s">
        <v>19</v>
      </c>
      <c r="B17" s="9" t="s">
        <v>60</v>
      </c>
      <c r="C17" s="9" t="s">
        <v>150</v>
      </c>
      <c r="D17" s="9" t="s">
        <v>151</v>
      </c>
      <c r="E17" s="9" t="s">
        <v>152</v>
      </c>
      <c r="F17" s="9" t="s">
        <v>153</v>
      </c>
      <c r="G17" s="9" t="s">
        <v>65</v>
      </c>
      <c r="H17" s="9" t="s">
        <v>154</v>
      </c>
      <c r="I17" s="9" t="s">
        <v>155</v>
      </c>
      <c r="J17" s="9" t="s">
        <v>156</v>
      </c>
      <c r="K17" s="9" t="s">
        <v>157</v>
      </c>
      <c r="L17" s="9" t="s">
        <v>69</v>
      </c>
      <c r="M17" s="11">
        <v>27.33</v>
      </c>
      <c r="N17" s="9" t="s">
        <v>70</v>
      </c>
      <c r="O17" s="9" t="s">
        <v>158</v>
      </c>
      <c r="P17" s="9" t="s">
        <v>72</v>
      </c>
      <c r="Q17" s="11">
        <v>28.7</v>
      </c>
      <c r="R17" s="9" t="s">
        <v>73</v>
      </c>
      <c r="S17" s="9" t="s">
        <v>0</v>
      </c>
      <c r="T17" s="9" t="s">
        <v>0</v>
      </c>
      <c r="U17" s="9" t="s">
        <v>159</v>
      </c>
    </row>
    <row r="18" spans="1:21" x14ac:dyDescent="0.25">
      <c r="A18" s="10" t="s">
        <v>19</v>
      </c>
      <c r="B18" s="10" t="s">
        <v>60</v>
      </c>
      <c r="C18" s="10" t="s">
        <v>150</v>
      </c>
      <c r="D18" s="10" t="s">
        <v>151</v>
      </c>
      <c r="E18" s="10" t="s">
        <v>160</v>
      </c>
      <c r="F18" s="10" t="s">
        <v>161</v>
      </c>
      <c r="G18" s="10" t="s">
        <v>65</v>
      </c>
      <c r="H18" s="10" t="s">
        <v>162</v>
      </c>
      <c r="I18" s="10" t="s">
        <v>149</v>
      </c>
      <c r="J18" s="10" t="s">
        <v>163</v>
      </c>
      <c r="K18" s="10" t="s">
        <v>164</v>
      </c>
      <c r="L18" s="10" t="s">
        <v>83</v>
      </c>
      <c r="M18" s="12">
        <v>5.25</v>
      </c>
      <c r="N18" s="10" t="s">
        <v>70</v>
      </c>
      <c r="O18" s="10" t="s">
        <v>84</v>
      </c>
      <c r="P18" s="10" t="s">
        <v>72</v>
      </c>
      <c r="Q18" s="12">
        <v>3.28</v>
      </c>
      <c r="R18" s="10" t="s">
        <v>73</v>
      </c>
      <c r="S18" s="10" t="s">
        <v>0</v>
      </c>
      <c r="T18" s="10" t="s">
        <v>0</v>
      </c>
      <c r="U18" s="10" t="s">
        <v>165</v>
      </c>
    </row>
    <row r="19" spans="1:21" x14ac:dyDescent="0.25">
      <c r="A19" s="9" t="s">
        <v>19</v>
      </c>
      <c r="B19" s="9" t="s">
        <v>60</v>
      </c>
      <c r="C19" s="9" t="s">
        <v>150</v>
      </c>
      <c r="D19" s="9" t="s">
        <v>151</v>
      </c>
      <c r="E19" s="9" t="s">
        <v>152</v>
      </c>
      <c r="F19" s="9" t="s">
        <v>166</v>
      </c>
      <c r="G19" s="9" t="s">
        <v>65</v>
      </c>
      <c r="H19" s="9" t="s">
        <v>154</v>
      </c>
      <c r="I19" s="9" t="s">
        <v>155</v>
      </c>
      <c r="J19" s="9" t="s">
        <v>122</v>
      </c>
      <c r="K19" s="9" t="s">
        <v>157</v>
      </c>
      <c r="L19" s="9" t="s">
        <v>69</v>
      </c>
      <c r="M19" s="11">
        <v>27</v>
      </c>
      <c r="N19" s="9" t="s">
        <v>70</v>
      </c>
      <c r="O19" s="9" t="s">
        <v>158</v>
      </c>
      <c r="P19" s="9" t="s">
        <v>72</v>
      </c>
      <c r="Q19" s="11">
        <v>28.35</v>
      </c>
      <c r="R19" s="9" t="s">
        <v>73</v>
      </c>
      <c r="S19" s="9" t="s">
        <v>0</v>
      </c>
      <c r="T19" s="9" t="s">
        <v>0</v>
      </c>
      <c r="U19" s="9" t="s">
        <v>125</v>
      </c>
    </row>
    <row r="20" spans="1:21" x14ac:dyDescent="0.25">
      <c r="A20" s="10" t="s">
        <v>19</v>
      </c>
      <c r="B20" s="10" t="s">
        <v>60</v>
      </c>
      <c r="C20" s="10" t="s">
        <v>61</v>
      </c>
      <c r="D20" s="10" t="s">
        <v>62</v>
      </c>
      <c r="E20" s="10" t="s">
        <v>167</v>
      </c>
      <c r="F20" s="10" t="s">
        <v>168</v>
      </c>
      <c r="G20" s="10" t="s">
        <v>135</v>
      </c>
      <c r="H20" s="10" t="s">
        <v>169</v>
      </c>
      <c r="I20" s="10" t="s">
        <v>67</v>
      </c>
      <c r="J20" s="10" t="s">
        <v>68</v>
      </c>
      <c r="K20" s="10" t="s">
        <v>169</v>
      </c>
      <c r="L20" s="10" t="s">
        <v>170</v>
      </c>
      <c r="M20" s="12">
        <v>27.63</v>
      </c>
      <c r="N20" s="10" t="s">
        <v>70</v>
      </c>
      <c r="O20" s="10" t="s">
        <v>137</v>
      </c>
      <c r="P20" s="10" t="s">
        <v>72</v>
      </c>
      <c r="Q20" s="12">
        <v>0.97</v>
      </c>
      <c r="R20" s="10" t="s">
        <v>73</v>
      </c>
      <c r="S20" s="10" t="s">
        <v>0</v>
      </c>
      <c r="T20" s="10" t="s">
        <v>0</v>
      </c>
      <c r="U20" s="10" t="s">
        <v>74</v>
      </c>
    </row>
    <row r="21" spans="1:21" x14ac:dyDescent="0.25">
      <c r="A21" s="9" t="s">
        <v>19</v>
      </c>
      <c r="B21" s="9" t="s">
        <v>60</v>
      </c>
      <c r="C21" s="9" t="s">
        <v>86</v>
      </c>
      <c r="D21" s="9" t="s">
        <v>87</v>
      </c>
      <c r="E21" s="9" t="s">
        <v>171</v>
      </c>
      <c r="F21" s="9" t="s">
        <v>172</v>
      </c>
      <c r="G21" s="9" t="s">
        <v>65</v>
      </c>
      <c r="H21" s="9" t="s">
        <v>173</v>
      </c>
      <c r="I21" s="9" t="s">
        <v>80</v>
      </c>
      <c r="J21" s="9" t="s">
        <v>174</v>
      </c>
      <c r="K21" s="9" t="s">
        <v>175</v>
      </c>
      <c r="L21" s="9" t="s">
        <v>170</v>
      </c>
      <c r="M21" s="11">
        <v>69.83</v>
      </c>
      <c r="N21" s="9" t="s">
        <v>70</v>
      </c>
      <c r="O21" s="9" t="s">
        <v>110</v>
      </c>
      <c r="P21" s="9" t="s">
        <v>72</v>
      </c>
      <c r="Q21" s="11">
        <v>40.5</v>
      </c>
      <c r="R21" s="9" t="s">
        <v>73</v>
      </c>
      <c r="S21" s="9" t="s">
        <v>0</v>
      </c>
      <c r="T21" s="9" t="s">
        <v>0</v>
      </c>
      <c r="U21" s="9" t="s">
        <v>176</v>
      </c>
    </row>
    <row r="22" spans="1:21" x14ac:dyDescent="0.25">
      <c r="A22" s="10" t="s">
        <v>19</v>
      </c>
      <c r="B22" s="10" t="s">
        <v>60</v>
      </c>
      <c r="C22" s="10" t="s">
        <v>177</v>
      </c>
      <c r="D22" s="10" t="s">
        <v>178</v>
      </c>
      <c r="E22" s="10" t="s">
        <v>179</v>
      </c>
      <c r="F22" s="10" t="s">
        <v>180</v>
      </c>
      <c r="G22" s="10" t="s">
        <v>135</v>
      </c>
      <c r="H22" s="10" t="s">
        <v>181</v>
      </c>
      <c r="I22" s="10" t="s">
        <v>149</v>
      </c>
      <c r="J22" s="10" t="s">
        <v>156</v>
      </c>
      <c r="K22" s="10" t="s">
        <v>182</v>
      </c>
      <c r="L22" s="10" t="s">
        <v>83</v>
      </c>
      <c r="M22" s="12">
        <v>42.4</v>
      </c>
      <c r="N22" s="10" t="s">
        <v>70</v>
      </c>
      <c r="O22" s="10" t="s">
        <v>183</v>
      </c>
      <c r="P22" s="10" t="s">
        <v>72</v>
      </c>
      <c r="Q22" s="12">
        <v>3.18</v>
      </c>
      <c r="R22" s="10" t="s">
        <v>73</v>
      </c>
      <c r="S22" s="10" t="s">
        <v>0</v>
      </c>
      <c r="T22" s="10" t="s">
        <v>0</v>
      </c>
      <c r="U22" s="10" t="s">
        <v>159</v>
      </c>
    </row>
    <row r="23" spans="1:21" x14ac:dyDescent="0.25">
      <c r="A23" s="9" t="s">
        <v>19</v>
      </c>
      <c r="B23" s="9" t="s">
        <v>60</v>
      </c>
      <c r="C23" s="9" t="s">
        <v>177</v>
      </c>
      <c r="D23" s="9" t="s">
        <v>178</v>
      </c>
      <c r="E23" s="9" t="s">
        <v>179</v>
      </c>
      <c r="F23" s="9" t="s">
        <v>184</v>
      </c>
      <c r="G23" s="9" t="s">
        <v>135</v>
      </c>
      <c r="H23" s="9" t="s">
        <v>181</v>
      </c>
      <c r="I23" s="9" t="s">
        <v>149</v>
      </c>
      <c r="J23" s="9" t="s">
        <v>122</v>
      </c>
      <c r="K23" s="9" t="s">
        <v>182</v>
      </c>
      <c r="L23" s="9" t="s">
        <v>83</v>
      </c>
      <c r="M23" s="11">
        <v>41.7</v>
      </c>
      <c r="N23" s="9" t="s">
        <v>70</v>
      </c>
      <c r="O23" s="9" t="s">
        <v>183</v>
      </c>
      <c r="P23" s="9" t="s">
        <v>72</v>
      </c>
      <c r="Q23" s="11">
        <v>3.13</v>
      </c>
      <c r="R23" s="9" t="s">
        <v>73</v>
      </c>
      <c r="S23" s="9" t="s">
        <v>0</v>
      </c>
      <c r="T23" s="9" t="s">
        <v>0</v>
      </c>
      <c r="U23" s="9" t="s">
        <v>125</v>
      </c>
    </row>
    <row r="24" spans="1:21" x14ac:dyDescent="0.25">
      <c r="A24" s="10" t="s">
        <v>19</v>
      </c>
      <c r="B24" s="10" t="s">
        <v>60</v>
      </c>
      <c r="C24" s="10" t="s">
        <v>185</v>
      </c>
      <c r="D24" s="10" t="s">
        <v>186</v>
      </c>
      <c r="E24" s="10" t="s">
        <v>187</v>
      </c>
      <c r="F24" s="10" t="s">
        <v>188</v>
      </c>
      <c r="G24" s="10" t="s">
        <v>65</v>
      </c>
      <c r="H24" s="10" t="s">
        <v>189</v>
      </c>
      <c r="I24" s="10" t="s">
        <v>80</v>
      </c>
      <c r="J24" s="10" t="s">
        <v>190</v>
      </c>
      <c r="K24" s="10" t="s">
        <v>130</v>
      </c>
      <c r="L24" s="10" t="s">
        <v>83</v>
      </c>
      <c r="M24" s="12">
        <v>59.16</v>
      </c>
      <c r="N24" s="10" t="s">
        <v>70</v>
      </c>
      <c r="O24" s="10" t="s">
        <v>158</v>
      </c>
      <c r="P24" s="10" t="s">
        <v>72</v>
      </c>
      <c r="Q24" s="12">
        <v>62.12</v>
      </c>
      <c r="R24" s="10" t="s">
        <v>73</v>
      </c>
      <c r="S24" s="10" t="s">
        <v>0</v>
      </c>
      <c r="T24" s="10" t="s">
        <v>0</v>
      </c>
      <c r="U24" s="10" t="s">
        <v>191</v>
      </c>
    </row>
    <row r="25" spans="1:21" x14ac:dyDescent="0.25">
      <c r="A25" s="9" t="s">
        <v>19</v>
      </c>
      <c r="B25" s="9" t="s">
        <v>60</v>
      </c>
      <c r="C25" s="9" t="s">
        <v>192</v>
      </c>
      <c r="D25" s="9" t="s">
        <v>193</v>
      </c>
      <c r="E25" s="9" t="s">
        <v>194</v>
      </c>
      <c r="F25" s="9" t="s">
        <v>195</v>
      </c>
      <c r="G25" s="9" t="s">
        <v>65</v>
      </c>
      <c r="H25" s="9" t="s">
        <v>92</v>
      </c>
      <c r="I25" s="9" t="s">
        <v>196</v>
      </c>
      <c r="J25" s="9" t="s">
        <v>142</v>
      </c>
      <c r="K25" s="9" t="s">
        <v>197</v>
      </c>
      <c r="L25" s="9" t="s">
        <v>198</v>
      </c>
      <c r="M25" s="11">
        <v>68.790000000000006</v>
      </c>
      <c r="N25" s="9" t="s">
        <v>70</v>
      </c>
      <c r="O25" s="9" t="s">
        <v>71</v>
      </c>
      <c r="P25" s="9" t="s">
        <v>72</v>
      </c>
      <c r="Q25" s="11">
        <v>39.21</v>
      </c>
      <c r="R25" s="9" t="s">
        <v>73</v>
      </c>
      <c r="S25" s="9" t="s">
        <v>0</v>
      </c>
      <c r="T25" s="9" t="s">
        <v>0</v>
      </c>
      <c r="U25" s="9" t="s">
        <v>143</v>
      </c>
    </row>
    <row r="26" spans="1:21" x14ac:dyDescent="0.25">
      <c r="A26" s="10" t="s">
        <v>19</v>
      </c>
      <c r="B26" s="10" t="s">
        <v>60</v>
      </c>
      <c r="C26" s="10" t="s">
        <v>86</v>
      </c>
      <c r="D26" s="10" t="s">
        <v>87</v>
      </c>
      <c r="E26" s="10" t="s">
        <v>199</v>
      </c>
      <c r="F26" s="10" t="s">
        <v>200</v>
      </c>
      <c r="G26" s="10" t="s">
        <v>65</v>
      </c>
      <c r="H26" s="10" t="s">
        <v>201</v>
      </c>
      <c r="I26" s="10" t="s">
        <v>80</v>
      </c>
      <c r="J26" s="10" t="s">
        <v>122</v>
      </c>
      <c r="K26" s="10" t="s">
        <v>201</v>
      </c>
      <c r="L26" s="10" t="s">
        <v>202</v>
      </c>
      <c r="M26" s="12">
        <v>150.86000000000001</v>
      </c>
      <c r="N26" s="10" t="s">
        <v>70</v>
      </c>
      <c r="O26" s="10" t="s">
        <v>158</v>
      </c>
      <c r="P26" s="10" t="s">
        <v>72</v>
      </c>
      <c r="Q26" s="12">
        <v>158.4</v>
      </c>
      <c r="R26" s="10" t="s">
        <v>73</v>
      </c>
      <c r="S26" s="10" t="s">
        <v>0</v>
      </c>
      <c r="T26" s="10" t="s">
        <v>0</v>
      </c>
      <c r="U26" s="10" t="s">
        <v>125</v>
      </c>
    </row>
    <row r="27" spans="1:21" x14ac:dyDescent="0.25">
      <c r="A27" s="9" t="s">
        <v>19</v>
      </c>
      <c r="B27" s="9" t="s">
        <v>60</v>
      </c>
      <c r="C27" s="9" t="s">
        <v>61</v>
      </c>
      <c r="D27" s="9" t="s">
        <v>62</v>
      </c>
      <c r="E27" s="9" t="s">
        <v>203</v>
      </c>
      <c r="F27" s="9" t="s">
        <v>204</v>
      </c>
      <c r="G27" s="9" t="s">
        <v>135</v>
      </c>
      <c r="H27" s="9" t="s">
        <v>205</v>
      </c>
      <c r="I27" s="9" t="s">
        <v>67</v>
      </c>
      <c r="J27" s="9" t="s">
        <v>68</v>
      </c>
      <c r="K27" s="9" t="s">
        <v>206</v>
      </c>
      <c r="L27" s="9" t="s">
        <v>170</v>
      </c>
      <c r="M27" s="11">
        <v>32.130000000000003</v>
      </c>
      <c r="N27" s="9" t="s">
        <v>70</v>
      </c>
      <c r="O27" s="9" t="s">
        <v>137</v>
      </c>
      <c r="P27" s="9" t="s">
        <v>72</v>
      </c>
      <c r="Q27" s="11">
        <v>1.1200000000000001</v>
      </c>
      <c r="R27" s="9" t="s">
        <v>73</v>
      </c>
      <c r="S27" s="9" t="s">
        <v>0</v>
      </c>
      <c r="T27" s="9" t="s">
        <v>0</v>
      </c>
      <c r="U27" s="9" t="s">
        <v>74</v>
      </c>
    </row>
    <row r="28" spans="1:21" x14ac:dyDescent="0.25">
      <c r="A28" s="10" t="s">
        <v>19</v>
      </c>
      <c r="B28" s="10" t="s">
        <v>60</v>
      </c>
      <c r="C28" s="10" t="s">
        <v>150</v>
      </c>
      <c r="D28" s="10" t="s">
        <v>151</v>
      </c>
      <c r="E28" s="10" t="s">
        <v>207</v>
      </c>
      <c r="F28" s="10" t="s">
        <v>208</v>
      </c>
      <c r="G28" s="10" t="s">
        <v>65</v>
      </c>
      <c r="H28" s="10" t="s">
        <v>90</v>
      </c>
      <c r="I28" s="10" t="s">
        <v>149</v>
      </c>
      <c r="J28" s="10" t="s">
        <v>156</v>
      </c>
      <c r="K28" s="10" t="s">
        <v>197</v>
      </c>
      <c r="L28" s="10" t="s">
        <v>198</v>
      </c>
      <c r="M28" s="12">
        <v>42.4</v>
      </c>
      <c r="N28" s="10" t="s">
        <v>70</v>
      </c>
      <c r="O28" s="10" t="s">
        <v>209</v>
      </c>
      <c r="P28" s="10" t="s">
        <v>72</v>
      </c>
      <c r="Q28" s="12">
        <v>42.4</v>
      </c>
      <c r="R28" s="10" t="s">
        <v>73</v>
      </c>
      <c r="S28" s="10" t="s">
        <v>0</v>
      </c>
      <c r="T28" s="10" t="s">
        <v>0</v>
      </c>
      <c r="U28" s="10" t="s">
        <v>159</v>
      </c>
    </row>
    <row r="29" spans="1:21" x14ac:dyDescent="0.25">
      <c r="A29" s="9" t="s">
        <v>19</v>
      </c>
      <c r="B29" s="9" t="s">
        <v>60</v>
      </c>
      <c r="C29" s="9" t="s">
        <v>86</v>
      </c>
      <c r="D29" s="9" t="s">
        <v>87</v>
      </c>
      <c r="E29" s="9" t="s">
        <v>210</v>
      </c>
      <c r="F29" s="9" t="s">
        <v>211</v>
      </c>
      <c r="G29" s="9" t="s">
        <v>65</v>
      </c>
      <c r="H29" s="9" t="s">
        <v>212</v>
      </c>
      <c r="I29" s="9" t="s">
        <v>213</v>
      </c>
      <c r="J29" s="9" t="s">
        <v>214</v>
      </c>
      <c r="K29" s="9" t="s">
        <v>164</v>
      </c>
      <c r="L29" s="9" t="s">
        <v>83</v>
      </c>
      <c r="M29" s="11">
        <v>27.62</v>
      </c>
      <c r="N29" s="9" t="s">
        <v>70</v>
      </c>
      <c r="O29" s="9" t="s">
        <v>71</v>
      </c>
      <c r="P29" s="9" t="s">
        <v>72</v>
      </c>
      <c r="Q29" s="11">
        <v>15.74</v>
      </c>
      <c r="R29" s="9" t="s">
        <v>73</v>
      </c>
      <c r="S29" s="9" t="s">
        <v>0</v>
      </c>
      <c r="T29" s="9" t="s">
        <v>0</v>
      </c>
      <c r="U29" s="9" t="s">
        <v>215</v>
      </c>
    </row>
    <row r="30" spans="1:21" x14ac:dyDescent="0.25">
      <c r="A30" s="10" t="s">
        <v>19</v>
      </c>
      <c r="B30" s="10" t="s">
        <v>60</v>
      </c>
      <c r="C30" s="10" t="s">
        <v>150</v>
      </c>
      <c r="D30" s="10" t="s">
        <v>151</v>
      </c>
      <c r="E30" s="10" t="s">
        <v>160</v>
      </c>
      <c r="F30" s="10" t="s">
        <v>216</v>
      </c>
      <c r="G30" s="10" t="s">
        <v>65</v>
      </c>
      <c r="H30" s="10" t="s">
        <v>162</v>
      </c>
      <c r="I30" s="10" t="s">
        <v>149</v>
      </c>
      <c r="J30" s="10" t="s">
        <v>122</v>
      </c>
      <c r="K30" s="10" t="s">
        <v>164</v>
      </c>
      <c r="L30" s="10" t="s">
        <v>83</v>
      </c>
      <c r="M30" s="12">
        <v>48.45</v>
      </c>
      <c r="N30" s="10" t="s">
        <v>70</v>
      </c>
      <c r="O30" s="10" t="s">
        <v>209</v>
      </c>
      <c r="P30" s="10" t="s">
        <v>72</v>
      </c>
      <c r="Q30" s="12">
        <v>48.45</v>
      </c>
      <c r="R30" s="10" t="s">
        <v>73</v>
      </c>
      <c r="S30" s="10" t="s">
        <v>0</v>
      </c>
      <c r="T30" s="10" t="s">
        <v>0</v>
      </c>
      <c r="U30" s="10" t="s">
        <v>125</v>
      </c>
    </row>
    <row r="31" spans="1:21" x14ac:dyDescent="0.25">
      <c r="A31" s="9" t="s">
        <v>19</v>
      </c>
      <c r="B31" s="9" t="s">
        <v>60</v>
      </c>
      <c r="C31" s="9" t="s">
        <v>177</v>
      </c>
      <c r="D31" s="9" t="s">
        <v>178</v>
      </c>
      <c r="E31" s="9" t="s">
        <v>217</v>
      </c>
      <c r="F31" s="9" t="s">
        <v>218</v>
      </c>
      <c r="G31" s="9" t="s">
        <v>135</v>
      </c>
      <c r="H31" s="9" t="s">
        <v>219</v>
      </c>
      <c r="I31" s="9" t="s">
        <v>149</v>
      </c>
      <c r="J31" s="9" t="s">
        <v>122</v>
      </c>
      <c r="K31" s="9" t="s">
        <v>220</v>
      </c>
      <c r="L31" s="9" t="s">
        <v>221</v>
      </c>
      <c r="M31" s="11">
        <v>45.62</v>
      </c>
      <c r="N31" s="9" t="s">
        <v>70</v>
      </c>
      <c r="O31" s="9" t="s">
        <v>183</v>
      </c>
      <c r="P31" s="9" t="s">
        <v>72</v>
      </c>
      <c r="Q31" s="11">
        <v>3.42</v>
      </c>
      <c r="R31" s="9" t="s">
        <v>73</v>
      </c>
      <c r="S31" s="9" t="s">
        <v>0</v>
      </c>
      <c r="T31" s="9" t="s">
        <v>0</v>
      </c>
      <c r="U31" s="9" t="s">
        <v>125</v>
      </c>
    </row>
    <row r="32" spans="1:21" x14ac:dyDescent="0.25">
      <c r="A32" s="10" t="s">
        <v>19</v>
      </c>
      <c r="B32" s="10" t="s">
        <v>60</v>
      </c>
      <c r="C32" s="10" t="s">
        <v>61</v>
      </c>
      <c r="D32" s="10" t="s">
        <v>62</v>
      </c>
      <c r="E32" s="10" t="s">
        <v>222</v>
      </c>
      <c r="F32" s="10" t="s">
        <v>223</v>
      </c>
      <c r="G32" s="10" t="s">
        <v>135</v>
      </c>
      <c r="H32" s="10" t="s">
        <v>224</v>
      </c>
      <c r="I32" s="10" t="s">
        <v>67</v>
      </c>
      <c r="J32" s="10" t="s">
        <v>106</v>
      </c>
      <c r="K32" s="10" t="s">
        <v>225</v>
      </c>
      <c r="L32" s="10" t="s">
        <v>198</v>
      </c>
      <c r="M32" s="12">
        <v>12.47</v>
      </c>
      <c r="N32" s="10" t="s">
        <v>70</v>
      </c>
      <c r="O32" s="10" t="s">
        <v>226</v>
      </c>
      <c r="P32" s="10" t="s">
        <v>72</v>
      </c>
      <c r="Q32" s="12">
        <v>1.37</v>
      </c>
      <c r="R32" s="10" t="s">
        <v>73</v>
      </c>
      <c r="S32" s="10" t="s">
        <v>0</v>
      </c>
      <c r="T32" s="10" t="s">
        <v>0</v>
      </c>
      <c r="U32" s="10" t="s">
        <v>108</v>
      </c>
    </row>
    <row r="33" spans="1:21" x14ac:dyDescent="0.25">
      <c r="A33" s="9" t="s">
        <v>19</v>
      </c>
      <c r="B33" s="9" t="s">
        <v>60</v>
      </c>
      <c r="C33" s="9" t="s">
        <v>61</v>
      </c>
      <c r="D33" s="9" t="s">
        <v>62</v>
      </c>
      <c r="E33" s="9" t="s">
        <v>222</v>
      </c>
      <c r="F33" s="9" t="s">
        <v>223</v>
      </c>
      <c r="G33" s="9" t="s">
        <v>135</v>
      </c>
      <c r="H33" s="9" t="s">
        <v>224</v>
      </c>
      <c r="I33" s="9" t="s">
        <v>67</v>
      </c>
      <c r="J33" s="9" t="s">
        <v>106</v>
      </c>
      <c r="K33" s="9" t="s">
        <v>225</v>
      </c>
      <c r="L33" s="9" t="s">
        <v>198</v>
      </c>
      <c r="M33" s="11">
        <v>19.7</v>
      </c>
      <c r="N33" s="9" t="s">
        <v>70</v>
      </c>
      <c r="O33" s="9" t="s">
        <v>226</v>
      </c>
      <c r="P33" s="9" t="s">
        <v>72</v>
      </c>
      <c r="Q33" s="11">
        <v>2.17</v>
      </c>
      <c r="R33" s="9" t="s">
        <v>73</v>
      </c>
      <c r="S33" s="9" t="s">
        <v>0</v>
      </c>
      <c r="T33" s="9" t="s">
        <v>0</v>
      </c>
      <c r="U33" s="9" t="s">
        <v>108</v>
      </c>
    </row>
    <row r="34" spans="1:21" x14ac:dyDescent="0.25">
      <c r="A34" s="10" t="s">
        <v>19</v>
      </c>
      <c r="B34" s="10" t="s">
        <v>60</v>
      </c>
      <c r="C34" s="10" t="s">
        <v>61</v>
      </c>
      <c r="D34" s="10" t="s">
        <v>62</v>
      </c>
      <c r="E34" s="10" t="s">
        <v>222</v>
      </c>
      <c r="F34" s="10" t="s">
        <v>227</v>
      </c>
      <c r="G34" s="10" t="s">
        <v>135</v>
      </c>
      <c r="H34" s="10" t="s">
        <v>224</v>
      </c>
      <c r="I34" s="10" t="s">
        <v>67</v>
      </c>
      <c r="J34" s="10" t="s">
        <v>68</v>
      </c>
      <c r="K34" s="10" t="s">
        <v>225</v>
      </c>
      <c r="L34" s="10" t="s">
        <v>198</v>
      </c>
      <c r="M34" s="12">
        <v>27.63</v>
      </c>
      <c r="N34" s="10" t="s">
        <v>70</v>
      </c>
      <c r="O34" s="10" t="s">
        <v>137</v>
      </c>
      <c r="P34" s="10" t="s">
        <v>72</v>
      </c>
      <c r="Q34" s="12">
        <v>0.97</v>
      </c>
      <c r="R34" s="10" t="s">
        <v>73</v>
      </c>
      <c r="S34" s="10" t="s">
        <v>0</v>
      </c>
      <c r="T34" s="10" t="s">
        <v>0</v>
      </c>
      <c r="U34" s="10" t="s">
        <v>74</v>
      </c>
    </row>
    <row r="35" spans="1:21" x14ac:dyDescent="0.25">
      <c r="A35" s="9" t="s">
        <v>19</v>
      </c>
      <c r="B35" s="9" t="s">
        <v>60</v>
      </c>
      <c r="C35" s="9" t="s">
        <v>150</v>
      </c>
      <c r="D35" s="9" t="s">
        <v>151</v>
      </c>
      <c r="E35" s="9" t="s">
        <v>228</v>
      </c>
      <c r="F35" s="9" t="s">
        <v>229</v>
      </c>
      <c r="G35" s="9" t="s">
        <v>65</v>
      </c>
      <c r="H35" s="9" t="s">
        <v>230</v>
      </c>
      <c r="I35" s="9" t="s">
        <v>149</v>
      </c>
      <c r="J35" s="9" t="s">
        <v>163</v>
      </c>
      <c r="K35" s="9" t="s">
        <v>231</v>
      </c>
      <c r="L35" s="9" t="s">
        <v>232</v>
      </c>
      <c r="M35" s="11">
        <v>10.5</v>
      </c>
      <c r="N35" s="9" t="s">
        <v>70</v>
      </c>
      <c r="O35" s="9" t="s">
        <v>84</v>
      </c>
      <c r="P35" s="9" t="s">
        <v>72</v>
      </c>
      <c r="Q35" s="11">
        <v>6.56</v>
      </c>
      <c r="R35" s="9" t="s">
        <v>73</v>
      </c>
      <c r="S35" s="9" t="s">
        <v>0</v>
      </c>
      <c r="T35" s="9" t="s">
        <v>0</v>
      </c>
      <c r="U35" s="9" t="s">
        <v>165</v>
      </c>
    </row>
    <row r="36" spans="1:21" x14ac:dyDescent="0.25">
      <c r="A36" s="10" t="s">
        <v>19</v>
      </c>
      <c r="B36" s="10" t="s">
        <v>60</v>
      </c>
      <c r="C36" s="10" t="s">
        <v>150</v>
      </c>
      <c r="D36" s="10" t="s">
        <v>151</v>
      </c>
      <c r="E36" s="10" t="s">
        <v>228</v>
      </c>
      <c r="F36" s="10" t="s">
        <v>229</v>
      </c>
      <c r="G36" s="10" t="s">
        <v>65</v>
      </c>
      <c r="H36" s="10" t="s">
        <v>230</v>
      </c>
      <c r="I36" s="10" t="s">
        <v>149</v>
      </c>
      <c r="J36" s="10" t="s">
        <v>163</v>
      </c>
      <c r="K36" s="10" t="s">
        <v>231</v>
      </c>
      <c r="L36" s="10" t="s">
        <v>232</v>
      </c>
      <c r="M36" s="12">
        <v>46.67</v>
      </c>
      <c r="N36" s="10" t="s">
        <v>70</v>
      </c>
      <c r="O36" s="10" t="s">
        <v>84</v>
      </c>
      <c r="P36" s="10" t="s">
        <v>72</v>
      </c>
      <c r="Q36" s="12">
        <v>29.17</v>
      </c>
      <c r="R36" s="10" t="s">
        <v>73</v>
      </c>
      <c r="S36" s="10" t="s">
        <v>0</v>
      </c>
      <c r="T36" s="10" t="s">
        <v>0</v>
      </c>
      <c r="U36" s="10" t="s">
        <v>165</v>
      </c>
    </row>
    <row r="37" spans="1:21" x14ac:dyDescent="0.25">
      <c r="A37" s="9" t="s">
        <v>19</v>
      </c>
      <c r="B37" s="9" t="s">
        <v>60</v>
      </c>
      <c r="C37" s="9" t="s">
        <v>150</v>
      </c>
      <c r="D37" s="9" t="s">
        <v>151</v>
      </c>
      <c r="E37" s="9" t="s">
        <v>228</v>
      </c>
      <c r="F37" s="9" t="s">
        <v>229</v>
      </c>
      <c r="G37" s="9" t="s">
        <v>65</v>
      </c>
      <c r="H37" s="9" t="s">
        <v>230</v>
      </c>
      <c r="I37" s="9" t="s">
        <v>149</v>
      </c>
      <c r="J37" s="9" t="s">
        <v>163</v>
      </c>
      <c r="K37" s="9" t="s">
        <v>231</v>
      </c>
      <c r="L37" s="9" t="s">
        <v>232</v>
      </c>
      <c r="M37" s="11">
        <v>1.04</v>
      </c>
      <c r="N37" s="9" t="s">
        <v>70</v>
      </c>
      <c r="O37" s="9" t="s">
        <v>84</v>
      </c>
      <c r="P37" s="9" t="s">
        <v>72</v>
      </c>
      <c r="Q37" s="11">
        <v>0.65</v>
      </c>
      <c r="R37" s="9" t="s">
        <v>73</v>
      </c>
      <c r="S37" s="9" t="s">
        <v>0</v>
      </c>
      <c r="T37" s="9" t="s">
        <v>0</v>
      </c>
      <c r="U37" s="9" t="s">
        <v>165</v>
      </c>
    </row>
    <row r="38" spans="1:21" x14ac:dyDescent="0.25">
      <c r="A38" s="10" t="s">
        <v>19</v>
      </c>
      <c r="B38" s="10" t="s">
        <v>60</v>
      </c>
      <c r="C38" s="10" t="s">
        <v>233</v>
      </c>
      <c r="D38" s="10" t="s">
        <v>234</v>
      </c>
      <c r="E38" s="10" t="s">
        <v>235</v>
      </c>
      <c r="F38" s="10" t="s">
        <v>236</v>
      </c>
      <c r="G38" s="10" t="s">
        <v>65</v>
      </c>
      <c r="H38" s="10" t="s">
        <v>237</v>
      </c>
      <c r="I38" s="10" t="s">
        <v>67</v>
      </c>
      <c r="J38" s="10" t="s">
        <v>190</v>
      </c>
      <c r="K38" s="10" t="s">
        <v>82</v>
      </c>
      <c r="L38" s="10" t="s">
        <v>83</v>
      </c>
      <c r="M38" s="12">
        <v>111.58</v>
      </c>
      <c r="N38" s="10" t="s">
        <v>70</v>
      </c>
      <c r="O38" s="10" t="s">
        <v>238</v>
      </c>
      <c r="P38" s="10" t="s">
        <v>72</v>
      </c>
      <c r="Q38" s="12">
        <v>101.54</v>
      </c>
      <c r="R38" s="10" t="s">
        <v>73</v>
      </c>
      <c r="S38" s="10" t="s">
        <v>0</v>
      </c>
      <c r="T38" s="10" t="s">
        <v>0</v>
      </c>
      <c r="U38" s="10" t="s">
        <v>191</v>
      </c>
    </row>
    <row r="39" spans="1:21" x14ac:dyDescent="0.25">
      <c r="A39" s="9" t="s">
        <v>19</v>
      </c>
      <c r="B39" s="9" t="s">
        <v>60</v>
      </c>
      <c r="C39" s="9" t="s">
        <v>239</v>
      </c>
      <c r="D39" s="9" t="s">
        <v>240</v>
      </c>
      <c r="E39" s="9" t="s">
        <v>241</v>
      </c>
      <c r="F39" s="9" t="s">
        <v>242</v>
      </c>
      <c r="G39" s="9" t="s">
        <v>65</v>
      </c>
      <c r="H39" s="9" t="s">
        <v>243</v>
      </c>
      <c r="I39" s="9" t="s">
        <v>80</v>
      </c>
      <c r="J39" s="9" t="s">
        <v>190</v>
      </c>
      <c r="K39" s="9" t="s">
        <v>100</v>
      </c>
      <c r="L39" s="9" t="s">
        <v>83</v>
      </c>
      <c r="M39" s="11">
        <v>88.75</v>
      </c>
      <c r="N39" s="9" t="s">
        <v>70</v>
      </c>
      <c r="O39" s="9" t="s">
        <v>209</v>
      </c>
      <c r="P39" s="9" t="s">
        <v>72</v>
      </c>
      <c r="Q39" s="11">
        <v>88.75</v>
      </c>
      <c r="R39" s="9" t="s">
        <v>73</v>
      </c>
      <c r="S39" s="9" t="s">
        <v>0</v>
      </c>
      <c r="T39" s="9" t="s">
        <v>0</v>
      </c>
      <c r="U39" s="9" t="s">
        <v>191</v>
      </c>
    </row>
    <row r="40" spans="1:21" x14ac:dyDescent="0.25">
      <c r="A40" s="10" t="s">
        <v>19</v>
      </c>
      <c r="B40" s="10" t="s">
        <v>60</v>
      </c>
      <c r="C40" s="10" t="s">
        <v>244</v>
      </c>
      <c r="D40" s="10" t="s">
        <v>245</v>
      </c>
      <c r="E40" s="10" t="s">
        <v>246</v>
      </c>
      <c r="F40" s="10" t="s">
        <v>247</v>
      </c>
      <c r="G40" s="10" t="s">
        <v>65</v>
      </c>
      <c r="H40" s="10" t="s">
        <v>243</v>
      </c>
      <c r="I40" s="10" t="s">
        <v>67</v>
      </c>
      <c r="J40" s="10" t="s">
        <v>106</v>
      </c>
      <c r="K40" s="10" t="s">
        <v>98</v>
      </c>
      <c r="L40" s="10" t="s">
        <v>170</v>
      </c>
      <c r="M40" s="12">
        <v>20.62</v>
      </c>
      <c r="N40" s="10" t="s">
        <v>70</v>
      </c>
      <c r="O40" s="10" t="s">
        <v>110</v>
      </c>
      <c r="P40" s="10" t="s">
        <v>72</v>
      </c>
      <c r="Q40" s="12">
        <v>11.96</v>
      </c>
      <c r="R40" s="10" t="s">
        <v>73</v>
      </c>
      <c r="S40" s="10" t="s">
        <v>0</v>
      </c>
      <c r="T40" s="10" t="s">
        <v>0</v>
      </c>
      <c r="U40" s="10" t="s">
        <v>108</v>
      </c>
    </row>
    <row r="41" spans="1:21" x14ac:dyDescent="0.25">
      <c r="A41" s="9" t="s">
        <v>19</v>
      </c>
      <c r="B41" s="9" t="s">
        <v>60</v>
      </c>
      <c r="C41" s="9" t="s">
        <v>248</v>
      </c>
      <c r="D41" s="9" t="s">
        <v>249</v>
      </c>
      <c r="E41" s="9" t="s">
        <v>250</v>
      </c>
      <c r="F41" s="9" t="s">
        <v>251</v>
      </c>
      <c r="G41" s="9" t="s">
        <v>252</v>
      </c>
      <c r="H41" s="9" t="s">
        <v>221</v>
      </c>
      <c r="I41" s="9" t="s">
        <v>253</v>
      </c>
      <c r="J41" s="9" t="s">
        <v>122</v>
      </c>
      <c r="K41" s="9" t="s">
        <v>117</v>
      </c>
      <c r="L41" s="9" t="s">
        <v>117</v>
      </c>
      <c r="M41" s="11">
        <v>50.8</v>
      </c>
      <c r="N41" s="9" t="s">
        <v>70</v>
      </c>
      <c r="O41" s="9" t="s">
        <v>209</v>
      </c>
      <c r="P41" s="9" t="s">
        <v>72</v>
      </c>
      <c r="Q41" s="11">
        <v>50.8</v>
      </c>
      <c r="R41" s="9" t="s">
        <v>73</v>
      </c>
      <c r="S41" s="9" t="s">
        <v>0</v>
      </c>
      <c r="T41" s="9" t="s">
        <v>0</v>
      </c>
      <c r="U41" s="9" t="s">
        <v>125</v>
      </c>
    </row>
    <row r="42" spans="1:21" x14ac:dyDescent="0.25">
      <c r="A42" s="10" t="s">
        <v>19</v>
      </c>
      <c r="B42" s="10" t="s">
        <v>60</v>
      </c>
      <c r="C42" s="10" t="s">
        <v>177</v>
      </c>
      <c r="D42" s="10" t="s">
        <v>178</v>
      </c>
      <c r="E42" s="10" t="s">
        <v>254</v>
      </c>
      <c r="F42" s="10" t="s">
        <v>255</v>
      </c>
      <c r="G42" s="10" t="s">
        <v>135</v>
      </c>
      <c r="H42" s="10" t="s">
        <v>256</v>
      </c>
      <c r="I42" s="10" t="s">
        <v>149</v>
      </c>
      <c r="J42" s="10" t="s">
        <v>156</v>
      </c>
      <c r="K42" s="10" t="s">
        <v>257</v>
      </c>
      <c r="L42" s="10" t="s">
        <v>83</v>
      </c>
      <c r="M42" s="12">
        <v>51.85</v>
      </c>
      <c r="N42" s="10" t="s">
        <v>70</v>
      </c>
      <c r="O42" s="10" t="s">
        <v>183</v>
      </c>
      <c r="P42" s="10" t="s">
        <v>72</v>
      </c>
      <c r="Q42" s="12">
        <v>3.89</v>
      </c>
      <c r="R42" s="10" t="s">
        <v>73</v>
      </c>
      <c r="S42" s="10" t="s">
        <v>0</v>
      </c>
      <c r="T42" s="10" t="s">
        <v>0</v>
      </c>
      <c r="U42" s="10" t="s">
        <v>159</v>
      </c>
    </row>
    <row r="43" spans="1:21" x14ac:dyDescent="0.25">
      <c r="A43" s="9" t="s">
        <v>18</v>
      </c>
      <c r="B43" s="9" t="s">
        <v>60</v>
      </c>
      <c r="C43" s="9" t="s">
        <v>150</v>
      </c>
      <c r="D43" s="9" t="s">
        <v>151</v>
      </c>
      <c r="E43" s="9" t="s">
        <v>258</v>
      </c>
      <c r="F43" s="9" t="s">
        <v>259</v>
      </c>
      <c r="G43" s="9" t="s">
        <v>65</v>
      </c>
      <c r="H43" s="9" t="s">
        <v>260</v>
      </c>
      <c r="I43" s="9" t="s">
        <v>149</v>
      </c>
      <c r="J43" s="9" t="s">
        <v>129</v>
      </c>
      <c r="K43" s="9" t="s">
        <v>100</v>
      </c>
      <c r="L43" s="9" t="s">
        <v>83</v>
      </c>
      <c r="M43" s="11">
        <v>168.35</v>
      </c>
      <c r="N43" s="9" t="s">
        <v>70</v>
      </c>
      <c r="O43" s="9" t="s">
        <v>261</v>
      </c>
      <c r="P43" s="9" t="s">
        <v>72</v>
      </c>
      <c r="Q43" s="11">
        <v>50.51</v>
      </c>
      <c r="R43" s="9" t="s">
        <v>73</v>
      </c>
      <c r="S43" s="9" t="s">
        <v>0</v>
      </c>
      <c r="T43" s="9" t="s">
        <v>0</v>
      </c>
      <c r="U43" s="9" t="s">
        <v>132</v>
      </c>
    </row>
    <row r="44" spans="1:21" x14ac:dyDescent="0.25">
      <c r="A44" s="10" t="s">
        <v>19</v>
      </c>
      <c r="B44" s="10" t="s">
        <v>60</v>
      </c>
      <c r="C44" s="10" t="s">
        <v>244</v>
      </c>
      <c r="D44" s="10" t="s">
        <v>245</v>
      </c>
      <c r="E44" s="10" t="s">
        <v>246</v>
      </c>
      <c r="F44" s="10" t="s">
        <v>247</v>
      </c>
      <c r="G44" s="10" t="s">
        <v>65</v>
      </c>
      <c r="H44" s="10" t="s">
        <v>243</v>
      </c>
      <c r="I44" s="10" t="s">
        <v>67</v>
      </c>
      <c r="J44" s="10" t="s">
        <v>106</v>
      </c>
      <c r="K44" s="10" t="s">
        <v>98</v>
      </c>
      <c r="L44" s="10" t="s">
        <v>170</v>
      </c>
      <c r="M44" s="12">
        <v>59.25</v>
      </c>
      <c r="N44" s="10" t="s">
        <v>70</v>
      </c>
      <c r="O44" s="10" t="s">
        <v>110</v>
      </c>
      <c r="P44" s="10" t="s">
        <v>72</v>
      </c>
      <c r="Q44" s="12">
        <v>34.369999999999997</v>
      </c>
      <c r="R44" s="10" t="s">
        <v>73</v>
      </c>
      <c r="S44" s="10" t="s">
        <v>0</v>
      </c>
      <c r="T44" s="10" t="s">
        <v>0</v>
      </c>
      <c r="U44" s="10" t="s">
        <v>108</v>
      </c>
    </row>
    <row r="45" spans="1:21" x14ac:dyDescent="0.25">
      <c r="A45" s="9" t="s">
        <v>19</v>
      </c>
      <c r="B45" s="9" t="s">
        <v>60</v>
      </c>
      <c r="C45" s="9" t="s">
        <v>244</v>
      </c>
      <c r="D45" s="9" t="s">
        <v>245</v>
      </c>
      <c r="E45" s="9" t="s">
        <v>246</v>
      </c>
      <c r="F45" s="9" t="s">
        <v>262</v>
      </c>
      <c r="G45" s="9" t="s">
        <v>65</v>
      </c>
      <c r="H45" s="9" t="s">
        <v>243</v>
      </c>
      <c r="I45" s="9" t="s">
        <v>67</v>
      </c>
      <c r="J45" s="9" t="s">
        <v>263</v>
      </c>
      <c r="K45" s="9" t="s">
        <v>98</v>
      </c>
      <c r="L45" s="9" t="s">
        <v>170</v>
      </c>
      <c r="M45" s="11">
        <v>156.49</v>
      </c>
      <c r="N45" s="9" t="s">
        <v>70</v>
      </c>
      <c r="O45" s="9" t="s">
        <v>238</v>
      </c>
      <c r="P45" s="9" t="s">
        <v>72</v>
      </c>
      <c r="Q45" s="11">
        <v>142.41</v>
      </c>
      <c r="R45" s="9" t="s">
        <v>73</v>
      </c>
      <c r="S45" s="9" t="s">
        <v>0</v>
      </c>
      <c r="T45" s="9" t="s">
        <v>0</v>
      </c>
      <c r="U45" s="9" t="s">
        <v>264</v>
      </c>
    </row>
    <row r="46" spans="1:21" x14ac:dyDescent="0.25">
      <c r="A46" s="10" t="s">
        <v>19</v>
      </c>
      <c r="B46" s="10" t="s">
        <v>60</v>
      </c>
      <c r="C46" s="10" t="s">
        <v>265</v>
      </c>
      <c r="D46" s="10" t="s">
        <v>266</v>
      </c>
      <c r="E46" s="10" t="s">
        <v>267</v>
      </c>
      <c r="F46" s="10" t="s">
        <v>268</v>
      </c>
      <c r="G46" s="10" t="s">
        <v>65</v>
      </c>
      <c r="H46" s="10" t="s">
        <v>269</v>
      </c>
      <c r="I46" s="10" t="s">
        <v>80</v>
      </c>
      <c r="J46" s="10" t="s">
        <v>163</v>
      </c>
      <c r="K46" s="10" t="s">
        <v>269</v>
      </c>
      <c r="L46" s="10" t="s">
        <v>270</v>
      </c>
      <c r="M46" s="12">
        <v>18.48</v>
      </c>
      <c r="N46" s="10" t="s">
        <v>70</v>
      </c>
      <c r="O46" s="10" t="s">
        <v>271</v>
      </c>
      <c r="P46" s="10" t="s">
        <v>72</v>
      </c>
      <c r="Q46" s="12">
        <v>12.01</v>
      </c>
      <c r="R46" s="10" t="s">
        <v>73</v>
      </c>
      <c r="S46" s="10" t="s">
        <v>0</v>
      </c>
      <c r="T46" s="10" t="s">
        <v>0</v>
      </c>
      <c r="U46" s="10" t="s">
        <v>165</v>
      </c>
    </row>
    <row r="47" spans="1:21" x14ac:dyDescent="0.25">
      <c r="A47" s="9" t="s">
        <v>19</v>
      </c>
      <c r="B47" s="9" t="s">
        <v>60</v>
      </c>
      <c r="C47" s="9" t="s">
        <v>265</v>
      </c>
      <c r="D47" s="9" t="s">
        <v>266</v>
      </c>
      <c r="E47" s="9" t="s">
        <v>267</v>
      </c>
      <c r="F47" s="9" t="s">
        <v>268</v>
      </c>
      <c r="G47" s="9" t="s">
        <v>65</v>
      </c>
      <c r="H47" s="9" t="s">
        <v>269</v>
      </c>
      <c r="I47" s="9" t="s">
        <v>80</v>
      </c>
      <c r="J47" s="9" t="s">
        <v>163</v>
      </c>
      <c r="K47" s="9" t="s">
        <v>269</v>
      </c>
      <c r="L47" s="9" t="s">
        <v>270</v>
      </c>
      <c r="M47" s="11">
        <v>7.92</v>
      </c>
      <c r="N47" s="9" t="s">
        <v>70</v>
      </c>
      <c r="O47" s="9" t="s">
        <v>271</v>
      </c>
      <c r="P47" s="9" t="s">
        <v>72</v>
      </c>
      <c r="Q47" s="11">
        <v>5.15</v>
      </c>
      <c r="R47" s="9" t="s">
        <v>73</v>
      </c>
      <c r="S47" s="9" t="s">
        <v>0</v>
      </c>
      <c r="T47" s="9" t="s">
        <v>0</v>
      </c>
      <c r="U47" s="9" t="s">
        <v>165</v>
      </c>
    </row>
    <row r="48" spans="1:21" x14ac:dyDescent="0.25">
      <c r="A48" s="10" t="s">
        <v>19</v>
      </c>
      <c r="B48" s="10" t="s">
        <v>60</v>
      </c>
      <c r="C48" s="10" t="s">
        <v>265</v>
      </c>
      <c r="D48" s="10" t="s">
        <v>266</v>
      </c>
      <c r="E48" s="10" t="s">
        <v>267</v>
      </c>
      <c r="F48" s="10" t="s">
        <v>268</v>
      </c>
      <c r="G48" s="10" t="s">
        <v>65</v>
      </c>
      <c r="H48" s="10" t="s">
        <v>269</v>
      </c>
      <c r="I48" s="10" t="s">
        <v>80</v>
      </c>
      <c r="J48" s="10" t="s">
        <v>163</v>
      </c>
      <c r="K48" s="10" t="s">
        <v>269</v>
      </c>
      <c r="L48" s="10" t="s">
        <v>270</v>
      </c>
      <c r="M48" s="12">
        <v>11.88</v>
      </c>
      <c r="N48" s="10" t="s">
        <v>70</v>
      </c>
      <c r="O48" s="10" t="s">
        <v>271</v>
      </c>
      <c r="P48" s="10" t="s">
        <v>72</v>
      </c>
      <c r="Q48" s="12">
        <v>7.72</v>
      </c>
      <c r="R48" s="10" t="s">
        <v>73</v>
      </c>
      <c r="S48" s="10" t="s">
        <v>0</v>
      </c>
      <c r="T48" s="10" t="s">
        <v>0</v>
      </c>
      <c r="U48" s="10" t="s">
        <v>165</v>
      </c>
    </row>
    <row r="49" spans="1:21" x14ac:dyDescent="0.25">
      <c r="A49" s="9" t="s">
        <v>19</v>
      </c>
      <c r="B49" s="9" t="s">
        <v>60</v>
      </c>
      <c r="C49" s="9" t="s">
        <v>265</v>
      </c>
      <c r="D49" s="9" t="s">
        <v>266</v>
      </c>
      <c r="E49" s="9" t="s">
        <v>267</v>
      </c>
      <c r="F49" s="9" t="s">
        <v>268</v>
      </c>
      <c r="G49" s="9" t="s">
        <v>65</v>
      </c>
      <c r="H49" s="9" t="s">
        <v>269</v>
      </c>
      <c r="I49" s="9" t="s">
        <v>80</v>
      </c>
      <c r="J49" s="9" t="s">
        <v>163</v>
      </c>
      <c r="K49" s="9" t="s">
        <v>269</v>
      </c>
      <c r="L49" s="9" t="s">
        <v>270</v>
      </c>
      <c r="M49" s="11">
        <v>22.33</v>
      </c>
      <c r="N49" s="9" t="s">
        <v>70</v>
      </c>
      <c r="O49" s="9" t="s">
        <v>271</v>
      </c>
      <c r="P49" s="9" t="s">
        <v>72</v>
      </c>
      <c r="Q49" s="11">
        <v>14.51</v>
      </c>
      <c r="R49" s="9" t="s">
        <v>73</v>
      </c>
      <c r="S49" s="9" t="s">
        <v>0</v>
      </c>
      <c r="T49" s="9" t="s">
        <v>0</v>
      </c>
      <c r="U49" s="9" t="s">
        <v>165</v>
      </c>
    </row>
    <row r="50" spans="1:21" x14ac:dyDescent="0.25">
      <c r="A50" s="10" t="s">
        <v>19</v>
      </c>
      <c r="B50" s="10" t="s">
        <v>60</v>
      </c>
      <c r="C50" s="10" t="s">
        <v>61</v>
      </c>
      <c r="D50" s="10" t="s">
        <v>62</v>
      </c>
      <c r="E50" s="10" t="s">
        <v>272</v>
      </c>
      <c r="F50" s="10" t="s">
        <v>273</v>
      </c>
      <c r="G50" s="10" t="s">
        <v>65</v>
      </c>
      <c r="H50" s="10" t="s">
        <v>274</v>
      </c>
      <c r="I50" s="10" t="s">
        <v>67</v>
      </c>
      <c r="J50" s="10" t="s">
        <v>122</v>
      </c>
      <c r="K50" s="10" t="s">
        <v>98</v>
      </c>
      <c r="L50" s="10" t="s">
        <v>170</v>
      </c>
      <c r="M50" s="12">
        <v>30.97</v>
      </c>
      <c r="N50" s="10" t="s">
        <v>70</v>
      </c>
      <c r="O50" s="10" t="s">
        <v>238</v>
      </c>
      <c r="P50" s="10" t="s">
        <v>72</v>
      </c>
      <c r="Q50" s="12">
        <v>28.18</v>
      </c>
      <c r="R50" s="10" t="s">
        <v>73</v>
      </c>
      <c r="S50" s="10" t="s">
        <v>0</v>
      </c>
      <c r="T50" s="10" t="s">
        <v>0</v>
      </c>
      <c r="U50" s="10" t="s">
        <v>125</v>
      </c>
    </row>
    <row r="51" spans="1:21" x14ac:dyDescent="0.25">
      <c r="A51" s="9" t="s">
        <v>19</v>
      </c>
      <c r="B51" s="9" t="s">
        <v>60</v>
      </c>
      <c r="C51" s="9" t="s">
        <v>244</v>
      </c>
      <c r="D51" s="9" t="s">
        <v>245</v>
      </c>
      <c r="E51" s="9" t="s">
        <v>275</v>
      </c>
      <c r="F51" s="9" t="s">
        <v>276</v>
      </c>
      <c r="G51" s="9" t="s">
        <v>65</v>
      </c>
      <c r="H51" s="9" t="s">
        <v>237</v>
      </c>
      <c r="I51" s="9" t="s">
        <v>67</v>
      </c>
      <c r="J51" s="9" t="s">
        <v>68</v>
      </c>
      <c r="K51" s="9" t="s">
        <v>277</v>
      </c>
      <c r="L51" s="9" t="s">
        <v>170</v>
      </c>
      <c r="M51" s="11">
        <v>27.63</v>
      </c>
      <c r="N51" s="9" t="s">
        <v>70</v>
      </c>
      <c r="O51" s="9" t="s">
        <v>71</v>
      </c>
      <c r="P51" s="9" t="s">
        <v>72</v>
      </c>
      <c r="Q51" s="11">
        <v>15.75</v>
      </c>
      <c r="R51" s="9" t="s">
        <v>73</v>
      </c>
      <c r="S51" s="9" t="s">
        <v>0</v>
      </c>
      <c r="T51" s="9" t="s">
        <v>0</v>
      </c>
      <c r="U51" s="9" t="s">
        <v>74</v>
      </c>
    </row>
    <row r="52" spans="1:21" x14ac:dyDescent="0.25">
      <c r="A52" s="10" t="s">
        <v>19</v>
      </c>
      <c r="B52" s="10" t="s">
        <v>60</v>
      </c>
      <c r="C52" s="10" t="s">
        <v>244</v>
      </c>
      <c r="D52" s="10" t="s">
        <v>245</v>
      </c>
      <c r="E52" s="10" t="s">
        <v>278</v>
      </c>
      <c r="F52" s="10" t="s">
        <v>279</v>
      </c>
      <c r="G52" s="10" t="s">
        <v>65</v>
      </c>
      <c r="H52" s="10" t="s">
        <v>243</v>
      </c>
      <c r="I52" s="10" t="s">
        <v>67</v>
      </c>
      <c r="J52" s="10" t="s">
        <v>106</v>
      </c>
      <c r="K52" s="10" t="s">
        <v>98</v>
      </c>
      <c r="L52" s="10" t="s">
        <v>170</v>
      </c>
      <c r="M52" s="12">
        <v>71.08</v>
      </c>
      <c r="N52" s="10" t="s">
        <v>70</v>
      </c>
      <c r="O52" s="10" t="s">
        <v>110</v>
      </c>
      <c r="P52" s="10" t="s">
        <v>72</v>
      </c>
      <c r="Q52" s="12">
        <v>41.23</v>
      </c>
      <c r="R52" s="10" t="s">
        <v>73</v>
      </c>
      <c r="S52" s="10" t="s">
        <v>0</v>
      </c>
      <c r="T52" s="10" t="s">
        <v>0</v>
      </c>
      <c r="U52" s="10" t="s">
        <v>108</v>
      </c>
    </row>
    <row r="53" spans="1:21" x14ac:dyDescent="0.25">
      <c r="A53" s="9" t="s">
        <v>19</v>
      </c>
      <c r="B53" s="9" t="s">
        <v>60</v>
      </c>
      <c r="C53" s="9" t="s">
        <v>244</v>
      </c>
      <c r="D53" s="9" t="s">
        <v>245</v>
      </c>
      <c r="E53" s="9" t="s">
        <v>278</v>
      </c>
      <c r="F53" s="9" t="s">
        <v>279</v>
      </c>
      <c r="G53" s="9" t="s">
        <v>65</v>
      </c>
      <c r="H53" s="9" t="s">
        <v>243</v>
      </c>
      <c r="I53" s="9" t="s">
        <v>67</v>
      </c>
      <c r="J53" s="9" t="s">
        <v>106</v>
      </c>
      <c r="K53" s="9" t="s">
        <v>98</v>
      </c>
      <c r="L53" s="9" t="s">
        <v>170</v>
      </c>
      <c r="M53" s="11">
        <v>21.55</v>
      </c>
      <c r="N53" s="9" t="s">
        <v>70</v>
      </c>
      <c r="O53" s="9" t="s">
        <v>110</v>
      </c>
      <c r="P53" s="9" t="s">
        <v>72</v>
      </c>
      <c r="Q53" s="11">
        <v>12.5</v>
      </c>
      <c r="R53" s="9" t="s">
        <v>73</v>
      </c>
      <c r="S53" s="9" t="s">
        <v>0</v>
      </c>
      <c r="T53" s="9" t="s">
        <v>0</v>
      </c>
      <c r="U53" s="9" t="s">
        <v>108</v>
      </c>
    </row>
    <row r="54" spans="1:21" x14ac:dyDescent="0.25">
      <c r="A54" s="10" t="s">
        <v>19</v>
      </c>
      <c r="B54" s="10" t="s">
        <v>60</v>
      </c>
      <c r="C54" s="10" t="s">
        <v>244</v>
      </c>
      <c r="D54" s="10" t="s">
        <v>245</v>
      </c>
      <c r="E54" s="10" t="s">
        <v>246</v>
      </c>
      <c r="F54" s="10" t="s">
        <v>280</v>
      </c>
      <c r="G54" s="10" t="s">
        <v>65</v>
      </c>
      <c r="H54" s="10" t="s">
        <v>243</v>
      </c>
      <c r="I54" s="10" t="s">
        <v>67</v>
      </c>
      <c r="J54" s="10" t="s">
        <v>190</v>
      </c>
      <c r="K54" s="10" t="s">
        <v>98</v>
      </c>
      <c r="L54" s="10" t="s">
        <v>170</v>
      </c>
      <c r="M54" s="12">
        <v>170.24</v>
      </c>
      <c r="N54" s="10" t="s">
        <v>70</v>
      </c>
      <c r="O54" s="10" t="s">
        <v>238</v>
      </c>
      <c r="P54" s="10" t="s">
        <v>72</v>
      </c>
      <c r="Q54" s="12">
        <v>154.91999999999999</v>
      </c>
      <c r="R54" s="10" t="s">
        <v>73</v>
      </c>
      <c r="S54" s="10" t="s">
        <v>0</v>
      </c>
      <c r="T54" s="10" t="s">
        <v>0</v>
      </c>
      <c r="U54" s="10" t="s">
        <v>191</v>
      </c>
    </row>
    <row r="55" spans="1:21" x14ac:dyDescent="0.25">
      <c r="A55" s="9" t="s">
        <v>19</v>
      </c>
      <c r="B55" s="9" t="s">
        <v>60</v>
      </c>
      <c r="C55" s="9" t="s">
        <v>281</v>
      </c>
      <c r="D55" s="9" t="s">
        <v>282</v>
      </c>
      <c r="E55" s="9" t="s">
        <v>283</v>
      </c>
      <c r="F55" s="9" t="s">
        <v>284</v>
      </c>
      <c r="G55" s="9" t="s">
        <v>135</v>
      </c>
      <c r="H55" s="9" t="s">
        <v>285</v>
      </c>
      <c r="I55" s="9" t="s">
        <v>67</v>
      </c>
      <c r="J55" s="9" t="s">
        <v>68</v>
      </c>
      <c r="K55" s="9" t="s">
        <v>285</v>
      </c>
      <c r="L55" s="9" t="s">
        <v>170</v>
      </c>
      <c r="M55" s="11">
        <v>64.260000000000005</v>
      </c>
      <c r="N55" s="9" t="s">
        <v>70</v>
      </c>
      <c r="O55" s="9" t="s">
        <v>137</v>
      </c>
      <c r="P55" s="9" t="s">
        <v>72</v>
      </c>
      <c r="Q55" s="11">
        <v>2.25</v>
      </c>
      <c r="R55" s="9" t="s">
        <v>73</v>
      </c>
      <c r="S55" s="9" t="s">
        <v>0</v>
      </c>
      <c r="T55" s="9" t="s">
        <v>0</v>
      </c>
      <c r="U55" s="9" t="s">
        <v>74</v>
      </c>
    </row>
    <row r="56" spans="1:21" x14ac:dyDescent="0.25">
      <c r="A56" s="10" t="s">
        <v>19</v>
      </c>
      <c r="B56" s="10" t="s">
        <v>60</v>
      </c>
      <c r="C56" s="10" t="s">
        <v>150</v>
      </c>
      <c r="D56" s="10" t="s">
        <v>151</v>
      </c>
      <c r="E56" s="10" t="s">
        <v>286</v>
      </c>
      <c r="F56" s="10" t="s">
        <v>287</v>
      </c>
      <c r="G56" s="10" t="s">
        <v>65</v>
      </c>
      <c r="H56" s="10" t="s">
        <v>288</v>
      </c>
      <c r="I56" s="10" t="s">
        <v>149</v>
      </c>
      <c r="J56" s="10" t="s">
        <v>122</v>
      </c>
      <c r="K56" s="10" t="s">
        <v>128</v>
      </c>
      <c r="L56" s="10" t="s">
        <v>83</v>
      </c>
      <c r="M56" s="12">
        <v>41.7</v>
      </c>
      <c r="N56" s="10" t="s">
        <v>70</v>
      </c>
      <c r="O56" s="10" t="s">
        <v>158</v>
      </c>
      <c r="P56" s="10" t="s">
        <v>72</v>
      </c>
      <c r="Q56" s="12">
        <v>43.79</v>
      </c>
      <c r="R56" s="10" t="s">
        <v>73</v>
      </c>
      <c r="S56" s="10" t="s">
        <v>0</v>
      </c>
      <c r="T56" s="10" t="s">
        <v>0</v>
      </c>
      <c r="U56" s="10" t="s">
        <v>125</v>
      </c>
    </row>
    <row r="57" spans="1:21" x14ac:dyDescent="0.25">
      <c r="A57" s="9" t="s">
        <v>19</v>
      </c>
      <c r="B57" s="9" t="s">
        <v>60</v>
      </c>
      <c r="C57" s="9" t="s">
        <v>61</v>
      </c>
      <c r="D57" s="9" t="s">
        <v>62</v>
      </c>
      <c r="E57" s="9" t="s">
        <v>289</v>
      </c>
      <c r="F57" s="9" t="s">
        <v>290</v>
      </c>
      <c r="G57" s="9" t="s">
        <v>135</v>
      </c>
      <c r="H57" s="9" t="s">
        <v>291</v>
      </c>
      <c r="I57" s="9" t="s">
        <v>67</v>
      </c>
      <c r="J57" s="9" t="s">
        <v>68</v>
      </c>
      <c r="K57" s="9" t="s">
        <v>169</v>
      </c>
      <c r="L57" s="9" t="s">
        <v>170</v>
      </c>
      <c r="M57" s="11">
        <v>27.63</v>
      </c>
      <c r="N57" s="9" t="s">
        <v>70</v>
      </c>
      <c r="O57" s="9" t="s">
        <v>137</v>
      </c>
      <c r="P57" s="9" t="s">
        <v>72</v>
      </c>
      <c r="Q57" s="11">
        <v>0.97</v>
      </c>
      <c r="R57" s="9" t="s">
        <v>73</v>
      </c>
      <c r="S57" s="9" t="s">
        <v>0</v>
      </c>
      <c r="T57" s="9" t="s">
        <v>0</v>
      </c>
      <c r="U57" s="9" t="s">
        <v>74</v>
      </c>
    </row>
    <row r="58" spans="1:21" x14ac:dyDescent="0.25">
      <c r="A58" s="10" t="s">
        <v>19</v>
      </c>
      <c r="B58" s="10" t="s">
        <v>60</v>
      </c>
      <c r="C58" s="10" t="s">
        <v>86</v>
      </c>
      <c r="D58" s="10" t="s">
        <v>87</v>
      </c>
      <c r="E58" s="10" t="s">
        <v>292</v>
      </c>
      <c r="F58" s="10" t="s">
        <v>293</v>
      </c>
      <c r="G58" s="10" t="s">
        <v>65</v>
      </c>
      <c r="H58" s="10" t="s">
        <v>294</v>
      </c>
      <c r="I58" s="10" t="s">
        <v>253</v>
      </c>
      <c r="J58" s="10" t="s">
        <v>68</v>
      </c>
      <c r="K58" s="10" t="s">
        <v>100</v>
      </c>
      <c r="L58" s="10" t="s">
        <v>83</v>
      </c>
      <c r="M58" s="12">
        <v>26.11</v>
      </c>
      <c r="N58" s="10" t="s">
        <v>70</v>
      </c>
      <c r="O58" s="10" t="s">
        <v>71</v>
      </c>
      <c r="P58" s="10" t="s">
        <v>72</v>
      </c>
      <c r="Q58" s="12">
        <v>14.88</v>
      </c>
      <c r="R58" s="10" t="s">
        <v>73</v>
      </c>
      <c r="S58" s="10" t="s">
        <v>0</v>
      </c>
      <c r="T58" s="10" t="s">
        <v>0</v>
      </c>
      <c r="U58" s="10" t="s">
        <v>295</v>
      </c>
    </row>
    <row r="59" spans="1:21" x14ac:dyDescent="0.25">
      <c r="A59" s="9" t="s">
        <v>19</v>
      </c>
      <c r="B59" s="9" t="s">
        <v>60</v>
      </c>
      <c r="C59" s="9" t="s">
        <v>150</v>
      </c>
      <c r="D59" s="9" t="s">
        <v>151</v>
      </c>
      <c r="E59" s="9" t="s">
        <v>296</v>
      </c>
      <c r="F59" s="9" t="s">
        <v>297</v>
      </c>
      <c r="G59" s="9" t="s">
        <v>65</v>
      </c>
      <c r="H59" s="9" t="s">
        <v>298</v>
      </c>
      <c r="I59" s="9" t="s">
        <v>149</v>
      </c>
      <c r="J59" s="9" t="s">
        <v>122</v>
      </c>
      <c r="K59" s="9" t="s">
        <v>298</v>
      </c>
      <c r="L59" s="9" t="s">
        <v>198</v>
      </c>
      <c r="M59" s="11">
        <v>37.72</v>
      </c>
      <c r="N59" s="9" t="s">
        <v>70</v>
      </c>
      <c r="O59" s="9" t="s">
        <v>209</v>
      </c>
      <c r="P59" s="9" t="s">
        <v>72</v>
      </c>
      <c r="Q59" s="11">
        <v>37.72</v>
      </c>
      <c r="R59" s="9" t="s">
        <v>73</v>
      </c>
      <c r="S59" s="9" t="s">
        <v>0</v>
      </c>
      <c r="T59" s="9" t="s">
        <v>0</v>
      </c>
      <c r="U59" s="9" t="s">
        <v>125</v>
      </c>
    </row>
    <row r="60" spans="1:21" x14ac:dyDescent="0.25">
      <c r="A60" s="10" t="s">
        <v>19</v>
      </c>
      <c r="B60" s="10" t="s">
        <v>60</v>
      </c>
      <c r="C60" s="10" t="s">
        <v>299</v>
      </c>
      <c r="D60" s="10" t="s">
        <v>300</v>
      </c>
      <c r="E60" s="10" t="s">
        <v>301</v>
      </c>
      <c r="F60" s="10" t="s">
        <v>302</v>
      </c>
      <c r="G60" s="10" t="s">
        <v>65</v>
      </c>
      <c r="H60" s="10" t="s">
        <v>303</v>
      </c>
      <c r="I60" s="10" t="s">
        <v>253</v>
      </c>
      <c r="J60" s="10" t="s">
        <v>122</v>
      </c>
      <c r="K60" s="10" t="s">
        <v>304</v>
      </c>
      <c r="L60" s="10" t="s">
        <v>198</v>
      </c>
      <c r="M60" s="12">
        <v>83.68</v>
      </c>
      <c r="N60" s="10" t="s">
        <v>70</v>
      </c>
      <c r="O60" s="10" t="s">
        <v>209</v>
      </c>
      <c r="P60" s="10" t="s">
        <v>72</v>
      </c>
      <c r="Q60" s="12">
        <v>83.68</v>
      </c>
      <c r="R60" s="10" t="s">
        <v>73</v>
      </c>
      <c r="S60" s="10" t="s">
        <v>0</v>
      </c>
      <c r="T60" s="10" t="s">
        <v>0</v>
      </c>
      <c r="U60" s="10" t="s">
        <v>125</v>
      </c>
    </row>
    <row r="61" spans="1:21" x14ac:dyDescent="0.25">
      <c r="A61" s="9" t="s">
        <v>19</v>
      </c>
      <c r="B61" s="9" t="s">
        <v>60</v>
      </c>
      <c r="C61" s="9" t="s">
        <v>305</v>
      </c>
      <c r="D61" s="9" t="s">
        <v>306</v>
      </c>
      <c r="E61" s="9" t="s">
        <v>307</v>
      </c>
      <c r="F61" s="9" t="s">
        <v>308</v>
      </c>
      <c r="G61" s="9" t="s">
        <v>65</v>
      </c>
      <c r="H61" s="9" t="s">
        <v>309</v>
      </c>
      <c r="I61" s="9" t="s">
        <v>80</v>
      </c>
      <c r="J61" s="9" t="s">
        <v>106</v>
      </c>
      <c r="K61" s="9" t="s">
        <v>100</v>
      </c>
      <c r="L61" s="9" t="s">
        <v>83</v>
      </c>
      <c r="M61" s="11">
        <v>78.16</v>
      </c>
      <c r="N61" s="9" t="s">
        <v>70</v>
      </c>
      <c r="O61" s="9" t="s">
        <v>84</v>
      </c>
      <c r="P61" s="9" t="s">
        <v>72</v>
      </c>
      <c r="Q61" s="11">
        <v>48.85</v>
      </c>
      <c r="R61" s="9" t="s">
        <v>73</v>
      </c>
      <c r="S61" s="9" t="s">
        <v>0</v>
      </c>
      <c r="T61" s="9" t="s">
        <v>0</v>
      </c>
      <c r="U61" s="9" t="s">
        <v>108</v>
      </c>
    </row>
    <row r="62" spans="1:21" x14ac:dyDescent="0.25">
      <c r="A62" s="10" t="s">
        <v>19</v>
      </c>
      <c r="B62" s="10" t="s">
        <v>60</v>
      </c>
      <c r="C62" s="10" t="s">
        <v>305</v>
      </c>
      <c r="D62" s="10" t="s">
        <v>306</v>
      </c>
      <c r="E62" s="10" t="s">
        <v>307</v>
      </c>
      <c r="F62" s="10" t="s">
        <v>308</v>
      </c>
      <c r="G62" s="10" t="s">
        <v>65</v>
      </c>
      <c r="H62" s="10" t="s">
        <v>309</v>
      </c>
      <c r="I62" s="10" t="s">
        <v>80</v>
      </c>
      <c r="J62" s="10" t="s">
        <v>106</v>
      </c>
      <c r="K62" s="10" t="s">
        <v>100</v>
      </c>
      <c r="L62" s="10" t="s">
        <v>83</v>
      </c>
      <c r="M62" s="12">
        <v>23.7</v>
      </c>
      <c r="N62" s="10" t="s">
        <v>70</v>
      </c>
      <c r="O62" s="10" t="s">
        <v>84</v>
      </c>
      <c r="P62" s="10" t="s">
        <v>72</v>
      </c>
      <c r="Q62" s="12">
        <v>14.81</v>
      </c>
      <c r="R62" s="10" t="s">
        <v>73</v>
      </c>
      <c r="S62" s="10" t="s">
        <v>0</v>
      </c>
      <c r="T62" s="10" t="s">
        <v>0</v>
      </c>
      <c r="U62" s="10" t="s">
        <v>108</v>
      </c>
    </row>
    <row r="63" spans="1:21" x14ac:dyDescent="0.25">
      <c r="A63" s="9" t="s">
        <v>19</v>
      </c>
      <c r="B63" s="9" t="s">
        <v>310</v>
      </c>
      <c r="C63" s="9" t="s">
        <v>61</v>
      </c>
      <c r="D63" s="9" t="s">
        <v>62</v>
      </c>
      <c r="E63" s="9" t="s">
        <v>311</v>
      </c>
      <c r="F63" s="9" t="s">
        <v>312</v>
      </c>
      <c r="G63" s="9" t="s">
        <v>252</v>
      </c>
      <c r="H63" s="9" t="s">
        <v>313</v>
      </c>
      <c r="I63" s="9" t="s">
        <v>67</v>
      </c>
      <c r="J63" s="9" t="s">
        <v>122</v>
      </c>
      <c r="K63" s="9" t="s">
        <v>69</v>
      </c>
      <c r="L63" s="9" t="s">
        <v>314</v>
      </c>
      <c r="M63" s="11">
        <v>-28.27</v>
      </c>
      <c r="N63" s="9" t="s">
        <v>70</v>
      </c>
      <c r="O63" s="9" t="s">
        <v>124</v>
      </c>
      <c r="P63" s="9" t="s">
        <v>72</v>
      </c>
      <c r="Q63" s="11">
        <v>-26.86</v>
      </c>
      <c r="R63" s="9" t="s">
        <v>315</v>
      </c>
      <c r="S63" s="9" t="s">
        <v>0</v>
      </c>
      <c r="T63" s="9" t="s">
        <v>0</v>
      </c>
      <c r="U63" s="9" t="s">
        <v>125</v>
      </c>
    </row>
    <row r="64" spans="1:21" x14ac:dyDescent="0.25">
      <c r="A64" s="10" t="s">
        <v>19</v>
      </c>
      <c r="B64" s="10" t="s">
        <v>60</v>
      </c>
      <c r="C64" s="10" t="s">
        <v>150</v>
      </c>
      <c r="D64" s="10" t="s">
        <v>151</v>
      </c>
      <c r="E64" s="10" t="s">
        <v>228</v>
      </c>
      <c r="F64" s="10" t="s">
        <v>229</v>
      </c>
      <c r="G64" s="10" t="s">
        <v>65</v>
      </c>
      <c r="H64" s="10" t="s">
        <v>230</v>
      </c>
      <c r="I64" s="10" t="s">
        <v>149</v>
      </c>
      <c r="J64" s="10" t="s">
        <v>163</v>
      </c>
      <c r="K64" s="10" t="s">
        <v>231</v>
      </c>
      <c r="L64" s="10" t="s">
        <v>232</v>
      </c>
      <c r="M64" s="12">
        <v>4.7</v>
      </c>
      <c r="N64" s="10" t="s">
        <v>70</v>
      </c>
      <c r="O64" s="10" t="s">
        <v>84</v>
      </c>
      <c r="P64" s="10" t="s">
        <v>72</v>
      </c>
      <c r="Q64" s="12">
        <v>2.94</v>
      </c>
      <c r="R64" s="10" t="s">
        <v>73</v>
      </c>
      <c r="S64" s="10" t="s">
        <v>0</v>
      </c>
      <c r="T64" s="10" t="s">
        <v>0</v>
      </c>
      <c r="U64" s="10" t="s">
        <v>165</v>
      </c>
    </row>
    <row r="65" spans="1:21" x14ac:dyDescent="0.25">
      <c r="A65" s="9" t="s">
        <v>19</v>
      </c>
      <c r="B65" s="9" t="s">
        <v>60</v>
      </c>
      <c r="C65" s="9" t="s">
        <v>316</v>
      </c>
      <c r="D65" s="9" t="s">
        <v>317</v>
      </c>
      <c r="E65" s="9" t="s">
        <v>318</v>
      </c>
      <c r="F65" s="9" t="s">
        <v>319</v>
      </c>
      <c r="G65" s="9" t="s">
        <v>65</v>
      </c>
      <c r="H65" s="9" t="s">
        <v>320</v>
      </c>
      <c r="I65" s="9" t="s">
        <v>67</v>
      </c>
      <c r="J65" s="9" t="s">
        <v>106</v>
      </c>
      <c r="K65" s="9" t="s">
        <v>321</v>
      </c>
      <c r="L65" s="9" t="s">
        <v>322</v>
      </c>
      <c r="M65" s="11">
        <v>5.92</v>
      </c>
      <c r="N65" s="9" t="s">
        <v>70</v>
      </c>
      <c r="O65" s="9" t="s">
        <v>107</v>
      </c>
      <c r="P65" s="9" t="s">
        <v>72</v>
      </c>
      <c r="Q65" s="11">
        <v>3.55</v>
      </c>
      <c r="R65" s="9" t="s">
        <v>73</v>
      </c>
      <c r="S65" s="9" t="s">
        <v>0</v>
      </c>
      <c r="T65" s="9" t="s">
        <v>0</v>
      </c>
      <c r="U65" s="9" t="s">
        <v>108</v>
      </c>
    </row>
    <row r="66" spans="1:21" x14ac:dyDescent="0.25">
      <c r="A66" s="10" t="s">
        <v>19</v>
      </c>
      <c r="B66" s="10" t="s">
        <v>60</v>
      </c>
      <c r="C66" s="10" t="s">
        <v>316</v>
      </c>
      <c r="D66" s="10" t="s">
        <v>317</v>
      </c>
      <c r="E66" s="10" t="s">
        <v>318</v>
      </c>
      <c r="F66" s="10" t="s">
        <v>319</v>
      </c>
      <c r="G66" s="10" t="s">
        <v>65</v>
      </c>
      <c r="H66" s="10" t="s">
        <v>320</v>
      </c>
      <c r="I66" s="10" t="s">
        <v>67</v>
      </c>
      <c r="J66" s="10" t="s">
        <v>106</v>
      </c>
      <c r="K66" s="10" t="s">
        <v>321</v>
      </c>
      <c r="L66" s="10" t="s">
        <v>322</v>
      </c>
      <c r="M66" s="12">
        <v>14.22</v>
      </c>
      <c r="N66" s="10" t="s">
        <v>70</v>
      </c>
      <c r="O66" s="10" t="s">
        <v>107</v>
      </c>
      <c r="P66" s="10" t="s">
        <v>72</v>
      </c>
      <c r="Q66" s="12">
        <v>8.5299999999999994</v>
      </c>
      <c r="R66" s="10" t="s">
        <v>73</v>
      </c>
      <c r="S66" s="10" t="s">
        <v>0</v>
      </c>
      <c r="T66" s="10" t="s">
        <v>0</v>
      </c>
      <c r="U66" s="10" t="s">
        <v>108</v>
      </c>
    </row>
    <row r="67" spans="1:21" x14ac:dyDescent="0.25">
      <c r="A67" s="9" t="s">
        <v>19</v>
      </c>
      <c r="B67" s="9" t="s">
        <v>60</v>
      </c>
      <c r="C67" s="9" t="s">
        <v>316</v>
      </c>
      <c r="D67" s="9" t="s">
        <v>317</v>
      </c>
      <c r="E67" s="9" t="s">
        <v>318</v>
      </c>
      <c r="F67" s="9" t="s">
        <v>319</v>
      </c>
      <c r="G67" s="9" t="s">
        <v>65</v>
      </c>
      <c r="H67" s="9" t="s">
        <v>320</v>
      </c>
      <c r="I67" s="9" t="s">
        <v>67</v>
      </c>
      <c r="J67" s="9" t="s">
        <v>106</v>
      </c>
      <c r="K67" s="9" t="s">
        <v>321</v>
      </c>
      <c r="L67" s="9" t="s">
        <v>322</v>
      </c>
      <c r="M67" s="11">
        <v>10.039999999999999</v>
      </c>
      <c r="N67" s="9" t="s">
        <v>70</v>
      </c>
      <c r="O67" s="9" t="s">
        <v>107</v>
      </c>
      <c r="P67" s="9" t="s">
        <v>72</v>
      </c>
      <c r="Q67" s="11">
        <v>6.02</v>
      </c>
      <c r="R67" s="9" t="s">
        <v>73</v>
      </c>
      <c r="S67" s="9" t="s">
        <v>0</v>
      </c>
      <c r="T67" s="9" t="s">
        <v>0</v>
      </c>
      <c r="U67" s="9" t="s">
        <v>108</v>
      </c>
    </row>
    <row r="68" spans="1:21" x14ac:dyDescent="0.25">
      <c r="A68" s="10" t="s">
        <v>19</v>
      </c>
      <c r="B68" s="10" t="s">
        <v>60</v>
      </c>
      <c r="C68" s="10" t="s">
        <v>316</v>
      </c>
      <c r="D68" s="10" t="s">
        <v>317</v>
      </c>
      <c r="E68" s="10" t="s">
        <v>318</v>
      </c>
      <c r="F68" s="10" t="s">
        <v>319</v>
      </c>
      <c r="G68" s="10" t="s">
        <v>65</v>
      </c>
      <c r="H68" s="10" t="s">
        <v>320</v>
      </c>
      <c r="I68" s="10" t="s">
        <v>67</v>
      </c>
      <c r="J68" s="10" t="s">
        <v>106</v>
      </c>
      <c r="K68" s="10" t="s">
        <v>321</v>
      </c>
      <c r="L68" s="10" t="s">
        <v>322</v>
      </c>
      <c r="M68" s="12">
        <v>7.18</v>
      </c>
      <c r="N68" s="10" t="s">
        <v>70</v>
      </c>
      <c r="O68" s="10" t="s">
        <v>107</v>
      </c>
      <c r="P68" s="10" t="s">
        <v>72</v>
      </c>
      <c r="Q68" s="12">
        <v>4.3099999999999996</v>
      </c>
      <c r="R68" s="10" t="s">
        <v>73</v>
      </c>
      <c r="S68" s="10" t="s">
        <v>0</v>
      </c>
      <c r="T68" s="10" t="s">
        <v>0</v>
      </c>
      <c r="U68" s="10" t="s">
        <v>108</v>
      </c>
    </row>
    <row r="69" spans="1:21" x14ac:dyDescent="0.25">
      <c r="A69" s="9" t="s">
        <v>19</v>
      </c>
      <c r="B69" s="9" t="s">
        <v>60</v>
      </c>
      <c r="C69" s="9" t="s">
        <v>316</v>
      </c>
      <c r="D69" s="9" t="s">
        <v>317</v>
      </c>
      <c r="E69" s="9" t="s">
        <v>318</v>
      </c>
      <c r="F69" s="9" t="s">
        <v>323</v>
      </c>
      <c r="G69" s="9" t="s">
        <v>65</v>
      </c>
      <c r="H69" s="9" t="s">
        <v>320</v>
      </c>
      <c r="I69" s="9" t="s">
        <v>67</v>
      </c>
      <c r="J69" s="9" t="s">
        <v>68</v>
      </c>
      <c r="K69" s="9" t="s">
        <v>321</v>
      </c>
      <c r="L69" s="9" t="s">
        <v>322</v>
      </c>
      <c r="M69" s="11">
        <v>32.130000000000003</v>
      </c>
      <c r="N69" s="9" t="s">
        <v>70</v>
      </c>
      <c r="O69" s="9" t="s">
        <v>110</v>
      </c>
      <c r="P69" s="9" t="s">
        <v>72</v>
      </c>
      <c r="Q69" s="11">
        <v>18.64</v>
      </c>
      <c r="R69" s="9" t="s">
        <v>73</v>
      </c>
      <c r="S69" s="9" t="s">
        <v>0</v>
      </c>
      <c r="T69" s="9" t="s">
        <v>0</v>
      </c>
      <c r="U69" s="9" t="s">
        <v>74</v>
      </c>
    </row>
    <row r="70" spans="1:21" x14ac:dyDescent="0.25">
      <c r="A70" s="10" t="s">
        <v>18</v>
      </c>
      <c r="B70" s="10" t="s">
        <v>60</v>
      </c>
      <c r="C70" s="10" t="s">
        <v>324</v>
      </c>
      <c r="D70" s="10" t="s">
        <v>325</v>
      </c>
      <c r="E70" s="10" t="s">
        <v>326</v>
      </c>
      <c r="F70" s="10" t="s">
        <v>327</v>
      </c>
      <c r="G70" s="10" t="s">
        <v>65</v>
      </c>
      <c r="H70" s="10" t="s">
        <v>328</v>
      </c>
      <c r="I70" s="10" t="s">
        <v>67</v>
      </c>
      <c r="J70" s="10" t="s">
        <v>129</v>
      </c>
      <c r="K70" s="10" t="s">
        <v>82</v>
      </c>
      <c r="L70" s="10" t="s">
        <v>83</v>
      </c>
      <c r="M70" s="12">
        <v>176.1</v>
      </c>
      <c r="N70" s="10" t="s">
        <v>70</v>
      </c>
      <c r="O70" s="10" t="s">
        <v>329</v>
      </c>
      <c r="P70" s="10" t="s">
        <v>72</v>
      </c>
      <c r="Q70" s="12">
        <v>2.64</v>
      </c>
      <c r="R70" s="10" t="s">
        <v>73</v>
      </c>
      <c r="S70" s="10" t="s">
        <v>0</v>
      </c>
      <c r="T70" s="10" t="s">
        <v>0</v>
      </c>
      <c r="U70" s="10" t="s">
        <v>132</v>
      </c>
    </row>
    <row r="71" spans="1:21" x14ac:dyDescent="0.25">
      <c r="A71" s="9" t="s">
        <v>19</v>
      </c>
      <c r="B71" s="9" t="s">
        <v>60</v>
      </c>
      <c r="C71" s="9" t="s">
        <v>150</v>
      </c>
      <c r="D71" s="9" t="s">
        <v>151</v>
      </c>
      <c r="E71" s="9" t="s">
        <v>160</v>
      </c>
      <c r="F71" s="9" t="s">
        <v>161</v>
      </c>
      <c r="G71" s="9" t="s">
        <v>65</v>
      </c>
      <c r="H71" s="9" t="s">
        <v>162</v>
      </c>
      <c r="I71" s="9" t="s">
        <v>149</v>
      </c>
      <c r="J71" s="9" t="s">
        <v>163</v>
      </c>
      <c r="K71" s="9" t="s">
        <v>164</v>
      </c>
      <c r="L71" s="9" t="s">
        <v>83</v>
      </c>
      <c r="M71" s="11">
        <v>28.99</v>
      </c>
      <c r="N71" s="9" t="s">
        <v>70</v>
      </c>
      <c r="O71" s="9" t="s">
        <v>84</v>
      </c>
      <c r="P71" s="9" t="s">
        <v>72</v>
      </c>
      <c r="Q71" s="11">
        <v>18.12</v>
      </c>
      <c r="R71" s="9" t="s">
        <v>73</v>
      </c>
      <c r="S71" s="9" t="s">
        <v>0</v>
      </c>
      <c r="T71" s="9" t="s">
        <v>0</v>
      </c>
      <c r="U71" s="9" t="s">
        <v>165</v>
      </c>
    </row>
    <row r="72" spans="1:21" x14ac:dyDescent="0.25">
      <c r="A72" s="10" t="s">
        <v>19</v>
      </c>
      <c r="B72" s="10" t="s">
        <v>60</v>
      </c>
      <c r="C72" s="10" t="s">
        <v>150</v>
      </c>
      <c r="D72" s="10" t="s">
        <v>151</v>
      </c>
      <c r="E72" s="10" t="s">
        <v>160</v>
      </c>
      <c r="F72" s="10" t="s">
        <v>161</v>
      </c>
      <c r="G72" s="10" t="s">
        <v>65</v>
      </c>
      <c r="H72" s="10" t="s">
        <v>162</v>
      </c>
      <c r="I72" s="10" t="s">
        <v>149</v>
      </c>
      <c r="J72" s="10" t="s">
        <v>163</v>
      </c>
      <c r="K72" s="10" t="s">
        <v>164</v>
      </c>
      <c r="L72" s="10" t="s">
        <v>83</v>
      </c>
      <c r="M72" s="12">
        <v>10.17</v>
      </c>
      <c r="N72" s="10" t="s">
        <v>70</v>
      </c>
      <c r="O72" s="10" t="s">
        <v>84</v>
      </c>
      <c r="P72" s="10" t="s">
        <v>72</v>
      </c>
      <c r="Q72" s="12">
        <v>6.36</v>
      </c>
      <c r="R72" s="10" t="s">
        <v>73</v>
      </c>
      <c r="S72" s="10" t="s">
        <v>0</v>
      </c>
      <c r="T72" s="10" t="s">
        <v>0</v>
      </c>
      <c r="U72" s="10" t="s">
        <v>165</v>
      </c>
    </row>
    <row r="73" spans="1:21" x14ac:dyDescent="0.25">
      <c r="A73" s="9" t="s">
        <v>19</v>
      </c>
      <c r="B73" s="9" t="s">
        <v>60</v>
      </c>
      <c r="C73" s="9" t="s">
        <v>150</v>
      </c>
      <c r="D73" s="9" t="s">
        <v>151</v>
      </c>
      <c r="E73" s="9" t="s">
        <v>160</v>
      </c>
      <c r="F73" s="9" t="s">
        <v>161</v>
      </c>
      <c r="G73" s="9" t="s">
        <v>65</v>
      </c>
      <c r="H73" s="9" t="s">
        <v>162</v>
      </c>
      <c r="I73" s="9" t="s">
        <v>149</v>
      </c>
      <c r="J73" s="9" t="s">
        <v>163</v>
      </c>
      <c r="K73" s="9" t="s">
        <v>164</v>
      </c>
      <c r="L73" s="9" t="s">
        <v>83</v>
      </c>
      <c r="M73" s="11">
        <v>3.3</v>
      </c>
      <c r="N73" s="9" t="s">
        <v>70</v>
      </c>
      <c r="O73" s="9" t="s">
        <v>84</v>
      </c>
      <c r="P73" s="9" t="s">
        <v>72</v>
      </c>
      <c r="Q73" s="11">
        <v>2.06</v>
      </c>
      <c r="R73" s="9" t="s">
        <v>73</v>
      </c>
      <c r="S73" s="9" t="s">
        <v>0</v>
      </c>
      <c r="T73" s="9" t="s">
        <v>0</v>
      </c>
      <c r="U73" s="9" t="s">
        <v>165</v>
      </c>
    </row>
    <row r="74" spans="1:21" x14ac:dyDescent="0.25">
      <c r="A74" s="10" t="s">
        <v>19</v>
      </c>
      <c r="B74" s="10" t="s">
        <v>60</v>
      </c>
      <c r="C74" s="10" t="s">
        <v>265</v>
      </c>
      <c r="D74" s="10" t="s">
        <v>266</v>
      </c>
      <c r="E74" s="10" t="s">
        <v>330</v>
      </c>
      <c r="F74" s="10" t="s">
        <v>331</v>
      </c>
      <c r="G74" s="10" t="s">
        <v>65</v>
      </c>
      <c r="H74" s="10" t="s">
        <v>332</v>
      </c>
      <c r="I74" s="10" t="s">
        <v>333</v>
      </c>
      <c r="J74" s="10" t="s">
        <v>81</v>
      </c>
      <c r="K74" s="10" t="s">
        <v>334</v>
      </c>
      <c r="L74" s="10" t="s">
        <v>170</v>
      </c>
      <c r="M74" s="12">
        <v>3.67</v>
      </c>
      <c r="N74" s="10" t="s">
        <v>70</v>
      </c>
      <c r="O74" s="10" t="s">
        <v>271</v>
      </c>
      <c r="P74" s="10" t="s">
        <v>72</v>
      </c>
      <c r="Q74" s="12">
        <v>2.39</v>
      </c>
      <c r="R74" s="10" t="s">
        <v>73</v>
      </c>
      <c r="S74" s="10" t="s">
        <v>0</v>
      </c>
      <c r="T74" s="10" t="s">
        <v>0</v>
      </c>
      <c r="U74" s="10" t="s">
        <v>85</v>
      </c>
    </row>
    <row r="75" spans="1:21" x14ac:dyDescent="0.25">
      <c r="A75" s="9" t="s">
        <v>19</v>
      </c>
      <c r="B75" s="9" t="s">
        <v>60</v>
      </c>
      <c r="C75" s="9" t="s">
        <v>265</v>
      </c>
      <c r="D75" s="9" t="s">
        <v>266</v>
      </c>
      <c r="E75" s="9" t="s">
        <v>330</v>
      </c>
      <c r="F75" s="9" t="s">
        <v>331</v>
      </c>
      <c r="G75" s="9" t="s">
        <v>65</v>
      </c>
      <c r="H75" s="9" t="s">
        <v>332</v>
      </c>
      <c r="I75" s="9" t="s">
        <v>333</v>
      </c>
      <c r="J75" s="9" t="s">
        <v>81</v>
      </c>
      <c r="K75" s="9" t="s">
        <v>334</v>
      </c>
      <c r="L75" s="9" t="s">
        <v>170</v>
      </c>
      <c r="M75" s="11">
        <v>93.49</v>
      </c>
      <c r="N75" s="9" t="s">
        <v>70</v>
      </c>
      <c r="O75" s="9" t="s">
        <v>271</v>
      </c>
      <c r="P75" s="9" t="s">
        <v>72</v>
      </c>
      <c r="Q75" s="11">
        <v>60.77</v>
      </c>
      <c r="R75" s="9" t="s">
        <v>73</v>
      </c>
      <c r="S75" s="9" t="s">
        <v>0</v>
      </c>
      <c r="T75" s="9" t="s">
        <v>0</v>
      </c>
      <c r="U75" s="9" t="s">
        <v>85</v>
      </c>
    </row>
    <row r="76" spans="1:21" x14ac:dyDescent="0.25">
      <c r="A76" s="10" t="s">
        <v>19</v>
      </c>
      <c r="B76" s="10" t="s">
        <v>60</v>
      </c>
      <c r="C76" s="10" t="s">
        <v>248</v>
      </c>
      <c r="D76" s="10" t="s">
        <v>249</v>
      </c>
      <c r="E76" s="10" t="s">
        <v>335</v>
      </c>
      <c r="F76" s="10" t="s">
        <v>336</v>
      </c>
      <c r="G76" s="10" t="s">
        <v>65</v>
      </c>
      <c r="H76" s="10" t="s">
        <v>337</v>
      </c>
      <c r="I76" s="10" t="s">
        <v>80</v>
      </c>
      <c r="J76" s="10" t="s">
        <v>156</v>
      </c>
      <c r="K76" s="10" t="s">
        <v>100</v>
      </c>
      <c r="L76" s="10" t="s">
        <v>83</v>
      </c>
      <c r="M76" s="12">
        <v>43.96</v>
      </c>
      <c r="N76" s="10" t="s">
        <v>70</v>
      </c>
      <c r="O76" s="10" t="s">
        <v>209</v>
      </c>
      <c r="P76" s="10" t="s">
        <v>72</v>
      </c>
      <c r="Q76" s="12">
        <v>43.96</v>
      </c>
      <c r="R76" s="10" t="s">
        <v>73</v>
      </c>
      <c r="S76" s="10" t="s">
        <v>0</v>
      </c>
      <c r="T76" s="10" t="s">
        <v>0</v>
      </c>
      <c r="U76" s="10" t="s">
        <v>159</v>
      </c>
    </row>
    <row r="77" spans="1:21" x14ac:dyDescent="0.25">
      <c r="A77" s="9" t="s">
        <v>19</v>
      </c>
      <c r="B77" s="9" t="s">
        <v>60</v>
      </c>
      <c r="C77" s="9" t="s">
        <v>86</v>
      </c>
      <c r="D77" s="9" t="s">
        <v>87</v>
      </c>
      <c r="E77" s="9" t="s">
        <v>338</v>
      </c>
      <c r="F77" s="9" t="s">
        <v>339</v>
      </c>
      <c r="G77" s="9" t="s">
        <v>65</v>
      </c>
      <c r="H77" s="9" t="s">
        <v>340</v>
      </c>
      <c r="I77" s="9" t="s">
        <v>80</v>
      </c>
      <c r="J77" s="9" t="s">
        <v>214</v>
      </c>
      <c r="K77" s="9" t="s">
        <v>100</v>
      </c>
      <c r="L77" s="9" t="s">
        <v>83</v>
      </c>
      <c r="M77" s="11">
        <v>98.66</v>
      </c>
      <c r="N77" s="9" t="s">
        <v>70</v>
      </c>
      <c r="O77" s="9" t="s">
        <v>71</v>
      </c>
      <c r="P77" s="9" t="s">
        <v>72</v>
      </c>
      <c r="Q77" s="11">
        <v>56.24</v>
      </c>
      <c r="R77" s="9" t="s">
        <v>73</v>
      </c>
      <c r="S77" s="9" t="s">
        <v>0</v>
      </c>
      <c r="T77" s="9" t="s">
        <v>0</v>
      </c>
      <c r="U77" s="9" t="s">
        <v>215</v>
      </c>
    </row>
    <row r="78" spans="1:21" x14ac:dyDescent="0.25">
      <c r="A78" s="10" t="s">
        <v>19</v>
      </c>
      <c r="B78" s="10" t="s">
        <v>60</v>
      </c>
      <c r="C78" s="10" t="s">
        <v>341</v>
      </c>
      <c r="D78" s="10" t="s">
        <v>342</v>
      </c>
      <c r="E78" s="10" t="s">
        <v>343</v>
      </c>
      <c r="F78" s="10" t="s">
        <v>344</v>
      </c>
      <c r="G78" s="10" t="s">
        <v>65</v>
      </c>
      <c r="H78" s="10" t="s">
        <v>98</v>
      </c>
      <c r="I78" s="10" t="s">
        <v>149</v>
      </c>
      <c r="J78" s="10" t="s">
        <v>214</v>
      </c>
      <c r="K78" s="10" t="s">
        <v>100</v>
      </c>
      <c r="L78" s="10" t="s">
        <v>83</v>
      </c>
      <c r="M78" s="12">
        <v>111</v>
      </c>
      <c r="N78" s="10" t="s">
        <v>70</v>
      </c>
      <c r="O78" s="10" t="s">
        <v>345</v>
      </c>
      <c r="P78" s="10" t="s">
        <v>72</v>
      </c>
      <c r="Q78" s="12">
        <v>57.72</v>
      </c>
      <c r="R78" s="10" t="s">
        <v>73</v>
      </c>
      <c r="S78" s="10" t="s">
        <v>0</v>
      </c>
      <c r="T78" s="10" t="s">
        <v>0</v>
      </c>
      <c r="U78" s="10" t="s">
        <v>346</v>
      </c>
    </row>
    <row r="79" spans="1:21" x14ac:dyDescent="0.25">
      <c r="A79" s="9" t="s">
        <v>19</v>
      </c>
      <c r="B79" s="9" t="s">
        <v>60</v>
      </c>
      <c r="C79" s="9" t="s">
        <v>150</v>
      </c>
      <c r="D79" s="9" t="s">
        <v>151</v>
      </c>
      <c r="E79" s="9" t="s">
        <v>347</v>
      </c>
      <c r="F79" s="9" t="s">
        <v>348</v>
      </c>
      <c r="G79" s="9" t="s">
        <v>135</v>
      </c>
      <c r="H79" s="9" t="s">
        <v>349</v>
      </c>
      <c r="I79" s="9" t="s">
        <v>149</v>
      </c>
      <c r="J79" s="9" t="s">
        <v>122</v>
      </c>
      <c r="K79" s="9" t="s">
        <v>350</v>
      </c>
      <c r="L79" s="9" t="s">
        <v>202</v>
      </c>
      <c r="M79" s="11">
        <v>48.45</v>
      </c>
      <c r="N79" s="9" t="s">
        <v>70</v>
      </c>
      <c r="O79" s="9" t="s">
        <v>351</v>
      </c>
      <c r="P79" s="9" t="s">
        <v>72</v>
      </c>
      <c r="Q79" s="11">
        <v>3.88</v>
      </c>
      <c r="R79" s="9" t="s">
        <v>73</v>
      </c>
      <c r="S79" s="9" t="s">
        <v>0</v>
      </c>
      <c r="T79" s="9" t="s">
        <v>0</v>
      </c>
      <c r="U79" s="9" t="s">
        <v>125</v>
      </c>
    </row>
    <row r="80" spans="1:21" x14ac:dyDescent="0.25">
      <c r="A80" s="10" t="s">
        <v>19</v>
      </c>
      <c r="B80" s="10" t="s">
        <v>60</v>
      </c>
      <c r="C80" s="10" t="s">
        <v>177</v>
      </c>
      <c r="D80" s="10" t="s">
        <v>178</v>
      </c>
      <c r="E80" s="10" t="s">
        <v>352</v>
      </c>
      <c r="F80" s="10" t="s">
        <v>353</v>
      </c>
      <c r="G80" s="10" t="s">
        <v>135</v>
      </c>
      <c r="H80" s="10" t="s">
        <v>354</v>
      </c>
      <c r="I80" s="10" t="s">
        <v>149</v>
      </c>
      <c r="J80" s="10" t="s">
        <v>156</v>
      </c>
      <c r="K80" s="10" t="s">
        <v>355</v>
      </c>
      <c r="L80" s="10" t="s">
        <v>83</v>
      </c>
      <c r="M80" s="12">
        <v>42.4</v>
      </c>
      <c r="N80" s="10" t="s">
        <v>70</v>
      </c>
      <c r="O80" s="10" t="s">
        <v>183</v>
      </c>
      <c r="P80" s="10" t="s">
        <v>72</v>
      </c>
      <c r="Q80" s="12">
        <v>3.18</v>
      </c>
      <c r="R80" s="10" t="s">
        <v>73</v>
      </c>
      <c r="S80" s="10" t="s">
        <v>0</v>
      </c>
      <c r="T80" s="10" t="s">
        <v>0</v>
      </c>
      <c r="U80" s="10" t="s">
        <v>159</v>
      </c>
    </row>
    <row r="81" spans="1:21" x14ac:dyDescent="0.25">
      <c r="A81" s="9" t="s">
        <v>19</v>
      </c>
      <c r="B81" s="9" t="s">
        <v>60</v>
      </c>
      <c r="C81" s="9" t="s">
        <v>248</v>
      </c>
      <c r="D81" s="9" t="s">
        <v>249</v>
      </c>
      <c r="E81" s="9" t="s">
        <v>356</v>
      </c>
      <c r="F81" s="9" t="s">
        <v>357</v>
      </c>
      <c r="G81" s="9" t="s">
        <v>65</v>
      </c>
      <c r="H81" s="9" t="s">
        <v>358</v>
      </c>
      <c r="I81" s="9" t="s">
        <v>253</v>
      </c>
      <c r="J81" s="9" t="s">
        <v>122</v>
      </c>
      <c r="K81" s="9" t="s">
        <v>98</v>
      </c>
      <c r="L81" s="9" t="s">
        <v>170</v>
      </c>
      <c r="M81" s="11">
        <v>41.84</v>
      </c>
      <c r="N81" s="9" t="s">
        <v>70</v>
      </c>
      <c r="O81" s="9" t="s">
        <v>124</v>
      </c>
      <c r="P81" s="9" t="s">
        <v>72</v>
      </c>
      <c r="Q81" s="11">
        <v>39.75</v>
      </c>
      <c r="R81" s="9" t="s">
        <v>73</v>
      </c>
      <c r="S81" s="9" t="s">
        <v>0</v>
      </c>
      <c r="T81" s="9" t="s">
        <v>0</v>
      </c>
      <c r="U81" s="9" t="s">
        <v>125</v>
      </c>
    </row>
    <row r="82" spans="1:21" x14ac:dyDescent="0.25">
      <c r="A82" s="10" t="s">
        <v>19</v>
      </c>
      <c r="B82" s="10" t="s">
        <v>60</v>
      </c>
      <c r="C82" s="10" t="s">
        <v>177</v>
      </c>
      <c r="D82" s="10" t="s">
        <v>178</v>
      </c>
      <c r="E82" s="10" t="s">
        <v>352</v>
      </c>
      <c r="F82" s="10" t="s">
        <v>359</v>
      </c>
      <c r="G82" s="10" t="s">
        <v>135</v>
      </c>
      <c r="H82" s="10" t="s">
        <v>354</v>
      </c>
      <c r="I82" s="10" t="s">
        <v>149</v>
      </c>
      <c r="J82" s="10" t="s">
        <v>122</v>
      </c>
      <c r="K82" s="10" t="s">
        <v>355</v>
      </c>
      <c r="L82" s="10" t="s">
        <v>83</v>
      </c>
      <c r="M82" s="12">
        <v>41.7</v>
      </c>
      <c r="N82" s="10" t="s">
        <v>70</v>
      </c>
      <c r="O82" s="10" t="s">
        <v>183</v>
      </c>
      <c r="P82" s="10" t="s">
        <v>72</v>
      </c>
      <c r="Q82" s="12">
        <v>3.13</v>
      </c>
      <c r="R82" s="10" t="s">
        <v>73</v>
      </c>
      <c r="S82" s="10" t="s">
        <v>0</v>
      </c>
      <c r="T82" s="10" t="s">
        <v>0</v>
      </c>
      <c r="U82" s="10" t="s">
        <v>125</v>
      </c>
    </row>
    <row r="83" spans="1:21" x14ac:dyDescent="0.25">
      <c r="A83" s="9" t="s">
        <v>19</v>
      </c>
      <c r="B83" s="9" t="s">
        <v>60</v>
      </c>
      <c r="C83" s="9" t="s">
        <v>150</v>
      </c>
      <c r="D83" s="9" t="s">
        <v>151</v>
      </c>
      <c r="E83" s="9" t="s">
        <v>207</v>
      </c>
      <c r="F83" s="9" t="s">
        <v>360</v>
      </c>
      <c r="G83" s="9" t="s">
        <v>65</v>
      </c>
      <c r="H83" s="9" t="s">
        <v>90</v>
      </c>
      <c r="I83" s="9" t="s">
        <v>149</v>
      </c>
      <c r="J83" s="9" t="s">
        <v>122</v>
      </c>
      <c r="K83" s="9" t="s">
        <v>197</v>
      </c>
      <c r="L83" s="9" t="s">
        <v>198</v>
      </c>
      <c r="M83" s="11">
        <v>41.7</v>
      </c>
      <c r="N83" s="9" t="s">
        <v>70</v>
      </c>
      <c r="O83" s="9" t="s">
        <v>209</v>
      </c>
      <c r="P83" s="9" t="s">
        <v>72</v>
      </c>
      <c r="Q83" s="11">
        <v>41.7</v>
      </c>
      <c r="R83" s="9" t="s">
        <v>73</v>
      </c>
      <c r="S83" s="9" t="s">
        <v>0</v>
      </c>
      <c r="T83" s="9" t="s">
        <v>0</v>
      </c>
      <c r="U83" s="9" t="s">
        <v>125</v>
      </c>
    </row>
    <row r="84" spans="1:21" x14ac:dyDescent="0.25">
      <c r="A84" s="10" t="s">
        <v>19</v>
      </c>
      <c r="B84" s="10" t="s">
        <v>60</v>
      </c>
      <c r="C84" s="10" t="s">
        <v>316</v>
      </c>
      <c r="D84" s="10" t="s">
        <v>317</v>
      </c>
      <c r="E84" s="10" t="s">
        <v>318</v>
      </c>
      <c r="F84" s="10" t="s">
        <v>361</v>
      </c>
      <c r="G84" s="10" t="s">
        <v>65</v>
      </c>
      <c r="H84" s="10" t="s">
        <v>320</v>
      </c>
      <c r="I84" s="10" t="s">
        <v>67</v>
      </c>
      <c r="J84" s="10" t="s">
        <v>156</v>
      </c>
      <c r="K84" s="10" t="s">
        <v>321</v>
      </c>
      <c r="L84" s="10" t="s">
        <v>322</v>
      </c>
      <c r="M84" s="12">
        <v>24.75</v>
      </c>
      <c r="N84" s="10" t="s">
        <v>70</v>
      </c>
      <c r="O84" s="10" t="s">
        <v>124</v>
      </c>
      <c r="P84" s="10" t="s">
        <v>72</v>
      </c>
      <c r="Q84" s="12">
        <v>23.51</v>
      </c>
      <c r="R84" s="10" t="s">
        <v>73</v>
      </c>
      <c r="S84" s="10" t="s">
        <v>0</v>
      </c>
      <c r="T84" s="10" t="s">
        <v>0</v>
      </c>
      <c r="U84" s="10" t="s">
        <v>159</v>
      </c>
    </row>
    <row r="85" spans="1:21" x14ac:dyDescent="0.25">
      <c r="A85" s="9" t="s">
        <v>19</v>
      </c>
      <c r="B85" s="9" t="s">
        <v>310</v>
      </c>
      <c r="C85" s="9" t="s">
        <v>362</v>
      </c>
      <c r="D85" s="9" t="s">
        <v>363</v>
      </c>
      <c r="E85" s="9" t="s">
        <v>364</v>
      </c>
      <c r="F85" s="9" t="s">
        <v>365</v>
      </c>
      <c r="G85" s="9" t="s">
        <v>252</v>
      </c>
      <c r="H85" s="9" t="s">
        <v>366</v>
      </c>
      <c r="I85" s="9" t="s">
        <v>367</v>
      </c>
      <c r="J85" s="9" t="s">
        <v>156</v>
      </c>
      <c r="K85" s="9" t="s">
        <v>368</v>
      </c>
      <c r="L85" s="9" t="s">
        <v>369</v>
      </c>
      <c r="M85" s="11">
        <v>-96</v>
      </c>
      <c r="N85" s="9" t="s">
        <v>70</v>
      </c>
      <c r="O85" s="9" t="s">
        <v>209</v>
      </c>
      <c r="P85" s="9" t="s">
        <v>72</v>
      </c>
      <c r="Q85" s="11">
        <v>-96</v>
      </c>
      <c r="R85" s="9" t="s">
        <v>315</v>
      </c>
      <c r="S85" s="9" t="s">
        <v>0</v>
      </c>
      <c r="T85" s="9" t="s">
        <v>0</v>
      </c>
      <c r="U85" s="9" t="s">
        <v>159</v>
      </c>
    </row>
    <row r="86" spans="1:21" x14ac:dyDescent="0.25">
      <c r="A86" s="10" t="s">
        <v>19</v>
      </c>
      <c r="B86" s="10" t="s">
        <v>60</v>
      </c>
      <c r="C86" s="10" t="s">
        <v>370</v>
      </c>
      <c r="D86" s="10" t="s">
        <v>371</v>
      </c>
      <c r="E86" s="10" t="s">
        <v>372</v>
      </c>
      <c r="F86" s="10" t="s">
        <v>373</v>
      </c>
      <c r="G86" s="10" t="s">
        <v>65</v>
      </c>
      <c r="H86" s="10" t="s">
        <v>337</v>
      </c>
      <c r="I86" s="10" t="s">
        <v>253</v>
      </c>
      <c r="J86" s="10" t="s">
        <v>374</v>
      </c>
      <c r="K86" s="10" t="s">
        <v>100</v>
      </c>
      <c r="L86" s="10" t="s">
        <v>83</v>
      </c>
      <c r="M86" s="12">
        <v>59.63</v>
      </c>
      <c r="N86" s="10" t="s">
        <v>70</v>
      </c>
      <c r="O86" s="10" t="s">
        <v>71</v>
      </c>
      <c r="P86" s="10" t="s">
        <v>72</v>
      </c>
      <c r="Q86" s="12">
        <v>33.99</v>
      </c>
      <c r="R86" s="10" t="s">
        <v>73</v>
      </c>
      <c r="S86" s="10" t="s">
        <v>0</v>
      </c>
      <c r="T86" s="10" t="s">
        <v>0</v>
      </c>
      <c r="U86" s="10" t="s">
        <v>375</v>
      </c>
    </row>
    <row r="87" spans="1:21" x14ac:dyDescent="0.25">
      <c r="A87" s="9" t="s">
        <v>18</v>
      </c>
      <c r="B87" s="9" t="s">
        <v>60</v>
      </c>
      <c r="C87" s="9" t="s">
        <v>341</v>
      </c>
      <c r="D87" s="9" t="s">
        <v>342</v>
      </c>
      <c r="E87" s="9" t="s">
        <v>376</v>
      </c>
      <c r="F87" s="9" t="s">
        <v>377</v>
      </c>
      <c r="G87" s="9" t="s">
        <v>135</v>
      </c>
      <c r="H87" s="9" t="s">
        <v>378</v>
      </c>
      <c r="I87" s="9" t="s">
        <v>149</v>
      </c>
      <c r="J87" s="9" t="s">
        <v>99</v>
      </c>
      <c r="K87" s="9" t="s">
        <v>379</v>
      </c>
      <c r="L87" s="9" t="s">
        <v>83</v>
      </c>
      <c r="M87" s="11">
        <v>153.77000000000001</v>
      </c>
      <c r="N87" s="9" t="s">
        <v>70</v>
      </c>
      <c r="O87" s="9" t="s">
        <v>380</v>
      </c>
      <c r="P87" s="9" t="s">
        <v>72</v>
      </c>
      <c r="Q87" s="11">
        <v>36.9</v>
      </c>
      <c r="R87" s="9" t="s">
        <v>73</v>
      </c>
      <c r="S87" s="9" t="s">
        <v>0</v>
      </c>
      <c r="T87" s="9" t="s">
        <v>0</v>
      </c>
      <c r="U87" s="9" t="s">
        <v>102</v>
      </c>
    </row>
    <row r="88" spans="1:21" x14ac:dyDescent="0.25">
      <c r="A88" s="10" t="s">
        <v>19</v>
      </c>
      <c r="B88" s="10" t="s">
        <v>60</v>
      </c>
      <c r="C88" s="10" t="s">
        <v>265</v>
      </c>
      <c r="D88" s="10" t="s">
        <v>266</v>
      </c>
      <c r="E88" s="10" t="s">
        <v>381</v>
      </c>
      <c r="F88" s="10" t="s">
        <v>382</v>
      </c>
      <c r="G88" s="10" t="s">
        <v>252</v>
      </c>
      <c r="H88" s="10" t="s">
        <v>383</v>
      </c>
      <c r="I88" s="10" t="s">
        <v>80</v>
      </c>
      <c r="J88" s="10" t="s">
        <v>163</v>
      </c>
      <c r="K88" s="10" t="s">
        <v>170</v>
      </c>
      <c r="L88" s="10" t="s">
        <v>170</v>
      </c>
      <c r="M88" s="12">
        <v>25.67</v>
      </c>
      <c r="N88" s="10" t="s">
        <v>70</v>
      </c>
      <c r="O88" s="10" t="s">
        <v>271</v>
      </c>
      <c r="P88" s="10" t="s">
        <v>72</v>
      </c>
      <c r="Q88" s="12">
        <v>16.690000000000001</v>
      </c>
      <c r="R88" s="10" t="s">
        <v>315</v>
      </c>
      <c r="S88" s="10" t="s">
        <v>0</v>
      </c>
      <c r="T88" s="10" t="s">
        <v>0</v>
      </c>
      <c r="U88" s="10" t="s">
        <v>165</v>
      </c>
    </row>
    <row r="89" spans="1:21" x14ac:dyDescent="0.25">
      <c r="A89" s="9" t="s">
        <v>19</v>
      </c>
      <c r="B89" s="9" t="s">
        <v>60</v>
      </c>
      <c r="C89" s="9" t="s">
        <v>305</v>
      </c>
      <c r="D89" s="9" t="s">
        <v>306</v>
      </c>
      <c r="E89" s="9" t="s">
        <v>384</v>
      </c>
      <c r="F89" s="9" t="s">
        <v>385</v>
      </c>
      <c r="G89" s="9" t="s">
        <v>65</v>
      </c>
      <c r="H89" s="9" t="s">
        <v>309</v>
      </c>
      <c r="I89" s="9" t="s">
        <v>80</v>
      </c>
      <c r="J89" s="9" t="s">
        <v>106</v>
      </c>
      <c r="K89" s="9" t="s">
        <v>100</v>
      </c>
      <c r="L89" s="9" t="s">
        <v>83</v>
      </c>
      <c r="M89" s="11">
        <v>23.7</v>
      </c>
      <c r="N89" s="9" t="s">
        <v>70</v>
      </c>
      <c r="O89" s="9" t="s">
        <v>84</v>
      </c>
      <c r="P89" s="9" t="s">
        <v>72</v>
      </c>
      <c r="Q89" s="11">
        <v>14.81</v>
      </c>
      <c r="R89" s="9" t="s">
        <v>73</v>
      </c>
      <c r="S89" s="9" t="s">
        <v>0</v>
      </c>
      <c r="T89" s="9" t="s">
        <v>0</v>
      </c>
      <c r="U89" s="9" t="s">
        <v>108</v>
      </c>
    </row>
    <row r="90" spans="1:21" x14ac:dyDescent="0.25">
      <c r="A90" s="10" t="s">
        <v>19</v>
      </c>
      <c r="B90" s="10" t="s">
        <v>60</v>
      </c>
      <c r="C90" s="10" t="s">
        <v>305</v>
      </c>
      <c r="D90" s="10" t="s">
        <v>306</v>
      </c>
      <c r="E90" s="10" t="s">
        <v>384</v>
      </c>
      <c r="F90" s="10" t="s">
        <v>385</v>
      </c>
      <c r="G90" s="10" t="s">
        <v>65</v>
      </c>
      <c r="H90" s="10" t="s">
        <v>309</v>
      </c>
      <c r="I90" s="10" t="s">
        <v>80</v>
      </c>
      <c r="J90" s="10" t="s">
        <v>106</v>
      </c>
      <c r="K90" s="10" t="s">
        <v>100</v>
      </c>
      <c r="L90" s="10" t="s">
        <v>83</v>
      </c>
      <c r="M90" s="12">
        <v>78.16</v>
      </c>
      <c r="N90" s="10" t="s">
        <v>70</v>
      </c>
      <c r="O90" s="10" t="s">
        <v>84</v>
      </c>
      <c r="P90" s="10" t="s">
        <v>72</v>
      </c>
      <c r="Q90" s="12">
        <v>48.85</v>
      </c>
      <c r="R90" s="10" t="s">
        <v>73</v>
      </c>
      <c r="S90" s="10" t="s">
        <v>0</v>
      </c>
      <c r="T90" s="10" t="s">
        <v>0</v>
      </c>
      <c r="U90" s="10" t="s">
        <v>108</v>
      </c>
    </row>
    <row r="91" spans="1:21" x14ac:dyDescent="0.25">
      <c r="A91" s="9" t="s">
        <v>19</v>
      </c>
      <c r="B91" s="9" t="s">
        <v>60</v>
      </c>
      <c r="C91" s="9" t="s">
        <v>248</v>
      </c>
      <c r="D91" s="9" t="s">
        <v>249</v>
      </c>
      <c r="E91" s="9" t="s">
        <v>335</v>
      </c>
      <c r="F91" s="9" t="s">
        <v>386</v>
      </c>
      <c r="G91" s="9" t="s">
        <v>65</v>
      </c>
      <c r="H91" s="9" t="s">
        <v>337</v>
      </c>
      <c r="I91" s="9" t="s">
        <v>80</v>
      </c>
      <c r="J91" s="9" t="s">
        <v>122</v>
      </c>
      <c r="K91" s="9" t="s">
        <v>100</v>
      </c>
      <c r="L91" s="9" t="s">
        <v>83</v>
      </c>
      <c r="M91" s="11">
        <v>44.29</v>
      </c>
      <c r="N91" s="9" t="s">
        <v>70</v>
      </c>
      <c r="O91" s="9" t="s">
        <v>209</v>
      </c>
      <c r="P91" s="9" t="s">
        <v>72</v>
      </c>
      <c r="Q91" s="11">
        <v>44.29</v>
      </c>
      <c r="R91" s="9" t="s">
        <v>73</v>
      </c>
      <c r="S91" s="9" t="s">
        <v>0</v>
      </c>
      <c r="T91" s="9" t="s">
        <v>0</v>
      </c>
      <c r="U91" s="9" t="s">
        <v>125</v>
      </c>
    </row>
    <row r="92" spans="1:21" x14ac:dyDescent="0.25">
      <c r="A92" s="10" t="s">
        <v>19</v>
      </c>
      <c r="B92" s="10" t="s">
        <v>60</v>
      </c>
      <c r="C92" s="10" t="s">
        <v>150</v>
      </c>
      <c r="D92" s="10" t="s">
        <v>151</v>
      </c>
      <c r="E92" s="10" t="s">
        <v>387</v>
      </c>
      <c r="F92" s="10" t="s">
        <v>388</v>
      </c>
      <c r="G92" s="10" t="s">
        <v>65</v>
      </c>
      <c r="H92" s="10" t="s">
        <v>389</v>
      </c>
      <c r="I92" s="10" t="s">
        <v>149</v>
      </c>
      <c r="J92" s="10" t="s">
        <v>122</v>
      </c>
      <c r="K92" s="10" t="s">
        <v>390</v>
      </c>
      <c r="L92" s="10" t="s">
        <v>83</v>
      </c>
      <c r="M92" s="12">
        <v>48.45</v>
      </c>
      <c r="N92" s="10" t="s">
        <v>70</v>
      </c>
      <c r="O92" s="10" t="s">
        <v>209</v>
      </c>
      <c r="P92" s="10" t="s">
        <v>72</v>
      </c>
      <c r="Q92" s="12">
        <v>48.45</v>
      </c>
      <c r="R92" s="10" t="s">
        <v>73</v>
      </c>
      <c r="S92" s="10" t="s">
        <v>0</v>
      </c>
      <c r="T92" s="10" t="s">
        <v>0</v>
      </c>
      <c r="U92" s="10" t="s">
        <v>125</v>
      </c>
    </row>
    <row r="93" spans="1:21" x14ac:dyDescent="0.25">
      <c r="A93" s="9" t="s">
        <v>19</v>
      </c>
      <c r="B93" s="9" t="s">
        <v>60</v>
      </c>
      <c r="C93" s="9" t="s">
        <v>94</v>
      </c>
      <c r="D93" s="9" t="s">
        <v>95</v>
      </c>
      <c r="E93" s="9" t="s">
        <v>391</v>
      </c>
      <c r="F93" s="9" t="s">
        <v>392</v>
      </c>
      <c r="G93" s="9" t="s">
        <v>65</v>
      </c>
      <c r="H93" s="9" t="s">
        <v>390</v>
      </c>
      <c r="I93" s="9" t="s">
        <v>80</v>
      </c>
      <c r="J93" s="9" t="s">
        <v>214</v>
      </c>
      <c r="K93" s="9" t="s">
        <v>277</v>
      </c>
      <c r="L93" s="9" t="s">
        <v>170</v>
      </c>
      <c r="M93" s="11">
        <v>85</v>
      </c>
      <c r="N93" s="9" t="s">
        <v>70</v>
      </c>
      <c r="O93" s="9" t="s">
        <v>71</v>
      </c>
      <c r="P93" s="9" t="s">
        <v>72</v>
      </c>
      <c r="Q93" s="11">
        <v>48.45</v>
      </c>
      <c r="R93" s="9" t="s">
        <v>73</v>
      </c>
      <c r="S93" s="9" t="s">
        <v>0</v>
      </c>
      <c r="T93" s="9" t="s">
        <v>0</v>
      </c>
      <c r="U93" s="9" t="s">
        <v>215</v>
      </c>
    </row>
    <row r="94" spans="1:21" x14ac:dyDescent="0.25">
      <c r="A94" s="10" t="s">
        <v>19</v>
      </c>
      <c r="B94" s="10" t="s">
        <v>60</v>
      </c>
      <c r="C94" s="10" t="s">
        <v>248</v>
      </c>
      <c r="D94" s="10" t="s">
        <v>249</v>
      </c>
      <c r="E94" s="10" t="s">
        <v>250</v>
      </c>
      <c r="F94" s="10" t="s">
        <v>393</v>
      </c>
      <c r="G94" s="10" t="s">
        <v>252</v>
      </c>
      <c r="H94" s="10" t="s">
        <v>221</v>
      </c>
      <c r="I94" s="10" t="s">
        <v>253</v>
      </c>
      <c r="J94" s="10" t="s">
        <v>156</v>
      </c>
      <c r="K94" s="10" t="s">
        <v>117</v>
      </c>
      <c r="L94" s="10" t="s">
        <v>117</v>
      </c>
      <c r="M94" s="12">
        <v>48.02</v>
      </c>
      <c r="N94" s="10" t="s">
        <v>70</v>
      </c>
      <c r="O94" s="10" t="s">
        <v>209</v>
      </c>
      <c r="P94" s="10" t="s">
        <v>72</v>
      </c>
      <c r="Q94" s="12">
        <v>48.02</v>
      </c>
      <c r="R94" s="10" t="s">
        <v>73</v>
      </c>
      <c r="S94" s="10" t="s">
        <v>0</v>
      </c>
      <c r="T94" s="10" t="s">
        <v>0</v>
      </c>
      <c r="U94" s="10" t="s">
        <v>159</v>
      </c>
    </row>
    <row r="95" spans="1:21" x14ac:dyDescent="0.25">
      <c r="A95" s="9" t="s">
        <v>19</v>
      </c>
      <c r="B95" s="9" t="s">
        <v>310</v>
      </c>
      <c r="C95" s="9" t="s">
        <v>265</v>
      </c>
      <c r="D95" s="9" t="s">
        <v>266</v>
      </c>
      <c r="E95" s="9" t="s">
        <v>394</v>
      </c>
      <c r="F95" s="9" t="s">
        <v>395</v>
      </c>
      <c r="G95" s="9" t="s">
        <v>252</v>
      </c>
      <c r="H95" s="9" t="s">
        <v>396</v>
      </c>
      <c r="I95" s="9" t="s">
        <v>80</v>
      </c>
      <c r="J95" s="9" t="s">
        <v>163</v>
      </c>
      <c r="K95" s="9" t="s">
        <v>397</v>
      </c>
      <c r="L95" s="9" t="s">
        <v>398</v>
      </c>
      <c r="M95" s="11">
        <v>-39.33</v>
      </c>
      <c r="N95" s="9" t="s">
        <v>70</v>
      </c>
      <c r="O95" s="9" t="s">
        <v>271</v>
      </c>
      <c r="P95" s="9" t="s">
        <v>72</v>
      </c>
      <c r="Q95" s="11">
        <v>-25.56</v>
      </c>
      <c r="R95" s="9" t="s">
        <v>73</v>
      </c>
      <c r="S95" s="9" t="s">
        <v>0</v>
      </c>
      <c r="T95" s="9" t="s">
        <v>0</v>
      </c>
      <c r="U95" s="9" t="s">
        <v>165</v>
      </c>
    </row>
    <row r="96" spans="1:21" x14ac:dyDescent="0.25">
      <c r="A96" s="10" t="s">
        <v>19</v>
      </c>
      <c r="B96" s="10" t="s">
        <v>310</v>
      </c>
      <c r="C96" s="10" t="s">
        <v>265</v>
      </c>
      <c r="D96" s="10" t="s">
        <v>266</v>
      </c>
      <c r="E96" s="10" t="s">
        <v>394</v>
      </c>
      <c r="F96" s="10" t="s">
        <v>395</v>
      </c>
      <c r="G96" s="10" t="s">
        <v>252</v>
      </c>
      <c r="H96" s="10" t="s">
        <v>396</v>
      </c>
      <c r="I96" s="10" t="s">
        <v>80</v>
      </c>
      <c r="J96" s="10" t="s">
        <v>163</v>
      </c>
      <c r="K96" s="10" t="s">
        <v>397</v>
      </c>
      <c r="L96" s="10" t="s">
        <v>398</v>
      </c>
      <c r="M96" s="12">
        <v>-14.17</v>
      </c>
      <c r="N96" s="10" t="s">
        <v>70</v>
      </c>
      <c r="O96" s="10" t="s">
        <v>271</v>
      </c>
      <c r="P96" s="10" t="s">
        <v>72</v>
      </c>
      <c r="Q96" s="12">
        <v>-9.2100000000000009</v>
      </c>
      <c r="R96" s="10" t="s">
        <v>73</v>
      </c>
      <c r="S96" s="10" t="s">
        <v>0</v>
      </c>
      <c r="T96" s="10" t="s">
        <v>0</v>
      </c>
      <c r="U96" s="10" t="s">
        <v>165</v>
      </c>
    </row>
    <row r="97" spans="1:21" x14ac:dyDescent="0.25">
      <c r="A97" s="9" t="s">
        <v>19</v>
      </c>
      <c r="B97" s="9" t="s">
        <v>60</v>
      </c>
      <c r="C97" s="9" t="s">
        <v>399</v>
      </c>
      <c r="D97" s="9" t="s">
        <v>400</v>
      </c>
      <c r="E97" s="9" t="s">
        <v>401</v>
      </c>
      <c r="F97" s="9" t="s">
        <v>402</v>
      </c>
      <c r="G97" s="9" t="s">
        <v>252</v>
      </c>
      <c r="H97" s="9" t="s">
        <v>221</v>
      </c>
      <c r="I97" s="9" t="s">
        <v>80</v>
      </c>
      <c r="J97" s="9" t="s">
        <v>163</v>
      </c>
      <c r="K97" s="9" t="s">
        <v>117</v>
      </c>
      <c r="L97" s="9" t="s">
        <v>117</v>
      </c>
      <c r="M97" s="11">
        <v>34.42</v>
      </c>
      <c r="N97" s="9" t="s">
        <v>70</v>
      </c>
      <c r="O97" s="9" t="s">
        <v>271</v>
      </c>
      <c r="P97" s="9" t="s">
        <v>72</v>
      </c>
      <c r="Q97" s="11">
        <v>22.37</v>
      </c>
      <c r="R97" s="9" t="s">
        <v>73</v>
      </c>
      <c r="S97" s="9" t="s">
        <v>0</v>
      </c>
      <c r="T97" s="9" t="s">
        <v>0</v>
      </c>
      <c r="U97" s="9" t="s">
        <v>165</v>
      </c>
    </row>
    <row r="98" spans="1:21" x14ac:dyDescent="0.25">
      <c r="A98" s="10" t="s">
        <v>19</v>
      </c>
      <c r="B98" s="10" t="s">
        <v>60</v>
      </c>
      <c r="C98" s="10" t="s">
        <v>192</v>
      </c>
      <c r="D98" s="10" t="s">
        <v>193</v>
      </c>
      <c r="E98" s="10" t="s">
        <v>403</v>
      </c>
      <c r="F98" s="10" t="s">
        <v>404</v>
      </c>
      <c r="G98" s="10" t="s">
        <v>65</v>
      </c>
      <c r="H98" s="10" t="s">
        <v>405</v>
      </c>
      <c r="I98" s="10" t="s">
        <v>80</v>
      </c>
      <c r="J98" s="10" t="s">
        <v>142</v>
      </c>
      <c r="K98" s="10" t="s">
        <v>406</v>
      </c>
      <c r="L98" s="10" t="s">
        <v>7</v>
      </c>
      <c r="M98" s="12">
        <v>78.239999999999995</v>
      </c>
      <c r="N98" s="10" t="s">
        <v>70</v>
      </c>
      <c r="O98" s="10" t="s">
        <v>71</v>
      </c>
      <c r="P98" s="10" t="s">
        <v>72</v>
      </c>
      <c r="Q98" s="12">
        <v>44.6</v>
      </c>
      <c r="R98" s="10" t="s">
        <v>73</v>
      </c>
      <c r="S98" s="10" t="s">
        <v>0</v>
      </c>
      <c r="T98" s="10" t="s">
        <v>0</v>
      </c>
      <c r="U98" s="10" t="s">
        <v>143</v>
      </c>
    </row>
    <row r="99" spans="1:21" x14ac:dyDescent="0.25">
      <c r="A99" s="9" t="s">
        <v>19</v>
      </c>
      <c r="B99" s="9" t="s">
        <v>310</v>
      </c>
      <c r="C99" s="9" t="s">
        <v>362</v>
      </c>
      <c r="D99" s="9" t="s">
        <v>363</v>
      </c>
      <c r="E99" s="9" t="s">
        <v>364</v>
      </c>
      <c r="F99" s="9" t="s">
        <v>407</v>
      </c>
      <c r="G99" s="9" t="s">
        <v>252</v>
      </c>
      <c r="H99" s="9" t="s">
        <v>366</v>
      </c>
      <c r="I99" s="9" t="s">
        <v>367</v>
      </c>
      <c r="J99" s="9" t="s">
        <v>122</v>
      </c>
      <c r="K99" s="9" t="s">
        <v>368</v>
      </c>
      <c r="L99" s="9" t="s">
        <v>369</v>
      </c>
      <c r="M99" s="11">
        <v>-92.7</v>
      </c>
      <c r="N99" s="9" t="s">
        <v>70</v>
      </c>
      <c r="O99" s="9" t="s">
        <v>209</v>
      </c>
      <c r="P99" s="9" t="s">
        <v>72</v>
      </c>
      <c r="Q99" s="11">
        <v>-92.7</v>
      </c>
      <c r="R99" s="9" t="s">
        <v>315</v>
      </c>
      <c r="S99" s="9" t="s">
        <v>0</v>
      </c>
      <c r="T99" s="9" t="s">
        <v>0</v>
      </c>
      <c r="U99" s="9" t="s">
        <v>125</v>
      </c>
    </row>
    <row r="100" spans="1:21" x14ac:dyDescent="0.25">
      <c r="A100" s="10" t="s">
        <v>19</v>
      </c>
      <c r="B100" s="10" t="s">
        <v>310</v>
      </c>
      <c r="C100" s="10" t="s">
        <v>408</v>
      </c>
      <c r="D100" s="10" t="s">
        <v>409</v>
      </c>
      <c r="E100" s="10" t="s">
        <v>410</v>
      </c>
      <c r="F100" s="10" t="s">
        <v>411</v>
      </c>
      <c r="G100" s="10" t="s">
        <v>252</v>
      </c>
      <c r="H100" s="10" t="s">
        <v>412</v>
      </c>
      <c r="I100" s="10" t="s">
        <v>253</v>
      </c>
      <c r="J100" s="10" t="s">
        <v>122</v>
      </c>
      <c r="K100" s="10" t="s">
        <v>83</v>
      </c>
      <c r="L100" s="10" t="s">
        <v>398</v>
      </c>
      <c r="M100" s="12">
        <v>-215.39</v>
      </c>
      <c r="N100" s="10" t="s">
        <v>70</v>
      </c>
      <c r="O100" s="10" t="s">
        <v>209</v>
      </c>
      <c r="P100" s="10" t="s">
        <v>72</v>
      </c>
      <c r="Q100" s="12">
        <v>-215.39</v>
      </c>
      <c r="R100" s="10" t="s">
        <v>315</v>
      </c>
      <c r="S100" s="10" t="s">
        <v>0</v>
      </c>
      <c r="T100" s="10" t="s">
        <v>0</v>
      </c>
      <c r="U100" s="10" t="s">
        <v>125</v>
      </c>
    </row>
    <row r="101" spans="1:21" x14ac:dyDescent="0.25">
      <c r="A101" s="9" t="s">
        <v>19</v>
      </c>
      <c r="B101" s="9" t="s">
        <v>60</v>
      </c>
      <c r="C101" s="9" t="s">
        <v>61</v>
      </c>
      <c r="D101" s="9" t="s">
        <v>62</v>
      </c>
      <c r="E101" s="9" t="s">
        <v>413</v>
      </c>
      <c r="F101" s="9" t="s">
        <v>414</v>
      </c>
      <c r="G101" s="9" t="s">
        <v>252</v>
      </c>
      <c r="H101" s="9" t="s">
        <v>221</v>
      </c>
      <c r="I101" s="9" t="s">
        <v>67</v>
      </c>
      <c r="J101" s="9" t="s">
        <v>156</v>
      </c>
      <c r="K101" s="9" t="s">
        <v>397</v>
      </c>
      <c r="L101" s="9" t="s">
        <v>397</v>
      </c>
      <c r="M101" s="11">
        <v>30.96</v>
      </c>
      <c r="N101" s="9" t="s">
        <v>70</v>
      </c>
      <c r="O101" s="9" t="s">
        <v>124</v>
      </c>
      <c r="P101" s="9" t="s">
        <v>72</v>
      </c>
      <c r="Q101" s="11">
        <v>29.41</v>
      </c>
      <c r="R101" s="9" t="s">
        <v>73</v>
      </c>
      <c r="S101" s="9" t="s">
        <v>0</v>
      </c>
      <c r="T101" s="9" t="s">
        <v>0</v>
      </c>
      <c r="U101" s="9" t="s">
        <v>159</v>
      </c>
    </row>
    <row r="102" spans="1:21" x14ac:dyDescent="0.25">
      <c r="A102" s="10" t="s">
        <v>19</v>
      </c>
      <c r="B102" s="10" t="s">
        <v>60</v>
      </c>
      <c r="C102" s="10" t="s">
        <v>61</v>
      </c>
      <c r="D102" s="10" t="s">
        <v>62</v>
      </c>
      <c r="E102" s="10" t="s">
        <v>413</v>
      </c>
      <c r="F102" s="10" t="s">
        <v>415</v>
      </c>
      <c r="G102" s="10" t="s">
        <v>252</v>
      </c>
      <c r="H102" s="10" t="s">
        <v>221</v>
      </c>
      <c r="I102" s="10" t="s">
        <v>67</v>
      </c>
      <c r="J102" s="10" t="s">
        <v>122</v>
      </c>
      <c r="K102" s="10" t="s">
        <v>397</v>
      </c>
      <c r="L102" s="10" t="s">
        <v>397</v>
      </c>
      <c r="M102" s="12">
        <v>34.15</v>
      </c>
      <c r="N102" s="10" t="s">
        <v>70</v>
      </c>
      <c r="O102" s="10" t="s">
        <v>124</v>
      </c>
      <c r="P102" s="10" t="s">
        <v>72</v>
      </c>
      <c r="Q102" s="12">
        <v>32.44</v>
      </c>
      <c r="R102" s="10" t="s">
        <v>73</v>
      </c>
      <c r="S102" s="10" t="s">
        <v>0</v>
      </c>
      <c r="T102" s="10" t="s">
        <v>0</v>
      </c>
      <c r="U102" s="10" t="s">
        <v>125</v>
      </c>
    </row>
    <row r="103" spans="1:21" x14ac:dyDescent="0.25">
      <c r="A103" s="9" t="s">
        <v>18</v>
      </c>
      <c r="B103" s="9" t="s">
        <v>60</v>
      </c>
      <c r="C103" s="9" t="s">
        <v>416</v>
      </c>
      <c r="D103" s="9" t="s">
        <v>417</v>
      </c>
      <c r="E103" s="9" t="s">
        <v>418</v>
      </c>
      <c r="F103" s="9" t="s">
        <v>419</v>
      </c>
      <c r="G103" s="9" t="s">
        <v>135</v>
      </c>
      <c r="H103" s="9" t="s">
        <v>420</v>
      </c>
      <c r="I103" s="9" t="s">
        <v>67</v>
      </c>
      <c r="J103" s="9" t="s">
        <v>129</v>
      </c>
      <c r="K103" s="9" t="s">
        <v>182</v>
      </c>
      <c r="L103" s="9" t="s">
        <v>83</v>
      </c>
      <c r="M103" s="11">
        <v>107.54</v>
      </c>
      <c r="N103" s="9" t="s">
        <v>70</v>
      </c>
      <c r="O103" s="9" t="s">
        <v>421</v>
      </c>
      <c r="P103" s="9" t="s">
        <v>72</v>
      </c>
      <c r="Q103" s="11">
        <v>31.19</v>
      </c>
      <c r="R103" s="9" t="s">
        <v>73</v>
      </c>
      <c r="S103" s="9" t="s">
        <v>0</v>
      </c>
      <c r="T103" s="9" t="s">
        <v>0</v>
      </c>
      <c r="U103" s="9" t="s">
        <v>132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A45AF-4315-4C8A-AE91-E4C24FADEC0E}">
  <dimension ref="A1:R102"/>
  <sheetViews>
    <sheetView tabSelected="1" topLeftCell="C1" workbookViewId="0">
      <selection activeCell="E9" sqref="E9"/>
    </sheetView>
  </sheetViews>
  <sheetFormatPr defaultRowHeight="15" x14ac:dyDescent="0.25"/>
  <cols>
    <col min="1" max="1" width="31.7109375" style="18" bestFit="1" customWidth="1"/>
    <col min="2" max="2" width="23" style="18" customWidth="1"/>
    <col min="3" max="3" width="21" style="18" customWidth="1"/>
    <col min="4" max="4" width="11" style="18" customWidth="1"/>
    <col min="5" max="5" width="17" style="18" customWidth="1"/>
    <col min="6" max="6" width="23" style="18" customWidth="1"/>
    <col min="7" max="7" width="10" style="18" customWidth="1"/>
    <col min="8" max="9" width="38.7109375" style="18" customWidth="1"/>
    <col min="10" max="10" width="18" style="18" customWidth="1"/>
    <col min="11" max="11" width="19" style="18" customWidth="1"/>
    <col min="12" max="12" width="10.85546875" style="18" customWidth="1"/>
    <col min="13" max="13" width="12.42578125" style="18" customWidth="1"/>
    <col min="14" max="14" width="10.5703125" style="18" customWidth="1"/>
    <col min="15" max="15" width="14.42578125" style="18" customWidth="1"/>
    <col min="16" max="16" width="10" style="18" customWidth="1"/>
    <col min="17" max="17" width="21" style="18" customWidth="1"/>
    <col min="18" max="18" width="20" style="18" customWidth="1"/>
    <col min="19" max="16384" width="9.140625" style="18"/>
  </cols>
  <sheetData>
    <row r="1" spans="1:18" x14ac:dyDescent="0.25">
      <c r="A1" s="17" t="s">
        <v>40</v>
      </c>
      <c r="B1" s="17" t="s">
        <v>41</v>
      </c>
      <c r="C1" s="17" t="s">
        <v>42</v>
      </c>
      <c r="D1" s="17" t="s">
        <v>43</v>
      </c>
      <c r="E1" s="17" t="s">
        <v>44</v>
      </c>
      <c r="F1" s="17" t="s">
        <v>45</v>
      </c>
      <c r="G1" s="17" t="s">
        <v>47</v>
      </c>
      <c r="H1" s="17" t="s">
        <v>48</v>
      </c>
      <c r="I1" s="17"/>
      <c r="J1" s="17" t="s">
        <v>49</v>
      </c>
      <c r="K1" s="17" t="s">
        <v>50</v>
      </c>
      <c r="L1" s="17"/>
      <c r="M1" s="17"/>
      <c r="N1" s="17"/>
      <c r="O1" s="17" t="s">
        <v>51</v>
      </c>
      <c r="P1" s="17" t="s">
        <v>53</v>
      </c>
      <c r="Q1" s="17" t="s">
        <v>55</v>
      </c>
      <c r="R1" s="17" t="s">
        <v>59</v>
      </c>
    </row>
    <row r="2" spans="1:18" s="23" customFormat="1" x14ac:dyDescent="0.25">
      <c r="A2" s="21" t="s">
        <v>60</v>
      </c>
      <c r="B2" s="21" t="s">
        <v>428</v>
      </c>
      <c r="C2" s="21" t="s">
        <v>400</v>
      </c>
      <c r="D2" s="21" t="s">
        <v>401</v>
      </c>
      <c r="E2" s="21" t="s">
        <v>402</v>
      </c>
      <c r="F2" s="21" t="s">
        <v>252</v>
      </c>
      <c r="G2" s="21" t="s">
        <v>80</v>
      </c>
      <c r="H2" s="21" t="s">
        <v>163</v>
      </c>
      <c r="I2" s="21" t="s">
        <v>437</v>
      </c>
      <c r="J2" s="21" t="s">
        <v>117</v>
      </c>
      <c r="K2" s="21" t="s">
        <v>117</v>
      </c>
      <c r="L2" s="21">
        <f>DATEDIF(J2,K2,"M")</f>
        <v>0</v>
      </c>
      <c r="M2" s="21" t="s">
        <v>426</v>
      </c>
      <c r="N2" s="21" t="s">
        <v>427</v>
      </c>
      <c r="O2" s="22">
        <v>34.42</v>
      </c>
      <c r="P2" s="24">
        <v>0.65</v>
      </c>
      <c r="Q2" s="22">
        <v>22.37</v>
      </c>
      <c r="R2" s="21" t="s">
        <v>165</v>
      </c>
    </row>
    <row r="3" spans="1:18" s="23" customFormat="1" x14ac:dyDescent="0.25">
      <c r="A3" s="21" t="s">
        <v>310</v>
      </c>
      <c r="B3" s="21">
        <v>21564088</v>
      </c>
      <c r="C3" s="21" t="s">
        <v>363</v>
      </c>
      <c r="D3" s="21" t="s">
        <v>364</v>
      </c>
      <c r="E3" s="21" t="s">
        <v>407</v>
      </c>
      <c r="F3" s="21" t="s">
        <v>252</v>
      </c>
      <c r="G3" s="21" t="s">
        <v>367</v>
      </c>
      <c r="H3" s="21" t="s">
        <v>122</v>
      </c>
      <c r="I3" s="21" t="s">
        <v>430</v>
      </c>
      <c r="J3" s="21" t="s">
        <v>368</v>
      </c>
      <c r="K3" s="21" t="s">
        <v>369</v>
      </c>
      <c r="L3" s="21">
        <f>DATEDIF(J3,K3,"M")</f>
        <v>1</v>
      </c>
      <c r="M3" s="21" t="s">
        <v>425</v>
      </c>
      <c r="N3" s="21" t="s">
        <v>424</v>
      </c>
      <c r="O3" s="22">
        <v>-92.7</v>
      </c>
      <c r="P3" s="24">
        <v>1</v>
      </c>
      <c r="Q3" s="22">
        <v>-92.7</v>
      </c>
      <c r="R3" s="21" t="s">
        <v>125</v>
      </c>
    </row>
    <row r="4" spans="1:18" s="23" customFormat="1" x14ac:dyDescent="0.25">
      <c r="A4" s="21" t="s">
        <v>310</v>
      </c>
      <c r="B4" s="21">
        <v>21564088</v>
      </c>
      <c r="C4" s="21" t="s">
        <v>363</v>
      </c>
      <c r="D4" s="21" t="s">
        <v>364</v>
      </c>
      <c r="E4" s="21" t="s">
        <v>365</v>
      </c>
      <c r="F4" s="21" t="s">
        <v>252</v>
      </c>
      <c r="G4" s="21" t="s">
        <v>367</v>
      </c>
      <c r="H4" s="21" t="s">
        <v>156</v>
      </c>
      <c r="I4" s="21" t="s">
        <v>430</v>
      </c>
      <c r="J4" s="21" t="s">
        <v>368</v>
      </c>
      <c r="K4" s="21" t="s">
        <v>369</v>
      </c>
      <c r="L4" s="21">
        <f>DATEDIF(J4,K4,"M")</f>
        <v>1</v>
      </c>
      <c r="M4" s="21" t="s">
        <v>425</v>
      </c>
      <c r="N4" s="21" t="s">
        <v>424</v>
      </c>
      <c r="O4" s="22">
        <v>-96</v>
      </c>
      <c r="P4" s="24">
        <v>1</v>
      </c>
      <c r="Q4" s="22">
        <v>-96</v>
      </c>
      <c r="R4" s="21" t="s">
        <v>159</v>
      </c>
    </row>
    <row r="5" spans="1:18" s="23" customFormat="1" x14ac:dyDescent="0.25">
      <c r="A5" s="21" t="s">
        <v>60</v>
      </c>
      <c r="B5" s="21">
        <v>17126004</v>
      </c>
      <c r="C5" s="21" t="s">
        <v>186</v>
      </c>
      <c r="D5" s="21" t="s">
        <v>187</v>
      </c>
      <c r="E5" s="21" t="s">
        <v>188</v>
      </c>
      <c r="F5" s="21" t="s">
        <v>65</v>
      </c>
      <c r="G5" s="21" t="s">
        <v>80</v>
      </c>
      <c r="H5" s="21" t="s">
        <v>190</v>
      </c>
      <c r="I5" s="21" t="s">
        <v>431</v>
      </c>
      <c r="J5" s="21" t="s">
        <v>130</v>
      </c>
      <c r="K5" s="21" t="s">
        <v>83</v>
      </c>
      <c r="L5" s="21">
        <f>DATEDIF(J5,K5,"M")</f>
        <v>2</v>
      </c>
      <c r="M5" s="21" t="s">
        <v>425</v>
      </c>
      <c r="N5" s="21" t="s">
        <v>424</v>
      </c>
      <c r="O5" s="22">
        <v>59.16</v>
      </c>
      <c r="P5" s="24">
        <v>1.05</v>
      </c>
      <c r="Q5" s="22">
        <v>62.12</v>
      </c>
      <c r="R5" s="21" t="s">
        <v>191</v>
      </c>
    </row>
    <row r="6" spans="1:18" s="23" customFormat="1" x14ac:dyDescent="0.25">
      <c r="A6" s="21" t="s">
        <v>60</v>
      </c>
      <c r="B6" s="21">
        <v>19200754</v>
      </c>
      <c r="C6" s="21" t="s">
        <v>87</v>
      </c>
      <c r="D6" s="21" t="s">
        <v>199</v>
      </c>
      <c r="E6" s="21" t="s">
        <v>200</v>
      </c>
      <c r="F6" s="21" t="s">
        <v>65</v>
      </c>
      <c r="G6" s="21" t="s">
        <v>80</v>
      </c>
      <c r="H6" s="21" t="s">
        <v>122</v>
      </c>
      <c r="I6" s="21" t="s">
        <v>431</v>
      </c>
      <c r="J6" s="21" t="s">
        <v>201</v>
      </c>
      <c r="K6" s="21" t="s">
        <v>202</v>
      </c>
      <c r="L6" s="21">
        <f>DATEDIF(J6,K6,"M")</f>
        <v>2</v>
      </c>
      <c r="M6" s="21" t="s">
        <v>425</v>
      </c>
      <c r="N6" s="21" t="s">
        <v>424</v>
      </c>
      <c r="O6" s="22">
        <v>150.86000000000001</v>
      </c>
      <c r="P6" s="24">
        <v>1.05</v>
      </c>
      <c r="Q6" s="22">
        <v>158.4</v>
      </c>
      <c r="R6" s="21" t="s">
        <v>125</v>
      </c>
    </row>
    <row r="7" spans="1:18" s="23" customFormat="1" x14ac:dyDescent="0.25">
      <c r="A7" s="21" t="s">
        <v>60</v>
      </c>
      <c r="B7" s="21">
        <v>16202925</v>
      </c>
      <c r="C7" s="21" t="s">
        <v>112</v>
      </c>
      <c r="D7" s="21" t="s">
        <v>126</v>
      </c>
      <c r="E7" s="21" t="s">
        <v>127</v>
      </c>
      <c r="F7" s="21" t="s">
        <v>65</v>
      </c>
      <c r="G7" s="21" t="s">
        <v>67</v>
      </c>
      <c r="H7" s="21" t="s">
        <v>129</v>
      </c>
      <c r="I7" s="21" t="s">
        <v>443</v>
      </c>
      <c r="J7" s="21" t="s">
        <v>130</v>
      </c>
      <c r="K7" s="21" t="s">
        <v>83</v>
      </c>
      <c r="L7" s="21">
        <f>DATEDIF(J7,K7,"M")</f>
        <v>2</v>
      </c>
      <c r="M7" s="21" t="s">
        <v>425</v>
      </c>
      <c r="N7" s="21" t="s">
        <v>424</v>
      </c>
      <c r="O7" s="22">
        <v>150.13</v>
      </c>
      <c r="P7" s="24">
        <v>0.31</v>
      </c>
      <c r="Q7" s="22">
        <v>46.54</v>
      </c>
      <c r="R7" s="21" t="s">
        <v>132</v>
      </c>
    </row>
    <row r="8" spans="1:18" s="23" customFormat="1" x14ac:dyDescent="0.25">
      <c r="A8" s="21" t="s">
        <v>60</v>
      </c>
      <c r="B8" s="21">
        <v>19200754</v>
      </c>
      <c r="C8" s="21" t="s">
        <v>87</v>
      </c>
      <c r="D8" s="21" t="s">
        <v>171</v>
      </c>
      <c r="E8" s="21" t="s">
        <v>172</v>
      </c>
      <c r="F8" s="21" t="s">
        <v>65</v>
      </c>
      <c r="G8" s="21" t="s">
        <v>80</v>
      </c>
      <c r="H8" s="21" t="s">
        <v>174</v>
      </c>
      <c r="I8" s="21" t="s">
        <v>434</v>
      </c>
      <c r="J8" s="21" t="s">
        <v>175</v>
      </c>
      <c r="K8" s="21" t="s">
        <v>170</v>
      </c>
      <c r="L8" s="21">
        <f>DATEDIF(J8,K8,"M")</f>
        <v>4</v>
      </c>
      <c r="M8" s="21" t="s">
        <v>425</v>
      </c>
      <c r="N8" s="21" t="s">
        <v>424</v>
      </c>
      <c r="O8" s="22">
        <v>69.83</v>
      </c>
      <c r="P8" s="24">
        <v>0.57999999999999996</v>
      </c>
      <c r="Q8" s="22">
        <v>40.5</v>
      </c>
      <c r="R8" s="21" t="s">
        <v>176</v>
      </c>
    </row>
    <row r="9" spans="1:18" s="23" customFormat="1" x14ac:dyDescent="0.25">
      <c r="A9" s="21" t="s">
        <v>60</v>
      </c>
      <c r="B9" s="21">
        <v>19200754</v>
      </c>
      <c r="C9" s="21" t="s">
        <v>87</v>
      </c>
      <c r="D9" s="21" t="s">
        <v>210</v>
      </c>
      <c r="E9" s="21" t="s">
        <v>211</v>
      </c>
      <c r="F9" s="21" t="s">
        <v>65</v>
      </c>
      <c r="G9" s="21" t="s">
        <v>213</v>
      </c>
      <c r="H9" s="21" t="s">
        <v>214</v>
      </c>
      <c r="I9" s="21" t="s">
        <v>433</v>
      </c>
      <c r="J9" s="21" t="s">
        <v>164</v>
      </c>
      <c r="K9" s="21" t="s">
        <v>83</v>
      </c>
      <c r="L9" s="21">
        <f>DATEDIF(J9,K9,"M")</f>
        <v>6</v>
      </c>
      <c r="M9" s="21" t="s">
        <v>425</v>
      </c>
      <c r="N9" s="21" t="s">
        <v>424</v>
      </c>
      <c r="O9" s="22">
        <v>27.62</v>
      </c>
      <c r="P9" s="24">
        <v>0.56999999999999995</v>
      </c>
      <c r="Q9" s="22">
        <v>15.74</v>
      </c>
      <c r="R9" s="21" t="s">
        <v>215</v>
      </c>
    </row>
    <row r="10" spans="1:18" s="23" customFormat="1" x14ac:dyDescent="0.25">
      <c r="A10" s="21" t="s">
        <v>60</v>
      </c>
      <c r="B10" s="21">
        <v>16202925</v>
      </c>
      <c r="C10" s="21" t="s">
        <v>112</v>
      </c>
      <c r="D10" s="21" t="s">
        <v>113</v>
      </c>
      <c r="E10" s="21" t="s">
        <v>114</v>
      </c>
      <c r="F10" s="21" t="s">
        <v>65</v>
      </c>
      <c r="G10" s="21" t="s">
        <v>67</v>
      </c>
      <c r="H10" s="21" t="s">
        <v>99</v>
      </c>
      <c r="I10" s="21" t="s">
        <v>441</v>
      </c>
      <c r="J10" s="21" t="s">
        <v>116</v>
      </c>
      <c r="K10" s="21" t="s">
        <v>117</v>
      </c>
      <c r="L10" s="21">
        <f>DATEDIF(J10,K10,"M")</f>
        <v>6</v>
      </c>
      <c r="M10" s="21" t="s">
        <v>425</v>
      </c>
      <c r="N10" s="21" t="s">
        <v>424</v>
      </c>
      <c r="O10" s="22">
        <v>181.68</v>
      </c>
      <c r="P10" s="24">
        <v>0.26</v>
      </c>
      <c r="Q10" s="22">
        <v>47.24</v>
      </c>
      <c r="R10" s="21" t="s">
        <v>102</v>
      </c>
    </row>
    <row r="11" spans="1:18" s="23" customFormat="1" x14ac:dyDescent="0.25">
      <c r="A11" s="21" t="s">
        <v>60</v>
      </c>
      <c r="B11" s="21">
        <v>19586992</v>
      </c>
      <c r="C11" s="21" t="s">
        <v>240</v>
      </c>
      <c r="D11" s="21" t="s">
        <v>241</v>
      </c>
      <c r="E11" s="21" t="s">
        <v>242</v>
      </c>
      <c r="F11" s="21" t="s">
        <v>65</v>
      </c>
      <c r="G11" s="21" t="s">
        <v>80</v>
      </c>
      <c r="H11" s="21" t="s">
        <v>190</v>
      </c>
      <c r="I11" s="21" t="s">
        <v>430</v>
      </c>
      <c r="J11" s="21" t="s">
        <v>100</v>
      </c>
      <c r="K11" s="21" t="s">
        <v>83</v>
      </c>
      <c r="L11" s="21">
        <f>DATEDIF(J11,K11,"M")</f>
        <v>7</v>
      </c>
      <c r="M11" s="21" t="s">
        <v>425</v>
      </c>
      <c r="N11" s="21" t="s">
        <v>424</v>
      </c>
      <c r="O11" s="22">
        <v>88.75</v>
      </c>
      <c r="P11" s="24">
        <v>1</v>
      </c>
      <c r="Q11" s="22">
        <v>88.75</v>
      </c>
      <c r="R11" s="21" t="s">
        <v>191</v>
      </c>
    </row>
    <row r="12" spans="1:18" s="23" customFormat="1" x14ac:dyDescent="0.25">
      <c r="A12" s="21" t="s">
        <v>60</v>
      </c>
      <c r="B12" s="21">
        <v>19200754</v>
      </c>
      <c r="C12" s="21" t="s">
        <v>87</v>
      </c>
      <c r="D12" s="21" t="s">
        <v>292</v>
      </c>
      <c r="E12" s="21" t="s">
        <v>293</v>
      </c>
      <c r="F12" s="21" t="s">
        <v>65</v>
      </c>
      <c r="G12" s="21" t="s">
        <v>253</v>
      </c>
      <c r="H12" s="21" t="s">
        <v>68</v>
      </c>
      <c r="I12" s="21" t="s">
        <v>433</v>
      </c>
      <c r="J12" s="21" t="s">
        <v>100</v>
      </c>
      <c r="K12" s="21" t="s">
        <v>83</v>
      </c>
      <c r="L12" s="21">
        <f>DATEDIF(J12,K12,"M")</f>
        <v>7</v>
      </c>
      <c r="M12" s="21" t="s">
        <v>425</v>
      </c>
      <c r="N12" s="21" t="s">
        <v>424</v>
      </c>
      <c r="O12" s="22">
        <v>26.11</v>
      </c>
      <c r="P12" s="24">
        <v>0.56999999999999995</v>
      </c>
      <c r="Q12" s="22">
        <v>14.88</v>
      </c>
      <c r="R12" s="21" t="s">
        <v>295</v>
      </c>
    </row>
    <row r="13" spans="1:18" s="23" customFormat="1" x14ac:dyDescent="0.25">
      <c r="A13" s="21" t="s">
        <v>60</v>
      </c>
      <c r="B13" s="21">
        <v>19645587</v>
      </c>
      <c r="C13" s="21" t="s">
        <v>371</v>
      </c>
      <c r="D13" s="21" t="s">
        <v>372</v>
      </c>
      <c r="E13" s="21" t="s">
        <v>373</v>
      </c>
      <c r="F13" s="21" t="s">
        <v>65</v>
      </c>
      <c r="G13" s="21" t="s">
        <v>253</v>
      </c>
      <c r="H13" s="21" t="s">
        <v>374</v>
      </c>
      <c r="I13" s="21" t="s">
        <v>433</v>
      </c>
      <c r="J13" s="21" t="s">
        <v>100</v>
      </c>
      <c r="K13" s="21" t="s">
        <v>83</v>
      </c>
      <c r="L13" s="21">
        <f>DATEDIF(J13,K13,"M")</f>
        <v>7</v>
      </c>
      <c r="M13" s="21" t="s">
        <v>425</v>
      </c>
      <c r="N13" s="21" t="s">
        <v>424</v>
      </c>
      <c r="O13" s="22">
        <v>59.63</v>
      </c>
      <c r="P13" s="24">
        <v>0.56999999999999995</v>
      </c>
      <c r="Q13" s="22">
        <v>33.99</v>
      </c>
      <c r="R13" s="21" t="s">
        <v>375</v>
      </c>
    </row>
    <row r="14" spans="1:18" s="23" customFormat="1" x14ac:dyDescent="0.25">
      <c r="A14" s="21" t="s">
        <v>60</v>
      </c>
      <c r="B14" s="21">
        <v>16509456</v>
      </c>
      <c r="C14" s="21" t="s">
        <v>342</v>
      </c>
      <c r="D14" s="21" t="s">
        <v>343</v>
      </c>
      <c r="E14" s="21" t="s">
        <v>344</v>
      </c>
      <c r="F14" s="21" t="s">
        <v>65</v>
      </c>
      <c r="G14" s="21" t="s">
        <v>149</v>
      </c>
      <c r="H14" s="21" t="s">
        <v>214</v>
      </c>
      <c r="I14" s="21" t="s">
        <v>435</v>
      </c>
      <c r="J14" s="21" t="s">
        <v>100</v>
      </c>
      <c r="K14" s="21" t="s">
        <v>83</v>
      </c>
      <c r="L14" s="21">
        <f>DATEDIF(J14,K14,"M")</f>
        <v>7</v>
      </c>
      <c r="M14" s="21" t="s">
        <v>425</v>
      </c>
      <c r="N14" s="21" t="s">
        <v>424</v>
      </c>
      <c r="O14" s="22">
        <v>111</v>
      </c>
      <c r="P14" s="24">
        <v>0.52</v>
      </c>
      <c r="Q14" s="22">
        <v>57.72</v>
      </c>
      <c r="R14" s="21" t="s">
        <v>346</v>
      </c>
    </row>
    <row r="15" spans="1:18" s="23" customFormat="1" x14ac:dyDescent="0.25">
      <c r="A15" s="21" t="s">
        <v>60</v>
      </c>
      <c r="B15" s="21">
        <v>19200754</v>
      </c>
      <c r="C15" s="21" t="s">
        <v>87</v>
      </c>
      <c r="D15" s="21" t="s">
        <v>338</v>
      </c>
      <c r="E15" s="21" t="s">
        <v>339</v>
      </c>
      <c r="F15" s="21" t="s">
        <v>65</v>
      </c>
      <c r="G15" s="21" t="s">
        <v>80</v>
      </c>
      <c r="H15" s="21" t="s">
        <v>214</v>
      </c>
      <c r="I15" s="21" t="s">
        <v>433</v>
      </c>
      <c r="J15" s="21" t="s">
        <v>100</v>
      </c>
      <c r="K15" s="21" t="s">
        <v>83</v>
      </c>
      <c r="L15" s="21">
        <f>DATEDIF(J15,K15,"M")</f>
        <v>7</v>
      </c>
      <c r="M15" s="21" t="s">
        <v>425</v>
      </c>
      <c r="N15" s="21" t="s">
        <v>424</v>
      </c>
      <c r="O15" s="22">
        <v>98.66</v>
      </c>
      <c r="P15" s="24">
        <v>0.56999999999999995</v>
      </c>
      <c r="Q15" s="22">
        <v>56.24</v>
      </c>
      <c r="R15" s="21" t="s">
        <v>215</v>
      </c>
    </row>
    <row r="16" spans="1:18" s="23" customFormat="1" x14ac:dyDescent="0.25">
      <c r="A16" s="21" t="s">
        <v>60</v>
      </c>
      <c r="B16" s="21">
        <v>19200754</v>
      </c>
      <c r="C16" s="21" t="s">
        <v>87</v>
      </c>
      <c r="D16" s="21" t="s">
        <v>88</v>
      </c>
      <c r="E16" s="21" t="s">
        <v>89</v>
      </c>
      <c r="F16" s="21" t="s">
        <v>65</v>
      </c>
      <c r="G16" s="21" t="s">
        <v>80</v>
      </c>
      <c r="H16" s="21" t="s">
        <v>91</v>
      </c>
      <c r="I16" s="21" t="s">
        <v>433</v>
      </c>
      <c r="J16" s="21" t="s">
        <v>92</v>
      </c>
      <c r="K16" s="21" t="s">
        <v>7</v>
      </c>
      <c r="L16" s="21">
        <f>DATEDIF(J16,K16,"M")</f>
        <v>7</v>
      </c>
      <c r="M16" s="21" t="s">
        <v>425</v>
      </c>
      <c r="N16" s="21" t="s">
        <v>424</v>
      </c>
      <c r="O16" s="22">
        <v>117.17</v>
      </c>
      <c r="P16" s="24">
        <v>0.56999999999999995</v>
      </c>
      <c r="Q16" s="22">
        <v>66.790000000000006</v>
      </c>
      <c r="R16" s="21" t="s">
        <v>93</v>
      </c>
    </row>
    <row r="17" spans="1:18" s="23" customFormat="1" x14ac:dyDescent="0.25">
      <c r="A17" s="21" t="s">
        <v>60</v>
      </c>
      <c r="B17" s="21">
        <v>19681796</v>
      </c>
      <c r="C17" s="21" t="s">
        <v>193</v>
      </c>
      <c r="D17" s="21" t="s">
        <v>194</v>
      </c>
      <c r="E17" s="21" t="s">
        <v>195</v>
      </c>
      <c r="F17" s="21" t="s">
        <v>65</v>
      </c>
      <c r="G17" s="21" t="s">
        <v>196</v>
      </c>
      <c r="H17" s="21" t="s">
        <v>142</v>
      </c>
      <c r="I17" s="21" t="s">
        <v>433</v>
      </c>
      <c r="J17" s="21" t="s">
        <v>197</v>
      </c>
      <c r="K17" s="21" t="s">
        <v>198</v>
      </c>
      <c r="L17" s="21">
        <f>DATEDIF(J17,K17,"M")</f>
        <v>7</v>
      </c>
      <c r="M17" s="21" t="s">
        <v>425</v>
      </c>
      <c r="N17" s="21" t="s">
        <v>424</v>
      </c>
      <c r="O17" s="22">
        <v>68.790000000000006</v>
      </c>
      <c r="P17" s="24">
        <v>0.56999999999999995</v>
      </c>
      <c r="Q17" s="22">
        <v>39.21</v>
      </c>
      <c r="R17" s="21" t="s">
        <v>143</v>
      </c>
    </row>
    <row r="18" spans="1:18" s="23" customFormat="1" x14ac:dyDescent="0.25">
      <c r="A18" s="21" t="s">
        <v>60</v>
      </c>
      <c r="B18" s="21">
        <v>19200754</v>
      </c>
      <c r="C18" s="21" t="s">
        <v>87</v>
      </c>
      <c r="D18" s="21" t="s">
        <v>138</v>
      </c>
      <c r="E18" s="21" t="s">
        <v>139</v>
      </c>
      <c r="F18" s="21" t="s">
        <v>65</v>
      </c>
      <c r="G18" s="21" t="s">
        <v>141</v>
      </c>
      <c r="H18" s="21" t="s">
        <v>142</v>
      </c>
      <c r="I18" s="21" t="s">
        <v>433</v>
      </c>
      <c r="J18" s="21" t="s">
        <v>100</v>
      </c>
      <c r="K18" s="21" t="s">
        <v>83</v>
      </c>
      <c r="L18" s="21">
        <f>DATEDIF(J18,K18,"M")</f>
        <v>7</v>
      </c>
      <c r="M18" s="21" t="s">
        <v>425</v>
      </c>
      <c r="N18" s="21" t="s">
        <v>424</v>
      </c>
      <c r="O18" s="22">
        <v>59.78</v>
      </c>
      <c r="P18" s="24">
        <v>0.56999999999999995</v>
      </c>
      <c r="Q18" s="22">
        <v>34.07</v>
      </c>
      <c r="R18" s="21" t="s">
        <v>143</v>
      </c>
    </row>
    <row r="19" spans="1:18" s="23" customFormat="1" x14ac:dyDescent="0.25">
      <c r="A19" s="21" t="s">
        <v>60</v>
      </c>
      <c r="B19" s="21">
        <v>19681796</v>
      </c>
      <c r="C19" s="21" t="s">
        <v>193</v>
      </c>
      <c r="D19" s="21" t="s">
        <v>403</v>
      </c>
      <c r="E19" s="21" t="s">
        <v>404</v>
      </c>
      <c r="F19" s="21" t="s">
        <v>65</v>
      </c>
      <c r="G19" s="21" t="s">
        <v>80</v>
      </c>
      <c r="H19" s="21" t="s">
        <v>142</v>
      </c>
      <c r="I19" s="21" t="s">
        <v>433</v>
      </c>
      <c r="J19" s="21" t="s">
        <v>406</v>
      </c>
      <c r="K19" s="21" t="s">
        <v>7</v>
      </c>
      <c r="L19" s="21">
        <f>DATEDIF(J19,K19,"M")</f>
        <v>8</v>
      </c>
      <c r="M19" s="21" t="s">
        <v>425</v>
      </c>
      <c r="N19" s="21" t="s">
        <v>424</v>
      </c>
      <c r="O19" s="22">
        <v>78.239999999999995</v>
      </c>
      <c r="P19" s="24">
        <v>0.56999999999999995</v>
      </c>
      <c r="Q19" s="22">
        <v>44.6</v>
      </c>
      <c r="R19" s="21" t="s">
        <v>143</v>
      </c>
    </row>
    <row r="20" spans="1:18" s="29" customFormat="1" x14ac:dyDescent="0.25">
      <c r="A20" s="26" t="s">
        <v>60</v>
      </c>
      <c r="B20" s="26">
        <v>8325282</v>
      </c>
      <c r="C20" s="26" t="s">
        <v>76</v>
      </c>
      <c r="D20" s="26" t="s">
        <v>77</v>
      </c>
      <c r="E20" s="26" t="s">
        <v>78</v>
      </c>
      <c r="F20" s="26" t="s">
        <v>65</v>
      </c>
      <c r="G20" s="26" t="s">
        <v>80</v>
      </c>
      <c r="H20" s="26" t="s">
        <v>81</v>
      </c>
      <c r="I20" s="26" t="s">
        <v>163</v>
      </c>
      <c r="J20" s="26" t="s">
        <v>82</v>
      </c>
      <c r="K20" s="26" t="s">
        <v>83</v>
      </c>
      <c r="L20" s="26">
        <f>DATEDIF(J20,K20,"M")</f>
        <v>9</v>
      </c>
      <c r="M20" s="26" t="s">
        <v>423</v>
      </c>
      <c r="N20" s="26" t="s">
        <v>424</v>
      </c>
      <c r="O20" s="27">
        <v>48.66</v>
      </c>
      <c r="P20" s="28">
        <v>0.625</v>
      </c>
      <c r="Q20" s="27">
        <v>30.41</v>
      </c>
      <c r="R20" s="26" t="s">
        <v>85</v>
      </c>
    </row>
    <row r="21" spans="1:18" s="29" customFormat="1" x14ac:dyDescent="0.25">
      <c r="A21" s="26" t="s">
        <v>60</v>
      </c>
      <c r="B21" s="26">
        <v>8325282</v>
      </c>
      <c r="C21" s="26" t="s">
        <v>76</v>
      </c>
      <c r="D21" s="26" t="s">
        <v>77</v>
      </c>
      <c r="E21" s="26" t="s">
        <v>78</v>
      </c>
      <c r="F21" s="26" t="s">
        <v>65</v>
      </c>
      <c r="G21" s="26" t="s">
        <v>80</v>
      </c>
      <c r="H21" s="26" t="s">
        <v>81</v>
      </c>
      <c r="I21" s="26" t="s">
        <v>163</v>
      </c>
      <c r="J21" s="26" t="s">
        <v>82</v>
      </c>
      <c r="K21" s="26" t="s">
        <v>83</v>
      </c>
      <c r="L21" s="26">
        <f>DATEDIF(J21,K21,"M")</f>
        <v>9</v>
      </c>
      <c r="M21" s="26" t="s">
        <v>423</v>
      </c>
      <c r="N21" s="26" t="s">
        <v>424</v>
      </c>
      <c r="O21" s="27">
        <v>4.75</v>
      </c>
      <c r="P21" s="28">
        <v>0.625</v>
      </c>
      <c r="Q21" s="27">
        <v>2.97</v>
      </c>
      <c r="R21" s="26" t="s">
        <v>85</v>
      </c>
    </row>
    <row r="22" spans="1:18" s="23" customFormat="1" x14ac:dyDescent="0.25">
      <c r="A22" s="21" t="s">
        <v>60</v>
      </c>
      <c r="B22" s="21">
        <v>16509456</v>
      </c>
      <c r="C22" s="21" t="s">
        <v>342</v>
      </c>
      <c r="D22" s="21" t="s">
        <v>376</v>
      </c>
      <c r="E22" s="21" t="s">
        <v>377</v>
      </c>
      <c r="F22" s="21" t="s">
        <v>135</v>
      </c>
      <c r="G22" s="21" t="s">
        <v>149</v>
      </c>
      <c r="H22" s="21" t="s">
        <v>99</v>
      </c>
      <c r="I22" s="21" t="s">
        <v>99</v>
      </c>
      <c r="J22" s="21" t="s">
        <v>379</v>
      </c>
      <c r="K22" s="21" t="s">
        <v>83</v>
      </c>
      <c r="L22" s="21">
        <f>DATEDIF(J22,K22,"M")</f>
        <v>26</v>
      </c>
      <c r="M22" s="21" t="s">
        <v>423</v>
      </c>
      <c r="N22" s="21" t="s">
        <v>424</v>
      </c>
      <c r="O22" s="22">
        <v>153.77000000000001</v>
      </c>
      <c r="P22" s="24">
        <v>0.24</v>
      </c>
      <c r="Q22" s="22">
        <v>36.9</v>
      </c>
      <c r="R22" s="21" t="s">
        <v>102</v>
      </c>
    </row>
    <row r="23" spans="1:18" x14ac:dyDescent="0.25">
      <c r="A23" s="19" t="s">
        <v>60</v>
      </c>
      <c r="B23" s="19">
        <v>9079571</v>
      </c>
      <c r="C23" s="19" t="s">
        <v>62</v>
      </c>
      <c r="D23" s="19" t="s">
        <v>413</v>
      </c>
      <c r="E23" s="19" t="s">
        <v>415</v>
      </c>
      <c r="F23" s="19" t="s">
        <v>252</v>
      </c>
      <c r="G23" s="19" t="s">
        <v>67</v>
      </c>
      <c r="H23" s="19" t="s">
        <v>122</v>
      </c>
      <c r="I23" s="19" t="s">
        <v>432</v>
      </c>
      <c r="J23" s="19" t="s">
        <v>397</v>
      </c>
      <c r="K23" s="19" t="s">
        <v>397</v>
      </c>
      <c r="L23" s="19">
        <f>DATEDIF(J23,K23,"M")</f>
        <v>0</v>
      </c>
      <c r="M23" s="19" t="s">
        <v>423</v>
      </c>
      <c r="N23" s="19" t="s">
        <v>424</v>
      </c>
      <c r="O23" s="20">
        <v>34.15</v>
      </c>
      <c r="P23" s="25">
        <v>0.95</v>
      </c>
      <c r="Q23" s="20">
        <v>32.44</v>
      </c>
      <c r="R23" s="19" t="s">
        <v>125</v>
      </c>
    </row>
    <row r="24" spans="1:18" x14ac:dyDescent="0.25">
      <c r="A24" s="19" t="s">
        <v>60</v>
      </c>
      <c r="B24" s="19">
        <v>18754354</v>
      </c>
      <c r="C24" s="19" t="s">
        <v>249</v>
      </c>
      <c r="D24" s="19" t="s">
        <v>250</v>
      </c>
      <c r="E24" s="19" t="s">
        <v>251</v>
      </c>
      <c r="F24" s="19" t="s">
        <v>252</v>
      </c>
      <c r="G24" s="19" t="s">
        <v>253</v>
      </c>
      <c r="H24" s="19" t="s">
        <v>122</v>
      </c>
      <c r="I24" s="19" t="s">
        <v>430</v>
      </c>
      <c r="J24" s="19" t="s">
        <v>117</v>
      </c>
      <c r="K24" s="19" t="s">
        <v>117</v>
      </c>
      <c r="L24" s="19">
        <f>DATEDIF(J24,K24,"M")</f>
        <v>0</v>
      </c>
      <c r="M24" s="19" t="s">
        <v>423</v>
      </c>
      <c r="N24" s="19" t="s">
        <v>424</v>
      </c>
      <c r="O24" s="20">
        <v>50.8</v>
      </c>
      <c r="P24" s="25">
        <v>1</v>
      </c>
      <c r="Q24" s="20">
        <v>50.8</v>
      </c>
      <c r="R24" s="19" t="s">
        <v>125</v>
      </c>
    </row>
    <row r="25" spans="1:18" x14ac:dyDescent="0.25">
      <c r="A25" s="19" t="s">
        <v>60</v>
      </c>
      <c r="B25" s="19">
        <v>9079571</v>
      </c>
      <c r="C25" s="19" t="s">
        <v>62</v>
      </c>
      <c r="D25" s="19" t="s">
        <v>413</v>
      </c>
      <c r="E25" s="19" t="s">
        <v>414</v>
      </c>
      <c r="F25" s="19" t="s">
        <v>252</v>
      </c>
      <c r="G25" s="19" t="s">
        <v>67</v>
      </c>
      <c r="H25" s="19" t="s">
        <v>156</v>
      </c>
      <c r="I25" s="19" t="s">
        <v>436</v>
      </c>
      <c r="J25" s="19" t="s">
        <v>397</v>
      </c>
      <c r="K25" s="19" t="s">
        <v>397</v>
      </c>
      <c r="L25" s="19">
        <f>DATEDIF(J25,K25,"M")</f>
        <v>0</v>
      </c>
      <c r="M25" s="19" t="s">
        <v>423</v>
      </c>
      <c r="N25" s="19" t="s">
        <v>424</v>
      </c>
      <c r="O25" s="20">
        <v>30.96</v>
      </c>
      <c r="P25" s="25">
        <v>0.95</v>
      </c>
      <c r="Q25" s="20">
        <v>29.41</v>
      </c>
      <c r="R25" s="19" t="s">
        <v>159</v>
      </c>
    </row>
    <row r="26" spans="1:18" x14ac:dyDescent="0.25">
      <c r="A26" s="19" t="s">
        <v>60</v>
      </c>
      <c r="B26" s="19">
        <v>18754354</v>
      </c>
      <c r="C26" s="19" t="s">
        <v>249</v>
      </c>
      <c r="D26" s="19" t="s">
        <v>250</v>
      </c>
      <c r="E26" s="19" t="s">
        <v>393</v>
      </c>
      <c r="F26" s="19" t="s">
        <v>252</v>
      </c>
      <c r="G26" s="19" t="s">
        <v>253</v>
      </c>
      <c r="H26" s="19" t="s">
        <v>156</v>
      </c>
      <c r="I26" s="19" t="s">
        <v>430</v>
      </c>
      <c r="J26" s="19" t="s">
        <v>117</v>
      </c>
      <c r="K26" s="19" t="s">
        <v>117</v>
      </c>
      <c r="L26" s="19">
        <f>DATEDIF(J26,K26,"M")</f>
        <v>0</v>
      </c>
      <c r="M26" s="19" t="s">
        <v>423</v>
      </c>
      <c r="N26" s="19" t="s">
        <v>424</v>
      </c>
      <c r="O26" s="20">
        <v>48.02</v>
      </c>
      <c r="P26" s="25">
        <v>1</v>
      </c>
      <c r="Q26" s="20">
        <v>48.02</v>
      </c>
      <c r="R26" s="19" t="s">
        <v>159</v>
      </c>
    </row>
    <row r="27" spans="1:18" x14ac:dyDescent="0.25">
      <c r="A27" s="19" t="s">
        <v>60</v>
      </c>
      <c r="B27" s="19">
        <v>9213293</v>
      </c>
      <c r="C27" s="19" t="s">
        <v>266</v>
      </c>
      <c r="D27" s="19" t="s">
        <v>381</v>
      </c>
      <c r="E27" s="19" t="s">
        <v>382</v>
      </c>
      <c r="F27" s="19" t="s">
        <v>252</v>
      </c>
      <c r="G27" s="19" t="s">
        <v>80</v>
      </c>
      <c r="H27" s="19" t="s">
        <v>163</v>
      </c>
      <c r="I27" s="19" t="s">
        <v>437</v>
      </c>
      <c r="J27" s="19" t="s">
        <v>170</v>
      </c>
      <c r="K27" s="19" t="s">
        <v>170</v>
      </c>
      <c r="L27" s="19">
        <f>DATEDIF(J27,K27,"M")</f>
        <v>0</v>
      </c>
      <c r="M27" s="19" t="s">
        <v>423</v>
      </c>
      <c r="N27" s="19" t="s">
        <v>424</v>
      </c>
      <c r="O27" s="20">
        <v>25.67</v>
      </c>
      <c r="P27" s="25">
        <v>0.65</v>
      </c>
      <c r="Q27" s="20">
        <v>16.690000000000001</v>
      </c>
      <c r="R27" s="19" t="s">
        <v>165</v>
      </c>
    </row>
    <row r="28" spans="1:18" x14ac:dyDescent="0.25">
      <c r="A28" s="19" t="s">
        <v>310</v>
      </c>
      <c r="B28" s="19">
        <v>9079571</v>
      </c>
      <c r="C28" s="19" t="s">
        <v>62</v>
      </c>
      <c r="D28" s="19" t="s">
        <v>311</v>
      </c>
      <c r="E28" s="19" t="s">
        <v>312</v>
      </c>
      <c r="F28" s="19" t="s">
        <v>252</v>
      </c>
      <c r="G28" s="19" t="s">
        <v>67</v>
      </c>
      <c r="H28" s="19" t="s">
        <v>122</v>
      </c>
      <c r="I28" s="19" t="s">
        <v>432</v>
      </c>
      <c r="J28" s="19" t="s">
        <v>69</v>
      </c>
      <c r="K28" s="19" t="s">
        <v>314</v>
      </c>
      <c r="L28" s="19">
        <f>DATEDIF(J28,K28,"M")</f>
        <v>1</v>
      </c>
      <c r="M28" s="19" t="s">
        <v>423</v>
      </c>
      <c r="N28" s="19" t="s">
        <v>424</v>
      </c>
      <c r="O28" s="20">
        <v>-28.27</v>
      </c>
      <c r="P28" s="25">
        <v>0.95</v>
      </c>
      <c r="Q28" s="20">
        <v>-26.86</v>
      </c>
      <c r="R28" s="19" t="s">
        <v>125</v>
      </c>
    </row>
    <row r="29" spans="1:18" x14ac:dyDescent="0.25">
      <c r="A29" s="19" t="s">
        <v>60</v>
      </c>
      <c r="B29" s="19" t="s">
        <v>422</v>
      </c>
      <c r="C29" s="19" t="s">
        <v>151</v>
      </c>
      <c r="D29" s="19" t="s">
        <v>152</v>
      </c>
      <c r="E29" s="19" t="s">
        <v>166</v>
      </c>
      <c r="F29" s="19" t="s">
        <v>65</v>
      </c>
      <c r="G29" s="19" t="s">
        <v>155</v>
      </c>
      <c r="H29" s="19" t="s">
        <v>122</v>
      </c>
      <c r="I29" s="19" t="s">
        <v>431</v>
      </c>
      <c r="J29" s="19" t="s">
        <v>157</v>
      </c>
      <c r="K29" s="19" t="s">
        <v>69</v>
      </c>
      <c r="L29" s="19">
        <f>DATEDIF(J29,K29,"M")</f>
        <v>1</v>
      </c>
      <c r="M29" s="19" t="s">
        <v>423</v>
      </c>
      <c r="N29" s="19" t="s">
        <v>424</v>
      </c>
      <c r="O29" s="20">
        <v>27</v>
      </c>
      <c r="P29" s="25">
        <v>1.05</v>
      </c>
      <c r="Q29" s="20">
        <v>28.35</v>
      </c>
      <c r="R29" s="19" t="s">
        <v>125</v>
      </c>
    </row>
    <row r="30" spans="1:18" x14ac:dyDescent="0.25">
      <c r="A30" s="19" t="s">
        <v>60</v>
      </c>
      <c r="B30" s="19">
        <v>19279958</v>
      </c>
      <c r="C30" s="19" t="s">
        <v>317</v>
      </c>
      <c r="D30" s="19" t="s">
        <v>318</v>
      </c>
      <c r="E30" s="19" t="s">
        <v>323</v>
      </c>
      <c r="F30" s="19" t="s">
        <v>65</v>
      </c>
      <c r="G30" s="19" t="s">
        <v>67</v>
      </c>
      <c r="H30" s="19" t="s">
        <v>68</v>
      </c>
      <c r="I30" s="19" t="s">
        <v>434</v>
      </c>
      <c r="J30" s="19" t="s">
        <v>321</v>
      </c>
      <c r="K30" s="19" t="s">
        <v>322</v>
      </c>
      <c r="L30" s="19">
        <f>DATEDIF(J30,K30,"M")</f>
        <v>1</v>
      </c>
      <c r="M30" s="19" t="s">
        <v>423</v>
      </c>
      <c r="N30" s="19" t="s">
        <v>424</v>
      </c>
      <c r="O30" s="20">
        <v>32.130000000000003</v>
      </c>
      <c r="P30" s="25">
        <v>0.57999999999999996</v>
      </c>
      <c r="Q30" s="20">
        <v>18.64</v>
      </c>
      <c r="R30" s="19" t="s">
        <v>74</v>
      </c>
    </row>
    <row r="31" spans="1:18" x14ac:dyDescent="0.25">
      <c r="A31" s="19" t="s">
        <v>60</v>
      </c>
      <c r="B31" s="19">
        <v>19279958</v>
      </c>
      <c r="C31" s="19" t="s">
        <v>317</v>
      </c>
      <c r="D31" s="19" t="s">
        <v>318</v>
      </c>
      <c r="E31" s="19" t="s">
        <v>361</v>
      </c>
      <c r="F31" s="19" t="s">
        <v>65</v>
      </c>
      <c r="G31" s="19" t="s">
        <v>67</v>
      </c>
      <c r="H31" s="19" t="s">
        <v>156</v>
      </c>
      <c r="I31" s="19" t="s">
        <v>436</v>
      </c>
      <c r="J31" s="19" t="s">
        <v>321</v>
      </c>
      <c r="K31" s="19" t="s">
        <v>322</v>
      </c>
      <c r="L31" s="19">
        <f>DATEDIF(J31,K31,"M")</f>
        <v>1</v>
      </c>
      <c r="M31" s="19" t="s">
        <v>423</v>
      </c>
      <c r="N31" s="19" t="s">
        <v>424</v>
      </c>
      <c r="O31" s="20">
        <v>24.75</v>
      </c>
      <c r="P31" s="25">
        <v>0.95</v>
      </c>
      <c r="Q31" s="20">
        <v>23.51</v>
      </c>
      <c r="R31" s="19" t="s">
        <v>159</v>
      </c>
    </row>
    <row r="32" spans="1:18" x14ac:dyDescent="0.25">
      <c r="A32" s="19" t="s">
        <v>60</v>
      </c>
      <c r="B32" s="19" t="s">
        <v>422</v>
      </c>
      <c r="C32" s="19" t="s">
        <v>151</v>
      </c>
      <c r="D32" s="19" t="s">
        <v>152</v>
      </c>
      <c r="E32" s="19" t="s">
        <v>153</v>
      </c>
      <c r="F32" s="19" t="s">
        <v>65</v>
      </c>
      <c r="G32" s="19" t="s">
        <v>155</v>
      </c>
      <c r="H32" s="19" t="s">
        <v>156</v>
      </c>
      <c r="I32" s="19" t="s">
        <v>431</v>
      </c>
      <c r="J32" s="19" t="s">
        <v>157</v>
      </c>
      <c r="K32" s="19" t="s">
        <v>69</v>
      </c>
      <c r="L32" s="19">
        <f>DATEDIF(J32,K32,"M")</f>
        <v>1</v>
      </c>
      <c r="M32" s="19" t="s">
        <v>423</v>
      </c>
      <c r="N32" s="19" t="s">
        <v>424</v>
      </c>
      <c r="O32" s="20">
        <v>27.33</v>
      </c>
      <c r="P32" s="25">
        <v>1.05</v>
      </c>
      <c r="Q32" s="20">
        <v>28.7</v>
      </c>
      <c r="R32" s="19" t="s">
        <v>159</v>
      </c>
    </row>
    <row r="33" spans="1:18" x14ac:dyDescent="0.25">
      <c r="A33" s="19" t="s">
        <v>310</v>
      </c>
      <c r="B33" s="19">
        <v>9213293</v>
      </c>
      <c r="C33" s="19" t="s">
        <v>266</v>
      </c>
      <c r="D33" s="19" t="s">
        <v>394</v>
      </c>
      <c r="E33" s="19" t="s">
        <v>395</v>
      </c>
      <c r="F33" s="19" t="s">
        <v>252</v>
      </c>
      <c r="G33" s="19" t="s">
        <v>80</v>
      </c>
      <c r="H33" s="19" t="s">
        <v>163</v>
      </c>
      <c r="I33" s="19" t="s">
        <v>437</v>
      </c>
      <c r="J33" s="19" t="s">
        <v>397</v>
      </c>
      <c r="K33" s="19" t="s">
        <v>398</v>
      </c>
      <c r="L33" s="19">
        <f>DATEDIF(J33,K33,"M")</f>
        <v>1</v>
      </c>
      <c r="M33" s="19" t="s">
        <v>423</v>
      </c>
      <c r="N33" s="19" t="s">
        <v>424</v>
      </c>
      <c r="O33" s="20">
        <v>-39.33</v>
      </c>
      <c r="P33" s="25">
        <v>0.65</v>
      </c>
      <c r="Q33" s="20">
        <v>-25.56</v>
      </c>
      <c r="R33" s="19" t="s">
        <v>165</v>
      </c>
    </row>
    <row r="34" spans="1:18" x14ac:dyDescent="0.25">
      <c r="A34" s="19" t="s">
        <v>310</v>
      </c>
      <c r="B34" s="19">
        <v>9213293</v>
      </c>
      <c r="C34" s="19" t="s">
        <v>266</v>
      </c>
      <c r="D34" s="19" t="s">
        <v>394</v>
      </c>
      <c r="E34" s="19" t="s">
        <v>395</v>
      </c>
      <c r="F34" s="19" t="s">
        <v>252</v>
      </c>
      <c r="G34" s="19" t="s">
        <v>80</v>
      </c>
      <c r="H34" s="19" t="s">
        <v>163</v>
      </c>
      <c r="I34" s="19" t="s">
        <v>437</v>
      </c>
      <c r="J34" s="19" t="s">
        <v>397</v>
      </c>
      <c r="K34" s="19" t="s">
        <v>398</v>
      </c>
      <c r="L34" s="19">
        <f>DATEDIF(J34,K34,"M")</f>
        <v>1</v>
      </c>
      <c r="M34" s="19" t="s">
        <v>423</v>
      </c>
      <c r="N34" s="19" t="s">
        <v>424</v>
      </c>
      <c r="O34" s="20">
        <v>-14.17</v>
      </c>
      <c r="P34" s="25">
        <v>0.65</v>
      </c>
      <c r="Q34" s="20">
        <v>-9.2100000000000009</v>
      </c>
      <c r="R34" s="19" t="s">
        <v>165</v>
      </c>
    </row>
    <row r="35" spans="1:18" x14ac:dyDescent="0.25">
      <c r="A35" s="19" t="s">
        <v>60</v>
      </c>
      <c r="B35" s="19">
        <v>19279958</v>
      </c>
      <c r="C35" s="19" t="s">
        <v>317</v>
      </c>
      <c r="D35" s="19" t="s">
        <v>318</v>
      </c>
      <c r="E35" s="19" t="s">
        <v>319</v>
      </c>
      <c r="F35" s="19" t="s">
        <v>65</v>
      </c>
      <c r="G35" s="19" t="s">
        <v>67</v>
      </c>
      <c r="H35" s="19" t="s">
        <v>106</v>
      </c>
      <c r="I35" s="19" t="s">
        <v>439</v>
      </c>
      <c r="J35" s="19" t="s">
        <v>321</v>
      </c>
      <c r="K35" s="19" t="s">
        <v>322</v>
      </c>
      <c r="L35" s="19">
        <f>DATEDIF(J35,K35,"M")</f>
        <v>1</v>
      </c>
      <c r="M35" s="19" t="s">
        <v>423</v>
      </c>
      <c r="N35" s="19" t="s">
        <v>424</v>
      </c>
      <c r="O35" s="20">
        <v>5.92</v>
      </c>
      <c r="P35" s="25">
        <v>0.6</v>
      </c>
      <c r="Q35" s="20">
        <v>3.55</v>
      </c>
      <c r="R35" s="19" t="s">
        <v>108</v>
      </c>
    </row>
    <row r="36" spans="1:18" x14ac:dyDescent="0.25">
      <c r="A36" s="19" t="s">
        <v>60</v>
      </c>
      <c r="B36" s="19">
        <v>19279958</v>
      </c>
      <c r="C36" s="19" t="s">
        <v>317</v>
      </c>
      <c r="D36" s="19" t="s">
        <v>318</v>
      </c>
      <c r="E36" s="19" t="s">
        <v>319</v>
      </c>
      <c r="F36" s="19" t="s">
        <v>65</v>
      </c>
      <c r="G36" s="19" t="s">
        <v>67</v>
      </c>
      <c r="H36" s="19" t="s">
        <v>106</v>
      </c>
      <c r="I36" s="19" t="s">
        <v>439</v>
      </c>
      <c r="J36" s="19" t="s">
        <v>321</v>
      </c>
      <c r="K36" s="19" t="s">
        <v>322</v>
      </c>
      <c r="L36" s="19">
        <f>DATEDIF(J36,K36,"M")</f>
        <v>1</v>
      </c>
      <c r="M36" s="19" t="s">
        <v>423</v>
      </c>
      <c r="N36" s="19" t="s">
        <v>424</v>
      </c>
      <c r="O36" s="20">
        <v>14.22</v>
      </c>
      <c r="P36" s="25">
        <v>0.6</v>
      </c>
      <c r="Q36" s="20">
        <v>8.5299999999999994</v>
      </c>
      <c r="R36" s="19" t="s">
        <v>108</v>
      </c>
    </row>
    <row r="37" spans="1:18" x14ac:dyDescent="0.25">
      <c r="A37" s="19" t="s">
        <v>60</v>
      </c>
      <c r="B37" s="19">
        <v>19279958</v>
      </c>
      <c r="C37" s="19" t="s">
        <v>317</v>
      </c>
      <c r="D37" s="19" t="s">
        <v>318</v>
      </c>
      <c r="E37" s="19" t="s">
        <v>319</v>
      </c>
      <c r="F37" s="19" t="s">
        <v>65</v>
      </c>
      <c r="G37" s="19" t="s">
        <v>67</v>
      </c>
      <c r="H37" s="19" t="s">
        <v>106</v>
      </c>
      <c r="I37" s="19" t="s">
        <v>439</v>
      </c>
      <c r="J37" s="19" t="s">
        <v>321</v>
      </c>
      <c r="K37" s="19" t="s">
        <v>322</v>
      </c>
      <c r="L37" s="19">
        <f>DATEDIF(J37,K37,"M")</f>
        <v>1</v>
      </c>
      <c r="M37" s="19" t="s">
        <v>423</v>
      </c>
      <c r="N37" s="19" t="s">
        <v>424</v>
      </c>
      <c r="O37" s="20">
        <v>10.039999999999999</v>
      </c>
      <c r="P37" s="25">
        <v>0.6</v>
      </c>
      <c r="Q37" s="20">
        <v>6.02</v>
      </c>
      <c r="R37" s="19" t="s">
        <v>108</v>
      </c>
    </row>
    <row r="38" spans="1:18" x14ac:dyDescent="0.25">
      <c r="A38" s="19" t="s">
        <v>60</v>
      </c>
      <c r="B38" s="19">
        <v>19279958</v>
      </c>
      <c r="C38" s="19" t="s">
        <v>317</v>
      </c>
      <c r="D38" s="19" t="s">
        <v>318</v>
      </c>
      <c r="E38" s="19" t="s">
        <v>319</v>
      </c>
      <c r="F38" s="19" t="s">
        <v>65</v>
      </c>
      <c r="G38" s="19" t="s">
        <v>67</v>
      </c>
      <c r="H38" s="19" t="s">
        <v>106</v>
      </c>
      <c r="I38" s="19" t="s">
        <v>439</v>
      </c>
      <c r="J38" s="19" t="s">
        <v>321</v>
      </c>
      <c r="K38" s="19" t="s">
        <v>322</v>
      </c>
      <c r="L38" s="19">
        <f>DATEDIF(J38,K38,"M")</f>
        <v>1</v>
      </c>
      <c r="M38" s="19" t="s">
        <v>423</v>
      </c>
      <c r="N38" s="19" t="s">
        <v>424</v>
      </c>
      <c r="O38" s="20">
        <v>7.18</v>
      </c>
      <c r="P38" s="25">
        <v>0.6</v>
      </c>
      <c r="Q38" s="20">
        <v>4.3099999999999996</v>
      </c>
      <c r="R38" s="19" t="s">
        <v>108</v>
      </c>
    </row>
    <row r="39" spans="1:18" x14ac:dyDescent="0.25">
      <c r="A39" s="19" t="s">
        <v>60</v>
      </c>
      <c r="B39" s="19">
        <v>8977234</v>
      </c>
      <c r="C39" s="19" t="s">
        <v>300</v>
      </c>
      <c r="D39" s="19" t="s">
        <v>301</v>
      </c>
      <c r="E39" s="19" t="s">
        <v>302</v>
      </c>
      <c r="F39" s="19" t="s">
        <v>65</v>
      </c>
      <c r="G39" s="19" t="s">
        <v>253</v>
      </c>
      <c r="H39" s="19" t="s">
        <v>122</v>
      </c>
      <c r="I39" s="19" t="s">
        <v>430</v>
      </c>
      <c r="J39" s="19" t="s">
        <v>304</v>
      </c>
      <c r="K39" s="19" t="s">
        <v>198</v>
      </c>
      <c r="L39" s="19">
        <f>DATEDIF(J39,K39,"M")</f>
        <v>2</v>
      </c>
      <c r="M39" s="19" t="s">
        <v>423</v>
      </c>
      <c r="N39" s="19" t="s">
        <v>424</v>
      </c>
      <c r="O39" s="20">
        <v>83.68</v>
      </c>
      <c r="P39" s="25">
        <v>1</v>
      </c>
      <c r="Q39" s="20">
        <v>83.68</v>
      </c>
      <c r="R39" s="19" t="s">
        <v>125</v>
      </c>
    </row>
    <row r="40" spans="1:18" x14ac:dyDescent="0.25">
      <c r="A40" s="19" t="s">
        <v>60</v>
      </c>
      <c r="B40" s="19">
        <v>9213293</v>
      </c>
      <c r="C40" s="19" t="s">
        <v>266</v>
      </c>
      <c r="D40" s="19" t="s">
        <v>267</v>
      </c>
      <c r="E40" s="19" t="s">
        <v>268</v>
      </c>
      <c r="F40" s="19" t="s">
        <v>65</v>
      </c>
      <c r="G40" s="19" t="s">
        <v>80</v>
      </c>
      <c r="H40" s="19" t="s">
        <v>163</v>
      </c>
      <c r="I40" s="19" t="s">
        <v>437</v>
      </c>
      <c r="J40" s="19" t="s">
        <v>269</v>
      </c>
      <c r="K40" s="19" t="s">
        <v>270</v>
      </c>
      <c r="L40" s="19">
        <f>DATEDIF(J40,K40,"M")</f>
        <v>2</v>
      </c>
      <c r="M40" s="19" t="s">
        <v>423</v>
      </c>
      <c r="N40" s="19" t="s">
        <v>424</v>
      </c>
      <c r="O40" s="20">
        <v>18.48</v>
      </c>
      <c r="P40" s="25">
        <v>0.65</v>
      </c>
      <c r="Q40" s="20">
        <v>12.01</v>
      </c>
      <c r="R40" s="19" t="s">
        <v>165</v>
      </c>
    </row>
    <row r="41" spans="1:18" x14ac:dyDescent="0.25">
      <c r="A41" s="19" t="s">
        <v>60</v>
      </c>
      <c r="B41" s="19">
        <v>9213293</v>
      </c>
      <c r="C41" s="19" t="s">
        <v>266</v>
      </c>
      <c r="D41" s="19" t="s">
        <v>267</v>
      </c>
      <c r="E41" s="19" t="s">
        <v>268</v>
      </c>
      <c r="F41" s="19" t="s">
        <v>65</v>
      </c>
      <c r="G41" s="19" t="s">
        <v>80</v>
      </c>
      <c r="H41" s="19" t="s">
        <v>163</v>
      </c>
      <c r="I41" s="19" t="s">
        <v>437</v>
      </c>
      <c r="J41" s="19" t="s">
        <v>269</v>
      </c>
      <c r="K41" s="19" t="s">
        <v>270</v>
      </c>
      <c r="L41" s="19">
        <f>DATEDIF(J41,K41,"M")</f>
        <v>2</v>
      </c>
      <c r="M41" s="19" t="s">
        <v>423</v>
      </c>
      <c r="N41" s="19" t="s">
        <v>424</v>
      </c>
      <c r="O41" s="20">
        <v>7.92</v>
      </c>
      <c r="P41" s="25">
        <v>0.65</v>
      </c>
      <c r="Q41" s="20">
        <v>5.15</v>
      </c>
      <c r="R41" s="19" t="s">
        <v>165</v>
      </c>
    </row>
    <row r="42" spans="1:18" x14ac:dyDescent="0.25">
      <c r="A42" s="19" t="s">
        <v>60</v>
      </c>
      <c r="B42" s="19">
        <v>9213293</v>
      </c>
      <c r="C42" s="19" t="s">
        <v>266</v>
      </c>
      <c r="D42" s="19" t="s">
        <v>267</v>
      </c>
      <c r="E42" s="19" t="s">
        <v>268</v>
      </c>
      <c r="F42" s="19" t="s">
        <v>65</v>
      </c>
      <c r="G42" s="19" t="s">
        <v>80</v>
      </c>
      <c r="H42" s="19" t="s">
        <v>163</v>
      </c>
      <c r="I42" s="19" t="s">
        <v>437</v>
      </c>
      <c r="J42" s="19" t="s">
        <v>269</v>
      </c>
      <c r="K42" s="19" t="s">
        <v>270</v>
      </c>
      <c r="L42" s="19">
        <f>DATEDIF(J42,K42,"M")</f>
        <v>2</v>
      </c>
      <c r="M42" s="19" t="s">
        <v>423</v>
      </c>
      <c r="N42" s="19" t="s">
        <v>424</v>
      </c>
      <c r="O42" s="20">
        <v>11.88</v>
      </c>
      <c r="P42" s="25">
        <v>0.65</v>
      </c>
      <c r="Q42" s="20">
        <v>7.72</v>
      </c>
      <c r="R42" s="19" t="s">
        <v>165</v>
      </c>
    </row>
    <row r="43" spans="1:18" x14ac:dyDescent="0.25">
      <c r="A43" s="19" t="s">
        <v>60</v>
      </c>
      <c r="B43" s="19">
        <v>9213293</v>
      </c>
      <c r="C43" s="19" t="s">
        <v>266</v>
      </c>
      <c r="D43" s="19" t="s">
        <v>267</v>
      </c>
      <c r="E43" s="19" t="s">
        <v>268</v>
      </c>
      <c r="F43" s="19" t="s">
        <v>65</v>
      </c>
      <c r="G43" s="19" t="s">
        <v>80</v>
      </c>
      <c r="H43" s="19" t="s">
        <v>163</v>
      </c>
      <c r="I43" s="19" t="s">
        <v>437</v>
      </c>
      <c r="J43" s="19" t="s">
        <v>269</v>
      </c>
      <c r="K43" s="19" t="s">
        <v>270</v>
      </c>
      <c r="L43" s="19">
        <f>DATEDIF(J43,K43,"M")</f>
        <v>2</v>
      </c>
      <c r="M43" s="19" t="s">
        <v>423</v>
      </c>
      <c r="N43" s="19" t="s">
        <v>424</v>
      </c>
      <c r="O43" s="20">
        <v>22.33</v>
      </c>
      <c r="P43" s="25">
        <v>0.65</v>
      </c>
      <c r="Q43" s="20">
        <v>14.51</v>
      </c>
      <c r="R43" s="19" t="s">
        <v>165</v>
      </c>
    </row>
    <row r="44" spans="1:18" x14ac:dyDescent="0.25">
      <c r="A44" s="19" t="s">
        <v>310</v>
      </c>
      <c r="B44" s="19">
        <v>1706194</v>
      </c>
      <c r="C44" s="19" t="s">
        <v>409</v>
      </c>
      <c r="D44" s="19" t="s">
        <v>410</v>
      </c>
      <c r="E44" s="19" t="s">
        <v>411</v>
      </c>
      <c r="F44" s="19" t="s">
        <v>252</v>
      </c>
      <c r="G44" s="19" t="s">
        <v>253</v>
      </c>
      <c r="H44" s="19" t="s">
        <v>122</v>
      </c>
      <c r="I44" s="19" t="s">
        <v>430</v>
      </c>
      <c r="J44" s="19" t="s">
        <v>83</v>
      </c>
      <c r="K44" s="19" t="s">
        <v>398</v>
      </c>
      <c r="L44" s="19">
        <f>DATEDIF(J44,K44,"M")</f>
        <v>3</v>
      </c>
      <c r="M44" s="19" t="s">
        <v>423</v>
      </c>
      <c r="N44" s="19" t="s">
        <v>424</v>
      </c>
      <c r="O44" s="20">
        <v>-215.39</v>
      </c>
      <c r="P44" s="25">
        <v>1</v>
      </c>
      <c r="Q44" s="20">
        <v>-215.39</v>
      </c>
      <c r="R44" s="19" t="s">
        <v>125</v>
      </c>
    </row>
    <row r="45" spans="1:18" x14ac:dyDescent="0.25">
      <c r="A45" s="19" t="s">
        <v>60</v>
      </c>
      <c r="B45" s="19" t="s">
        <v>422</v>
      </c>
      <c r="C45" s="19" t="s">
        <v>151</v>
      </c>
      <c r="D45" s="19" t="s">
        <v>286</v>
      </c>
      <c r="E45" s="19" t="s">
        <v>287</v>
      </c>
      <c r="F45" s="19" t="s">
        <v>65</v>
      </c>
      <c r="G45" s="19" t="s">
        <v>149</v>
      </c>
      <c r="H45" s="19" t="s">
        <v>122</v>
      </c>
      <c r="I45" s="19" t="s">
        <v>431</v>
      </c>
      <c r="J45" s="19" t="s">
        <v>128</v>
      </c>
      <c r="K45" s="19" t="s">
        <v>83</v>
      </c>
      <c r="L45" s="19">
        <f>DATEDIF(J45,K45,"M")</f>
        <v>3</v>
      </c>
      <c r="M45" s="19" t="s">
        <v>423</v>
      </c>
      <c r="N45" s="19" t="s">
        <v>424</v>
      </c>
      <c r="O45" s="20">
        <v>41.7</v>
      </c>
      <c r="P45" s="25">
        <v>1.05</v>
      </c>
      <c r="Q45" s="20">
        <v>43.79</v>
      </c>
      <c r="R45" s="19" t="s">
        <v>125</v>
      </c>
    </row>
    <row r="46" spans="1:18" x14ac:dyDescent="0.25">
      <c r="A46" s="19" t="s">
        <v>60</v>
      </c>
      <c r="B46" s="19">
        <v>9079571</v>
      </c>
      <c r="C46" s="19" t="s">
        <v>62</v>
      </c>
      <c r="D46" s="19" t="s">
        <v>103</v>
      </c>
      <c r="E46" s="19" t="s">
        <v>109</v>
      </c>
      <c r="F46" s="19" t="s">
        <v>65</v>
      </c>
      <c r="G46" s="19" t="s">
        <v>67</v>
      </c>
      <c r="H46" s="19" t="s">
        <v>68</v>
      </c>
      <c r="I46" s="19" t="s">
        <v>434</v>
      </c>
      <c r="J46" s="19" t="s">
        <v>105</v>
      </c>
      <c r="K46" s="19" t="s">
        <v>7</v>
      </c>
      <c r="L46" s="19">
        <f>DATEDIF(J46,K46,"M")</f>
        <v>3</v>
      </c>
      <c r="M46" s="19" t="s">
        <v>423</v>
      </c>
      <c r="N46" s="19" t="s">
        <v>424</v>
      </c>
      <c r="O46" s="20">
        <v>22.42</v>
      </c>
      <c r="P46" s="25">
        <v>0.57999999999999996</v>
      </c>
      <c r="Q46" s="20">
        <v>13</v>
      </c>
      <c r="R46" s="19" t="s">
        <v>74</v>
      </c>
    </row>
    <row r="47" spans="1:18" x14ac:dyDescent="0.25">
      <c r="A47" s="19" t="s">
        <v>60</v>
      </c>
      <c r="B47" s="19">
        <v>9079571</v>
      </c>
      <c r="C47" s="19" t="s">
        <v>62</v>
      </c>
      <c r="D47" s="19" t="s">
        <v>103</v>
      </c>
      <c r="E47" s="19" t="s">
        <v>104</v>
      </c>
      <c r="F47" s="19" t="s">
        <v>65</v>
      </c>
      <c r="G47" s="19" t="s">
        <v>67</v>
      </c>
      <c r="H47" s="19" t="s">
        <v>106</v>
      </c>
      <c r="I47" s="19" t="s">
        <v>439</v>
      </c>
      <c r="J47" s="19" t="s">
        <v>105</v>
      </c>
      <c r="K47" s="19" t="s">
        <v>7</v>
      </c>
      <c r="L47" s="19">
        <f>DATEDIF(J47,K47,"M")</f>
        <v>3</v>
      </c>
      <c r="M47" s="19" t="s">
        <v>423</v>
      </c>
      <c r="N47" s="19" t="s">
        <v>424</v>
      </c>
      <c r="O47" s="20">
        <v>19.7</v>
      </c>
      <c r="P47" s="25">
        <v>0.6</v>
      </c>
      <c r="Q47" s="20">
        <v>11.82</v>
      </c>
      <c r="R47" s="19" t="s">
        <v>108</v>
      </c>
    </row>
    <row r="48" spans="1:18" x14ac:dyDescent="0.25">
      <c r="A48" s="19" t="s">
        <v>60</v>
      </c>
      <c r="B48" s="19">
        <v>9079571</v>
      </c>
      <c r="C48" s="19" t="s">
        <v>62</v>
      </c>
      <c r="D48" s="19" t="s">
        <v>103</v>
      </c>
      <c r="E48" s="19" t="s">
        <v>104</v>
      </c>
      <c r="F48" s="19" t="s">
        <v>65</v>
      </c>
      <c r="G48" s="19" t="s">
        <v>67</v>
      </c>
      <c r="H48" s="19" t="s">
        <v>106</v>
      </c>
      <c r="I48" s="19" t="s">
        <v>439</v>
      </c>
      <c r="J48" s="19" t="s">
        <v>105</v>
      </c>
      <c r="K48" s="19" t="s">
        <v>7</v>
      </c>
      <c r="L48" s="19">
        <f>DATEDIF(J48,K48,"M")</f>
        <v>3</v>
      </c>
      <c r="M48" s="19" t="s">
        <v>423</v>
      </c>
      <c r="N48" s="19" t="s">
        <v>424</v>
      </c>
      <c r="O48" s="20">
        <v>12.47</v>
      </c>
      <c r="P48" s="25">
        <v>0.6</v>
      </c>
      <c r="Q48" s="20">
        <v>7.48</v>
      </c>
      <c r="R48" s="19" t="s">
        <v>108</v>
      </c>
    </row>
    <row r="49" spans="1:18" x14ac:dyDescent="0.25">
      <c r="A49" s="19" t="s">
        <v>60</v>
      </c>
      <c r="B49" s="19">
        <v>9079571</v>
      </c>
      <c r="C49" s="19" t="s">
        <v>62</v>
      </c>
      <c r="D49" s="19" t="s">
        <v>119</v>
      </c>
      <c r="E49" s="19" t="s">
        <v>120</v>
      </c>
      <c r="F49" s="19" t="s">
        <v>65</v>
      </c>
      <c r="G49" s="19" t="s">
        <v>67</v>
      </c>
      <c r="H49" s="19" t="s">
        <v>122</v>
      </c>
      <c r="I49" s="19" t="s">
        <v>432</v>
      </c>
      <c r="J49" s="19" t="s">
        <v>123</v>
      </c>
      <c r="K49" s="19" t="s">
        <v>83</v>
      </c>
      <c r="L49" s="19">
        <f>DATEDIF(J49,K49,"M")</f>
        <v>4</v>
      </c>
      <c r="M49" s="19" t="s">
        <v>423</v>
      </c>
      <c r="N49" s="19" t="s">
        <v>424</v>
      </c>
      <c r="O49" s="20">
        <v>23.22</v>
      </c>
      <c r="P49" s="25">
        <v>0.95</v>
      </c>
      <c r="Q49" s="20">
        <v>22.06</v>
      </c>
      <c r="R49" s="19" t="s">
        <v>125</v>
      </c>
    </row>
    <row r="50" spans="1:18" x14ac:dyDescent="0.25">
      <c r="A50" s="19" t="s">
        <v>60</v>
      </c>
      <c r="B50" s="19" t="s">
        <v>422</v>
      </c>
      <c r="C50" s="19" t="s">
        <v>151</v>
      </c>
      <c r="D50" s="19" t="s">
        <v>160</v>
      </c>
      <c r="E50" s="19" t="s">
        <v>216</v>
      </c>
      <c r="F50" s="19" t="s">
        <v>65</v>
      </c>
      <c r="G50" s="19" t="s">
        <v>149</v>
      </c>
      <c r="H50" s="19" t="s">
        <v>122</v>
      </c>
      <c r="I50" s="19" t="s">
        <v>430</v>
      </c>
      <c r="J50" s="19" t="s">
        <v>164</v>
      </c>
      <c r="K50" s="19" t="s">
        <v>83</v>
      </c>
      <c r="L50" s="19">
        <f>DATEDIF(J50,K50,"M")</f>
        <v>6</v>
      </c>
      <c r="M50" s="19" t="s">
        <v>423</v>
      </c>
      <c r="N50" s="19" t="s">
        <v>424</v>
      </c>
      <c r="O50" s="20">
        <v>48.45</v>
      </c>
      <c r="P50" s="25">
        <v>1</v>
      </c>
      <c r="Q50" s="20">
        <v>48.45</v>
      </c>
      <c r="R50" s="19" t="s">
        <v>125</v>
      </c>
    </row>
    <row r="51" spans="1:18" x14ac:dyDescent="0.25">
      <c r="A51" s="19" t="s">
        <v>60</v>
      </c>
      <c r="B51" s="19" t="s">
        <v>422</v>
      </c>
      <c r="C51" s="19" t="s">
        <v>151</v>
      </c>
      <c r="D51" s="19" t="s">
        <v>160</v>
      </c>
      <c r="E51" s="19" t="s">
        <v>161</v>
      </c>
      <c r="F51" s="19" t="s">
        <v>65</v>
      </c>
      <c r="G51" s="19" t="s">
        <v>149</v>
      </c>
      <c r="H51" s="19" t="s">
        <v>163</v>
      </c>
      <c r="I51" s="19" t="s">
        <v>163</v>
      </c>
      <c r="J51" s="19" t="s">
        <v>164</v>
      </c>
      <c r="K51" s="19" t="s">
        <v>83</v>
      </c>
      <c r="L51" s="19">
        <f>DATEDIF(J51,K51,"M")</f>
        <v>6</v>
      </c>
      <c r="M51" s="19" t="s">
        <v>423</v>
      </c>
      <c r="N51" s="19" t="s">
        <v>424</v>
      </c>
      <c r="O51" s="20">
        <v>5.25</v>
      </c>
      <c r="P51" s="25">
        <v>0.625</v>
      </c>
      <c r="Q51" s="20">
        <v>3.28</v>
      </c>
      <c r="R51" s="19" t="s">
        <v>165</v>
      </c>
    </row>
    <row r="52" spans="1:18" x14ac:dyDescent="0.25">
      <c r="A52" s="19" t="s">
        <v>60</v>
      </c>
      <c r="B52" s="19" t="s">
        <v>422</v>
      </c>
      <c r="C52" s="19" t="s">
        <v>151</v>
      </c>
      <c r="D52" s="19" t="s">
        <v>160</v>
      </c>
      <c r="E52" s="19" t="s">
        <v>161</v>
      </c>
      <c r="F52" s="19" t="s">
        <v>65</v>
      </c>
      <c r="G52" s="19" t="s">
        <v>149</v>
      </c>
      <c r="H52" s="19" t="s">
        <v>163</v>
      </c>
      <c r="I52" s="19" t="s">
        <v>163</v>
      </c>
      <c r="J52" s="19" t="s">
        <v>164</v>
      </c>
      <c r="K52" s="19" t="s">
        <v>83</v>
      </c>
      <c r="L52" s="19">
        <f>DATEDIF(J52,K52,"M")</f>
        <v>6</v>
      </c>
      <c r="M52" s="19" t="s">
        <v>423</v>
      </c>
      <c r="N52" s="19" t="s">
        <v>424</v>
      </c>
      <c r="O52" s="20">
        <v>28.99</v>
      </c>
      <c r="P52" s="25">
        <v>0.625</v>
      </c>
      <c r="Q52" s="20">
        <v>18.12</v>
      </c>
      <c r="R52" s="19" t="s">
        <v>165</v>
      </c>
    </row>
    <row r="53" spans="1:18" x14ac:dyDescent="0.25">
      <c r="A53" s="19" t="s">
        <v>60</v>
      </c>
      <c r="B53" s="19" t="s">
        <v>422</v>
      </c>
      <c r="C53" s="19" t="s">
        <v>151</v>
      </c>
      <c r="D53" s="19" t="s">
        <v>160</v>
      </c>
      <c r="E53" s="19" t="s">
        <v>161</v>
      </c>
      <c r="F53" s="19" t="s">
        <v>65</v>
      </c>
      <c r="G53" s="19" t="s">
        <v>149</v>
      </c>
      <c r="H53" s="19" t="s">
        <v>163</v>
      </c>
      <c r="I53" s="19" t="s">
        <v>163</v>
      </c>
      <c r="J53" s="19" t="s">
        <v>164</v>
      </c>
      <c r="K53" s="19" t="s">
        <v>83</v>
      </c>
      <c r="L53" s="19">
        <f>DATEDIF(J53,K53,"M")</f>
        <v>6</v>
      </c>
      <c r="M53" s="19" t="s">
        <v>423</v>
      </c>
      <c r="N53" s="19" t="s">
        <v>424</v>
      </c>
      <c r="O53" s="20">
        <v>10.17</v>
      </c>
      <c r="P53" s="25">
        <v>0.625</v>
      </c>
      <c r="Q53" s="20">
        <v>6.36</v>
      </c>
      <c r="R53" s="19" t="s">
        <v>165</v>
      </c>
    </row>
    <row r="54" spans="1:18" x14ac:dyDescent="0.25">
      <c r="A54" s="19" t="s">
        <v>60</v>
      </c>
      <c r="B54" s="19" t="s">
        <v>422</v>
      </c>
      <c r="C54" s="19" t="s">
        <v>151</v>
      </c>
      <c r="D54" s="19" t="s">
        <v>160</v>
      </c>
      <c r="E54" s="19" t="s">
        <v>161</v>
      </c>
      <c r="F54" s="19" t="s">
        <v>65</v>
      </c>
      <c r="G54" s="19" t="s">
        <v>149</v>
      </c>
      <c r="H54" s="19" t="s">
        <v>163</v>
      </c>
      <c r="I54" s="19" t="s">
        <v>163</v>
      </c>
      <c r="J54" s="19" t="s">
        <v>164</v>
      </c>
      <c r="K54" s="19" t="s">
        <v>83</v>
      </c>
      <c r="L54" s="19">
        <f>DATEDIF(J54,K54,"M")</f>
        <v>6</v>
      </c>
      <c r="M54" s="19" t="s">
        <v>423</v>
      </c>
      <c r="N54" s="19" t="s">
        <v>424</v>
      </c>
      <c r="O54" s="20">
        <v>3.3</v>
      </c>
      <c r="P54" s="25">
        <v>0.625</v>
      </c>
      <c r="Q54" s="20">
        <v>2.06</v>
      </c>
      <c r="R54" s="19" t="s">
        <v>165</v>
      </c>
    </row>
    <row r="55" spans="1:18" x14ac:dyDescent="0.25">
      <c r="A55" s="19" t="s">
        <v>60</v>
      </c>
      <c r="B55" s="19">
        <v>9213293</v>
      </c>
      <c r="C55" s="19" t="s">
        <v>266</v>
      </c>
      <c r="D55" s="19" t="s">
        <v>330</v>
      </c>
      <c r="E55" s="19" t="s">
        <v>331</v>
      </c>
      <c r="F55" s="19" t="s">
        <v>65</v>
      </c>
      <c r="G55" s="19" t="s">
        <v>333</v>
      </c>
      <c r="H55" s="19" t="s">
        <v>81</v>
      </c>
      <c r="I55" s="19" t="s">
        <v>437</v>
      </c>
      <c r="J55" s="19" t="s">
        <v>334</v>
      </c>
      <c r="K55" s="19" t="s">
        <v>170</v>
      </c>
      <c r="L55" s="19">
        <f>DATEDIF(J55,K55,"M")</f>
        <v>6</v>
      </c>
      <c r="M55" s="19" t="s">
        <v>423</v>
      </c>
      <c r="N55" s="19" t="s">
        <v>424</v>
      </c>
      <c r="O55" s="20">
        <v>3.67</v>
      </c>
      <c r="P55" s="25">
        <v>0.65</v>
      </c>
      <c r="Q55" s="20">
        <v>2.39</v>
      </c>
      <c r="R55" s="19" t="s">
        <v>85</v>
      </c>
    </row>
    <row r="56" spans="1:18" x14ac:dyDescent="0.25">
      <c r="A56" s="19" t="s">
        <v>60</v>
      </c>
      <c r="B56" s="19">
        <v>9213293</v>
      </c>
      <c r="C56" s="19" t="s">
        <v>266</v>
      </c>
      <c r="D56" s="19" t="s">
        <v>330</v>
      </c>
      <c r="E56" s="19" t="s">
        <v>331</v>
      </c>
      <c r="F56" s="19" t="s">
        <v>65</v>
      </c>
      <c r="G56" s="19" t="s">
        <v>333</v>
      </c>
      <c r="H56" s="19" t="s">
        <v>81</v>
      </c>
      <c r="I56" s="19" t="s">
        <v>437</v>
      </c>
      <c r="J56" s="19" t="s">
        <v>334</v>
      </c>
      <c r="K56" s="19" t="s">
        <v>170</v>
      </c>
      <c r="L56" s="19">
        <f>DATEDIF(J56,K56,"M")</f>
        <v>6</v>
      </c>
      <c r="M56" s="19" t="s">
        <v>423</v>
      </c>
      <c r="N56" s="19" t="s">
        <v>424</v>
      </c>
      <c r="O56" s="20">
        <v>93.49</v>
      </c>
      <c r="P56" s="25">
        <v>0.65</v>
      </c>
      <c r="Q56" s="20">
        <v>60.77</v>
      </c>
      <c r="R56" s="19" t="s">
        <v>85</v>
      </c>
    </row>
    <row r="57" spans="1:18" x14ac:dyDescent="0.25">
      <c r="A57" s="19" t="s">
        <v>60</v>
      </c>
      <c r="B57" s="19" t="s">
        <v>422</v>
      </c>
      <c r="C57" s="19" t="s">
        <v>151</v>
      </c>
      <c r="D57" s="19" t="s">
        <v>207</v>
      </c>
      <c r="E57" s="19" t="s">
        <v>360</v>
      </c>
      <c r="F57" s="19" t="s">
        <v>65</v>
      </c>
      <c r="G57" s="19" t="s">
        <v>149</v>
      </c>
      <c r="H57" s="19" t="s">
        <v>122</v>
      </c>
      <c r="I57" s="19" t="s">
        <v>430</v>
      </c>
      <c r="J57" s="19" t="s">
        <v>197</v>
      </c>
      <c r="K57" s="19" t="s">
        <v>198</v>
      </c>
      <c r="L57" s="19">
        <f>DATEDIF(J57,K57,"M")</f>
        <v>7</v>
      </c>
      <c r="M57" s="19" t="s">
        <v>423</v>
      </c>
      <c r="N57" s="19" t="s">
        <v>424</v>
      </c>
      <c r="O57" s="20">
        <v>41.7</v>
      </c>
      <c r="P57" s="25">
        <v>1</v>
      </c>
      <c r="Q57" s="20">
        <v>41.7</v>
      </c>
      <c r="R57" s="19" t="s">
        <v>125</v>
      </c>
    </row>
    <row r="58" spans="1:18" x14ac:dyDescent="0.25">
      <c r="A58" s="19" t="s">
        <v>60</v>
      </c>
      <c r="B58" s="19">
        <v>18754354</v>
      </c>
      <c r="C58" s="19" t="s">
        <v>249</v>
      </c>
      <c r="D58" s="19" t="s">
        <v>335</v>
      </c>
      <c r="E58" s="19" t="s">
        <v>386</v>
      </c>
      <c r="F58" s="19" t="s">
        <v>65</v>
      </c>
      <c r="G58" s="19" t="s">
        <v>80</v>
      </c>
      <c r="H58" s="19" t="s">
        <v>122</v>
      </c>
      <c r="I58" s="19" t="s">
        <v>430</v>
      </c>
      <c r="J58" s="19" t="s">
        <v>100</v>
      </c>
      <c r="K58" s="19" t="s">
        <v>83</v>
      </c>
      <c r="L58" s="19">
        <f>DATEDIF(J58,K58,"M")</f>
        <v>7</v>
      </c>
      <c r="M58" s="19" t="s">
        <v>423</v>
      </c>
      <c r="N58" s="19" t="s">
        <v>424</v>
      </c>
      <c r="O58" s="20">
        <v>44.29</v>
      </c>
      <c r="P58" s="25">
        <v>1</v>
      </c>
      <c r="Q58" s="20">
        <v>44.29</v>
      </c>
      <c r="R58" s="19" t="s">
        <v>125</v>
      </c>
    </row>
    <row r="59" spans="1:18" x14ac:dyDescent="0.25">
      <c r="A59" s="19" t="s">
        <v>60</v>
      </c>
      <c r="B59" s="19" t="s">
        <v>422</v>
      </c>
      <c r="C59" s="19" t="s">
        <v>151</v>
      </c>
      <c r="D59" s="19" t="s">
        <v>207</v>
      </c>
      <c r="E59" s="19" t="s">
        <v>208</v>
      </c>
      <c r="F59" s="19" t="s">
        <v>65</v>
      </c>
      <c r="G59" s="19" t="s">
        <v>149</v>
      </c>
      <c r="H59" s="19" t="s">
        <v>156</v>
      </c>
      <c r="I59" s="19" t="s">
        <v>430</v>
      </c>
      <c r="J59" s="19" t="s">
        <v>197</v>
      </c>
      <c r="K59" s="19" t="s">
        <v>198</v>
      </c>
      <c r="L59" s="19">
        <f>DATEDIF(J59,K59,"M")</f>
        <v>7</v>
      </c>
      <c r="M59" s="19" t="s">
        <v>423</v>
      </c>
      <c r="N59" s="19" t="s">
        <v>424</v>
      </c>
      <c r="O59" s="20">
        <v>42.4</v>
      </c>
      <c r="P59" s="25">
        <v>1</v>
      </c>
      <c r="Q59" s="20">
        <v>42.4</v>
      </c>
      <c r="R59" s="19" t="s">
        <v>159</v>
      </c>
    </row>
    <row r="60" spans="1:18" x14ac:dyDescent="0.25">
      <c r="A60" s="19" t="s">
        <v>60</v>
      </c>
      <c r="B60" s="19">
        <v>18754354</v>
      </c>
      <c r="C60" s="19" t="s">
        <v>249</v>
      </c>
      <c r="D60" s="19" t="s">
        <v>335</v>
      </c>
      <c r="E60" s="19" t="s">
        <v>336</v>
      </c>
      <c r="F60" s="19" t="s">
        <v>65</v>
      </c>
      <c r="G60" s="19" t="s">
        <v>80</v>
      </c>
      <c r="H60" s="19" t="s">
        <v>156</v>
      </c>
      <c r="I60" s="19" t="s">
        <v>430</v>
      </c>
      <c r="J60" s="19" t="s">
        <v>100</v>
      </c>
      <c r="K60" s="19" t="s">
        <v>83</v>
      </c>
      <c r="L60" s="19">
        <f>DATEDIF(J60,K60,"M")</f>
        <v>7</v>
      </c>
      <c r="M60" s="19" t="s">
        <v>423</v>
      </c>
      <c r="N60" s="19" t="s">
        <v>424</v>
      </c>
      <c r="O60" s="20">
        <v>43.96</v>
      </c>
      <c r="P60" s="25">
        <v>1</v>
      </c>
      <c r="Q60" s="20">
        <v>43.96</v>
      </c>
      <c r="R60" s="19" t="s">
        <v>159</v>
      </c>
    </row>
    <row r="61" spans="1:18" x14ac:dyDescent="0.25">
      <c r="A61" s="19" t="s">
        <v>60</v>
      </c>
      <c r="B61" s="19" t="s">
        <v>422</v>
      </c>
      <c r="C61" s="19" t="s">
        <v>151</v>
      </c>
      <c r="D61" s="19" t="s">
        <v>228</v>
      </c>
      <c r="E61" s="19" t="s">
        <v>229</v>
      </c>
      <c r="F61" s="19" t="s">
        <v>65</v>
      </c>
      <c r="G61" s="19" t="s">
        <v>149</v>
      </c>
      <c r="H61" s="19" t="s">
        <v>163</v>
      </c>
      <c r="I61" s="19" t="s">
        <v>163</v>
      </c>
      <c r="J61" s="19" t="s">
        <v>231</v>
      </c>
      <c r="K61" s="19" t="s">
        <v>232</v>
      </c>
      <c r="L61" s="19">
        <f>DATEDIF(J61,K61,"M")</f>
        <v>7</v>
      </c>
      <c r="M61" s="19" t="s">
        <v>423</v>
      </c>
      <c r="N61" s="19" t="s">
        <v>424</v>
      </c>
      <c r="O61" s="20">
        <v>10.5</v>
      </c>
      <c r="P61" s="25">
        <v>0.625</v>
      </c>
      <c r="Q61" s="20">
        <v>6.56</v>
      </c>
      <c r="R61" s="19" t="s">
        <v>165</v>
      </c>
    </row>
    <row r="62" spans="1:18" x14ac:dyDescent="0.25">
      <c r="A62" s="19" t="s">
        <v>60</v>
      </c>
      <c r="B62" s="19" t="s">
        <v>422</v>
      </c>
      <c r="C62" s="19" t="s">
        <v>151</v>
      </c>
      <c r="D62" s="19" t="s">
        <v>228</v>
      </c>
      <c r="E62" s="19" t="s">
        <v>229</v>
      </c>
      <c r="F62" s="19" t="s">
        <v>65</v>
      </c>
      <c r="G62" s="19" t="s">
        <v>149</v>
      </c>
      <c r="H62" s="19" t="s">
        <v>163</v>
      </c>
      <c r="I62" s="19" t="s">
        <v>163</v>
      </c>
      <c r="J62" s="19" t="s">
        <v>231</v>
      </c>
      <c r="K62" s="19" t="s">
        <v>232</v>
      </c>
      <c r="L62" s="19">
        <f>DATEDIF(J62,K62,"M")</f>
        <v>7</v>
      </c>
      <c r="M62" s="19" t="s">
        <v>423</v>
      </c>
      <c r="N62" s="19" t="s">
        <v>424</v>
      </c>
      <c r="O62" s="20">
        <v>46.67</v>
      </c>
      <c r="P62" s="25">
        <v>0.625</v>
      </c>
      <c r="Q62" s="20">
        <v>29.17</v>
      </c>
      <c r="R62" s="19" t="s">
        <v>165</v>
      </c>
    </row>
    <row r="63" spans="1:18" x14ac:dyDescent="0.25">
      <c r="A63" s="19" t="s">
        <v>60</v>
      </c>
      <c r="B63" s="19" t="s">
        <v>422</v>
      </c>
      <c r="C63" s="19" t="s">
        <v>151</v>
      </c>
      <c r="D63" s="19" t="s">
        <v>228</v>
      </c>
      <c r="E63" s="19" t="s">
        <v>229</v>
      </c>
      <c r="F63" s="19" t="s">
        <v>65</v>
      </c>
      <c r="G63" s="19" t="s">
        <v>149</v>
      </c>
      <c r="H63" s="19" t="s">
        <v>163</v>
      </c>
      <c r="I63" s="19" t="s">
        <v>163</v>
      </c>
      <c r="J63" s="19" t="s">
        <v>231</v>
      </c>
      <c r="K63" s="19" t="s">
        <v>232</v>
      </c>
      <c r="L63" s="19">
        <f>DATEDIF(J63,K63,"M")</f>
        <v>7</v>
      </c>
      <c r="M63" s="19" t="s">
        <v>423</v>
      </c>
      <c r="N63" s="19" t="s">
        <v>424</v>
      </c>
      <c r="O63" s="20">
        <v>1.04</v>
      </c>
      <c r="P63" s="25">
        <v>0.625</v>
      </c>
      <c r="Q63" s="20">
        <v>0.65</v>
      </c>
      <c r="R63" s="19" t="s">
        <v>165</v>
      </c>
    </row>
    <row r="64" spans="1:18" x14ac:dyDescent="0.25">
      <c r="A64" s="19" t="s">
        <v>60</v>
      </c>
      <c r="B64" s="19" t="s">
        <v>422</v>
      </c>
      <c r="C64" s="19" t="s">
        <v>151</v>
      </c>
      <c r="D64" s="19" t="s">
        <v>228</v>
      </c>
      <c r="E64" s="19" t="s">
        <v>229</v>
      </c>
      <c r="F64" s="19" t="s">
        <v>65</v>
      </c>
      <c r="G64" s="19" t="s">
        <v>149</v>
      </c>
      <c r="H64" s="19" t="s">
        <v>163</v>
      </c>
      <c r="I64" s="19" t="s">
        <v>163</v>
      </c>
      <c r="J64" s="19" t="s">
        <v>231</v>
      </c>
      <c r="K64" s="19" t="s">
        <v>232</v>
      </c>
      <c r="L64" s="19">
        <f>DATEDIF(J64,K64,"M")</f>
        <v>7</v>
      </c>
      <c r="M64" s="19" t="s">
        <v>423</v>
      </c>
      <c r="N64" s="19" t="s">
        <v>424</v>
      </c>
      <c r="O64" s="20">
        <v>4.7</v>
      </c>
      <c r="P64" s="25">
        <v>0.625</v>
      </c>
      <c r="Q64" s="20">
        <v>2.94</v>
      </c>
      <c r="R64" s="19" t="s">
        <v>165</v>
      </c>
    </row>
    <row r="65" spans="1:18" x14ac:dyDescent="0.25">
      <c r="A65" s="19" t="s">
        <v>60</v>
      </c>
      <c r="B65" s="19">
        <v>20003537</v>
      </c>
      <c r="C65" s="19" t="s">
        <v>306</v>
      </c>
      <c r="D65" s="19" t="s">
        <v>307</v>
      </c>
      <c r="E65" s="19" t="s">
        <v>308</v>
      </c>
      <c r="F65" s="19" t="s">
        <v>65</v>
      </c>
      <c r="G65" s="19" t="s">
        <v>80</v>
      </c>
      <c r="H65" s="19" t="s">
        <v>106</v>
      </c>
      <c r="I65" s="19" t="s">
        <v>163</v>
      </c>
      <c r="J65" s="19" t="s">
        <v>100</v>
      </c>
      <c r="K65" s="19" t="s">
        <v>83</v>
      </c>
      <c r="L65" s="19">
        <f>DATEDIF(J65,K65,"M")</f>
        <v>7</v>
      </c>
      <c r="M65" s="19" t="s">
        <v>423</v>
      </c>
      <c r="N65" s="19" t="s">
        <v>424</v>
      </c>
      <c r="O65" s="20">
        <v>78.16</v>
      </c>
      <c r="P65" s="25">
        <v>0.625</v>
      </c>
      <c r="Q65" s="20">
        <v>48.85</v>
      </c>
      <c r="R65" s="19" t="s">
        <v>108</v>
      </c>
    </row>
    <row r="66" spans="1:18" x14ac:dyDescent="0.25">
      <c r="A66" s="19" t="s">
        <v>60</v>
      </c>
      <c r="B66" s="19">
        <v>20003537</v>
      </c>
      <c r="C66" s="19" t="s">
        <v>306</v>
      </c>
      <c r="D66" s="19" t="s">
        <v>307</v>
      </c>
      <c r="E66" s="19" t="s">
        <v>308</v>
      </c>
      <c r="F66" s="19" t="s">
        <v>65</v>
      </c>
      <c r="G66" s="19" t="s">
        <v>80</v>
      </c>
      <c r="H66" s="19" t="s">
        <v>106</v>
      </c>
      <c r="I66" s="19" t="s">
        <v>163</v>
      </c>
      <c r="J66" s="19" t="s">
        <v>100</v>
      </c>
      <c r="K66" s="19" t="s">
        <v>83</v>
      </c>
      <c r="L66" s="19">
        <f>DATEDIF(J66,K66,"M")</f>
        <v>7</v>
      </c>
      <c r="M66" s="19" t="s">
        <v>423</v>
      </c>
      <c r="N66" s="19" t="s">
        <v>424</v>
      </c>
      <c r="O66" s="20">
        <v>23.7</v>
      </c>
      <c r="P66" s="25">
        <v>0.625</v>
      </c>
      <c r="Q66" s="20">
        <v>14.81</v>
      </c>
      <c r="R66" s="19" t="s">
        <v>108</v>
      </c>
    </row>
    <row r="67" spans="1:18" x14ac:dyDescent="0.25">
      <c r="A67" s="19" t="s">
        <v>60</v>
      </c>
      <c r="B67" s="19">
        <v>20003537</v>
      </c>
      <c r="C67" s="19" t="s">
        <v>306</v>
      </c>
      <c r="D67" s="19" t="s">
        <v>384</v>
      </c>
      <c r="E67" s="19" t="s">
        <v>385</v>
      </c>
      <c r="F67" s="19" t="s">
        <v>65</v>
      </c>
      <c r="G67" s="19" t="s">
        <v>80</v>
      </c>
      <c r="H67" s="19" t="s">
        <v>106</v>
      </c>
      <c r="I67" s="19" t="s">
        <v>163</v>
      </c>
      <c r="J67" s="19" t="s">
        <v>100</v>
      </c>
      <c r="K67" s="19" t="s">
        <v>83</v>
      </c>
      <c r="L67" s="19">
        <f>DATEDIF(J67,K67,"M")</f>
        <v>7</v>
      </c>
      <c r="M67" s="19" t="s">
        <v>423</v>
      </c>
      <c r="N67" s="19" t="s">
        <v>424</v>
      </c>
      <c r="O67" s="20">
        <v>23.7</v>
      </c>
      <c r="P67" s="25">
        <v>0.625</v>
      </c>
      <c r="Q67" s="20">
        <v>14.81</v>
      </c>
      <c r="R67" s="19" t="s">
        <v>108</v>
      </c>
    </row>
    <row r="68" spans="1:18" x14ac:dyDescent="0.25">
      <c r="A68" s="19" t="s">
        <v>60</v>
      </c>
      <c r="B68" s="19">
        <v>20003537</v>
      </c>
      <c r="C68" s="19" t="s">
        <v>306</v>
      </c>
      <c r="D68" s="19" t="s">
        <v>384</v>
      </c>
      <c r="E68" s="19" t="s">
        <v>385</v>
      </c>
      <c r="F68" s="19" t="s">
        <v>65</v>
      </c>
      <c r="G68" s="19" t="s">
        <v>80</v>
      </c>
      <c r="H68" s="19" t="s">
        <v>106</v>
      </c>
      <c r="I68" s="19" t="s">
        <v>163</v>
      </c>
      <c r="J68" s="19" t="s">
        <v>100</v>
      </c>
      <c r="K68" s="19" t="s">
        <v>83</v>
      </c>
      <c r="L68" s="19">
        <f>DATEDIF(J68,K68,"M")</f>
        <v>7</v>
      </c>
      <c r="M68" s="19" t="s">
        <v>423</v>
      </c>
      <c r="N68" s="19" t="s">
        <v>424</v>
      </c>
      <c r="O68" s="20">
        <v>78.16</v>
      </c>
      <c r="P68" s="25">
        <v>0.625</v>
      </c>
      <c r="Q68" s="20">
        <v>48.85</v>
      </c>
      <c r="R68" s="19" t="s">
        <v>108</v>
      </c>
    </row>
    <row r="69" spans="1:18" x14ac:dyDescent="0.25">
      <c r="A69" s="19" t="s">
        <v>60</v>
      </c>
      <c r="B69" s="19">
        <v>8244481</v>
      </c>
      <c r="C69" s="19" t="s">
        <v>95</v>
      </c>
      <c r="D69" s="19" t="s">
        <v>96</v>
      </c>
      <c r="E69" s="19" t="s">
        <v>97</v>
      </c>
      <c r="F69" s="19" t="s">
        <v>65</v>
      </c>
      <c r="G69" s="19" t="s">
        <v>80</v>
      </c>
      <c r="H69" s="19" t="s">
        <v>99</v>
      </c>
      <c r="I69" s="19" t="s">
        <v>440</v>
      </c>
      <c r="J69" s="19" t="s">
        <v>100</v>
      </c>
      <c r="K69" s="19" t="s">
        <v>83</v>
      </c>
      <c r="L69" s="19">
        <f>DATEDIF(J69,K69,"M")</f>
        <v>7</v>
      </c>
      <c r="M69" s="19" t="s">
        <v>423</v>
      </c>
      <c r="N69" s="19" t="s">
        <v>424</v>
      </c>
      <c r="O69" s="20">
        <v>170.5</v>
      </c>
      <c r="P69" s="25">
        <v>0.25</v>
      </c>
      <c r="Q69" s="20">
        <v>42.63</v>
      </c>
      <c r="R69" s="19" t="s">
        <v>102</v>
      </c>
    </row>
    <row r="70" spans="1:18" x14ac:dyDescent="0.25">
      <c r="A70" s="19" t="s">
        <v>60</v>
      </c>
      <c r="B70" s="19">
        <v>17528908</v>
      </c>
      <c r="C70" s="19" t="s">
        <v>151</v>
      </c>
      <c r="D70" s="19" t="s">
        <v>258</v>
      </c>
      <c r="E70" s="19" t="s">
        <v>259</v>
      </c>
      <c r="F70" s="19" t="s">
        <v>65</v>
      </c>
      <c r="G70" s="19" t="s">
        <v>149</v>
      </c>
      <c r="H70" s="19" t="s">
        <v>129</v>
      </c>
      <c r="I70" s="19" t="s">
        <v>443</v>
      </c>
      <c r="J70" s="19" t="s">
        <v>100</v>
      </c>
      <c r="K70" s="19" t="s">
        <v>83</v>
      </c>
      <c r="L70" s="19">
        <f>DATEDIF(J70,K70,"M")</f>
        <v>7</v>
      </c>
      <c r="M70" s="19" t="s">
        <v>423</v>
      </c>
      <c r="N70" s="19" t="s">
        <v>424</v>
      </c>
      <c r="O70" s="20">
        <v>168.35</v>
      </c>
      <c r="P70" s="25">
        <v>0.3</v>
      </c>
      <c r="Q70" s="20">
        <v>50.51</v>
      </c>
      <c r="R70" s="19" t="s">
        <v>132</v>
      </c>
    </row>
    <row r="71" spans="1:18" x14ac:dyDescent="0.25">
      <c r="A71" s="19" t="s">
        <v>60</v>
      </c>
      <c r="B71" s="19">
        <v>9079571</v>
      </c>
      <c r="C71" s="19" t="s">
        <v>62</v>
      </c>
      <c r="D71" s="19" t="s">
        <v>63</v>
      </c>
      <c r="E71" s="19" t="s">
        <v>64</v>
      </c>
      <c r="F71" s="19" t="s">
        <v>65</v>
      </c>
      <c r="G71" s="19" t="s">
        <v>67</v>
      </c>
      <c r="H71" s="19" t="s">
        <v>68</v>
      </c>
      <c r="I71" s="19" t="s">
        <v>433</v>
      </c>
      <c r="J71" s="19" t="s">
        <v>66</v>
      </c>
      <c r="K71" s="19" t="s">
        <v>69</v>
      </c>
      <c r="L71" s="19">
        <f>DATEDIF(J71,K71,"M")</f>
        <v>8</v>
      </c>
      <c r="M71" s="19" t="s">
        <v>423</v>
      </c>
      <c r="N71" s="19" t="s">
        <v>424</v>
      </c>
      <c r="O71" s="20">
        <v>32.130000000000003</v>
      </c>
      <c r="P71" s="25">
        <v>0.56999999999999995</v>
      </c>
      <c r="Q71" s="20">
        <v>18.309999999999999</v>
      </c>
      <c r="R71" s="19" t="s">
        <v>74</v>
      </c>
    </row>
    <row r="72" spans="1:18" x14ac:dyDescent="0.25">
      <c r="A72" s="19" t="s">
        <v>60</v>
      </c>
      <c r="B72" s="19">
        <v>17195620</v>
      </c>
      <c r="C72" s="19" t="s">
        <v>234</v>
      </c>
      <c r="D72" s="19" t="s">
        <v>235</v>
      </c>
      <c r="E72" s="19" t="s">
        <v>236</v>
      </c>
      <c r="F72" s="19" t="s">
        <v>65</v>
      </c>
      <c r="G72" s="19" t="s">
        <v>67</v>
      </c>
      <c r="H72" s="19" t="s">
        <v>190</v>
      </c>
      <c r="I72" s="19" t="s">
        <v>429</v>
      </c>
      <c r="J72" s="19" t="s">
        <v>82</v>
      </c>
      <c r="K72" s="19" t="s">
        <v>83</v>
      </c>
      <c r="L72" s="19">
        <f>DATEDIF(J72,K72,"M")</f>
        <v>9</v>
      </c>
      <c r="M72" s="19" t="s">
        <v>423</v>
      </c>
      <c r="N72" s="19" t="s">
        <v>424</v>
      </c>
      <c r="O72" s="20">
        <v>111.58</v>
      </c>
      <c r="P72" s="25">
        <v>0.91</v>
      </c>
      <c r="Q72" s="20">
        <v>101.54</v>
      </c>
      <c r="R72" s="19" t="s">
        <v>191</v>
      </c>
    </row>
    <row r="73" spans="1:18" x14ac:dyDescent="0.25">
      <c r="A73" s="19" t="s">
        <v>60</v>
      </c>
      <c r="B73" s="19">
        <v>5442438</v>
      </c>
      <c r="C73" s="19" t="s">
        <v>245</v>
      </c>
      <c r="D73" s="19" t="s">
        <v>246</v>
      </c>
      <c r="E73" s="19" t="s">
        <v>280</v>
      </c>
      <c r="F73" s="19" t="s">
        <v>65</v>
      </c>
      <c r="G73" s="19" t="s">
        <v>67</v>
      </c>
      <c r="H73" s="19" t="s">
        <v>190</v>
      </c>
      <c r="I73" s="19" t="s">
        <v>429</v>
      </c>
      <c r="J73" s="19" t="s">
        <v>98</v>
      </c>
      <c r="K73" s="19" t="s">
        <v>170</v>
      </c>
      <c r="L73" s="19">
        <f>DATEDIF(J73,K73,"M")</f>
        <v>9</v>
      </c>
      <c r="M73" s="19" t="s">
        <v>423</v>
      </c>
      <c r="N73" s="19" t="s">
        <v>424</v>
      </c>
      <c r="O73" s="20">
        <v>170.24</v>
      </c>
      <c r="P73" s="25">
        <v>0.91</v>
      </c>
      <c r="Q73" s="20">
        <v>154.91999999999999</v>
      </c>
      <c r="R73" s="19" t="s">
        <v>191</v>
      </c>
    </row>
    <row r="74" spans="1:18" x14ac:dyDescent="0.25">
      <c r="A74" s="19" t="s">
        <v>60</v>
      </c>
      <c r="B74" s="19">
        <v>9079571</v>
      </c>
      <c r="C74" s="19" t="s">
        <v>62</v>
      </c>
      <c r="D74" s="19" t="s">
        <v>272</v>
      </c>
      <c r="E74" s="19" t="s">
        <v>273</v>
      </c>
      <c r="F74" s="19" t="s">
        <v>65</v>
      </c>
      <c r="G74" s="19" t="s">
        <v>67</v>
      </c>
      <c r="H74" s="19" t="s">
        <v>122</v>
      </c>
      <c r="I74" s="19" t="s">
        <v>429</v>
      </c>
      <c r="J74" s="19" t="s">
        <v>98</v>
      </c>
      <c r="K74" s="19" t="s">
        <v>170</v>
      </c>
      <c r="L74" s="19">
        <f>DATEDIF(J74,K74,"M")</f>
        <v>9</v>
      </c>
      <c r="M74" s="19" t="s">
        <v>423</v>
      </c>
      <c r="N74" s="19" t="s">
        <v>424</v>
      </c>
      <c r="O74" s="20">
        <v>30.97</v>
      </c>
      <c r="P74" s="25">
        <v>0.91</v>
      </c>
      <c r="Q74" s="20">
        <v>28.18</v>
      </c>
      <c r="R74" s="19" t="s">
        <v>125</v>
      </c>
    </row>
    <row r="75" spans="1:18" x14ac:dyDescent="0.25">
      <c r="A75" s="19" t="s">
        <v>60</v>
      </c>
      <c r="B75" s="19">
        <v>18754354</v>
      </c>
      <c r="C75" s="19" t="s">
        <v>249</v>
      </c>
      <c r="D75" s="19" t="s">
        <v>356</v>
      </c>
      <c r="E75" s="19" t="s">
        <v>357</v>
      </c>
      <c r="F75" s="19" t="s">
        <v>65</v>
      </c>
      <c r="G75" s="19" t="s">
        <v>253</v>
      </c>
      <c r="H75" s="19" t="s">
        <v>122</v>
      </c>
      <c r="I75" s="19" t="s">
        <v>432</v>
      </c>
      <c r="J75" s="19" t="s">
        <v>98</v>
      </c>
      <c r="K75" s="19" t="s">
        <v>170</v>
      </c>
      <c r="L75" s="19">
        <f>DATEDIF(J75,K75,"M")</f>
        <v>9</v>
      </c>
      <c r="M75" s="19" t="s">
        <v>423</v>
      </c>
      <c r="N75" s="19" t="s">
        <v>424</v>
      </c>
      <c r="O75" s="20">
        <v>41.84</v>
      </c>
      <c r="P75" s="25">
        <v>0.95</v>
      </c>
      <c r="Q75" s="20">
        <v>39.75</v>
      </c>
      <c r="R75" s="19" t="s">
        <v>125</v>
      </c>
    </row>
    <row r="76" spans="1:18" x14ac:dyDescent="0.25">
      <c r="A76" s="19" t="s">
        <v>60</v>
      </c>
      <c r="B76" s="19">
        <v>5442438</v>
      </c>
      <c r="C76" s="19" t="s">
        <v>245</v>
      </c>
      <c r="D76" s="19" t="s">
        <v>246</v>
      </c>
      <c r="E76" s="19" t="s">
        <v>262</v>
      </c>
      <c r="F76" s="19" t="s">
        <v>65</v>
      </c>
      <c r="G76" s="19" t="s">
        <v>67</v>
      </c>
      <c r="H76" s="19" t="s">
        <v>263</v>
      </c>
      <c r="I76" s="19" t="s">
        <v>429</v>
      </c>
      <c r="J76" s="19" t="s">
        <v>98</v>
      </c>
      <c r="K76" s="19" t="s">
        <v>170</v>
      </c>
      <c r="L76" s="19">
        <f>DATEDIF(J76,K76,"M")</f>
        <v>9</v>
      </c>
      <c r="M76" s="19" t="s">
        <v>423</v>
      </c>
      <c r="N76" s="19" t="s">
        <v>424</v>
      </c>
      <c r="O76" s="20">
        <v>156.49</v>
      </c>
      <c r="P76" s="25">
        <v>0.91</v>
      </c>
      <c r="Q76" s="20">
        <v>142.41</v>
      </c>
      <c r="R76" s="19" t="s">
        <v>264</v>
      </c>
    </row>
    <row r="77" spans="1:18" x14ac:dyDescent="0.25">
      <c r="A77" s="19" t="s">
        <v>60</v>
      </c>
      <c r="B77" s="19">
        <v>5442438</v>
      </c>
      <c r="C77" s="19" t="s">
        <v>245</v>
      </c>
      <c r="D77" s="19" t="s">
        <v>246</v>
      </c>
      <c r="E77" s="19" t="s">
        <v>247</v>
      </c>
      <c r="F77" s="19" t="s">
        <v>65</v>
      </c>
      <c r="G77" s="19" t="s">
        <v>67</v>
      </c>
      <c r="H77" s="19" t="s">
        <v>106</v>
      </c>
      <c r="I77" s="19" t="s">
        <v>434</v>
      </c>
      <c r="J77" s="19" t="s">
        <v>98</v>
      </c>
      <c r="K77" s="19" t="s">
        <v>170</v>
      </c>
      <c r="L77" s="19">
        <f>DATEDIF(J77,K77,"M")</f>
        <v>9</v>
      </c>
      <c r="M77" s="19" t="s">
        <v>423</v>
      </c>
      <c r="N77" s="19" t="s">
        <v>424</v>
      </c>
      <c r="O77" s="20">
        <v>20.62</v>
      </c>
      <c r="P77" s="25">
        <v>0.57999999999999996</v>
      </c>
      <c r="Q77" s="20">
        <v>11.96</v>
      </c>
      <c r="R77" s="19" t="s">
        <v>108</v>
      </c>
    </row>
    <row r="78" spans="1:18" x14ac:dyDescent="0.25">
      <c r="A78" s="19" t="s">
        <v>60</v>
      </c>
      <c r="B78" s="19">
        <v>5442438</v>
      </c>
      <c r="C78" s="19" t="s">
        <v>245</v>
      </c>
      <c r="D78" s="19" t="s">
        <v>246</v>
      </c>
      <c r="E78" s="19" t="s">
        <v>247</v>
      </c>
      <c r="F78" s="19" t="s">
        <v>65</v>
      </c>
      <c r="G78" s="19" t="s">
        <v>67</v>
      </c>
      <c r="H78" s="19" t="s">
        <v>106</v>
      </c>
      <c r="I78" s="19" t="s">
        <v>434</v>
      </c>
      <c r="J78" s="19" t="s">
        <v>98</v>
      </c>
      <c r="K78" s="19" t="s">
        <v>170</v>
      </c>
      <c r="L78" s="19">
        <f>DATEDIF(J78,K78,"M")</f>
        <v>9</v>
      </c>
      <c r="M78" s="19" t="s">
        <v>423</v>
      </c>
      <c r="N78" s="19" t="s">
        <v>424</v>
      </c>
      <c r="O78" s="20">
        <v>59.25</v>
      </c>
      <c r="P78" s="25">
        <v>0.57999999999999996</v>
      </c>
      <c r="Q78" s="20">
        <v>34.369999999999997</v>
      </c>
      <c r="R78" s="19" t="s">
        <v>108</v>
      </c>
    </row>
    <row r="79" spans="1:18" x14ac:dyDescent="0.25">
      <c r="A79" s="19" t="s">
        <v>60</v>
      </c>
      <c r="B79" s="19">
        <v>5442438</v>
      </c>
      <c r="C79" s="19" t="s">
        <v>245</v>
      </c>
      <c r="D79" s="19" t="s">
        <v>278</v>
      </c>
      <c r="E79" s="19" t="s">
        <v>279</v>
      </c>
      <c r="F79" s="19" t="s">
        <v>65</v>
      </c>
      <c r="G79" s="19" t="s">
        <v>67</v>
      </c>
      <c r="H79" s="19" t="s">
        <v>106</v>
      </c>
      <c r="I79" s="19" t="s">
        <v>434</v>
      </c>
      <c r="J79" s="19" t="s">
        <v>98</v>
      </c>
      <c r="K79" s="19" t="s">
        <v>170</v>
      </c>
      <c r="L79" s="19">
        <f>DATEDIF(J79,K79,"M")</f>
        <v>9</v>
      </c>
      <c r="M79" s="19" t="s">
        <v>423</v>
      </c>
      <c r="N79" s="19" t="s">
        <v>424</v>
      </c>
      <c r="O79" s="20">
        <v>71.08</v>
      </c>
      <c r="P79" s="25">
        <v>0.57999999999999996</v>
      </c>
      <c r="Q79" s="20">
        <v>41.23</v>
      </c>
      <c r="R79" s="19" t="s">
        <v>108</v>
      </c>
    </row>
    <row r="80" spans="1:18" x14ac:dyDescent="0.25">
      <c r="A80" s="19" t="s">
        <v>60</v>
      </c>
      <c r="B80" s="19">
        <v>5442438</v>
      </c>
      <c r="C80" s="19" t="s">
        <v>245</v>
      </c>
      <c r="D80" s="19" t="s">
        <v>278</v>
      </c>
      <c r="E80" s="19" t="s">
        <v>279</v>
      </c>
      <c r="F80" s="19" t="s">
        <v>65</v>
      </c>
      <c r="G80" s="19" t="s">
        <v>67</v>
      </c>
      <c r="H80" s="19" t="s">
        <v>106</v>
      </c>
      <c r="I80" s="19" t="s">
        <v>434</v>
      </c>
      <c r="J80" s="19" t="s">
        <v>98</v>
      </c>
      <c r="K80" s="19" t="s">
        <v>170</v>
      </c>
      <c r="L80" s="19">
        <f>DATEDIF(J80,K80,"M")</f>
        <v>9</v>
      </c>
      <c r="M80" s="19" t="s">
        <v>423</v>
      </c>
      <c r="N80" s="19" t="s">
        <v>424</v>
      </c>
      <c r="O80" s="20">
        <v>21.55</v>
      </c>
      <c r="P80" s="25">
        <v>0.57999999999999996</v>
      </c>
      <c r="Q80" s="20">
        <v>12.5</v>
      </c>
      <c r="R80" s="19" t="s">
        <v>108</v>
      </c>
    </row>
    <row r="81" spans="1:18" x14ac:dyDescent="0.25">
      <c r="A81" s="19" t="s">
        <v>60</v>
      </c>
      <c r="B81" s="19">
        <v>19278370</v>
      </c>
      <c r="C81" s="19" t="s">
        <v>145</v>
      </c>
      <c r="D81" s="19" t="s">
        <v>146</v>
      </c>
      <c r="E81" s="19" t="s">
        <v>147</v>
      </c>
      <c r="F81" s="19" t="s">
        <v>65</v>
      </c>
      <c r="G81" s="19" t="s">
        <v>149</v>
      </c>
      <c r="H81" s="19" t="s">
        <v>99</v>
      </c>
      <c r="I81" s="19" t="s">
        <v>440</v>
      </c>
      <c r="J81" s="19" t="s">
        <v>82</v>
      </c>
      <c r="K81" s="19" t="s">
        <v>83</v>
      </c>
      <c r="L81" s="19">
        <f>DATEDIF(J81,K81,"M")</f>
        <v>9</v>
      </c>
      <c r="M81" s="19" t="s">
        <v>423</v>
      </c>
      <c r="N81" s="19" t="s">
        <v>424</v>
      </c>
      <c r="O81" s="20">
        <v>167.68</v>
      </c>
      <c r="P81" s="25">
        <v>0.25</v>
      </c>
      <c r="Q81" s="20">
        <v>41.92</v>
      </c>
      <c r="R81" s="19" t="s">
        <v>102</v>
      </c>
    </row>
    <row r="82" spans="1:18" x14ac:dyDescent="0.25">
      <c r="A82" s="19" t="s">
        <v>60</v>
      </c>
      <c r="B82" s="19">
        <v>7387433</v>
      </c>
      <c r="C82" s="19" t="s">
        <v>325</v>
      </c>
      <c r="D82" s="19" t="s">
        <v>326</v>
      </c>
      <c r="E82" s="19" t="s">
        <v>327</v>
      </c>
      <c r="F82" s="19" t="s">
        <v>65</v>
      </c>
      <c r="G82" s="19" t="s">
        <v>67</v>
      </c>
      <c r="H82" s="19" t="s">
        <v>129</v>
      </c>
      <c r="I82" s="19" t="s">
        <v>442</v>
      </c>
      <c r="J82" s="19" t="s">
        <v>82</v>
      </c>
      <c r="K82" s="19" t="s">
        <v>83</v>
      </c>
      <c r="L82" s="19">
        <f>DATEDIF(J82,K82,"M")</f>
        <v>9</v>
      </c>
      <c r="M82" s="19" t="s">
        <v>423</v>
      </c>
      <c r="N82" s="19" t="s">
        <v>424</v>
      </c>
      <c r="O82" s="20">
        <v>176.1</v>
      </c>
      <c r="P82" s="25">
        <v>1.4999999999999999E-2</v>
      </c>
      <c r="Q82" s="20">
        <v>2.64</v>
      </c>
      <c r="R82" s="19" t="s">
        <v>132</v>
      </c>
    </row>
    <row r="83" spans="1:18" x14ac:dyDescent="0.25">
      <c r="A83" s="19" t="s">
        <v>60</v>
      </c>
      <c r="B83" s="19">
        <v>17528908</v>
      </c>
      <c r="C83" s="19" t="s">
        <v>151</v>
      </c>
      <c r="D83" s="19" t="s">
        <v>387</v>
      </c>
      <c r="E83" s="19" t="s">
        <v>388</v>
      </c>
      <c r="F83" s="19" t="s">
        <v>65</v>
      </c>
      <c r="G83" s="19" t="s">
        <v>149</v>
      </c>
      <c r="H83" s="19" t="s">
        <v>122</v>
      </c>
      <c r="I83" s="19" t="s">
        <v>430</v>
      </c>
      <c r="J83" s="19" t="s">
        <v>390</v>
      </c>
      <c r="K83" s="19" t="s">
        <v>83</v>
      </c>
      <c r="L83" s="19">
        <f>DATEDIF(J83,K83,"M")</f>
        <v>10</v>
      </c>
      <c r="M83" s="19" t="s">
        <v>423</v>
      </c>
      <c r="N83" s="19" t="s">
        <v>424</v>
      </c>
      <c r="O83" s="20">
        <v>48.45</v>
      </c>
      <c r="P83" s="25">
        <v>1</v>
      </c>
      <c r="Q83" s="20">
        <v>48.45</v>
      </c>
      <c r="R83" s="19" t="s">
        <v>125</v>
      </c>
    </row>
    <row r="84" spans="1:18" x14ac:dyDescent="0.25">
      <c r="A84" s="19" t="s">
        <v>60</v>
      </c>
      <c r="B84" s="19">
        <v>17528908</v>
      </c>
      <c r="C84" s="19" t="s">
        <v>151</v>
      </c>
      <c r="D84" s="19" t="s">
        <v>296</v>
      </c>
      <c r="E84" s="19" t="s">
        <v>297</v>
      </c>
      <c r="F84" s="19" t="s">
        <v>65</v>
      </c>
      <c r="G84" s="19" t="s">
        <v>149</v>
      </c>
      <c r="H84" s="19" t="s">
        <v>122</v>
      </c>
      <c r="I84" s="19" t="s">
        <v>430</v>
      </c>
      <c r="J84" s="19" t="s">
        <v>298</v>
      </c>
      <c r="K84" s="19" t="s">
        <v>198</v>
      </c>
      <c r="L84" s="19">
        <f>DATEDIF(J84,K84,"M")</f>
        <v>10</v>
      </c>
      <c r="M84" s="19" t="s">
        <v>423</v>
      </c>
      <c r="N84" s="19" t="s">
        <v>424</v>
      </c>
      <c r="O84" s="20">
        <v>37.72</v>
      </c>
      <c r="P84" s="25">
        <v>1</v>
      </c>
      <c r="Q84" s="20">
        <v>37.72</v>
      </c>
      <c r="R84" s="19" t="s">
        <v>125</v>
      </c>
    </row>
    <row r="85" spans="1:18" x14ac:dyDescent="0.25">
      <c r="A85" s="19" t="s">
        <v>60</v>
      </c>
      <c r="B85" s="19">
        <v>5442438</v>
      </c>
      <c r="C85" s="19" t="s">
        <v>245</v>
      </c>
      <c r="D85" s="19" t="s">
        <v>275</v>
      </c>
      <c r="E85" s="19" t="s">
        <v>276</v>
      </c>
      <c r="F85" s="19" t="s">
        <v>65</v>
      </c>
      <c r="G85" s="19" t="s">
        <v>67</v>
      </c>
      <c r="H85" s="19" t="s">
        <v>68</v>
      </c>
      <c r="I85" s="19" t="s">
        <v>433</v>
      </c>
      <c r="J85" s="19" t="s">
        <v>277</v>
      </c>
      <c r="K85" s="19" t="s">
        <v>170</v>
      </c>
      <c r="L85" s="19">
        <f>DATEDIF(J85,K85,"M")</f>
        <v>10</v>
      </c>
      <c r="M85" s="19" t="s">
        <v>423</v>
      </c>
      <c r="N85" s="19" t="s">
        <v>424</v>
      </c>
      <c r="O85" s="20">
        <v>27.63</v>
      </c>
      <c r="P85" s="25">
        <v>0.56999999999999995</v>
      </c>
      <c r="Q85" s="20">
        <v>15.75</v>
      </c>
      <c r="R85" s="19" t="s">
        <v>74</v>
      </c>
    </row>
    <row r="86" spans="1:18" x14ac:dyDescent="0.25">
      <c r="A86" s="19" t="s">
        <v>60</v>
      </c>
      <c r="B86" s="19">
        <v>8244481</v>
      </c>
      <c r="C86" s="19" t="s">
        <v>95</v>
      </c>
      <c r="D86" s="19" t="s">
        <v>391</v>
      </c>
      <c r="E86" s="19" t="s">
        <v>392</v>
      </c>
      <c r="F86" s="19" t="s">
        <v>65</v>
      </c>
      <c r="G86" s="19" t="s">
        <v>80</v>
      </c>
      <c r="H86" s="19" t="s">
        <v>214</v>
      </c>
      <c r="I86" s="19" t="s">
        <v>433</v>
      </c>
      <c r="J86" s="19" t="s">
        <v>277</v>
      </c>
      <c r="K86" s="19" t="s">
        <v>170</v>
      </c>
      <c r="L86" s="19">
        <f>DATEDIF(J86,K86,"M")</f>
        <v>10</v>
      </c>
      <c r="M86" s="19" t="s">
        <v>423</v>
      </c>
      <c r="N86" s="19" t="s">
        <v>424</v>
      </c>
      <c r="O86" s="20">
        <v>85</v>
      </c>
      <c r="P86" s="25">
        <v>0.56999999999999995</v>
      </c>
      <c r="Q86" s="20">
        <v>48.45</v>
      </c>
      <c r="R86" s="19" t="s">
        <v>215</v>
      </c>
    </row>
    <row r="87" spans="1:18" x14ac:dyDescent="0.25">
      <c r="A87" s="19" t="s">
        <v>60</v>
      </c>
      <c r="B87" s="19">
        <v>17528908</v>
      </c>
      <c r="C87" s="19" t="s">
        <v>151</v>
      </c>
      <c r="D87" s="19" t="s">
        <v>347</v>
      </c>
      <c r="E87" s="19" t="s">
        <v>348</v>
      </c>
      <c r="F87" s="19" t="s">
        <v>135</v>
      </c>
      <c r="G87" s="19" t="s">
        <v>149</v>
      </c>
      <c r="H87" s="19" t="s">
        <v>122</v>
      </c>
      <c r="I87" s="19" t="s">
        <v>430</v>
      </c>
      <c r="J87" s="19" t="s">
        <v>350</v>
      </c>
      <c r="K87" s="19" t="s">
        <v>202</v>
      </c>
      <c r="L87" s="19">
        <f>DATEDIF(J87,K87,"M")</f>
        <v>13</v>
      </c>
      <c r="M87" s="19" t="s">
        <v>423</v>
      </c>
      <c r="N87" s="19" t="s">
        <v>424</v>
      </c>
      <c r="O87" s="20">
        <v>48.45</v>
      </c>
      <c r="P87" s="25">
        <v>0.08</v>
      </c>
      <c r="Q87" s="20">
        <v>3.88</v>
      </c>
      <c r="R87" s="19" t="s">
        <v>125</v>
      </c>
    </row>
    <row r="88" spans="1:18" x14ac:dyDescent="0.25">
      <c r="A88" s="19" t="s">
        <v>60</v>
      </c>
      <c r="B88" s="19">
        <v>9079571</v>
      </c>
      <c r="C88" s="19" t="s">
        <v>62</v>
      </c>
      <c r="D88" s="19" t="s">
        <v>203</v>
      </c>
      <c r="E88" s="19" t="s">
        <v>204</v>
      </c>
      <c r="F88" s="19" t="s">
        <v>135</v>
      </c>
      <c r="G88" s="19" t="s">
        <v>67</v>
      </c>
      <c r="H88" s="19" t="s">
        <v>68</v>
      </c>
      <c r="I88" s="19" t="s">
        <v>68</v>
      </c>
      <c r="J88" s="19" t="s">
        <v>206</v>
      </c>
      <c r="K88" s="19" t="s">
        <v>170</v>
      </c>
      <c r="L88" s="19">
        <f>DATEDIF(J88,K88,"M")</f>
        <v>17</v>
      </c>
      <c r="M88" s="19" t="s">
        <v>423</v>
      </c>
      <c r="N88" s="19" t="s">
        <v>424</v>
      </c>
      <c r="O88" s="20">
        <v>32.130000000000003</v>
      </c>
      <c r="P88" s="25">
        <v>3.5000000000000003E-2</v>
      </c>
      <c r="Q88" s="20">
        <v>1.1200000000000001</v>
      </c>
      <c r="R88" s="19" t="s">
        <v>74</v>
      </c>
    </row>
    <row r="89" spans="1:18" x14ac:dyDescent="0.25">
      <c r="A89" s="19" t="s">
        <v>60</v>
      </c>
      <c r="B89" s="19">
        <v>9079571</v>
      </c>
      <c r="C89" s="19" t="s">
        <v>62</v>
      </c>
      <c r="D89" s="19" t="s">
        <v>167</v>
      </c>
      <c r="E89" s="19" t="s">
        <v>168</v>
      </c>
      <c r="F89" s="19" t="s">
        <v>135</v>
      </c>
      <c r="G89" s="19" t="s">
        <v>67</v>
      </c>
      <c r="H89" s="19" t="s">
        <v>68</v>
      </c>
      <c r="I89" s="19" t="s">
        <v>68</v>
      </c>
      <c r="J89" s="19" t="s">
        <v>169</v>
      </c>
      <c r="K89" s="19" t="s">
        <v>170</v>
      </c>
      <c r="L89" s="19">
        <f>DATEDIF(J89,K89,"M")</f>
        <v>19</v>
      </c>
      <c r="M89" s="19" t="s">
        <v>423</v>
      </c>
      <c r="N89" s="19" t="s">
        <v>424</v>
      </c>
      <c r="O89" s="20">
        <v>27.63</v>
      </c>
      <c r="P89" s="25">
        <v>3.5000000000000003E-2</v>
      </c>
      <c r="Q89" s="20">
        <v>0.97</v>
      </c>
      <c r="R89" s="19" t="s">
        <v>74</v>
      </c>
    </row>
    <row r="90" spans="1:18" x14ac:dyDescent="0.25">
      <c r="A90" s="19" t="s">
        <v>60</v>
      </c>
      <c r="B90" s="19">
        <v>9079571</v>
      </c>
      <c r="C90" s="19" t="s">
        <v>62</v>
      </c>
      <c r="D90" s="19" t="s">
        <v>289</v>
      </c>
      <c r="E90" s="19" t="s">
        <v>290</v>
      </c>
      <c r="F90" s="19" t="s">
        <v>135</v>
      </c>
      <c r="G90" s="19" t="s">
        <v>67</v>
      </c>
      <c r="H90" s="19" t="s">
        <v>68</v>
      </c>
      <c r="I90" s="19" t="s">
        <v>68</v>
      </c>
      <c r="J90" s="19" t="s">
        <v>169</v>
      </c>
      <c r="K90" s="19" t="s">
        <v>170</v>
      </c>
      <c r="L90" s="19">
        <f>DATEDIF(J90,K90,"M")</f>
        <v>19</v>
      </c>
      <c r="M90" s="19" t="s">
        <v>423</v>
      </c>
      <c r="N90" s="19" t="s">
        <v>424</v>
      </c>
      <c r="O90" s="20">
        <v>27.63</v>
      </c>
      <c r="P90" s="25">
        <v>3.5000000000000003E-2</v>
      </c>
      <c r="Q90" s="20">
        <v>0.97</v>
      </c>
      <c r="R90" s="19" t="s">
        <v>74</v>
      </c>
    </row>
    <row r="91" spans="1:18" x14ac:dyDescent="0.25">
      <c r="A91" s="19" t="s">
        <v>60</v>
      </c>
      <c r="B91" s="19">
        <v>19562245</v>
      </c>
      <c r="C91" s="19" t="s">
        <v>178</v>
      </c>
      <c r="D91" s="19" t="s">
        <v>352</v>
      </c>
      <c r="E91" s="19" t="s">
        <v>359</v>
      </c>
      <c r="F91" s="19" t="s">
        <v>135</v>
      </c>
      <c r="G91" s="19" t="s">
        <v>149</v>
      </c>
      <c r="H91" s="19" t="s">
        <v>122</v>
      </c>
      <c r="I91" s="19" t="s">
        <v>432</v>
      </c>
      <c r="J91" s="19" t="s">
        <v>355</v>
      </c>
      <c r="K91" s="19" t="s">
        <v>83</v>
      </c>
      <c r="L91" s="19">
        <f>DATEDIF(J91,K91,"M")</f>
        <v>20</v>
      </c>
      <c r="M91" s="19" t="s">
        <v>423</v>
      </c>
      <c r="N91" s="19" t="s">
        <v>424</v>
      </c>
      <c r="O91" s="20">
        <v>41.7</v>
      </c>
      <c r="P91" s="25">
        <v>7.4999999999999997E-2</v>
      </c>
      <c r="Q91" s="20">
        <v>3.13</v>
      </c>
      <c r="R91" s="19" t="s">
        <v>125</v>
      </c>
    </row>
    <row r="92" spans="1:18" x14ac:dyDescent="0.25">
      <c r="A92" s="19" t="s">
        <v>60</v>
      </c>
      <c r="B92" s="19">
        <v>19562245</v>
      </c>
      <c r="C92" s="19" t="s">
        <v>178</v>
      </c>
      <c r="D92" s="19" t="s">
        <v>352</v>
      </c>
      <c r="E92" s="19" t="s">
        <v>353</v>
      </c>
      <c r="F92" s="19" t="s">
        <v>135</v>
      </c>
      <c r="G92" s="19" t="s">
        <v>149</v>
      </c>
      <c r="H92" s="19" t="s">
        <v>156</v>
      </c>
      <c r="I92" s="19" t="s">
        <v>432</v>
      </c>
      <c r="J92" s="19" t="s">
        <v>355</v>
      </c>
      <c r="K92" s="19" t="s">
        <v>83</v>
      </c>
      <c r="L92" s="19">
        <f>DATEDIF(J92,K92,"M")</f>
        <v>20</v>
      </c>
      <c r="M92" s="19" t="s">
        <v>423</v>
      </c>
      <c r="N92" s="19" t="s">
        <v>424</v>
      </c>
      <c r="O92" s="20">
        <v>42.4</v>
      </c>
      <c r="P92" s="25">
        <v>7.4999999999999997E-2</v>
      </c>
      <c r="Q92" s="20">
        <v>3.18</v>
      </c>
      <c r="R92" s="19" t="s">
        <v>159</v>
      </c>
    </row>
    <row r="93" spans="1:18" x14ac:dyDescent="0.25">
      <c r="A93" s="19" t="s">
        <v>60</v>
      </c>
      <c r="B93" s="19">
        <v>19562245</v>
      </c>
      <c r="C93" s="19" t="s">
        <v>178</v>
      </c>
      <c r="D93" s="19" t="s">
        <v>254</v>
      </c>
      <c r="E93" s="19" t="s">
        <v>255</v>
      </c>
      <c r="F93" s="19" t="s">
        <v>135</v>
      </c>
      <c r="G93" s="19" t="s">
        <v>149</v>
      </c>
      <c r="H93" s="19" t="s">
        <v>156</v>
      </c>
      <c r="I93" s="19" t="s">
        <v>432</v>
      </c>
      <c r="J93" s="19" t="s">
        <v>257</v>
      </c>
      <c r="K93" s="19" t="s">
        <v>83</v>
      </c>
      <c r="L93" s="19">
        <f>DATEDIF(J93,K93,"M")</f>
        <v>21</v>
      </c>
      <c r="M93" s="19" t="s">
        <v>423</v>
      </c>
      <c r="N93" s="19" t="s">
        <v>424</v>
      </c>
      <c r="O93" s="20">
        <v>51.85</v>
      </c>
      <c r="P93" s="25">
        <v>7.4999999999999997E-2</v>
      </c>
      <c r="Q93" s="20">
        <v>3.89</v>
      </c>
      <c r="R93" s="19" t="s">
        <v>159</v>
      </c>
    </row>
    <row r="94" spans="1:18" x14ac:dyDescent="0.25">
      <c r="A94" s="19" t="s">
        <v>60</v>
      </c>
      <c r="B94" s="19">
        <v>9079571</v>
      </c>
      <c r="C94" s="19" t="s">
        <v>62</v>
      </c>
      <c r="D94" s="19" t="s">
        <v>222</v>
      </c>
      <c r="E94" s="19" t="s">
        <v>227</v>
      </c>
      <c r="F94" s="19" t="s">
        <v>135</v>
      </c>
      <c r="G94" s="19" t="s">
        <v>67</v>
      </c>
      <c r="H94" s="19" t="s">
        <v>68</v>
      </c>
      <c r="I94" s="19" t="s">
        <v>68</v>
      </c>
      <c r="J94" s="19" t="s">
        <v>225</v>
      </c>
      <c r="K94" s="19" t="s">
        <v>198</v>
      </c>
      <c r="L94" s="19">
        <f>DATEDIF(J94,K94,"M")</f>
        <v>22</v>
      </c>
      <c r="M94" s="19" t="s">
        <v>423</v>
      </c>
      <c r="N94" s="19" t="s">
        <v>424</v>
      </c>
      <c r="O94" s="20">
        <v>27.63</v>
      </c>
      <c r="P94" s="25">
        <v>3.5000000000000003E-2</v>
      </c>
      <c r="Q94" s="20">
        <v>0.97</v>
      </c>
      <c r="R94" s="19" t="s">
        <v>74</v>
      </c>
    </row>
    <row r="95" spans="1:18" x14ac:dyDescent="0.25">
      <c r="A95" s="19" t="s">
        <v>60</v>
      </c>
      <c r="B95" s="19">
        <v>9079571</v>
      </c>
      <c r="C95" s="19" t="s">
        <v>62</v>
      </c>
      <c r="D95" s="19" t="s">
        <v>222</v>
      </c>
      <c r="E95" s="19" t="s">
        <v>223</v>
      </c>
      <c r="F95" s="19" t="s">
        <v>135</v>
      </c>
      <c r="G95" s="19" t="s">
        <v>67</v>
      </c>
      <c r="H95" s="19" t="s">
        <v>106</v>
      </c>
      <c r="I95" s="19" t="s">
        <v>438</v>
      </c>
      <c r="J95" s="19" t="s">
        <v>225</v>
      </c>
      <c r="K95" s="19" t="s">
        <v>198</v>
      </c>
      <c r="L95" s="19">
        <f>DATEDIF(J95,K95,"M")</f>
        <v>22</v>
      </c>
      <c r="M95" s="19" t="s">
        <v>423</v>
      </c>
      <c r="N95" s="19" t="s">
        <v>424</v>
      </c>
      <c r="O95" s="20">
        <v>12.47</v>
      </c>
      <c r="P95" s="25">
        <v>0.11</v>
      </c>
      <c r="Q95" s="20">
        <v>1.37</v>
      </c>
      <c r="R95" s="19" t="s">
        <v>108</v>
      </c>
    </row>
    <row r="96" spans="1:18" x14ac:dyDescent="0.25">
      <c r="A96" s="19" t="s">
        <v>60</v>
      </c>
      <c r="B96" s="19">
        <v>9079571</v>
      </c>
      <c r="C96" s="19" t="s">
        <v>62</v>
      </c>
      <c r="D96" s="19" t="s">
        <v>222</v>
      </c>
      <c r="E96" s="19" t="s">
        <v>223</v>
      </c>
      <c r="F96" s="19" t="s">
        <v>135</v>
      </c>
      <c r="G96" s="19" t="s">
        <v>67</v>
      </c>
      <c r="H96" s="19" t="s">
        <v>106</v>
      </c>
      <c r="I96" s="19" t="s">
        <v>438</v>
      </c>
      <c r="J96" s="19" t="s">
        <v>225</v>
      </c>
      <c r="K96" s="19" t="s">
        <v>198</v>
      </c>
      <c r="L96" s="19">
        <f>DATEDIF(J96,K96,"M")</f>
        <v>22</v>
      </c>
      <c r="M96" s="19" t="s">
        <v>423</v>
      </c>
      <c r="N96" s="19" t="s">
        <v>424</v>
      </c>
      <c r="O96" s="20">
        <v>19.7</v>
      </c>
      <c r="P96" s="25">
        <v>0.11</v>
      </c>
      <c r="Q96" s="20">
        <v>2.17</v>
      </c>
      <c r="R96" s="19" t="s">
        <v>108</v>
      </c>
    </row>
    <row r="97" spans="1:18" x14ac:dyDescent="0.25">
      <c r="A97" s="19" t="s">
        <v>60</v>
      </c>
      <c r="B97" s="19">
        <v>19562245</v>
      </c>
      <c r="C97" s="19" t="s">
        <v>178</v>
      </c>
      <c r="D97" s="19" t="s">
        <v>179</v>
      </c>
      <c r="E97" s="19" t="s">
        <v>184</v>
      </c>
      <c r="F97" s="19" t="s">
        <v>135</v>
      </c>
      <c r="G97" s="19" t="s">
        <v>149</v>
      </c>
      <c r="H97" s="19" t="s">
        <v>122</v>
      </c>
      <c r="I97" s="19" t="s">
        <v>432</v>
      </c>
      <c r="J97" s="19" t="s">
        <v>182</v>
      </c>
      <c r="K97" s="19" t="s">
        <v>83</v>
      </c>
      <c r="L97" s="19">
        <f>DATEDIF(J97,K97,"M")</f>
        <v>24</v>
      </c>
      <c r="M97" s="19" t="s">
        <v>423</v>
      </c>
      <c r="N97" s="19" t="s">
        <v>424</v>
      </c>
      <c r="O97" s="20">
        <v>41.7</v>
      </c>
      <c r="P97" s="25">
        <v>7.4999999999999997E-2</v>
      </c>
      <c r="Q97" s="20">
        <v>3.13</v>
      </c>
      <c r="R97" s="19" t="s">
        <v>125</v>
      </c>
    </row>
    <row r="98" spans="1:18" x14ac:dyDescent="0.25">
      <c r="A98" s="19" t="s">
        <v>60</v>
      </c>
      <c r="B98" s="19">
        <v>19562245</v>
      </c>
      <c r="C98" s="19" t="s">
        <v>178</v>
      </c>
      <c r="D98" s="19" t="s">
        <v>179</v>
      </c>
      <c r="E98" s="19" t="s">
        <v>180</v>
      </c>
      <c r="F98" s="19" t="s">
        <v>135</v>
      </c>
      <c r="G98" s="19" t="s">
        <v>149</v>
      </c>
      <c r="H98" s="19" t="s">
        <v>156</v>
      </c>
      <c r="I98" s="19" t="s">
        <v>432</v>
      </c>
      <c r="J98" s="19" t="s">
        <v>182</v>
      </c>
      <c r="K98" s="19" t="s">
        <v>83</v>
      </c>
      <c r="L98" s="19">
        <f>DATEDIF(J98,K98,"M")</f>
        <v>24</v>
      </c>
      <c r="M98" s="19" t="s">
        <v>423</v>
      </c>
      <c r="N98" s="19" t="s">
        <v>424</v>
      </c>
      <c r="O98" s="20">
        <v>42.4</v>
      </c>
      <c r="P98" s="25">
        <v>7.4999999999999997E-2</v>
      </c>
      <c r="Q98" s="20">
        <v>3.18</v>
      </c>
      <c r="R98" s="19" t="s">
        <v>159</v>
      </c>
    </row>
    <row r="99" spans="1:18" x14ac:dyDescent="0.25">
      <c r="A99" s="19" t="s">
        <v>60</v>
      </c>
      <c r="B99" s="19">
        <v>20697692</v>
      </c>
      <c r="C99" s="19" t="s">
        <v>417</v>
      </c>
      <c r="D99" s="19" t="s">
        <v>418</v>
      </c>
      <c r="E99" s="19" t="s">
        <v>419</v>
      </c>
      <c r="F99" s="19" t="s">
        <v>135</v>
      </c>
      <c r="G99" s="19" t="s">
        <v>67</v>
      </c>
      <c r="H99" s="19" t="s">
        <v>129</v>
      </c>
      <c r="I99" s="19" t="s">
        <v>129</v>
      </c>
      <c r="J99" s="19" t="s">
        <v>182</v>
      </c>
      <c r="K99" s="19" t="s">
        <v>83</v>
      </c>
      <c r="L99" s="19">
        <f>DATEDIF(J99,K99,"M")</f>
        <v>24</v>
      </c>
      <c r="M99" s="19" t="s">
        <v>423</v>
      </c>
      <c r="N99" s="19" t="s">
        <v>424</v>
      </c>
      <c r="O99" s="20">
        <v>107.54</v>
      </c>
      <c r="P99" s="25">
        <v>0.28999999999999998</v>
      </c>
      <c r="Q99" s="20">
        <v>31.19</v>
      </c>
      <c r="R99" s="19" t="s">
        <v>132</v>
      </c>
    </row>
    <row r="100" spans="1:18" x14ac:dyDescent="0.25">
      <c r="A100" s="19" t="s">
        <v>60</v>
      </c>
      <c r="B100" s="19">
        <v>19562245</v>
      </c>
      <c r="C100" s="19" t="s">
        <v>178</v>
      </c>
      <c r="D100" s="19" t="s">
        <v>217</v>
      </c>
      <c r="E100" s="19" t="s">
        <v>218</v>
      </c>
      <c r="F100" s="19" t="s">
        <v>135</v>
      </c>
      <c r="G100" s="19" t="s">
        <v>149</v>
      </c>
      <c r="H100" s="19" t="s">
        <v>122</v>
      </c>
      <c r="I100" s="19" t="s">
        <v>432</v>
      </c>
      <c r="J100" s="19" t="s">
        <v>220</v>
      </c>
      <c r="K100" s="19" t="s">
        <v>221</v>
      </c>
      <c r="L100" s="19">
        <f>DATEDIF(J100,K100,"M")</f>
        <v>25</v>
      </c>
      <c r="M100" s="19" t="s">
        <v>423</v>
      </c>
      <c r="N100" s="19" t="s">
        <v>424</v>
      </c>
      <c r="O100" s="20">
        <v>45.62</v>
      </c>
      <c r="P100" s="25">
        <v>7.4999999999999997E-2</v>
      </c>
      <c r="Q100" s="20">
        <v>3.42</v>
      </c>
      <c r="R100" s="19" t="s">
        <v>125</v>
      </c>
    </row>
    <row r="101" spans="1:18" x14ac:dyDescent="0.25">
      <c r="A101" s="19" t="s">
        <v>60</v>
      </c>
      <c r="B101" s="19">
        <v>9079571</v>
      </c>
      <c r="C101" s="19" t="s">
        <v>62</v>
      </c>
      <c r="D101" s="19" t="s">
        <v>133</v>
      </c>
      <c r="E101" s="19" t="s">
        <v>134</v>
      </c>
      <c r="F101" s="19" t="s">
        <v>135</v>
      </c>
      <c r="G101" s="19" t="s">
        <v>67</v>
      </c>
      <c r="H101" s="19" t="s">
        <v>68</v>
      </c>
      <c r="I101" s="19" t="s">
        <v>68</v>
      </c>
      <c r="J101" s="19" t="s">
        <v>136</v>
      </c>
      <c r="K101" s="19" t="s">
        <v>7</v>
      </c>
      <c r="L101" s="19">
        <f>DATEDIF(J101,K101,"M")</f>
        <v>26</v>
      </c>
      <c r="M101" s="19" t="s">
        <v>423</v>
      </c>
      <c r="N101" s="19" t="s">
        <v>424</v>
      </c>
      <c r="O101" s="20">
        <v>27.63</v>
      </c>
      <c r="P101" s="25">
        <v>3.5000000000000003E-2</v>
      </c>
      <c r="Q101" s="20">
        <v>0.97</v>
      </c>
      <c r="R101" s="19" t="s">
        <v>74</v>
      </c>
    </row>
    <row r="102" spans="1:18" x14ac:dyDescent="0.25">
      <c r="A102" s="19" t="s">
        <v>60</v>
      </c>
      <c r="B102" s="19">
        <v>16243811</v>
      </c>
      <c r="C102" s="19" t="s">
        <v>282</v>
      </c>
      <c r="D102" s="19" t="s">
        <v>283</v>
      </c>
      <c r="E102" s="19" t="s">
        <v>284</v>
      </c>
      <c r="F102" s="19" t="s">
        <v>135</v>
      </c>
      <c r="G102" s="19" t="s">
        <v>67</v>
      </c>
      <c r="H102" s="19" t="s">
        <v>68</v>
      </c>
      <c r="I102" s="19" t="s">
        <v>68</v>
      </c>
      <c r="J102" s="19" t="s">
        <v>285</v>
      </c>
      <c r="K102" s="19" t="s">
        <v>170</v>
      </c>
      <c r="L102" s="19">
        <f>DATEDIF(J102,K102,"M")</f>
        <v>32</v>
      </c>
      <c r="M102" s="19" t="s">
        <v>423</v>
      </c>
      <c r="N102" s="19" t="s">
        <v>424</v>
      </c>
      <c r="O102" s="20">
        <v>64.260000000000005</v>
      </c>
      <c r="P102" s="25">
        <v>3.5000000000000003E-2</v>
      </c>
      <c r="Q102" s="20">
        <v>2.25</v>
      </c>
      <c r="R102" s="19" t="s">
        <v>74</v>
      </c>
    </row>
  </sheetData>
  <sortState xmlns:xlrd2="http://schemas.microsoft.com/office/spreadsheetml/2017/richdata2" ref="A2:Y102">
    <sortCondition sortBy="cellColor" ref="C2:C102" dxfId="0"/>
    <sortCondition ref="L2:L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2025-08-21T12:20:08Z</dcterms:created>
  <dcterms:modified xsi:type="dcterms:W3CDTF">2025-08-28T00:36:51Z</dcterms:modified>
</cp:coreProperties>
</file>