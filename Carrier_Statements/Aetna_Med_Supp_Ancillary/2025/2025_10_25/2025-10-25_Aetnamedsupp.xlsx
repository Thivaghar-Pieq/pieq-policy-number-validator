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10-25-25 to 10-29-25\"/>
    </mc:Choice>
  </mc:AlternateContent>
  <xr:revisionPtr revIDLastSave="0" documentId="13_ncr:1_{914E6726-EC63-4D19-8E27-198B8A688871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Commission Summary" sheetId="1" r:id="rId1"/>
    <sheet name="Commission Details" sheetId="2" r:id="rId2"/>
    <sheet name="Sheet2" sheetId="4" r:id="rId3"/>
    <sheet name="Bonus" sheetId="3" r:id="rId4"/>
  </sheets>
  <calcPr calcId="181029"/>
</workbook>
</file>

<file path=xl/calcChain.xml><?xml version="1.0" encoding="utf-8"?>
<calcChain xmlns="http://schemas.openxmlformats.org/spreadsheetml/2006/main">
  <c r="K27" i="4" l="1"/>
  <c r="K112" i="4"/>
  <c r="K19" i="4"/>
  <c r="K28" i="4"/>
  <c r="K29" i="4"/>
  <c r="K30" i="4"/>
  <c r="K144" i="4"/>
  <c r="K145" i="4"/>
  <c r="K143" i="4"/>
  <c r="K31" i="4"/>
  <c r="K15" i="4"/>
  <c r="K32" i="4"/>
  <c r="K33" i="4"/>
  <c r="K34" i="4"/>
  <c r="K20" i="4"/>
  <c r="K113" i="4"/>
  <c r="K35" i="4"/>
  <c r="K116" i="4"/>
  <c r="K117" i="4"/>
  <c r="K118" i="4"/>
  <c r="K119" i="4"/>
  <c r="K21" i="4"/>
  <c r="K22" i="4"/>
  <c r="K23" i="4"/>
  <c r="K24" i="4"/>
  <c r="K36" i="4"/>
  <c r="K37" i="4"/>
  <c r="K38" i="4"/>
  <c r="K39" i="4"/>
  <c r="K115" i="4"/>
  <c r="K25" i="4"/>
  <c r="K16" i="4"/>
  <c r="K136" i="4"/>
  <c r="K56" i="4"/>
  <c r="K57" i="4"/>
  <c r="K58" i="4"/>
  <c r="K137" i="4"/>
  <c r="K138" i="4"/>
  <c r="K139" i="4"/>
  <c r="K17" i="4"/>
  <c r="K18" i="4"/>
  <c r="K140" i="4"/>
  <c r="K141" i="4"/>
  <c r="K142" i="4"/>
  <c r="K104" i="4"/>
  <c r="K108" i="4"/>
  <c r="K109" i="4"/>
  <c r="K110" i="4"/>
  <c r="K105" i="4"/>
  <c r="K44" i="4"/>
  <c r="K3" i="4"/>
  <c r="K125" i="4"/>
  <c r="K120" i="4"/>
  <c r="K123" i="4"/>
  <c r="K121" i="4"/>
  <c r="K130" i="4"/>
  <c r="K59" i="4"/>
  <c r="K88" i="4"/>
  <c r="K100" i="4"/>
  <c r="K102" i="4"/>
  <c r="K90" i="4"/>
  <c r="K86" i="4"/>
  <c r="K68" i="4"/>
  <c r="K69" i="4"/>
  <c r="K4" i="4"/>
  <c r="K91" i="4"/>
  <c r="K45" i="4"/>
  <c r="K126" i="4"/>
  <c r="K124" i="4"/>
  <c r="K122" i="4"/>
  <c r="K131" i="4"/>
  <c r="K70" i="4"/>
  <c r="K101" i="4"/>
  <c r="K99" i="4"/>
  <c r="K103" i="4"/>
  <c r="K92" i="4"/>
  <c r="K89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127" i="4"/>
  <c r="K128" i="4"/>
  <c r="K129" i="4"/>
  <c r="K48" i="4"/>
  <c r="K49" i="4"/>
  <c r="K50" i="4"/>
  <c r="K51" i="4"/>
  <c r="K87" i="4"/>
  <c r="K54" i="4"/>
  <c r="K55" i="4"/>
  <c r="K52" i="4"/>
  <c r="K53" i="4"/>
  <c r="K93" i="4"/>
  <c r="K2" i="4"/>
  <c r="K97" i="4"/>
  <c r="K95" i="4"/>
  <c r="K63" i="4"/>
  <c r="K98" i="4"/>
  <c r="K96" i="4"/>
  <c r="K40" i="4"/>
  <c r="K41" i="4"/>
  <c r="K42" i="4"/>
  <c r="K43" i="4"/>
  <c r="K64" i="4"/>
  <c r="K65" i="4"/>
  <c r="K66" i="4"/>
  <c r="K67" i="4"/>
  <c r="K14" i="4"/>
  <c r="K62" i="4"/>
  <c r="K60" i="4"/>
  <c r="K10" i="4"/>
  <c r="K46" i="4"/>
  <c r="K47" i="4"/>
  <c r="K106" i="4"/>
  <c r="K107" i="4"/>
  <c r="K5" i="4"/>
  <c r="K9" i="4"/>
  <c r="K6" i="4"/>
  <c r="K7" i="4"/>
  <c r="K8" i="4"/>
  <c r="K94" i="4"/>
  <c r="K61" i="4"/>
  <c r="K132" i="4"/>
  <c r="K133" i="4"/>
  <c r="K134" i="4"/>
  <c r="K135" i="4"/>
  <c r="K11" i="4"/>
  <c r="K12" i="4"/>
  <c r="K13" i="4"/>
  <c r="K111" i="4"/>
  <c r="K114" i="4"/>
  <c r="K26" i="4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2" i="3"/>
  <c r="J55" i="3"/>
  <c r="J56" i="3"/>
  <c r="J54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7" i="3"/>
  <c r="J58" i="3"/>
  <c r="J59" i="3"/>
  <c r="J60" i="3"/>
  <c r="J61" i="3"/>
  <c r="J62" i="3"/>
  <c r="J63" i="3"/>
  <c r="J64" i="3"/>
  <c r="J65" i="3"/>
  <c r="J2" i="3"/>
</calcChain>
</file>

<file path=xl/sharedStrings.xml><?xml version="1.0" encoding="utf-8"?>
<sst xmlns="http://schemas.openxmlformats.org/spreadsheetml/2006/main" count="5311" uniqueCount="593">
  <si>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</si>
  <si>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</si>
  <si>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</si>
  <si>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</si>
  <si>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</si>
  <si>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</si>
  <si>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</si>
  <si>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10/29/2025</t>
  </si>
  <si>
    <t>Day of Week</t>
  </si>
  <si>
    <t>FRIDAY</t>
  </si>
  <si>
    <t>Aetna Health Ins Company(AHIC)</t>
  </si>
  <si>
    <t>$37.02</t>
  </si>
  <si>
    <t>CONTINENTAL LIFE INSURANCE CO(CLI)</t>
  </si>
  <si>
    <t>$1,732.58</t>
  </si>
  <si>
    <t>Total Commission Paid</t>
  </si>
  <si>
    <t>$1,769.60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</si>
  <si>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</si>
  <si>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</si>
  <si>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</si>
  <si>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</si>
  <si>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</si>
  <si>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</si>
  <si>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</si>
  <si>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</si>
  <si>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</si>
  <si>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</si>
  <si>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$168.08</t>
  </si>
  <si>
    <t>First Year Total:</t>
  </si>
  <si>
    <t>First Year Override:</t>
  </si>
  <si>
    <t>$3.15</t>
  </si>
  <si>
    <t>$1,550.15</t>
  </si>
  <si>
    <t>Renewal Total:</t>
  </si>
  <si>
    <t>Renewal Override:</t>
  </si>
  <si>
    <t>$33.87</t>
  </si>
  <si>
    <t>$14.35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</si>
  <si>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</si>
  <si>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</si>
  <si>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</si>
  <si>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</si>
  <si>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</si>
  <si>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</si>
  <si>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</si>
  <si>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</si>
  <si>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</si>
  <si>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</si>
  <si>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</si>
  <si>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</si>
  <si>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</si>
  <si>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</si>
  <si>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</si>
  <si>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</si>
  <si>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</si>
  <si>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</si>
  <si>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</si>
  <si>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</si>
  <si>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</si>
  <si>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</si>
  <si>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</si>
  <si>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</si>
  <si>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</si>
  <si>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</si>
  <si>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GNW0089770</t>
  </si>
  <si>
    <t>ADAM RICHTER</t>
  </si>
  <si>
    <t>BIRUNGI BANURA</t>
  </si>
  <si>
    <t>CLI7205690</t>
  </si>
  <si>
    <t>Renewal</t>
  </si>
  <si>
    <t>07/26/2024</t>
  </si>
  <si>
    <t>MD</t>
  </si>
  <si>
    <t>Dental Only 2000</t>
  </si>
  <si>
    <t>10/26/2025</t>
  </si>
  <si>
    <t>0.00</t>
  </si>
  <si>
    <t>3.75%</t>
  </si>
  <si>
    <t>000</t>
  </si>
  <si>
    <t>Monthly</t>
  </si>
  <si>
    <t xml:space="preserve">Dental Only 2000 MD           </t>
  </si>
  <si>
    <t>GNW5021353</t>
  </si>
  <si>
    <t>JACOB YALE</t>
  </si>
  <si>
    <t>DIANE VAN DORN</t>
  </si>
  <si>
    <t>CLI7284897</t>
  </si>
  <si>
    <t>First Year</t>
  </si>
  <si>
    <t>12/09/2024</t>
  </si>
  <si>
    <t>IL</t>
  </si>
  <si>
    <t>Heart Attack or Stroke Insurance with Recurrence Benefit</t>
  </si>
  <si>
    <t>01/01/2025</t>
  </si>
  <si>
    <t>10/01/2025</t>
  </si>
  <si>
    <t>100.00%</t>
  </si>
  <si>
    <t xml:space="preserve">CHAS PLUS Heart/Strk w/ recuc </t>
  </si>
  <si>
    <t>GNW5005221</t>
  </si>
  <si>
    <t>THOMAS KUCAN</t>
  </si>
  <si>
    <t>IZJAIR DORSEY</t>
  </si>
  <si>
    <t>CLI7383439</t>
  </si>
  <si>
    <t>06/26/2025</t>
  </si>
  <si>
    <t>07/16/2025</t>
  </si>
  <si>
    <t>10/16/2025</t>
  </si>
  <si>
    <t>58.00%</t>
  </si>
  <si>
    <t>GNW5021656</t>
  </si>
  <si>
    <t>GARY PORTUGAL</t>
  </si>
  <si>
    <t>SAMANTHA PRICE</t>
  </si>
  <si>
    <t>CLI7383689</t>
  </si>
  <si>
    <t>MT</t>
  </si>
  <si>
    <t>105.00%</t>
  </si>
  <si>
    <t>CLI7383729</t>
  </si>
  <si>
    <t>DVH PLUS 2500</t>
  </si>
  <si>
    <t xml:space="preserve">DVH PLUS MT 2500              </t>
  </si>
  <si>
    <t>CLI7383688</t>
  </si>
  <si>
    <t>Cancer Insurance with Recurrence Benefit</t>
  </si>
  <si>
    <t>CHAS PLUS CANCER ONLY W/ RECUR</t>
  </si>
  <si>
    <t>CLI7284896</t>
  </si>
  <si>
    <t>GNW5010621</t>
  </si>
  <si>
    <t>KLAUS HERCHENRODER</t>
  </si>
  <si>
    <t>JOSEPH FRITSKY</t>
  </si>
  <si>
    <t>CLI7366259</t>
  </si>
  <si>
    <t>05/27/2025</t>
  </si>
  <si>
    <t>PA</t>
  </si>
  <si>
    <t>DVH FLX Option 1</t>
  </si>
  <si>
    <t>05/26/2025</t>
  </si>
  <si>
    <t>8.00%</t>
  </si>
  <si>
    <t xml:space="preserve">DVH FLX Option 1              </t>
  </si>
  <si>
    <t>GNW0089678</t>
  </si>
  <si>
    <t>RYAN CALTAGIRONE</t>
  </si>
  <si>
    <t>MARY OLAGUE DOLE</t>
  </si>
  <si>
    <t>CLI7263889</t>
  </si>
  <si>
    <t>11/09/2024</t>
  </si>
  <si>
    <t>FL</t>
  </si>
  <si>
    <t>11/27/2024</t>
  </si>
  <si>
    <t>10/27/2025</t>
  </si>
  <si>
    <t>95.00%</t>
  </si>
  <si>
    <t>Refund of Unearned Commissions</t>
  </si>
  <si>
    <t>JOSE DIAZ</t>
  </si>
  <si>
    <t>CLI7420929</t>
  </si>
  <si>
    <t>09/02/2025</t>
  </si>
  <si>
    <t>09/20/2025</t>
  </si>
  <si>
    <t>11/20/2025</t>
  </si>
  <si>
    <t>CLI7420930</t>
  </si>
  <si>
    <t>12/02/2025</t>
  </si>
  <si>
    <t>EMORY ABSHIRE</t>
  </si>
  <si>
    <t>CLI7449473</t>
  </si>
  <si>
    <t>Initial</t>
  </si>
  <si>
    <t>AL</t>
  </si>
  <si>
    <t>CLI7263890</t>
  </si>
  <si>
    <t>JORY INCISI</t>
  </si>
  <si>
    <t>CLI7432525</t>
  </si>
  <si>
    <t>09/27/2025</t>
  </si>
  <si>
    <t>HIP Flex Daily Hospital Indemnity</t>
  </si>
  <si>
    <t>65.00%</t>
  </si>
  <si>
    <t xml:space="preserve">DAILY HOSPITAL INDEMNITY      </t>
  </si>
  <si>
    <t>AUGENIJA INCISI</t>
  </si>
  <si>
    <t>CLI7432526</t>
  </si>
  <si>
    <t>GNW5000839</t>
  </si>
  <si>
    <t>PETER RICHTER</t>
  </si>
  <si>
    <t>ROSEANN ANTONELLI</t>
  </si>
  <si>
    <t>CLI7450068</t>
  </si>
  <si>
    <t>Cancer Insurance</t>
  </si>
  <si>
    <t>01/01/2026</t>
  </si>
  <si>
    <t xml:space="preserve">CHAS PLUS CANCER ONLY         </t>
  </si>
  <si>
    <t>KATHLEEN PEERA</t>
  </si>
  <si>
    <t>CLI7396585</t>
  </si>
  <si>
    <t>07/21/2025</t>
  </si>
  <si>
    <t>11/01/2025</t>
  </si>
  <si>
    <t>GNW5027638</t>
  </si>
  <si>
    <t>BRITTANY OLIVER</t>
  </si>
  <si>
    <t>VUMILE KHAQAN</t>
  </si>
  <si>
    <t>CLI7420514</t>
  </si>
  <si>
    <t>08/29/2025</t>
  </si>
  <si>
    <t>09/01/2025</t>
  </si>
  <si>
    <t>CLI7420515</t>
  </si>
  <si>
    <t>GNW5015801</t>
  </si>
  <si>
    <t>RONALD MAX</t>
  </si>
  <si>
    <t>MICHAELA MORALES</t>
  </si>
  <si>
    <t>CLI7280035</t>
  </si>
  <si>
    <t>12/03/2024</t>
  </si>
  <si>
    <t>12/04/2024</t>
  </si>
  <si>
    <t>10/04/2025</t>
  </si>
  <si>
    <t>91.00%</t>
  </si>
  <si>
    <t>CLI7280037</t>
  </si>
  <si>
    <t>11/04/2025</t>
  </si>
  <si>
    <t>CYNTHIA ANDERSON</t>
  </si>
  <si>
    <t>CLI7132773</t>
  </si>
  <si>
    <t>02/27/2024</t>
  </si>
  <si>
    <t>03/01/2024</t>
  </si>
  <si>
    <t>GNW5005086</t>
  </si>
  <si>
    <t>CAROLYN WILSON SMITH</t>
  </si>
  <si>
    <t>SYLVIA GABBIDON</t>
  </si>
  <si>
    <t>CLI7280571</t>
  </si>
  <si>
    <t>CLI7280573</t>
  </si>
  <si>
    <t>Heart Attack or Stroke Insurance</t>
  </si>
  <si>
    <t xml:space="preserve">CHAS PLUS Heart/Stroke        </t>
  </si>
  <si>
    <t>DERRICK DOH</t>
  </si>
  <si>
    <t>CLI7421407</t>
  </si>
  <si>
    <t>11/02/2025</t>
  </si>
  <si>
    <t>GNW5007313</t>
  </si>
  <si>
    <t>DEBORAH INSKIPT</t>
  </si>
  <si>
    <t>GERTRUDE DOLCICH</t>
  </si>
  <si>
    <t>CLI7304642</t>
  </si>
  <si>
    <t>01/27/2025</t>
  </si>
  <si>
    <t>02/01/2025</t>
  </si>
  <si>
    <t>GNW5002639</t>
  </si>
  <si>
    <t>MATTHEW DAUGHERTY</t>
  </si>
  <si>
    <t>JULIE ROSENER</t>
  </si>
  <si>
    <t>AHC6703431</t>
  </si>
  <si>
    <t>07/21/2023</t>
  </si>
  <si>
    <t>TX</t>
  </si>
  <si>
    <t>Medicare Supplement Plan G</t>
  </si>
  <si>
    <t>09/01/2023</t>
  </si>
  <si>
    <t>24.00%</t>
  </si>
  <si>
    <t xml:space="preserve">Med Supp Plan G 2010          </t>
  </si>
  <si>
    <t>DANIELLA HOLMES</t>
  </si>
  <si>
    <t>CLI7433195</t>
  </si>
  <si>
    <t>09/30/2025</t>
  </si>
  <si>
    <t>VA</t>
  </si>
  <si>
    <t xml:space="preserve">CHAS PLUS CANCER W/RECUR 100  </t>
  </si>
  <si>
    <t>CLI7433196</t>
  </si>
  <si>
    <t>HIP Flex Hospital Admission Indemnity</t>
  </si>
  <si>
    <t>60.00%</t>
  </si>
  <si>
    <t>HOSPITAL CONFINEMENT INDEMNITY</t>
  </si>
  <si>
    <t>GNW5020131</t>
  </si>
  <si>
    <t>CHAD YALE</t>
  </si>
  <si>
    <t>GARY WALKER</t>
  </si>
  <si>
    <t>CLI7417628</t>
  </si>
  <si>
    <t>08/26/2025</t>
  </si>
  <si>
    <t>MI</t>
  </si>
  <si>
    <t>BETH WALKER</t>
  </si>
  <si>
    <t>CLI7417629</t>
  </si>
  <si>
    <t>GNW5008239</t>
  </si>
  <si>
    <t>CAROL FOLEY</t>
  </si>
  <si>
    <t>KATHLEEN COLBURN</t>
  </si>
  <si>
    <t>CLI7449477</t>
  </si>
  <si>
    <t>ROBERT MOXLEY</t>
  </si>
  <si>
    <t>CLI7419107</t>
  </si>
  <si>
    <t>08/27/2025</t>
  </si>
  <si>
    <t>08/28/2025</t>
  </si>
  <si>
    <t>GNW5014846</t>
  </si>
  <si>
    <t>RICARDO SANTOS</t>
  </si>
  <si>
    <t>DARLINO FUSILERO</t>
  </si>
  <si>
    <t>CLI7393807</t>
  </si>
  <si>
    <t>07/15/2025</t>
  </si>
  <si>
    <t>08/01/2025</t>
  </si>
  <si>
    <t>GINA REISBERG</t>
  </si>
  <si>
    <t>CLI7418911</t>
  </si>
  <si>
    <t>ALEX MUCKLE</t>
  </si>
  <si>
    <t>CLI7418956</t>
  </si>
  <si>
    <t>CLI7418957</t>
  </si>
  <si>
    <t>CLI7418958</t>
  </si>
  <si>
    <t>PHINDILE NXUMALO</t>
  </si>
  <si>
    <t>CLI7417893</t>
  </si>
  <si>
    <t>NADA LATIF</t>
  </si>
  <si>
    <t>CLI7448091</t>
  </si>
  <si>
    <t>10/24/2025</t>
  </si>
  <si>
    <t>RICHARD CURRY</t>
  </si>
  <si>
    <t>CLI7435363</t>
  </si>
  <si>
    <t>10/03/2025</t>
  </si>
  <si>
    <t>DVH FLX Option 3</t>
  </si>
  <si>
    <t>10/28/2025</t>
  </si>
  <si>
    <t>11/28/2025</t>
  </si>
  <si>
    <t xml:space="preserve">DVH FLX Option 3              </t>
  </si>
  <si>
    <t>GNW5030443</t>
  </si>
  <si>
    <t>JENNIFER HALSAVER</t>
  </si>
  <si>
    <t>ANITA MERCER</t>
  </si>
  <si>
    <t>CLI7405358</t>
  </si>
  <si>
    <t>08/04/2025</t>
  </si>
  <si>
    <t>OH</t>
  </si>
  <si>
    <t>08/05/2025</t>
  </si>
  <si>
    <t>10/05/2025</t>
  </si>
  <si>
    <t>CLI7405357</t>
  </si>
  <si>
    <t>GNW5005484</t>
  </si>
  <si>
    <t>CATHY LEMON</t>
  </si>
  <si>
    <t>JENNIFER LAWSON</t>
  </si>
  <si>
    <t>CLI7109175</t>
  </si>
  <si>
    <t>12/29/2023</t>
  </si>
  <si>
    <t>01/01/2024</t>
  </si>
  <si>
    <t>3.50%</t>
  </si>
  <si>
    <t>CLI7280038</t>
  </si>
  <si>
    <t>DEBORAH COWDEN</t>
  </si>
  <si>
    <t>CLI7169088</t>
  </si>
  <si>
    <t>05/17/2024</t>
  </si>
  <si>
    <t>06/01/2024</t>
  </si>
  <si>
    <t>GNW5013444</t>
  </si>
  <si>
    <t>ANDREW CHOI</t>
  </si>
  <si>
    <t>RONALD MILLER</t>
  </si>
  <si>
    <t>CLI7278992</t>
  </si>
  <si>
    <t>12/02/2024</t>
  </si>
  <si>
    <t>DVH PLUS 5000</t>
  </si>
  <si>
    <t>57.00%</t>
  </si>
  <si>
    <t xml:space="preserve">DVH PLUS 5000 100 DEDUCTIBLE  </t>
  </si>
  <si>
    <t>CLI7421405</t>
  </si>
  <si>
    <t>Dental Only 1000</t>
  </si>
  <si>
    <t xml:space="preserve">Dental Only 1000 MD           </t>
  </si>
  <si>
    <t>CLI7421406</t>
  </si>
  <si>
    <t>TENENBA SOUMAH</t>
  </si>
  <si>
    <t>CLI7105825</t>
  </si>
  <si>
    <t>12/15/2023</t>
  </si>
  <si>
    <t>12/16/2023</t>
  </si>
  <si>
    <t>NANCY MCCAULEY</t>
  </si>
  <si>
    <t>CLI7432505</t>
  </si>
  <si>
    <t>GNW0089704</t>
  </si>
  <si>
    <t>GREGORY TEIPEL</t>
  </si>
  <si>
    <t>RALPH BIESK</t>
  </si>
  <si>
    <t>CLI7201254</t>
  </si>
  <si>
    <t>07/18/2024</t>
  </si>
  <si>
    <t>08/01/2024</t>
  </si>
  <si>
    <t>KATHY WEISS</t>
  </si>
  <si>
    <t>CLI7271278</t>
  </si>
  <si>
    <t>11/19/2024</t>
  </si>
  <si>
    <t>12/01/2024</t>
  </si>
  <si>
    <t>62.50%</t>
  </si>
  <si>
    <t>SAMUEL OBENG</t>
  </si>
  <si>
    <t>CLI7430392</t>
  </si>
  <si>
    <t>09/22/2025</t>
  </si>
  <si>
    <t>09/28/2025</t>
  </si>
  <si>
    <t>SPENCER HOWELL</t>
  </si>
  <si>
    <t>CLI7288005</t>
  </si>
  <si>
    <t>12/14/2024</t>
  </si>
  <si>
    <t>WI</t>
  </si>
  <si>
    <t>GNW5009757</t>
  </si>
  <si>
    <t>TIMOTHY POWERS</t>
  </si>
  <si>
    <t>GEORGE RODGERS</t>
  </si>
  <si>
    <t>AHC4103845</t>
  </si>
  <si>
    <t>01/06/2025</t>
  </si>
  <si>
    <t>2.00%</t>
  </si>
  <si>
    <t>GNW5020580</t>
  </si>
  <si>
    <t>STACEY PORTUGAL</t>
  </si>
  <si>
    <t>MARYANNE NICKEL</t>
  </si>
  <si>
    <t>CLI7283146</t>
  </si>
  <si>
    <t>12/06/2024</t>
  </si>
  <si>
    <t>DENTAL ONLY PLUS 5000</t>
  </si>
  <si>
    <t>Quarterly</t>
  </si>
  <si>
    <t xml:space="preserve">DEN ONLY PLUS FL 5000 100 DED </t>
  </si>
  <si>
    <t>KATHERINE ESPARRA</t>
  </si>
  <si>
    <t>CLI7388176</t>
  </si>
  <si>
    <t>07/07/2025</t>
  </si>
  <si>
    <t>07/11/2025</t>
  </si>
  <si>
    <t>11/11/2025</t>
  </si>
  <si>
    <t>NDELLE SYLVIE BAMO</t>
  </si>
  <si>
    <t>CLI7417856</t>
  </si>
  <si>
    <t>CLI7420513</t>
  </si>
  <si>
    <t>DORA LEKAS</t>
  </si>
  <si>
    <t>AHC6729812</t>
  </si>
  <si>
    <t>04/29/2024</t>
  </si>
  <si>
    <t>Medicare Supplement Plan N</t>
  </si>
  <si>
    <t>05/01/2024</t>
  </si>
  <si>
    <t>4.00%</t>
  </si>
  <si>
    <t xml:space="preserve">Med Supp Plan N 2010          </t>
  </si>
  <si>
    <t>GNW5008118</t>
  </si>
  <si>
    <t>PATRICIA LONG</t>
  </si>
  <si>
    <t>LISA SCHUSTER</t>
  </si>
  <si>
    <t>AHC6732485</t>
  </si>
  <si>
    <t>06/20/2024</t>
  </si>
  <si>
    <t>09/01/2024</t>
  </si>
  <si>
    <t>25.00%</t>
  </si>
  <si>
    <t>GNW6130644</t>
  </si>
  <si>
    <t>DEBORAH POWERS</t>
  </si>
  <si>
    <t>KATHY LIBERATORE</t>
  </si>
  <si>
    <t>CLI4100429</t>
  </si>
  <si>
    <t>07/11/2023</t>
  </si>
  <si>
    <t>08/01/2023</t>
  </si>
  <si>
    <t>1.50%</t>
  </si>
  <si>
    <t>GNW0089726</t>
  </si>
  <si>
    <t>KELLY CARRYER</t>
  </si>
  <si>
    <t>ELIZABETH DISTEFANO</t>
  </si>
  <si>
    <t>CLI7041348</t>
  </si>
  <si>
    <t>08/07/2023</t>
  </si>
  <si>
    <t>7.50%</t>
  </si>
  <si>
    <t>LAURA WINN</t>
  </si>
  <si>
    <t>CLI7049363</t>
  </si>
  <si>
    <t>08/25/2023</t>
  </si>
  <si>
    <t>10/25/2025</t>
  </si>
  <si>
    <t>GNW5002731</t>
  </si>
  <si>
    <t>LANEECE WHITE</t>
  </si>
  <si>
    <t>JAMES HAIRSTON</t>
  </si>
  <si>
    <t>CLI7062151</t>
  </si>
  <si>
    <t>09/29/2023</t>
  </si>
  <si>
    <t>10/01/2023</t>
  </si>
  <si>
    <t>JANAY HAIRSTON</t>
  </si>
  <si>
    <t>CLI7062165</t>
  </si>
  <si>
    <t>VICTORIA WARD</t>
  </si>
  <si>
    <t>CLI7120183</t>
  </si>
  <si>
    <t>01/25/2024</t>
  </si>
  <si>
    <t>CLI7120184</t>
  </si>
  <si>
    <t>11.00%</t>
  </si>
  <si>
    <t>TAMMY LYNN</t>
  </si>
  <si>
    <t>CLI7170067</t>
  </si>
  <si>
    <t>05/20/2024</t>
  </si>
  <si>
    <t>06/24/2024</t>
  </si>
  <si>
    <t>12.00%</t>
  </si>
  <si>
    <t>DEAURA CARR</t>
  </si>
  <si>
    <t>CLI7201846</t>
  </si>
  <si>
    <t>07/19/2024</t>
  </si>
  <si>
    <t>10/19/2025</t>
  </si>
  <si>
    <t>NICHOLAS HARTMAN</t>
  </si>
  <si>
    <t>CLI7204712</t>
  </si>
  <si>
    <t>07/25/2024</t>
  </si>
  <si>
    <t>DEBORAH JONES</t>
  </si>
  <si>
    <t>CLI7205074</t>
  </si>
  <si>
    <t>VICTORIA KYER</t>
  </si>
  <si>
    <t>CLI7235340</t>
  </si>
  <si>
    <t>09/25/2024</t>
  </si>
  <si>
    <t>10/01/2024</t>
  </si>
  <si>
    <t>CLI7235341</t>
  </si>
  <si>
    <t>NIKIA BYERS</t>
  </si>
  <si>
    <t>CLI7283328</t>
  </si>
  <si>
    <t>11/06/2025</t>
  </si>
  <si>
    <t>CLI7283329</t>
  </si>
  <si>
    <t>GNW5013288</t>
  </si>
  <si>
    <t>NASANDELGER ZANA</t>
  </si>
  <si>
    <t>JAY WOJTASIK</t>
  </si>
  <si>
    <t>CLI7298866</t>
  </si>
  <si>
    <t>01/14/2025</t>
  </si>
  <si>
    <t>01/15/2025</t>
  </si>
  <si>
    <t>10/15/2025</t>
  </si>
  <si>
    <t>CLI7298867</t>
  </si>
  <si>
    <t>MARIA EMRALINO</t>
  </si>
  <si>
    <t>CLI7350094</t>
  </si>
  <si>
    <t>04/24/2025</t>
  </si>
  <si>
    <t>04/25/2025</t>
  </si>
  <si>
    <t>CLI7350095</t>
  </si>
  <si>
    <t>DARLENE TADY</t>
  </si>
  <si>
    <t>CLI7365754</t>
  </si>
  <si>
    <t>05/24/2025</t>
  </si>
  <si>
    <t>11/16/2025</t>
  </si>
  <si>
    <t>DONNA NEEDY</t>
  </si>
  <si>
    <t>CLI7395322</t>
  </si>
  <si>
    <t>07/17/2025</t>
  </si>
  <si>
    <t>07/18/2025</t>
  </si>
  <si>
    <t>10/18/2025</t>
  </si>
  <si>
    <t>SANDRA DEJARNETTE</t>
  </si>
  <si>
    <t>CLI7417130</t>
  </si>
  <si>
    <t>08/25/2025</t>
  </si>
  <si>
    <t>CLI7417131</t>
  </si>
  <si>
    <t>TERI MAREK</t>
  </si>
  <si>
    <t>CLI7417526</t>
  </si>
  <si>
    <t>CLEMENTINO LUNA</t>
  </si>
  <si>
    <t>CLI7431406</t>
  </si>
  <si>
    <t>09/24/2025</t>
  </si>
  <si>
    <t>CLI7431407</t>
  </si>
  <si>
    <t>CLI7431408</t>
  </si>
  <si>
    <t>MARANDA STEVENS</t>
  </si>
  <si>
    <t>CLI7431747</t>
  </si>
  <si>
    <t>09/25/2025</t>
  </si>
  <si>
    <t>MICHAEL COOK</t>
  </si>
  <si>
    <t>CLI7433998</t>
  </si>
  <si>
    <t>CLI7433999</t>
  </si>
  <si>
    <t>ANNETTE CARDONA MIRANDA</t>
  </si>
  <si>
    <t>CLI7443090</t>
  </si>
  <si>
    <t>10/17/2025</t>
  </si>
  <si>
    <t>CLI7443091</t>
  </si>
  <si>
    <t>Recovery Care</t>
  </si>
  <si>
    <t xml:space="preserve">RC - Nursing Facility         </t>
  </si>
  <si>
    <t>CLI7443093</t>
  </si>
  <si>
    <t>JACOB ARNOLD</t>
  </si>
  <si>
    <t>CLI7444445</t>
  </si>
  <si>
    <t>10/20/2025</t>
  </si>
  <si>
    <t>10/21/2025</t>
  </si>
  <si>
    <t>11/21/2025</t>
  </si>
  <si>
    <t>CLI7444446</t>
  </si>
  <si>
    <t>SHARON SWANDER</t>
  </si>
  <si>
    <t>CLI7446253</t>
  </si>
  <si>
    <t>10/22/2025</t>
  </si>
  <si>
    <t>GNW5031952</t>
  </si>
  <si>
    <t>DANNA GREEN</t>
  </si>
  <si>
    <t>STEVEN CHRISTENSEN</t>
  </si>
  <si>
    <t>CLI7447393</t>
  </si>
  <si>
    <t>10/23/2025</t>
  </si>
  <si>
    <t>IN</t>
  </si>
  <si>
    <t>GARY CARBONARI</t>
  </si>
  <si>
    <t>CLI7449068</t>
  </si>
  <si>
    <t>PAID TO AGENT NUMBER</t>
  </si>
  <si>
    <t>PAY TO NAME</t>
  </si>
  <si>
    <t>EARNED BY AGENT NUMBER</t>
  </si>
  <si>
    <t>EARNED BY AGENT NAME</t>
  </si>
  <si>
    <t>BONUS AMOUNT</t>
  </si>
  <si>
    <t>DATE PROCESSED</t>
  </si>
  <si>
    <t>DESCRIPTION</t>
  </si>
  <si>
    <t xml:space="preserve">GNW5027638 </t>
  </si>
  <si>
    <t>Brittany Oliver</t>
  </si>
  <si>
    <t>Bonus for AHC6755030</t>
  </si>
  <si>
    <t>Bonus for CLI7420843</t>
  </si>
  <si>
    <t xml:space="preserve">GNW5021656 </t>
  </si>
  <si>
    <t>Gary Portugal</t>
  </si>
  <si>
    <t>Bonus for CLI7420930</t>
  </si>
  <si>
    <t xml:space="preserve">GNW5030443 </t>
  </si>
  <si>
    <t>Bonus for CLI7421237</t>
  </si>
  <si>
    <t>Bonus for CLI7421405</t>
  </si>
  <si>
    <t>Bonus for CLI7421406</t>
  </si>
  <si>
    <t>Bonus for CLI7421425</t>
  </si>
  <si>
    <t>Bonus for CLI7421433</t>
  </si>
  <si>
    <t>Bonus for CLI7421676</t>
  </si>
  <si>
    <t xml:space="preserve">GNW5024943 </t>
  </si>
  <si>
    <t>Anthony Hunsberger</t>
  </si>
  <si>
    <t>Bonus for CLI7421845</t>
  </si>
  <si>
    <t xml:space="preserve">GNW0089770 </t>
  </si>
  <si>
    <t>Adam Richter</t>
  </si>
  <si>
    <t>Bonus for CLI7422682</t>
  </si>
  <si>
    <t xml:space="preserve">GNW5008239 </t>
  </si>
  <si>
    <t>Carol Foley</t>
  </si>
  <si>
    <t>Bonus for CLI7422713</t>
  </si>
  <si>
    <t xml:space="preserve">GNW5020131 </t>
  </si>
  <si>
    <t>Chad Yale</t>
  </si>
  <si>
    <t>Bonus for CLI7422828</t>
  </si>
  <si>
    <t>Bonus for CLI7423989</t>
  </si>
  <si>
    <t>Bonus for CLI7424746</t>
  </si>
  <si>
    <t>Bonus for CLI7424848</t>
  </si>
  <si>
    <t>Bonus for CLI7425591</t>
  </si>
  <si>
    <t>Bonus for CLI7426742</t>
  </si>
  <si>
    <t xml:space="preserve">GNW5002639 </t>
  </si>
  <si>
    <t>Matthew Daugherty</t>
  </si>
  <si>
    <t>Bonus for CLI7427283</t>
  </si>
  <si>
    <t>Bonus for CLI7428982</t>
  </si>
  <si>
    <t xml:space="preserve">GNW5035079 </t>
  </si>
  <si>
    <t>Jill Shepard</t>
  </si>
  <si>
    <t>Bonus for CLI7429170</t>
  </si>
  <si>
    <t xml:space="preserve">GNW5015801 </t>
  </si>
  <si>
    <t>Ronald Max</t>
  </si>
  <si>
    <t>Bonus for CLI7429433</t>
  </si>
  <si>
    <t xml:space="preserve">GNW0089678 </t>
  </si>
  <si>
    <t>Ryan Caltagirone</t>
  </si>
  <si>
    <t>Bonus for CLI7430117</t>
  </si>
  <si>
    <t>Bonus for CLI7430118</t>
  </si>
  <si>
    <t>Bonus for CLI7430196</t>
  </si>
  <si>
    <t>Bonus for CLI7430392</t>
  </si>
  <si>
    <t>Bonus for CLI7431406</t>
  </si>
  <si>
    <t xml:space="preserve">GNW5019378 </t>
  </si>
  <si>
    <t>Chris Taugner</t>
  </si>
  <si>
    <t>Bonus for CLI7431471</t>
  </si>
  <si>
    <t xml:space="preserve">GNW5007313 </t>
  </si>
  <si>
    <t>Deborah Inskipt</t>
  </si>
  <si>
    <t>Bonus for CLI7431687</t>
  </si>
  <si>
    <t xml:space="preserve">GNW5021353 </t>
  </si>
  <si>
    <t>Jacob Yale</t>
  </si>
  <si>
    <t>Bonus for CLI7431825</t>
  </si>
  <si>
    <t>Bonus for CLI7432525</t>
  </si>
  <si>
    <t>Bonus for CLI7432651</t>
  </si>
  <si>
    <t>Bonus for CLI7420765</t>
  </si>
  <si>
    <t>Bonus for CLI7420842</t>
  </si>
  <si>
    <t>Bonus for CLI7420929</t>
  </si>
  <si>
    <t>Bonus for CLI7421388</t>
  </si>
  <si>
    <t>Bonus for CLI7421407</t>
  </si>
  <si>
    <t>Bonus for CLI7421921</t>
  </si>
  <si>
    <t>Bonus for CLI7421922</t>
  </si>
  <si>
    <t>Bonus for CLI7422766</t>
  </si>
  <si>
    <t xml:space="preserve">GNW5015793 </t>
  </si>
  <si>
    <t>Brian Strohman</t>
  </si>
  <si>
    <t>Bonus for CLI7423713</t>
  </si>
  <si>
    <t>Bonus for CLI7423996</t>
  </si>
  <si>
    <t>Bonus for CLI7424742</t>
  </si>
  <si>
    <t>Bonus for CLI7425527</t>
  </si>
  <si>
    <t xml:space="preserve">GNW5013701 </t>
  </si>
  <si>
    <t>Jared Kinyua</t>
  </si>
  <si>
    <t>Bonus for CLI7426109</t>
  </si>
  <si>
    <t>Bonus for CLI7426668</t>
  </si>
  <si>
    <t>Bonus for CLI7429431</t>
  </si>
  <si>
    <t>Bonus for CLI7429432</t>
  </si>
  <si>
    <t>Bonus for CLI7429882</t>
  </si>
  <si>
    <t>Bonus for CLI7429883</t>
  </si>
  <si>
    <t>Bonus for CLI7430026</t>
  </si>
  <si>
    <t>Bonus for CLI7430929</t>
  </si>
  <si>
    <t>Bonus for CLI7430980</t>
  </si>
  <si>
    <t>Bonus for CLI7431408</t>
  </si>
  <si>
    <t>Bonus for CLI7431686</t>
  </si>
  <si>
    <t>Bonus for CLI7431824</t>
  </si>
  <si>
    <t>Bonus for CLI7432411</t>
  </si>
  <si>
    <t>Bonus for CLI7432412</t>
  </si>
  <si>
    <t>Bonus for CLI7432505</t>
  </si>
  <si>
    <t>Bonus for CLI7432526</t>
  </si>
  <si>
    <t>Bonus for CLI7432530</t>
  </si>
  <si>
    <t>Bonus for CLI7433195</t>
  </si>
  <si>
    <t>Bonus for CLI7433196</t>
  </si>
  <si>
    <t>Bonus for CLI7433738</t>
  </si>
  <si>
    <t>Aetna Med Supp</t>
  </si>
  <si>
    <t>Jennifer Halsaver</t>
  </si>
  <si>
    <t>17528908N</t>
  </si>
  <si>
    <t>Cancer and Heart Attack or Stroke 100%</t>
  </si>
  <si>
    <t>Aetna Senior OVR</t>
  </si>
  <si>
    <t>Medicare Supplements Plan N TN</t>
  </si>
  <si>
    <t>Cancer and Heart Attack or Stroke Plus</t>
  </si>
  <si>
    <t>Cancer and Heart Attack or Stroke 105</t>
  </si>
  <si>
    <t>Cancer and Heart</t>
  </si>
  <si>
    <t>Hospital Indemnity Flex: AZ, CT, FL, IA, MA, MD, MI, ND, NH, SC, UT, VA, VT</t>
  </si>
  <si>
    <t>Dental, Vision, and Hearing Plus</t>
  </si>
  <si>
    <t>Cancer &amp; Heart Attack/Stroke</t>
  </si>
  <si>
    <t>Hospital Indemnity-AL, AR, DE, GA, ID, IL, IN, KS, KY, etc.</t>
  </si>
  <si>
    <t>Home Recovery Hospital Nursing Care 65</t>
  </si>
  <si>
    <t>Hospital Indemnity AZ CT FL IA MA MD MI ND NH SC UT VA VT</t>
  </si>
  <si>
    <t>Medicare KS and MD</t>
  </si>
  <si>
    <t>Medicare Supplement Plan G 2024</t>
  </si>
  <si>
    <t>Main Line Benefits</t>
  </si>
  <si>
    <t>NB</t>
  </si>
  <si>
    <t>AV</t>
  </si>
  <si>
    <t>RN</t>
  </si>
  <si>
    <t>AE</t>
  </si>
  <si>
    <t>AV1</t>
  </si>
  <si>
    <t>16509456AV8</t>
  </si>
  <si>
    <t>19645587AV8</t>
  </si>
  <si>
    <t>16849453AV8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</si>
</sst>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164" fontId="10" fillId="0" borderId="0" xfId="0" applyNumberFormat="1" applyFont="1" applyAlignment="1">
      <alignment horizontal="left"/>
    </xf>
    <xf numFmtId="0" fontId="10" fillId="0" borderId="0" xfId="0" applyFont="1"/>
    <xf numFmtId="0" fontId="10" fillId="3" borderId="0" xfId="0" applyFont="1" applyFill="1" applyAlignment="1">
      <alignment horizontal="left"/>
    </xf>
    <xf numFmtId="164" fontId="10" fillId="3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center"/>
    </xf>
    <xf numFmtId="0" fontId="11" fillId="0" borderId="0" xfId="0" applyFont="1" applyFill="1"/>
    <xf numFmtId="0" fontId="11" fillId="0" borderId="0" xfId="0" applyFont="1" applyFill="1" applyAlignment="1">
      <alignment horizontal="left"/>
    </xf>
    <xf numFmtId="164" fontId="11" fillId="0" borderId="0" xfId="0" applyNumberFormat="1" applyFont="1" applyFill="1" applyAlignment="1">
      <alignment horizontal="left"/>
    </xf>
    <xf numFmtId="10" fontId="11" fillId="0" borderId="0" xfId="0" applyNumberFormat="1" applyFont="1" applyFill="1" applyAlignment="1">
      <alignment horizontal="left"/>
    </xf>
    <xf numFmtId="0" fontId="11" fillId="4" borderId="0" xfId="0" applyFont="1" applyFill="1" applyAlignment="1">
      <alignment horizontal="left"/>
    </xf>
    <xf numFmtId="164" fontId="11" fillId="4" borderId="0" xfId="0" applyNumberFormat="1" applyFont="1" applyFill="1" applyAlignment="1">
      <alignment horizontal="left"/>
    </xf>
    <xf numFmtId="10" fontId="11" fillId="4" borderId="0" xfId="0" applyNumberFormat="1" applyFont="1" applyFill="1" applyAlignment="1">
      <alignment horizontal="left"/>
    </xf>
    <xf numFmtId="0" fontId="11" fillId="4" borderId="0" xfId="0" applyFont="1" applyFill="1"/>
    <xf numFmtId="0" fontId="11" fillId="5" borderId="0" xfId="0" applyFont="1" applyFill="1" applyAlignment="1">
      <alignment horizontal="left"/>
    </xf>
    <xf numFmtId="164" fontId="11" fillId="5" borderId="0" xfId="0" applyNumberFormat="1" applyFont="1" applyFill="1" applyAlignment="1">
      <alignment horizontal="left"/>
    </xf>
    <xf numFmtId="10" fontId="11" fillId="5" borderId="0" xfId="0" applyNumberFormat="1" applyFont="1" applyFill="1" applyAlignment="1">
      <alignment horizontal="left"/>
    </xf>
    <xf numFmtId="0" fontId="11" fillId="5" borderId="0" xfId="0" applyFont="1" applyFill="1"/>
    <xf numFmtId="0" fontId="10" fillId="5" borderId="0" xfId="0" applyFont="1" applyFill="1" applyAlignment="1">
      <alignment horizontal="left"/>
    </xf>
    <xf numFmtId="164" fontId="10" fillId="5" borderId="0" xfId="0" applyNumberFormat="1" applyFont="1" applyFill="1" applyAlignment="1">
      <alignment horizontal="left"/>
    </xf>
    <xf numFmtId="10" fontId="10" fillId="5" borderId="0" xfId="0" applyNumberFormat="1" applyFont="1" applyFill="1" applyAlignment="1">
      <alignment horizontal="left"/>
    </xf>
    <xf numFmtId="0" fontId="10" fillId="5" borderId="0" xfId="0" applyFont="1" applyFill="1"/>
    <xf numFmtId="0" fontId="10" fillId="0" borderId="0" xfId="0" applyFont="1" applyFill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rgb="FFFFFF00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rgb="FFFFFF00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4" t="s">
        <v>0</v>
      </c>
      <c r="E1" s="15"/>
      <c r="F1" s="15"/>
    </row>
    <row r="2" spans="1:19" x14ac:dyDescent="0.25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6" t="s">
        <v>17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21</v>
      </c>
      <c r="E19" s="1" t="s">
        <v>26</v>
      </c>
    </row>
    <row r="20" spans="3:5" x14ac:dyDescent="0.25">
      <c r="C20" s="2" t="s">
        <v>27</v>
      </c>
      <c r="D20" s="1" t="s">
        <v>21</v>
      </c>
      <c r="E20" s="1" t="s">
        <v>21</v>
      </c>
    </row>
    <row r="21" spans="3:5" x14ac:dyDescent="0.25">
      <c r="C21" s="2" t="s">
        <v>28</v>
      </c>
      <c r="D21" s="1" t="s">
        <v>29</v>
      </c>
      <c r="E21" s="1" t="s">
        <v>30</v>
      </c>
    </row>
    <row r="22" spans="3:5" x14ac:dyDescent="0.25">
      <c r="C22" s="2" t="s">
        <v>31</v>
      </c>
      <c r="D22" s="1" t="s">
        <v>21</v>
      </c>
      <c r="E22" s="1" t="s">
        <v>21</v>
      </c>
    </row>
    <row r="23" spans="3:5" x14ac:dyDescent="0.25">
      <c r="C23" s="2" t="s">
        <v>32</v>
      </c>
      <c r="D23" s="1" t="s">
        <v>33</v>
      </c>
      <c r="E23" s="1" t="s">
        <v>34</v>
      </c>
    </row>
    <row r="24" spans="3:5" x14ac:dyDescent="0.25">
      <c r="C24" s="2" t="s">
        <v>35</v>
      </c>
      <c r="D24" s="1" t="s">
        <v>21</v>
      </c>
      <c r="E24" s="1" t="s">
        <v>21</v>
      </c>
    </row>
    <row r="25" spans="3:5" x14ac:dyDescent="0.25">
      <c r="C25" s="2" t="s">
        <v>36</v>
      </c>
      <c r="D25" s="1" t="s">
        <v>21</v>
      </c>
      <c r="E25" s="1" t="s">
        <v>21</v>
      </c>
    </row>
    <row r="26" spans="3:5" x14ac:dyDescent="0.25">
      <c r="C26" s="4" t="s">
        <v>37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47"/>
  <sheetViews>
    <sheetView topLeftCell="G1" workbookViewId="0">
      <pane ySplit="2" topLeftCell="A3" activePane="bottomLeft" state="frozen"/>
      <selection pane="bottomLeft" activeCell="G1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7" t="s">
        <v>38</v>
      </c>
      <c r="E1" s="15"/>
      <c r="F1" s="15"/>
    </row>
    <row r="2" spans="1:21" x14ac:dyDescent="0.25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  <c r="N2" s="8" t="s">
        <v>52</v>
      </c>
      <c r="O2" s="8" t="s">
        <v>53</v>
      </c>
      <c r="P2" s="8" t="s">
        <v>54</v>
      </c>
      <c r="Q2" s="8" t="s">
        <v>55</v>
      </c>
      <c r="R2" s="8" t="s">
        <v>56</v>
      </c>
      <c r="S2" s="8" t="s">
        <v>57</v>
      </c>
      <c r="T2" s="8" t="s">
        <v>58</v>
      </c>
      <c r="U2" s="8" t="s">
        <v>59</v>
      </c>
    </row>
    <row r="3" spans="1:21" x14ac:dyDescent="0.25">
      <c r="A3" s="9" t="s">
        <v>19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  <c r="G3" s="9" t="s">
        <v>65</v>
      </c>
      <c r="H3" s="9" t="s">
        <v>66</v>
      </c>
      <c r="I3" s="9" t="s">
        <v>67</v>
      </c>
      <c r="J3" s="9" t="s">
        <v>68</v>
      </c>
      <c r="K3" s="9" t="s">
        <v>66</v>
      </c>
      <c r="L3" s="9" t="s">
        <v>69</v>
      </c>
      <c r="M3" s="11">
        <v>27.63</v>
      </c>
      <c r="N3" s="9" t="s">
        <v>70</v>
      </c>
      <c r="O3" s="9" t="s">
        <v>71</v>
      </c>
      <c r="P3" s="9" t="s">
        <v>72</v>
      </c>
      <c r="Q3" s="11">
        <v>1.04</v>
      </c>
      <c r="R3" s="9" t="s">
        <v>73</v>
      </c>
      <c r="S3" s="9" t="s">
        <v>0</v>
      </c>
      <c r="T3" s="9" t="s">
        <v>0</v>
      </c>
      <c r="U3" s="9" t="s">
        <v>74</v>
      </c>
    </row>
    <row r="4" spans="1:21" x14ac:dyDescent="0.25">
      <c r="A4" s="10" t="s">
        <v>19</v>
      </c>
      <c r="B4" s="10" t="s">
        <v>60</v>
      </c>
      <c r="C4" s="10" t="s">
        <v>75</v>
      </c>
      <c r="D4" s="10" t="s">
        <v>76</v>
      </c>
      <c r="E4" s="10" t="s">
        <v>77</v>
      </c>
      <c r="F4" s="10" t="s">
        <v>78</v>
      </c>
      <c r="G4" s="10" t="s">
        <v>79</v>
      </c>
      <c r="H4" s="10" t="s">
        <v>80</v>
      </c>
      <c r="I4" s="10" t="s">
        <v>81</v>
      </c>
      <c r="J4" s="10" t="s">
        <v>82</v>
      </c>
      <c r="K4" s="10" t="s">
        <v>83</v>
      </c>
      <c r="L4" s="10" t="s">
        <v>84</v>
      </c>
      <c r="M4" s="12">
        <v>43.96</v>
      </c>
      <c r="N4" s="10" t="s">
        <v>70</v>
      </c>
      <c r="O4" s="10" t="s">
        <v>85</v>
      </c>
      <c r="P4" s="10" t="s">
        <v>72</v>
      </c>
      <c r="Q4" s="12">
        <v>43.96</v>
      </c>
      <c r="R4" s="10" t="s">
        <v>73</v>
      </c>
      <c r="S4" s="10" t="s">
        <v>0</v>
      </c>
      <c r="T4" s="10" t="s">
        <v>0</v>
      </c>
      <c r="U4" s="10" t="s">
        <v>86</v>
      </c>
    </row>
    <row r="5" spans="1:21" x14ac:dyDescent="0.25">
      <c r="A5" s="9" t="s">
        <v>19</v>
      </c>
      <c r="B5" s="9" t="s">
        <v>60</v>
      </c>
      <c r="C5" s="9" t="s">
        <v>87</v>
      </c>
      <c r="D5" s="9" t="s">
        <v>88</v>
      </c>
      <c r="E5" s="9" t="s">
        <v>89</v>
      </c>
      <c r="F5" s="9" t="s">
        <v>90</v>
      </c>
      <c r="G5" s="9" t="s">
        <v>79</v>
      </c>
      <c r="H5" s="9" t="s">
        <v>91</v>
      </c>
      <c r="I5" s="9" t="s">
        <v>67</v>
      </c>
      <c r="J5" s="9" t="s">
        <v>68</v>
      </c>
      <c r="K5" s="9" t="s">
        <v>92</v>
      </c>
      <c r="L5" s="9" t="s">
        <v>93</v>
      </c>
      <c r="M5" s="11">
        <v>27.63</v>
      </c>
      <c r="N5" s="9" t="s">
        <v>70</v>
      </c>
      <c r="O5" s="9" t="s">
        <v>94</v>
      </c>
      <c r="P5" s="9" t="s">
        <v>72</v>
      </c>
      <c r="Q5" s="11">
        <v>16.03</v>
      </c>
      <c r="R5" s="9" t="s">
        <v>73</v>
      </c>
      <c r="S5" s="9" t="s">
        <v>0</v>
      </c>
      <c r="T5" s="9" t="s">
        <v>0</v>
      </c>
      <c r="U5" s="9" t="s">
        <v>74</v>
      </c>
    </row>
    <row r="6" spans="1:21" x14ac:dyDescent="0.25">
      <c r="A6" s="10" t="s">
        <v>19</v>
      </c>
      <c r="B6" s="10" t="s">
        <v>60</v>
      </c>
      <c r="C6" s="10" t="s">
        <v>95</v>
      </c>
      <c r="D6" s="10" t="s">
        <v>96</v>
      </c>
      <c r="E6" s="10" t="s">
        <v>97</v>
      </c>
      <c r="F6" s="10" t="s">
        <v>98</v>
      </c>
      <c r="G6" s="10" t="s">
        <v>79</v>
      </c>
      <c r="H6" s="10" t="s">
        <v>91</v>
      </c>
      <c r="I6" s="10" t="s">
        <v>99</v>
      </c>
      <c r="J6" s="10" t="s">
        <v>82</v>
      </c>
      <c r="K6" s="10" t="s">
        <v>91</v>
      </c>
      <c r="L6" s="10" t="s">
        <v>69</v>
      </c>
      <c r="M6" s="12">
        <v>17.71</v>
      </c>
      <c r="N6" s="10" t="s">
        <v>70</v>
      </c>
      <c r="O6" s="10" t="s">
        <v>100</v>
      </c>
      <c r="P6" s="10" t="s">
        <v>72</v>
      </c>
      <c r="Q6" s="12">
        <v>18.600000000000001</v>
      </c>
      <c r="R6" s="10" t="s">
        <v>73</v>
      </c>
      <c r="S6" s="10" t="s">
        <v>0</v>
      </c>
      <c r="T6" s="10" t="s">
        <v>0</v>
      </c>
      <c r="U6" s="10" t="s">
        <v>86</v>
      </c>
    </row>
    <row r="7" spans="1:21" x14ac:dyDescent="0.25">
      <c r="A7" s="9" t="s">
        <v>19</v>
      </c>
      <c r="B7" s="9" t="s">
        <v>60</v>
      </c>
      <c r="C7" s="9" t="s">
        <v>95</v>
      </c>
      <c r="D7" s="9" t="s">
        <v>96</v>
      </c>
      <c r="E7" s="9" t="s">
        <v>97</v>
      </c>
      <c r="F7" s="9" t="s">
        <v>101</v>
      </c>
      <c r="G7" s="9" t="s">
        <v>79</v>
      </c>
      <c r="H7" s="9" t="s">
        <v>91</v>
      </c>
      <c r="I7" s="9" t="s">
        <v>99</v>
      </c>
      <c r="J7" s="9" t="s">
        <v>102</v>
      </c>
      <c r="K7" s="9" t="s">
        <v>91</v>
      </c>
      <c r="L7" s="9" t="s">
        <v>69</v>
      </c>
      <c r="M7" s="11">
        <v>43.33</v>
      </c>
      <c r="N7" s="9" t="s">
        <v>70</v>
      </c>
      <c r="O7" s="9" t="s">
        <v>94</v>
      </c>
      <c r="P7" s="9" t="s">
        <v>72</v>
      </c>
      <c r="Q7" s="11">
        <v>25.13</v>
      </c>
      <c r="R7" s="9" t="s">
        <v>73</v>
      </c>
      <c r="S7" s="9" t="s">
        <v>0</v>
      </c>
      <c r="T7" s="9" t="s">
        <v>0</v>
      </c>
      <c r="U7" s="9" t="s">
        <v>103</v>
      </c>
    </row>
    <row r="8" spans="1:21" x14ac:dyDescent="0.25">
      <c r="A8" s="10" t="s">
        <v>19</v>
      </c>
      <c r="B8" s="10" t="s">
        <v>60</v>
      </c>
      <c r="C8" s="10" t="s">
        <v>95</v>
      </c>
      <c r="D8" s="10" t="s">
        <v>96</v>
      </c>
      <c r="E8" s="10" t="s">
        <v>97</v>
      </c>
      <c r="F8" s="10" t="s">
        <v>104</v>
      </c>
      <c r="G8" s="10" t="s">
        <v>79</v>
      </c>
      <c r="H8" s="10" t="s">
        <v>91</v>
      </c>
      <c r="I8" s="10" t="s">
        <v>99</v>
      </c>
      <c r="J8" s="10" t="s">
        <v>105</v>
      </c>
      <c r="K8" s="10" t="s">
        <v>91</v>
      </c>
      <c r="L8" s="10" t="s">
        <v>69</v>
      </c>
      <c r="M8" s="12">
        <v>15.21</v>
      </c>
      <c r="N8" s="10" t="s">
        <v>70</v>
      </c>
      <c r="O8" s="10" t="s">
        <v>100</v>
      </c>
      <c r="P8" s="10" t="s">
        <v>72</v>
      </c>
      <c r="Q8" s="12">
        <v>15.97</v>
      </c>
      <c r="R8" s="10" t="s">
        <v>73</v>
      </c>
      <c r="S8" s="10" t="s">
        <v>0</v>
      </c>
      <c r="T8" s="10" t="s">
        <v>0</v>
      </c>
      <c r="U8" s="10" t="s">
        <v>106</v>
      </c>
    </row>
    <row r="9" spans="1:21" x14ac:dyDescent="0.25">
      <c r="A9" s="9" t="s">
        <v>19</v>
      </c>
      <c r="B9" s="9" t="s">
        <v>60</v>
      </c>
      <c r="C9" s="9" t="s">
        <v>75</v>
      </c>
      <c r="D9" s="9" t="s">
        <v>76</v>
      </c>
      <c r="E9" s="9" t="s">
        <v>77</v>
      </c>
      <c r="F9" s="9" t="s">
        <v>107</v>
      </c>
      <c r="G9" s="9" t="s">
        <v>79</v>
      </c>
      <c r="H9" s="9" t="s">
        <v>80</v>
      </c>
      <c r="I9" s="9" t="s">
        <v>81</v>
      </c>
      <c r="J9" s="9" t="s">
        <v>105</v>
      </c>
      <c r="K9" s="9" t="s">
        <v>83</v>
      </c>
      <c r="L9" s="9" t="s">
        <v>84</v>
      </c>
      <c r="M9" s="11">
        <v>44.29</v>
      </c>
      <c r="N9" s="9" t="s">
        <v>70</v>
      </c>
      <c r="O9" s="9" t="s">
        <v>85</v>
      </c>
      <c r="P9" s="9" t="s">
        <v>72</v>
      </c>
      <c r="Q9" s="11">
        <v>44.29</v>
      </c>
      <c r="R9" s="9" t="s">
        <v>73</v>
      </c>
      <c r="S9" s="9" t="s">
        <v>0</v>
      </c>
      <c r="T9" s="9" t="s">
        <v>0</v>
      </c>
      <c r="U9" s="9" t="s">
        <v>106</v>
      </c>
    </row>
    <row r="10" spans="1:21" x14ac:dyDescent="0.25">
      <c r="A10" s="10" t="s">
        <v>19</v>
      </c>
      <c r="B10" s="10" t="s">
        <v>60</v>
      </c>
      <c r="C10" s="10" t="s">
        <v>108</v>
      </c>
      <c r="D10" s="10" t="s">
        <v>109</v>
      </c>
      <c r="E10" s="10" t="s">
        <v>110</v>
      </c>
      <c r="F10" s="10" t="s">
        <v>111</v>
      </c>
      <c r="G10" s="10" t="s">
        <v>79</v>
      </c>
      <c r="H10" s="10" t="s">
        <v>112</v>
      </c>
      <c r="I10" s="10" t="s">
        <v>113</v>
      </c>
      <c r="J10" s="10" t="s">
        <v>114</v>
      </c>
      <c r="K10" s="10" t="s">
        <v>115</v>
      </c>
      <c r="L10" s="10" t="s">
        <v>69</v>
      </c>
      <c r="M10" s="12">
        <v>138.44999999999999</v>
      </c>
      <c r="N10" s="10" t="s">
        <v>70</v>
      </c>
      <c r="O10" s="10" t="s">
        <v>116</v>
      </c>
      <c r="P10" s="10" t="s">
        <v>72</v>
      </c>
      <c r="Q10" s="12">
        <v>11.07</v>
      </c>
      <c r="R10" s="10" t="s">
        <v>73</v>
      </c>
      <c r="S10" s="10" t="s">
        <v>0</v>
      </c>
      <c r="T10" s="10" t="s">
        <v>0</v>
      </c>
      <c r="U10" s="10" t="s">
        <v>117</v>
      </c>
    </row>
    <row r="11" spans="1:21" x14ac:dyDescent="0.25">
      <c r="A11" s="9" t="s">
        <v>19</v>
      </c>
      <c r="B11" s="9" t="s">
        <v>60</v>
      </c>
      <c r="C11" s="9" t="s">
        <v>118</v>
      </c>
      <c r="D11" s="9" t="s">
        <v>119</v>
      </c>
      <c r="E11" s="9" t="s">
        <v>120</v>
      </c>
      <c r="F11" s="9" t="s">
        <v>121</v>
      </c>
      <c r="G11" s="9" t="s">
        <v>79</v>
      </c>
      <c r="H11" s="9" t="s">
        <v>122</v>
      </c>
      <c r="I11" s="9" t="s">
        <v>123</v>
      </c>
      <c r="J11" s="9" t="s">
        <v>105</v>
      </c>
      <c r="K11" s="9" t="s">
        <v>124</v>
      </c>
      <c r="L11" s="9" t="s">
        <v>125</v>
      </c>
      <c r="M11" s="11">
        <v>31.38</v>
      </c>
      <c r="N11" s="9" t="s">
        <v>70</v>
      </c>
      <c r="O11" s="9" t="s">
        <v>126</v>
      </c>
      <c r="P11" s="9" t="s">
        <v>72</v>
      </c>
      <c r="Q11" s="11">
        <v>29.81</v>
      </c>
      <c r="R11" s="9" t="s">
        <v>73</v>
      </c>
      <c r="S11" s="9" t="s">
        <v>0</v>
      </c>
      <c r="T11" s="9" t="s">
        <v>0</v>
      </c>
      <c r="U11" s="9" t="s">
        <v>106</v>
      </c>
    </row>
    <row r="12" spans="1:21" x14ac:dyDescent="0.25">
      <c r="A12" s="10" t="s">
        <v>19</v>
      </c>
      <c r="B12" s="10" t="s">
        <v>127</v>
      </c>
      <c r="C12" s="10" t="s">
        <v>95</v>
      </c>
      <c r="D12" s="10" t="s">
        <v>96</v>
      </c>
      <c r="E12" s="10" t="s">
        <v>128</v>
      </c>
      <c r="F12" s="10" t="s">
        <v>129</v>
      </c>
      <c r="G12" s="10" t="s">
        <v>79</v>
      </c>
      <c r="H12" s="10" t="s">
        <v>130</v>
      </c>
      <c r="I12" s="10" t="s">
        <v>81</v>
      </c>
      <c r="J12" s="10" t="s">
        <v>105</v>
      </c>
      <c r="K12" s="10" t="s">
        <v>131</v>
      </c>
      <c r="L12" s="10" t="s">
        <v>132</v>
      </c>
      <c r="M12" s="12">
        <v>-55.6</v>
      </c>
      <c r="N12" s="10" t="s">
        <v>70</v>
      </c>
      <c r="O12" s="10" t="s">
        <v>100</v>
      </c>
      <c r="P12" s="10" t="s">
        <v>72</v>
      </c>
      <c r="Q12" s="12">
        <v>-58.38</v>
      </c>
      <c r="R12" s="10" t="s">
        <v>73</v>
      </c>
      <c r="S12" s="10" t="s">
        <v>0</v>
      </c>
      <c r="T12" s="10" t="s">
        <v>0</v>
      </c>
      <c r="U12" s="10" t="s">
        <v>106</v>
      </c>
    </row>
    <row r="13" spans="1:21" x14ac:dyDescent="0.25">
      <c r="A13" s="9" t="s">
        <v>19</v>
      </c>
      <c r="B13" s="9" t="s">
        <v>127</v>
      </c>
      <c r="C13" s="9" t="s">
        <v>95</v>
      </c>
      <c r="D13" s="9" t="s">
        <v>96</v>
      </c>
      <c r="E13" s="9" t="s">
        <v>128</v>
      </c>
      <c r="F13" s="9" t="s">
        <v>133</v>
      </c>
      <c r="G13" s="9" t="s">
        <v>79</v>
      </c>
      <c r="H13" s="9" t="s">
        <v>130</v>
      </c>
      <c r="I13" s="9" t="s">
        <v>81</v>
      </c>
      <c r="J13" s="9" t="s">
        <v>82</v>
      </c>
      <c r="K13" s="9" t="s">
        <v>130</v>
      </c>
      <c r="L13" s="9" t="s">
        <v>134</v>
      </c>
      <c r="M13" s="11">
        <v>-56.53</v>
      </c>
      <c r="N13" s="9" t="s">
        <v>70</v>
      </c>
      <c r="O13" s="9" t="s">
        <v>100</v>
      </c>
      <c r="P13" s="9" t="s">
        <v>72</v>
      </c>
      <c r="Q13" s="11">
        <v>-59.36</v>
      </c>
      <c r="R13" s="9" t="s">
        <v>73</v>
      </c>
      <c r="S13" s="9" t="s">
        <v>0</v>
      </c>
      <c r="T13" s="9" t="s">
        <v>0</v>
      </c>
      <c r="U13" s="9" t="s">
        <v>86</v>
      </c>
    </row>
    <row r="14" spans="1:21" x14ac:dyDescent="0.25">
      <c r="A14" s="10" t="s">
        <v>19</v>
      </c>
      <c r="B14" s="10" t="s">
        <v>60</v>
      </c>
      <c r="C14" s="10" t="s">
        <v>95</v>
      </c>
      <c r="D14" s="10" t="s">
        <v>96</v>
      </c>
      <c r="E14" s="10" t="s">
        <v>135</v>
      </c>
      <c r="F14" s="10" t="s">
        <v>136</v>
      </c>
      <c r="G14" s="10" t="s">
        <v>137</v>
      </c>
      <c r="H14" s="10" t="s">
        <v>125</v>
      </c>
      <c r="I14" s="10" t="s">
        <v>138</v>
      </c>
      <c r="J14" s="10" t="s">
        <v>105</v>
      </c>
      <c r="K14" s="10" t="s">
        <v>125</v>
      </c>
      <c r="L14" s="10" t="s">
        <v>125</v>
      </c>
      <c r="M14" s="12">
        <v>35.869999999999997</v>
      </c>
      <c r="N14" s="10" t="s">
        <v>70</v>
      </c>
      <c r="O14" s="10" t="s">
        <v>100</v>
      </c>
      <c r="P14" s="10" t="s">
        <v>72</v>
      </c>
      <c r="Q14" s="12">
        <v>37.659999999999997</v>
      </c>
      <c r="R14" s="10" t="s">
        <v>73</v>
      </c>
      <c r="S14" s="10" t="s">
        <v>0</v>
      </c>
      <c r="T14" s="10" t="s">
        <v>0</v>
      </c>
      <c r="U14" s="10" t="s">
        <v>106</v>
      </c>
    </row>
    <row r="15" spans="1:21" x14ac:dyDescent="0.25">
      <c r="A15" s="9" t="s">
        <v>19</v>
      </c>
      <c r="B15" s="9" t="s">
        <v>60</v>
      </c>
      <c r="C15" s="9" t="s">
        <v>118</v>
      </c>
      <c r="D15" s="9" t="s">
        <v>119</v>
      </c>
      <c r="E15" s="9" t="s">
        <v>120</v>
      </c>
      <c r="F15" s="9" t="s">
        <v>139</v>
      </c>
      <c r="G15" s="9" t="s">
        <v>79</v>
      </c>
      <c r="H15" s="9" t="s">
        <v>122</v>
      </c>
      <c r="I15" s="9" t="s">
        <v>123</v>
      </c>
      <c r="J15" s="9" t="s">
        <v>82</v>
      </c>
      <c r="K15" s="9" t="s">
        <v>124</v>
      </c>
      <c r="L15" s="9" t="s">
        <v>125</v>
      </c>
      <c r="M15" s="11">
        <v>31.13</v>
      </c>
      <c r="N15" s="9" t="s">
        <v>70</v>
      </c>
      <c r="O15" s="9" t="s">
        <v>126</v>
      </c>
      <c r="P15" s="9" t="s">
        <v>72</v>
      </c>
      <c r="Q15" s="11">
        <v>29.57</v>
      </c>
      <c r="R15" s="9" t="s">
        <v>73</v>
      </c>
      <c r="S15" s="9" t="s">
        <v>0</v>
      </c>
      <c r="T15" s="9" t="s">
        <v>0</v>
      </c>
      <c r="U15" s="9" t="s">
        <v>86</v>
      </c>
    </row>
    <row r="16" spans="1:21" x14ac:dyDescent="0.25">
      <c r="A16" s="10" t="s">
        <v>19</v>
      </c>
      <c r="B16" s="10" t="s">
        <v>60</v>
      </c>
      <c r="C16" s="10" t="s">
        <v>95</v>
      </c>
      <c r="D16" s="10" t="s">
        <v>96</v>
      </c>
      <c r="E16" s="10" t="s">
        <v>140</v>
      </c>
      <c r="F16" s="10" t="s">
        <v>141</v>
      </c>
      <c r="G16" s="10" t="s">
        <v>79</v>
      </c>
      <c r="H16" s="10" t="s">
        <v>142</v>
      </c>
      <c r="I16" s="10" t="s">
        <v>81</v>
      </c>
      <c r="J16" s="10" t="s">
        <v>143</v>
      </c>
      <c r="K16" s="10" t="s">
        <v>142</v>
      </c>
      <c r="L16" s="10" t="s">
        <v>125</v>
      </c>
      <c r="M16" s="12">
        <v>36.33</v>
      </c>
      <c r="N16" s="10" t="s">
        <v>70</v>
      </c>
      <c r="O16" s="10" t="s">
        <v>144</v>
      </c>
      <c r="P16" s="10" t="s">
        <v>72</v>
      </c>
      <c r="Q16" s="12">
        <v>23.61</v>
      </c>
      <c r="R16" s="10" t="s">
        <v>73</v>
      </c>
      <c r="S16" s="10" t="s">
        <v>0</v>
      </c>
      <c r="T16" s="10" t="s">
        <v>0</v>
      </c>
      <c r="U16" s="10" t="s">
        <v>145</v>
      </c>
    </row>
    <row r="17" spans="1:21" x14ac:dyDescent="0.25">
      <c r="A17" s="9" t="s">
        <v>19</v>
      </c>
      <c r="B17" s="9" t="s">
        <v>60</v>
      </c>
      <c r="C17" s="9" t="s">
        <v>95</v>
      </c>
      <c r="D17" s="9" t="s">
        <v>96</v>
      </c>
      <c r="E17" s="9" t="s">
        <v>146</v>
      </c>
      <c r="F17" s="9" t="s">
        <v>147</v>
      </c>
      <c r="G17" s="9" t="s">
        <v>79</v>
      </c>
      <c r="H17" s="9" t="s">
        <v>142</v>
      </c>
      <c r="I17" s="9" t="s">
        <v>81</v>
      </c>
      <c r="J17" s="9" t="s">
        <v>143</v>
      </c>
      <c r="K17" s="9" t="s">
        <v>142</v>
      </c>
      <c r="L17" s="9" t="s">
        <v>125</v>
      </c>
      <c r="M17" s="11">
        <v>32</v>
      </c>
      <c r="N17" s="9" t="s">
        <v>70</v>
      </c>
      <c r="O17" s="9" t="s">
        <v>144</v>
      </c>
      <c r="P17" s="9" t="s">
        <v>72</v>
      </c>
      <c r="Q17" s="11">
        <v>20.8</v>
      </c>
      <c r="R17" s="9" t="s">
        <v>73</v>
      </c>
      <c r="S17" s="9" t="s">
        <v>0</v>
      </c>
      <c r="T17" s="9" t="s">
        <v>0</v>
      </c>
      <c r="U17" s="9" t="s">
        <v>145</v>
      </c>
    </row>
    <row r="18" spans="1:21" x14ac:dyDescent="0.25">
      <c r="A18" s="10" t="s">
        <v>19</v>
      </c>
      <c r="B18" s="10" t="s">
        <v>60</v>
      </c>
      <c r="C18" s="10" t="s">
        <v>95</v>
      </c>
      <c r="D18" s="10" t="s">
        <v>96</v>
      </c>
      <c r="E18" s="10" t="s">
        <v>146</v>
      </c>
      <c r="F18" s="10" t="s">
        <v>147</v>
      </c>
      <c r="G18" s="10" t="s">
        <v>79</v>
      </c>
      <c r="H18" s="10" t="s">
        <v>142</v>
      </c>
      <c r="I18" s="10" t="s">
        <v>81</v>
      </c>
      <c r="J18" s="10" t="s">
        <v>143</v>
      </c>
      <c r="K18" s="10" t="s">
        <v>142</v>
      </c>
      <c r="L18" s="10" t="s">
        <v>125</v>
      </c>
      <c r="M18" s="12">
        <v>11.04</v>
      </c>
      <c r="N18" s="10" t="s">
        <v>70</v>
      </c>
      <c r="O18" s="10" t="s">
        <v>144</v>
      </c>
      <c r="P18" s="10" t="s">
        <v>72</v>
      </c>
      <c r="Q18" s="12">
        <v>7.18</v>
      </c>
      <c r="R18" s="10" t="s">
        <v>73</v>
      </c>
      <c r="S18" s="10" t="s">
        <v>0</v>
      </c>
      <c r="T18" s="10" t="s">
        <v>0</v>
      </c>
      <c r="U18" s="10" t="s">
        <v>145</v>
      </c>
    </row>
    <row r="19" spans="1:21" x14ac:dyDescent="0.25">
      <c r="A19" s="9" t="s">
        <v>19</v>
      </c>
      <c r="B19" s="9" t="s">
        <v>60</v>
      </c>
      <c r="C19" s="9" t="s">
        <v>148</v>
      </c>
      <c r="D19" s="9" t="s">
        <v>149</v>
      </c>
      <c r="E19" s="9" t="s">
        <v>150</v>
      </c>
      <c r="F19" s="9" t="s">
        <v>151</v>
      </c>
      <c r="G19" s="9" t="s">
        <v>137</v>
      </c>
      <c r="H19" s="9" t="s">
        <v>125</v>
      </c>
      <c r="I19" s="9" t="s">
        <v>113</v>
      </c>
      <c r="J19" s="9" t="s">
        <v>152</v>
      </c>
      <c r="K19" s="9" t="s">
        <v>153</v>
      </c>
      <c r="L19" s="9" t="s">
        <v>153</v>
      </c>
      <c r="M19" s="11">
        <v>33.15</v>
      </c>
      <c r="N19" s="9" t="s">
        <v>70</v>
      </c>
      <c r="O19" s="9" t="s">
        <v>100</v>
      </c>
      <c r="P19" s="9" t="s">
        <v>72</v>
      </c>
      <c r="Q19" s="11">
        <v>34.81</v>
      </c>
      <c r="R19" s="9" t="s">
        <v>73</v>
      </c>
      <c r="S19" s="9" t="s">
        <v>0</v>
      </c>
      <c r="T19" s="9" t="s">
        <v>0</v>
      </c>
      <c r="U19" s="9" t="s">
        <v>154</v>
      </c>
    </row>
    <row r="20" spans="1:21" x14ac:dyDescent="0.25">
      <c r="A20" s="10" t="s">
        <v>19</v>
      </c>
      <c r="B20" s="10" t="s">
        <v>60</v>
      </c>
      <c r="C20" s="10" t="s">
        <v>95</v>
      </c>
      <c r="D20" s="10" t="s">
        <v>96</v>
      </c>
      <c r="E20" s="10" t="s">
        <v>155</v>
      </c>
      <c r="F20" s="10" t="s">
        <v>156</v>
      </c>
      <c r="G20" s="10" t="s">
        <v>79</v>
      </c>
      <c r="H20" s="10" t="s">
        <v>157</v>
      </c>
      <c r="I20" s="10" t="s">
        <v>81</v>
      </c>
      <c r="J20" s="10" t="s">
        <v>143</v>
      </c>
      <c r="K20" s="10" t="s">
        <v>84</v>
      </c>
      <c r="L20" s="10" t="s">
        <v>158</v>
      </c>
      <c r="M20" s="12">
        <v>33.83</v>
      </c>
      <c r="N20" s="10" t="s">
        <v>70</v>
      </c>
      <c r="O20" s="10" t="s">
        <v>144</v>
      </c>
      <c r="P20" s="10" t="s">
        <v>72</v>
      </c>
      <c r="Q20" s="12">
        <v>21.99</v>
      </c>
      <c r="R20" s="10" t="s">
        <v>73</v>
      </c>
      <c r="S20" s="10" t="s">
        <v>0</v>
      </c>
      <c r="T20" s="10" t="s">
        <v>0</v>
      </c>
      <c r="U20" s="10" t="s">
        <v>145</v>
      </c>
    </row>
    <row r="21" spans="1:21" x14ac:dyDescent="0.25">
      <c r="A21" s="9" t="s">
        <v>19</v>
      </c>
      <c r="B21" s="9" t="s">
        <v>60</v>
      </c>
      <c r="C21" s="9" t="s">
        <v>159</v>
      </c>
      <c r="D21" s="9" t="s">
        <v>160</v>
      </c>
      <c r="E21" s="9" t="s">
        <v>161</v>
      </c>
      <c r="F21" s="9" t="s">
        <v>162</v>
      </c>
      <c r="G21" s="9" t="s">
        <v>79</v>
      </c>
      <c r="H21" s="9" t="s">
        <v>163</v>
      </c>
      <c r="I21" s="9" t="s">
        <v>67</v>
      </c>
      <c r="J21" s="9" t="s">
        <v>105</v>
      </c>
      <c r="K21" s="9" t="s">
        <v>164</v>
      </c>
      <c r="L21" s="9" t="s">
        <v>158</v>
      </c>
      <c r="M21" s="11">
        <v>43.41</v>
      </c>
      <c r="N21" s="9" t="s">
        <v>70</v>
      </c>
      <c r="O21" s="9" t="s">
        <v>126</v>
      </c>
      <c r="P21" s="9" t="s">
        <v>72</v>
      </c>
      <c r="Q21" s="11">
        <v>41.24</v>
      </c>
      <c r="R21" s="9" t="s">
        <v>73</v>
      </c>
      <c r="S21" s="9" t="s">
        <v>0</v>
      </c>
      <c r="T21" s="9" t="s">
        <v>0</v>
      </c>
      <c r="U21" s="9" t="s">
        <v>106</v>
      </c>
    </row>
    <row r="22" spans="1:21" x14ac:dyDescent="0.25">
      <c r="A22" s="10" t="s">
        <v>19</v>
      </c>
      <c r="B22" s="10" t="s">
        <v>60</v>
      </c>
      <c r="C22" s="10" t="s">
        <v>159</v>
      </c>
      <c r="D22" s="10" t="s">
        <v>160</v>
      </c>
      <c r="E22" s="10" t="s">
        <v>161</v>
      </c>
      <c r="F22" s="10" t="s">
        <v>165</v>
      </c>
      <c r="G22" s="10" t="s">
        <v>79</v>
      </c>
      <c r="H22" s="10" t="s">
        <v>163</v>
      </c>
      <c r="I22" s="10" t="s">
        <v>67</v>
      </c>
      <c r="J22" s="10" t="s">
        <v>82</v>
      </c>
      <c r="K22" s="10" t="s">
        <v>164</v>
      </c>
      <c r="L22" s="10" t="s">
        <v>158</v>
      </c>
      <c r="M22" s="12">
        <v>31.91</v>
      </c>
      <c r="N22" s="10" t="s">
        <v>70</v>
      </c>
      <c r="O22" s="10" t="s">
        <v>126</v>
      </c>
      <c r="P22" s="10" t="s">
        <v>72</v>
      </c>
      <c r="Q22" s="12">
        <v>30.31</v>
      </c>
      <c r="R22" s="10" t="s">
        <v>73</v>
      </c>
      <c r="S22" s="10" t="s">
        <v>0</v>
      </c>
      <c r="T22" s="10" t="s">
        <v>0</v>
      </c>
      <c r="U22" s="10" t="s">
        <v>86</v>
      </c>
    </row>
    <row r="23" spans="1:21" x14ac:dyDescent="0.25">
      <c r="A23" s="9" t="s">
        <v>19</v>
      </c>
      <c r="B23" s="9" t="s">
        <v>60</v>
      </c>
      <c r="C23" s="9" t="s">
        <v>166</v>
      </c>
      <c r="D23" s="9" t="s">
        <v>167</v>
      </c>
      <c r="E23" s="9" t="s">
        <v>168</v>
      </c>
      <c r="F23" s="9" t="s">
        <v>169</v>
      </c>
      <c r="G23" s="9" t="s">
        <v>79</v>
      </c>
      <c r="H23" s="9" t="s">
        <v>170</v>
      </c>
      <c r="I23" s="9" t="s">
        <v>67</v>
      </c>
      <c r="J23" s="9" t="s">
        <v>105</v>
      </c>
      <c r="K23" s="9" t="s">
        <v>171</v>
      </c>
      <c r="L23" s="9" t="s">
        <v>172</v>
      </c>
      <c r="M23" s="11">
        <v>65.12</v>
      </c>
      <c r="N23" s="9" t="s">
        <v>70</v>
      </c>
      <c r="O23" s="9" t="s">
        <v>173</v>
      </c>
      <c r="P23" s="9" t="s">
        <v>72</v>
      </c>
      <c r="Q23" s="11">
        <v>59.26</v>
      </c>
      <c r="R23" s="9" t="s">
        <v>73</v>
      </c>
      <c r="S23" s="9" t="s">
        <v>0</v>
      </c>
      <c r="T23" s="9" t="s">
        <v>0</v>
      </c>
      <c r="U23" s="9" t="s">
        <v>106</v>
      </c>
    </row>
    <row r="24" spans="1:21" x14ac:dyDescent="0.25">
      <c r="A24" s="10" t="s">
        <v>19</v>
      </c>
      <c r="B24" s="10" t="s">
        <v>60</v>
      </c>
      <c r="C24" s="10" t="s">
        <v>166</v>
      </c>
      <c r="D24" s="10" t="s">
        <v>167</v>
      </c>
      <c r="E24" s="10" t="s">
        <v>168</v>
      </c>
      <c r="F24" s="10" t="s">
        <v>174</v>
      </c>
      <c r="G24" s="10" t="s">
        <v>79</v>
      </c>
      <c r="H24" s="10" t="s">
        <v>170</v>
      </c>
      <c r="I24" s="10" t="s">
        <v>67</v>
      </c>
      <c r="J24" s="10" t="s">
        <v>82</v>
      </c>
      <c r="K24" s="10" t="s">
        <v>171</v>
      </c>
      <c r="L24" s="10" t="s">
        <v>175</v>
      </c>
      <c r="M24" s="12">
        <v>68.37</v>
      </c>
      <c r="N24" s="10" t="s">
        <v>70</v>
      </c>
      <c r="O24" s="10" t="s">
        <v>173</v>
      </c>
      <c r="P24" s="10" t="s">
        <v>72</v>
      </c>
      <c r="Q24" s="12">
        <v>62.22</v>
      </c>
      <c r="R24" s="10" t="s">
        <v>73</v>
      </c>
      <c r="S24" s="10" t="s">
        <v>0</v>
      </c>
      <c r="T24" s="10" t="s">
        <v>0</v>
      </c>
      <c r="U24" s="10" t="s">
        <v>86</v>
      </c>
    </row>
    <row r="25" spans="1:21" x14ac:dyDescent="0.25">
      <c r="A25" s="9" t="s">
        <v>19</v>
      </c>
      <c r="B25" s="9" t="s">
        <v>60</v>
      </c>
      <c r="C25" s="9" t="s">
        <v>61</v>
      </c>
      <c r="D25" s="9" t="s">
        <v>62</v>
      </c>
      <c r="E25" s="9" t="s">
        <v>176</v>
      </c>
      <c r="F25" s="9" t="s">
        <v>177</v>
      </c>
      <c r="G25" s="9" t="s">
        <v>65</v>
      </c>
      <c r="H25" s="9" t="s">
        <v>178</v>
      </c>
      <c r="I25" s="9" t="s">
        <v>67</v>
      </c>
      <c r="J25" s="9" t="s">
        <v>68</v>
      </c>
      <c r="K25" s="9" t="s">
        <v>179</v>
      </c>
      <c r="L25" s="9" t="s">
        <v>84</v>
      </c>
      <c r="M25" s="11">
        <v>32.130000000000003</v>
      </c>
      <c r="N25" s="9" t="s">
        <v>70</v>
      </c>
      <c r="O25" s="9" t="s">
        <v>71</v>
      </c>
      <c r="P25" s="9" t="s">
        <v>72</v>
      </c>
      <c r="Q25" s="11">
        <v>1.2</v>
      </c>
      <c r="R25" s="9" t="s">
        <v>73</v>
      </c>
      <c r="S25" s="9" t="s">
        <v>0</v>
      </c>
      <c r="T25" s="9" t="s">
        <v>0</v>
      </c>
      <c r="U25" s="9" t="s">
        <v>74</v>
      </c>
    </row>
    <row r="26" spans="1:21" x14ac:dyDescent="0.25">
      <c r="A26" s="10" t="s">
        <v>19</v>
      </c>
      <c r="B26" s="10" t="s">
        <v>60</v>
      </c>
      <c r="C26" s="10" t="s">
        <v>180</v>
      </c>
      <c r="D26" s="10" t="s">
        <v>181</v>
      </c>
      <c r="E26" s="10" t="s">
        <v>182</v>
      </c>
      <c r="F26" s="10" t="s">
        <v>183</v>
      </c>
      <c r="G26" s="10" t="s">
        <v>79</v>
      </c>
      <c r="H26" s="10" t="s">
        <v>171</v>
      </c>
      <c r="I26" s="10" t="s">
        <v>67</v>
      </c>
      <c r="J26" s="10" t="s">
        <v>152</v>
      </c>
      <c r="K26" s="10" t="s">
        <v>83</v>
      </c>
      <c r="L26" s="10" t="s">
        <v>158</v>
      </c>
      <c r="M26" s="12">
        <v>29.02</v>
      </c>
      <c r="N26" s="10" t="s">
        <v>70</v>
      </c>
      <c r="O26" s="10" t="s">
        <v>173</v>
      </c>
      <c r="P26" s="10" t="s">
        <v>72</v>
      </c>
      <c r="Q26" s="12">
        <v>26.41</v>
      </c>
      <c r="R26" s="10" t="s">
        <v>73</v>
      </c>
      <c r="S26" s="10" t="s">
        <v>0</v>
      </c>
      <c r="T26" s="10" t="s">
        <v>0</v>
      </c>
      <c r="U26" s="10" t="s">
        <v>154</v>
      </c>
    </row>
    <row r="27" spans="1:21" x14ac:dyDescent="0.25">
      <c r="A27" s="9" t="s">
        <v>19</v>
      </c>
      <c r="B27" s="9" t="s">
        <v>60</v>
      </c>
      <c r="C27" s="9" t="s">
        <v>180</v>
      </c>
      <c r="D27" s="9" t="s">
        <v>181</v>
      </c>
      <c r="E27" s="9" t="s">
        <v>182</v>
      </c>
      <c r="F27" s="9" t="s">
        <v>184</v>
      </c>
      <c r="G27" s="9" t="s">
        <v>79</v>
      </c>
      <c r="H27" s="9" t="s">
        <v>171</v>
      </c>
      <c r="I27" s="9" t="s">
        <v>67</v>
      </c>
      <c r="J27" s="9" t="s">
        <v>185</v>
      </c>
      <c r="K27" s="9" t="s">
        <v>83</v>
      </c>
      <c r="L27" s="9" t="s">
        <v>158</v>
      </c>
      <c r="M27" s="11">
        <v>32.67</v>
      </c>
      <c r="N27" s="9" t="s">
        <v>70</v>
      </c>
      <c r="O27" s="9" t="s">
        <v>173</v>
      </c>
      <c r="P27" s="9" t="s">
        <v>72</v>
      </c>
      <c r="Q27" s="11">
        <v>29.73</v>
      </c>
      <c r="R27" s="9" t="s">
        <v>73</v>
      </c>
      <c r="S27" s="9" t="s">
        <v>0</v>
      </c>
      <c r="T27" s="9" t="s">
        <v>0</v>
      </c>
      <c r="U27" s="9" t="s">
        <v>186</v>
      </c>
    </row>
    <row r="28" spans="1:21" x14ac:dyDescent="0.25">
      <c r="A28" s="10" t="s">
        <v>19</v>
      </c>
      <c r="B28" s="10" t="s">
        <v>60</v>
      </c>
      <c r="C28" s="10" t="s">
        <v>159</v>
      </c>
      <c r="D28" s="10" t="s">
        <v>160</v>
      </c>
      <c r="E28" s="10" t="s">
        <v>187</v>
      </c>
      <c r="F28" s="10" t="s">
        <v>188</v>
      </c>
      <c r="G28" s="10" t="s">
        <v>79</v>
      </c>
      <c r="H28" s="10" t="s">
        <v>130</v>
      </c>
      <c r="I28" s="10" t="s">
        <v>67</v>
      </c>
      <c r="J28" s="10" t="s">
        <v>82</v>
      </c>
      <c r="K28" s="10" t="s">
        <v>130</v>
      </c>
      <c r="L28" s="10" t="s">
        <v>189</v>
      </c>
      <c r="M28" s="12">
        <v>49.75</v>
      </c>
      <c r="N28" s="10" t="s">
        <v>70</v>
      </c>
      <c r="O28" s="10" t="s">
        <v>126</v>
      </c>
      <c r="P28" s="10" t="s">
        <v>72</v>
      </c>
      <c r="Q28" s="12">
        <v>47.26</v>
      </c>
      <c r="R28" s="10" t="s">
        <v>73</v>
      </c>
      <c r="S28" s="10" t="s">
        <v>0</v>
      </c>
      <c r="T28" s="10" t="s">
        <v>0</v>
      </c>
      <c r="U28" s="10" t="s">
        <v>86</v>
      </c>
    </row>
    <row r="29" spans="1:21" x14ac:dyDescent="0.25">
      <c r="A29" s="9" t="s">
        <v>19</v>
      </c>
      <c r="B29" s="9" t="s">
        <v>60</v>
      </c>
      <c r="C29" s="9" t="s">
        <v>190</v>
      </c>
      <c r="D29" s="9" t="s">
        <v>191</v>
      </c>
      <c r="E29" s="9" t="s">
        <v>192</v>
      </c>
      <c r="F29" s="9" t="s">
        <v>193</v>
      </c>
      <c r="G29" s="9" t="s">
        <v>79</v>
      </c>
      <c r="H29" s="9" t="s">
        <v>194</v>
      </c>
      <c r="I29" s="9" t="s">
        <v>113</v>
      </c>
      <c r="J29" s="9" t="s">
        <v>105</v>
      </c>
      <c r="K29" s="9" t="s">
        <v>195</v>
      </c>
      <c r="L29" s="9" t="s">
        <v>158</v>
      </c>
      <c r="M29" s="11">
        <v>48.45</v>
      </c>
      <c r="N29" s="9" t="s">
        <v>70</v>
      </c>
      <c r="O29" s="9" t="s">
        <v>85</v>
      </c>
      <c r="P29" s="9" t="s">
        <v>72</v>
      </c>
      <c r="Q29" s="11">
        <v>48.45</v>
      </c>
      <c r="R29" s="9" t="s">
        <v>73</v>
      </c>
      <c r="S29" s="9" t="s">
        <v>0</v>
      </c>
      <c r="T29" s="9" t="s">
        <v>0</v>
      </c>
      <c r="U29" s="9" t="s">
        <v>106</v>
      </c>
    </row>
    <row r="30" spans="1:21" x14ac:dyDescent="0.25">
      <c r="A30" s="10" t="s">
        <v>18</v>
      </c>
      <c r="B30" s="10" t="s">
        <v>60</v>
      </c>
      <c r="C30" s="10" t="s">
        <v>196</v>
      </c>
      <c r="D30" s="10" t="s">
        <v>197</v>
      </c>
      <c r="E30" s="10" t="s">
        <v>198</v>
      </c>
      <c r="F30" s="10" t="s">
        <v>199</v>
      </c>
      <c r="G30" s="10" t="s">
        <v>65</v>
      </c>
      <c r="H30" s="10" t="s">
        <v>200</v>
      </c>
      <c r="I30" s="10" t="s">
        <v>201</v>
      </c>
      <c r="J30" s="10" t="s">
        <v>202</v>
      </c>
      <c r="K30" s="10" t="s">
        <v>203</v>
      </c>
      <c r="L30" s="10" t="s">
        <v>158</v>
      </c>
      <c r="M30" s="12">
        <v>141.11000000000001</v>
      </c>
      <c r="N30" s="10" t="s">
        <v>70</v>
      </c>
      <c r="O30" s="10" t="s">
        <v>204</v>
      </c>
      <c r="P30" s="10" t="s">
        <v>72</v>
      </c>
      <c r="Q30" s="12">
        <v>33.869999999999997</v>
      </c>
      <c r="R30" s="10" t="s">
        <v>73</v>
      </c>
      <c r="S30" s="10" t="s">
        <v>0</v>
      </c>
      <c r="T30" s="10" t="s">
        <v>0</v>
      </c>
      <c r="U30" s="10" t="s">
        <v>205</v>
      </c>
    </row>
    <row r="31" spans="1:21" x14ac:dyDescent="0.25">
      <c r="A31" s="9" t="s">
        <v>19</v>
      </c>
      <c r="B31" s="9" t="s">
        <v>60</v>
      </c>
      <c r="C31" s="9" t="s">
        <v>159</v>
      </c>
      <c r="D31" s="9" t="s">
        <v>160</v>
      </c>
      <c r="E31" s="9" t="s">
        <v>206</v>
      </c>
      <c r="F31" s="9" t="s">
        <v>207</v>
      </c>
      <c r="G31" s="9" t="s">
        <v>79</v>
      </c>
      <c r="H31" s="9" t="s">
        <v>208</v>
      </c>
      <c r="I31" s="9" t="s">
        <v>209</v>
      </c>
      <c r="J31" s="9" t="s">
        <v>105</v>
      </c>
      <c r="K31" s="9" t="s">
        <v>84</v>
      </c>
      <c r="L31" s="9" t="s">
        <v>158</v>
      </c>
      <c r="M31" s="11">
        <v>53.12</v>
      </c>
      <c r="N31" s="9" t="s">
        <v>70</v>
      </c>
      <c r="O31" s="9" t="s">
        <v>100</v>
      </c>
      <c r="P31" s="9" t="s">
        <v>72</v>
      </c>
      <c r="Q31" s="11">
        <v>55.78</v>
      </c>
      <c r="R31" s="9" t="s">
        <v>73</v>
      </c>
      <c r="S31" s="9" t="s">
        <v>0</v>
      </c>
      <c r="T31" s="9" t="s">
        <v>0</v>
      </c>
      <c r="U31" s="9" t="s">
        <v>210</v>
      </c>
    </row>
    <row r="32" spans="1:21" x14ac:dyDescent="0.25">
      <c r="A32" s="10" t="s">
        <v>19</v>
      </c>
      <c r="B32" s="10" t="s">
        <v>60</v>
      </c>
      <c r="C32" s="10" t="s">
        <v>159</v>
      </c>
      <c r="D32" s="10" t="s">
        <v>160</v>
      </c>
      <c r="E32" s="10" t="s">
        <v>206</v>
      </c>
      <c r="F32" s="10" t="s">
        <v>211</v>
      </c>
      <c r="G32" s="10" t="s">
        <v>79</v>
      </c>
      <c r="H32" s="10" t="s">
        <v>208</v>
      </c>
      <c r="I32" s="10" t="s">
        <v>209</v>
      </c>
      <c r="J32" s="10" t="s">
        <v>212</v>
      </c>
      <c r="K32" s="10" t="s">
        <v>84</v>
      </c>
      <c r="L32" s="10" t="s">
        <v>158</v>
      </c>
      <c r="M32" s="12">
        <v>7.26</v>
      </c>
      <c r="N32" s="10" t="s">
        <v>70</v>
      </c>
      <c r="O32" s="10" t="s">
        <v>213</v>
      </c>
      <c r="P32" s="10" t="s">
        <v>72</v>
      </c>
      <c r="Q32" s="12">
        <v>4.3600000000000003</v>
      </c>
      <c r="R32" s="10" t="s">
        <v>73</v>
      </c>
      <c r="S32" s="10" t="s">
        <v>0</v>
      </c>
      <c r="T32" s="10" t="s">
        <v>0</v>
      </c>
      <c r="U32" s="10" t="s">
        <v>214</v>
      </c>
    </row>
    <row r="33" spans="1:21" x14ac:dyDescent="0.25">
      <c r="A33" s="9" t="s">
        <v>19</v>
      </c>
      <c r="B33" s="9" t="s">
        <v>60</v>
      </c>
      <c r="C33" s="9" t="s">
        <v>159</v>
      </c>
      <c r="D33" s="9" t="s">
        <v>160</v>
      </c>
      <c r="E33" s="9" t="s">
        <v>206</v>
      </c>
      <c r="F33" s="9" t="s">
        <v>211</v>
      </c>
      <c r="G33" s="9" t="s">
        <v>79</v>
      </c>
      <c r="H33" s="9" t="s">
        <v>208</v>
      </c>
      <c r="I33" s="9" t="s">
        <v>209</v>
      </c>
      <c r="J33" s="9" t="s">
        <v>212</v>
      </c>
      <c r="K33" s="9" t="s">
        <v>84</v>
      </c>
      <c r="L33" s="9" t="s">
        <v>158</v>
      </c>
      <c r="M33" s="11">
        <v>6.83</v>
      </c>
      <c r="N33" s="9" t="s">
        <v>70</v>
      </c>
      <c r="O33" s="9" t="s">
        <v>213</v>
      </c>
      <c r="P33" s="9" t="s">
        <v>72</v>
      </c>
      <c r="Q33" s="11">
        <v>4.0999999999999996</v>
      </c>
      <c r="R33" s="9" t="s">
        <v>73</v>
      </c>
      <c r="S33" s="9" t="s">
        <v>0</v>
      </c>
      <c r="T33" s="9" t="s">
        <v>0</v>
      </c>
      <c r="U33" s="9" t="s">
        <v>214</v>
      </c>
    </row>
    <row r="34" spans="1:21" x14ac:dyDescent="0.25">
      <c r="A34" s="10" t="s">
        <v>19</v>
      </c>
      <c r="B34" s="10" t="s">
        <v>60</v>
      </c>
      <c r="C34" s="10" t="s">
        <v>159</v>
      </c>
      <c r="D34" s="10" t="s">
        <v>160</v>
      </c>
      <c r="E34" s="10" t="s">
        <v>206</v>
      </c>
      <c r="F34" s="10" t="s">
        <v>211</v>
      </c>
      <c r="G34" s="10" t="s">
        <v>79</v>
      </c>
      <c r="H34" s="10" t="s">
        <v>208</v>
      </c>
      <c r="I34" s="10" t="s">
        <v>209</v>
      </c>
      <c r="J34" s="10" t="s">
        <v>212</v>
      </c>
      <c r="K34" s="10" t="s">
        <v>84</v>
      </c>
      <c r="L34" s="10" t="s">
        <v>158</v>
      </c>
      <c r="M34" s="12">
        <v>4.88</v>
      </c>
      <c r="N34" s="10" t="s">
        <v>70</v>
      </c>
      <c r="O34" s="10" t="s">
        <v>213</v>
      </c>
      <c r="P34" s="10" t="s">
        <v>72</v>
      </c>
      <c r="Q34" s="12">
        <v>2.93</v>
      </c>
      <c r="R34" s="10" t="s">
        <v>73</v>
      </c>
      <c r="S34" s="10" t="s">
        <v>0</v>
      </c>
      <c r="T34" s="10" t="s">
        <v>0</v>
      </c>
      <c r="U34" s="10" t="s">
        <v>214</v>
      </c>
    </row>
    <row r="35" spans="1:21" x14ac:dyDescent="0.25">
      <c r="A35" s="9" t="s">
        <v>19</v>
      </c>
      <c r="B35" s="9" t="s">
        <v>60</v>
      </c>
      <c r="C35" s="9" t="s">
        <v>159</v>
      </c>
      <c r="D35" s="9" t="s">
        <v>160</v>
      </c>
      <c r="E35" s="9" t="s">
        <v>206</v>
      </c>
      <c r="F35" s="9" t="s">
        <v>211</v>
      </c>
      <c r="G35" s="9" t="s">
        <v>79</v>
      </c>
      <c r="H35" s="9" t="s">
        <v>208</v>
      </c>
      <c r="I35" s="9" t="s">
        <v>209</v>
      </c>
      <c r="J35" s="9" t="s">
        <v>212</v>
      </c>
      <c r="K35" s="9" t="s">
        <v>84</v>
      </c>
      <c r="L35" s="9" t="s">
        <v>158</v>
      </c>
      <c r="M35" s="11">
        <v>1.63</v>
      </c>
      <c r="N35" s="9" t="s">
        <v>70</v>
      </c>
      <c r="O35" s="9" t="s">
        <v>213</v>
      </c>
      <c r="P35" s="9" t="s">
        <v>72</v>
      </c>
      <c r="Q35" s="11">
        <v>0.98</v>
      </c>
      <c r="R35" s="9" t="s">
        <v>73</v>
      </c>
      <c r="S35" s="9" t="s">
        <v>0</v>
      </c>
      <c r="T35" s="9" t="s">
        <v>0</v>
      </c>
      <c r="U35" s="9" t="s">
        <v>214</v>
      </c>
    </row>
    <row r="36" spans="1:21" x14ac:dyDescent="0.25">
      <c r="A36" s="10" t="s">
        <v>19</v>
      </c>
      <c r="B36" s="10" t="s">
        <v>60</v>
      </c>
      <c r="C36" s="10" t="s">
        <v>215</v>
      </c>
      <c r="D36" s="10" t="s">
        <v>216</v>
      </c>
      <c r="E36" s="10" t="s">
        <v>217</v>
      </c>
      <c r="F36" s="10" t="s">
        <v>218</v>
      </c>
      <c r="G36" s="10" t="s">
        <v>79</v>
      </c>
      <c r="H36" s="10" t="s">
        <v>219</v>
      </c>
      <c r="I36" s="10" t="s">
        <v>220</v>
      </c>
      <c r="J36" s="10" t="s">
        <v>212</v>
      </c>
      <c r="K36" s="10" t="s">
        <v>164</v>
      </c>
      <c r="L36" s="10" t="s">
        <v>158</v>
      </c>
      <c r="M36" s="12">
        <v>47.4</v>
      </c>
      <c r="N36" s="10" t="s">
        <v>70</v>
      </c>
      <c r="O36" s="10" t="s">
        <v>213</v>
      </c>
      <c r="P36" s="10" t="s">
        <v>72</v>
      </c>
      <c r="Q36" s="12">
        <v>28.44</v>
      </c>
      <c r="R36" s="10" t="s">
        <v>73</v>
      </c>
      <c r="S36" s="10" t="s">
        <v>0</v>
      </c>
      <c r="T36" s="10" t="s">
        <v>0</v>
      </c>
      <c r="U36" s="10" t="s">
        <v>214</v>
      </c>
    </row>
    <row r="37" spans="1:21" x14ac:dyDescent="0.25">
      <c r="A37" s="9" t="s">
        <v>19</v>
      </c>
      <c r="B37" s="9" t="s">
        <v>60</v>
      </c>
      <c r="C37" s="9" t="s">
        <v>215</v>
      </c>
      <c r="D37" s="9" t="s">
        <v>216</v>
      </c>
      <c r="E37" s="9" t="s">
        <v>217</v>
      </c>
      <c r="F37" s="9" t="s">
        <v>218</v>
      </c>
      <c r="G37" s="9" t="s">
        <v>79</v>
      </c>
      <c r="H37" s="9" t="s">
        <v>219</v>
      </c>
      <c r="I37" s="9" t="s">
        <v>220</v>
      </c>
      <c r="J37" s="9" t="s">
        <v>212</v>
      </c>
      <c r="K37" s="9" t="s">
        <v>164</v>
      </c>
      <c r="L37" s="9" t="s">
        <v>158</v>
      </c>
      <c r="M37" s="11">
        <v>10.31</v>
      </c>
      <c r="N37" s="9" t="s">
        <v>70</v>
      </c>
      <c r="O37" s="9" t="s">
        <v>213</v>
      </c>
      <c r="P37" s="9" t="s">
        <v>72</v>
      </c>
      <c r="Q37" s="11">
        <v>6.19</v>
      </c>
      <c r="R37" s="9" t="s">
        <v>73</v>
      </c>
      <c r="S37" s="9" t="s">
        <v>0</v>
      </c>
      <c r="T37" s="9" t="s">
        <v>0</v>
      </c>
      <c r="U37" s="9" t="s">
        <v>214</v>
      </c>
    </row>
    <row r="38" spans="1:21" x14ac:dyDescent="0.25">
      <c r="A38" s="10" t="s">
        <v>19</v>
      </c>
      <c r="B38" s="10" t="s">
        <v>60</v>
      </c>
      <c r="C38" s="10" t="s">
        <v>215</v>
      </c>
      <c r="D38" s="10" t="s">
        <v>216</v>
      </c>
      <c r="E38" s="10" t="s">
        <v>221</v>
      </c>
      <c r="F38" s="10" t="s">
        <v>222</v>
      </c>
      <c r="G38" s="10" t="s">
        <v>79</v>
      </c>
      <c r="H38" s="10" t="s">
        <v>219</v>
      </c>
      <c r="I38" s="10" t="s">
        <v>220</v>
      </c>
      <c r="J38" s="10" t="s">
        <v>212</v>
      </c>
      <c r="K38" s="10" t="s">
        <v>164</v>
      </c>
      <c r="L38" s="10" t="s">
        <v>158</v>
      </c>
      <c r="M38" s="12">
        <v>47.4</v>
      </c>
      <c r="N38" s="10" t="s">
        <v>70</v>
      </c>
      <c r="O38" s="10" t="s">
        <v>213</v>
      </c>
      <c r="P38" s="10" t="s">
        <v>72</v>
      </c>
      <c r="Q38" s="12">
        <v>28.44</v>
      </c>
      <c r="R38" s="10" t="s">
        <v>73</v>
      </c>
      <c r="S38" s="10" t="s">
        <v>0</v>
      </c>
      <c r="T38" s="10" t="s">
        <v>0</v>
      </c>
      <c r="U38" s="10" t="s">
        <v>214</v>
      </c>
    </row>
    <row r="39" spans="1:21" x14ac:dyDescent="0.25">
      <c r="A39" s="9" t="s">
        <v>19</v>
      </c>
      <c r="B39" s="9" t="s">
        <v>60</v>
      </c>
      <c r="C39" s="9" t="s">
        <v>215</v>
      </c>
      <c r="D39" s="9" t="s">
        <v>216</v>
      </c>
      <c r="E39" s="9" t="s">
        <v>221</v>
      </c>
      <c r="F39" s="9" t="s">
        <v>222</v>
      </c>
      <c r="G39" s="9" t="s">
        <v>79</v>
      </c>
      <c r="H39" s="9" t="s">
        <v>219</v>
      </c>
      <c r="I39" s="9" t="s">
        <v>220</v>
      </c>
      <c r="J39" s="9" t="s">
        <v>212</v>
      </c>
      <c r="K39" s="9" t="s">
        <v>164</v>
      </c>
      <c r="L39" s="9" t="s">
        <v>158</v>
      </c>
      <c r="M39" s="11">
        <v>10.31</v>
      </c>
      <c r="N39" s="9" t="s">
        <v>70</v>
      </c>
      <c r="O39" s="9" t="s">
        <v>213</v>
      </c>
      <c r="P39" s="9" t="s">
        <v>72</v>
      </c>
      <c r="Q39" s="11">
        <v>6.19</v>
      </c>
      <c r="R39" s="9" t="s">
        <v>73</v>
      </c>
      <c r="S39" s="9" t="s">
        <v>0</v>
      </c>
      <c r="T39" s="9" t="s">
        <v>0</v>
      </c>
      <c r="U39" s="9" t="s">
        <v>214</v>
      </c>
    </row>
    <row r="40" spans="1:21" x14ac:dyDescent="0.25">
      <c r="A40" s="10" t="s">
        <v>19</v>
      </c>
      <c r="B40" s="10" t="s">
        <v>60</v>
      </c>
      <c r="C40" s="10" t="s">
        <v>223</v>
      </c>
      <c r="D40" s="10" t="s">
        <v>224</v>
      </c>
      <c r="E40" s="10" t="s">
        <v>225</v>
      </c>
      <c r="F40" s="10" t="s">
        <v>226</v>
      </c>
      <c r="G40" s="10" t="s">
        <v>137</v>
      </c>
      <c r="H40" s="10" t="s">
        <v>125</v>
      </c>
      <c r="I40" s="10" t="s">
        <v>113</v>
      </c>
      <c r="J40" s="10" t="s">
        <v>143</v>
      </c>
      <c r="K40" s="10" t="s">
        <v>158</v>
      </c>
      <c r="L40" s="10" t="s">
        <v>158</v>
      </c>
      <c r="M40" s="12">
        <v>22</v>
      </c>
      <c r="N40" s="10" t="s">
        <v>70</v>
      </c>
      <c r="O40" s="10" t="s">
        <v>144</v>
      </c>
      <c r="P40" s="10" t="s">
        <v>72</v>
      </c>
      <c r="Q40" s="12">
        <v>14.3</v>
      </c>
      <c r="R40" s="10" t="s">
        <v>73</v>
      </c>
      <c r="S40" s="10" t="s">
        <v>0</v>
      </c>
      <c r="T40" s="10" t="s">
        <v>0</v>
      </c>
      <c r="U40" s="10" t="s">
        <v>145</v>
      </c>
    </row>
    <row r="41" spans="1:21" x14ac:dyDescent="0.25">
      <c r="A41" s="9" t="s">
        <v>19</v>
      </c>
      <c r="B41" s="9" t="s">
        <v>60</v>
      </c>
      <c r="C41" s="9" t="s">
        <v>223</v>
      </c>
      <c r="D41" s="9" t="s">
        <v>224</v>
      </c>
      <c r="E41" s="9" t="s">
        <v>225</v>
      </c>
      <c r="F41" s="9" t="s">
        <v>226</v>
      </c>
      <c r="G41" s="9" t="s">
        <v>137</v>
      </c>
      <c r="H41" s="9" t="s">
        <v>125</v>
      </c>
      <c r="I41" s="9" t="s">
        <v>113</v>
      </c>
      <c r="J41" s="9" t="s">
        <v>143</v>
      </c>
      <c r="K41" s="9" t="s">
        <v>158</v>
      </c>
      <c r="L41" s="9" t="s">
        <v>158</v>
      </c>
      <c r="M41" s="11">
        <v>10.25</v>
      </c>
      <c r="N41" s="9" t="s">
        <v>70</v>
      </c>
      <c r="O41" s="9" t="s">
        <v>144</v>
      </c>
      <c r="P41" s="9" t="s">
        <v>72</v>
      </c>
      <c r="Q41" s="11">
        <v>6.66</v>
      </c>
      <c r="R41" s="9" t="s">
        <v>73</v>
      </c>
      <c r="S41" s="9" t="s">
        <v>0</v>
      </c>
      <c r="T41" s="9" t="s">
        <v>0</v>
      </c>
      <c r="U41" s="9" t="s">
        <v>145</v>
      </c>
    </row>
    <row r="42" spans="1:21" x14ac:dyDescent="0.25">
      <c r="A42" s="10" t="s">
        <v>19</v>
      </c>
      <c r="B42" s="10" t="s">
        <v>60</v>
      </c>
      <c r="C42" s="10" t="s">
        <v>159</v>
      </c>
      <c r="D42" s="10" t="s">
        <v>160</v>
      </c>
      <c r="E42" s="10" t="s">
        <v>227</v>
      </c>
      <c r="F42" s="10" t="s">
        <v>228</v>
      </c>
      <c r="G42" s="10" t="s">
        <v>137</v>
      </c>
      <c r="H42" s="10" t="s">
        <v>229</v>
      </c>
      <c r="I42" s="10" t="s">
        <v>113</v>
      </c>
      <c r="J42" s="10" t="s">
        <v>212</v>
      </c>
      <c r="K42" s="10" t="s">
        <v>230</v>
      </c>
      <c r="L42" s="10" t="s">
        <v>230</v>
      </c>
      <c r="M42" s="12">
        <v>65.2</v>
      </c>
      <c r="N42" s="10" t="s">
        <v>70</v>
      </c>
      <c r="O42" s="10" t="s">
        <v>144</v>
      </c>
      <c r="P42" s="10" t="s">
        <v>72</v>
      </c>
      <c r="Q42" s="12">
        <v>42.38</v>
      </c>
      <c r="R42" s="10" t="s">
        <v>73</v>
      </c>
      <c r="S42" s="10" t="s">
        <v>0</v>
      </c>
      <c r="T42" s="10" t="s">
        <v>0</v>
      </c>
      <c r="U42" s="10" t="s">
        <v>214</v>
      </c>
    </row>
    <row r="43" spans="1:21" x14ac:dyDescent="0.25">
      <c r="A43" s="9" t="s">
        <v>19</v>
      </c>
      <c r="B43" s="9" t="s">
        <v>60</v>
      </c>
      <c r="C43" s="9" t="s">
        <v>159</v>
      </c>
      <c r="D43" s="9" t="s">
        <v>160</v>
      </c>
      <c r="E43" s="9" t="s">
        <v>227</v>
      </c>
      <c r="F43" s="9" t="s">
        <v>228</v>
      </c>
      <c r="G43" s="9" t="s">
        <v>137</v>
      </c>
      <c r="H43" s="9" t="s">
        <v>229</v>
      </c>
      <c r="I43" s="9" t="s">
        <v>113</v>
      </c>
      <c r="J43" s="9" t="s">
        <v>212</v>
      </c>
      <c r="K43" s="9" t="s">
        <v>230</v>
      </c>
      <c r="L43" s="9" t="s">
        <v>230</v>
      </c>
      <c r="M43" s="11">
        <v>1.83</v>
      </c>
      <c r="N43" s="9" t="s">
        <v>70</v>
      </c>
      <c r="O43" s="9" t="s">
        <v>144</v>
      </c>
      <c r="P43" s="9" t="s">
        <v>72</v>
      </c>
      <c r="Q43" s="11">
        <v>1.19</v>
      </c>
      <c r="R43" s="9" t="s">
        <v>73</v>
      </c>
      <c r="S43" s="9" t="s">
        <v>0</v>
      </c>
      <c r="T43" s="9" t="s">
        <v>0</v>
      </c>
      <c r="U43" s="9" t="s">
        <v>214</v>
      </c>
    </row>
    <row r="44" spans="1:21" x14ac:dyDescent="0.25">
      <c r="A44" s="10" t="s">
        <v>19</v>
      </c>
      <c r="B44" s="10" t="s">
        <v>60</v>
      </c>
      <c r="C44" s="10" t="s">
        <v>223</v>
      </c>
      <c r="D44" s="10" t="s">
        <v>224</v>
      </c>
      <c r="E44" s="10" t="s">
        <v>225</v>
      </c>
      <c r="F44" s="10" t="s">
        <v>226</v>
      </c>
      <c r="G44" s="10" t="s">
        <v>137</v>
      </c>
      <c r="H44" s="10" t="s">
        <v>125</v>
      </c>
      <c r="I44" s="10" t="s">
        <v>113</v>
      </c>
      <c r="J44" s="10" t="s">
        <v>143</v>
      </c>
      <c r="K44" s="10" t="s">
        <v>158</v>
      </c>
      <c r="L44" s="10" t="s">
        <v>158</v>
      </c>
      <c r="M44" s="12">
        <v>15.83</v>
      </c>
      <c r="N44" s="10" t="s">
        <v>70</v>
      </c>
      <c r="O44" s="10" t="s">
        <v>144</v>
      </c>
      <c r="P44" s="10" t="s">
        <v>72</v>
      </c>
      <c r="Q44" s="12">
        <v>10.29</v>
      </c>
      <c r="R44" s="10" t="s">
        <v>73</v>
      </c>
      <c r="S44" s="10" t="s">
        <v>0</v>
      </c>
      <c r="T44" s="10" t="s">
        <v>0</v>
      </c>
      <c r="U44" s="10" t="s">
        <v>145</v>
      </c>
    </row>
    <row r="45" spans="1:21" x14ac:dyDescent="0.25">
      <c r="A45" s="9" t="s">
        <v>19</v>
      </c>
      <c r="B45" s="9" t="s">
        <v>60</v>
      </c>
      <c r="C45" s="9" t="s">
        <v>223</v>
      </c>
      <c r="D45" s="9" t="s">
        <v>224</v>
      </c>
      <c r="E45" s="9" t="s">
        <v>225</v>
      </c>
      <c r="F45" s="9" t="s">
        <v>226</v>
      </c>
      <c r="G45" s="9" t="s">
        <v>137</v>
      </c>
      <c r="H45" s="9" t="s">
        <v>125</v>
      </c>
      <c r="I45" s="9" t="s">
        <v>113</v>
      </c>
      <c r="J45" s="9" t="s">
        <v>143</v>
      </c>
      <c r="K45" s="9" t="s">
        <v>158</v>
      </c>
      <c r="L45" s="9" t="s">
        <v>158</v>
      </c>
      <c r="M45" s="11">
        <v>3.3</v>
      </c>
      <c r="N45" s="9" t="s">
        <v>70</v>
      </c>
      <c r="O45" s="9" t="s">
        <v>144</v>
      </c>
      <c r="P45" s="9" t="s">
        <v>72</v>
      </c>
      <c r="Q45" s="11">
        <v>2.15</v>
      </c>
      <c r="R45" s="9" t="s">
        <v>73</v>
      </c>
      <c r="S45" s="9" t="s">
        <v>0</v>
      </c>
      <c r="T45" s="9" t="s">
        <v>0</v>
      </c>
      <c r="U45" s="9" t="s">
        <v>145</v>
      </c>
    </row>
    <row r="46" spans="1:21" x14ac:dyDescent="0.25">
      <c r="A46" s="10" t="s">
        <v>19</v>
      </c>
      <c r="B46" s="10" t="s">
        <v>60</v>
      </c>
      <c r="C46" s="10" t="s">
        <v>231</v>
      </c>
      <c r="D46" s="10" t="s">
        <v>232</v>
      </c>
      <c r="E46" s="10" t="s">
        <v>233</v>
      </c>
      <c r="F46" s="10" t="s">
        <v>234</v>
      </c>
      <c r="G46" s="10" t="s">
        <v>79</v>
      </c>
      <c r="H46" s="10" t="s">
        <v>235</v>
      </c>
      <c r="I46" s="10" t="s">
        <v>81</v>
      </c>
      <c r="J46" s="10" t="s">
        <v>143</v>
      </c>
      <c r="K46" s="10" t="s">
        <v>236</v>
      </c>
      <c r="L46" s="10" t="s">
        <v>158</v>
      </c>
      <c r="M46" s="12">
        <v>9.24</v>
      </c>
      <c r="N46" s="10" t="s">
        <v>70</v>
      </c>
      <c r="O46" s="10" t="s">
        <v>144</v>
      </c>
      <c r="P46" s="10" t="s">
        <v>72</v>
      </c>
      <c r="Q46" s="12">
        <v>6.01</v>
      </c>
      <c r="R46" s="10" t="s">
        <v>73</v>
      </c>
      <c r="S46" s="10" t="s">
        <v>0</v>
      </c>
      <c r="T46" s="10" t="s">
        <v>0</v>
      </c>
      <c r="U46" s="10" t="s">
        <v>145</v>
      </c>
    </row>
    <row r="47" spans="1:21" x14ac:dyDescent="0.25">
      <c r="A47" s="9" t="s">
        <v>19</v>
      </c>
      <c r="B47" s="9" t="s">
        <v>60</v>
      </c>
      <c r="C47" s="9" t="s">
        <v>231</v>
      </c>
      <c r="D47" s="9" t="s">
        <v>232</v>
      </c>
      <c r="E47" s="9" t="s">
        <v>233</v>
      </c>
      <c r="F47" s="9" t="s">
        <v>234</v>
      </c>
      <c r="G47" s="9" t="s">
        <v>79</v>
      </c>
      <c r="H47" s="9" t="s">
        <v>235</v>
      </c>
      <c r="I47" s="9" t="s">
        <v>81</v>
      </c>
      <c r="J47" s="9" t="s">
        <v>143</v>
      </c>
      <c r="K47" s="9" t="s">
        <v>236</v>
      </c>
      <c r="L47" s="9" t="s">
        <v>158</v>
      </c>
      <c r="M47" s="11">
        <v>22.34</v>
      </c>
      <c r="N47" s="9" t="s">
        <v>70</v>
      </c>
      <c r="O47" s="9" t="s">
        <v>144</v>
      </c>
      <c r="P47" s="9" t="s">
        <v>72</v>
      </c>
      <c r="Q47" s="11">
        <v>14.52</v>
      </c>
      <c r="R47" s="9" t="s">
        <v>73</v>
      </c>
      <c r="S47" s="9" t="s">
        <v>0</v>
      </c>
      <c r="T47" s="9" t="s">
        <v>0</v>
      </c>
      <c r="U47" s="9" t="s">
        <v>145</v>
      </c>
    </row>
    <row r="48" spans="1:21" x14ac:dyDescent="0.25">
      <c r="A48" s="10" t="s">
        <v>19</v>
      </c>
      <c r="B48" s="10" t="s">
        <v>60</v>
      </c>
      <c r="C48" s="10" t="s">
        <v>231</v>
      </c>
      <c r="D48" s="10" t="s">
        <v>232</v>
      </c>
      <c r="E48" s="10" t="s">
        <v>233</v>
      </c>
      <c r="F48" s="10" t="s">
        <v>234</v>
      </c>
      <c r="G48" s="10" t="s">
        <v>79</v>
      </c>
      <c r="H48" s="10" t="s">
        <v>235</v>
      </c>
      <c r="I48" s="10" t="s">
        <v>81</v>
      </c>
      <c r="J48" s="10" t="s">
        <v>143</v>
      </c>
      <c r="K48" s="10" t="s">
        <v>236</v>
      </c>
      <c r="L48" s="10" t="s">
        <v>158</v>
      </c>
      <c r="M48" s="12">
        <v>21.52</v>
      </c>
      <c r="N48" s="10" t="s">
        <v>70</v>
      </c>
      <c r="O48" s="10" t="s">
        <v>144</v>
      </c>
      <c r="P48" s="10" t="s">
        <v>72</v>
      </c>
      <c r="Q48" s="12">
        <v>13.99</v>
      </c>
      <c r="R48" s="10" t="s">
        <v>73</v>
      </c>
      <c r="S48" s="10" t="s">
        <v>0</v>
      </c>
      <c r="T48" s="10" t="s">
        <v>0</v>
      </c>
      <c r="U48" s="10" t="s">
        <v>145</v>
      </c>
    </row>
    <row r="49" spans="1:21" x14ac:dyDescent="0.25">
      <c r="A49" s="9" t="s">
        <v>19</v>
      </c>
      <c r="B49" s="9" t="s">
        <v>60</v>
      </c>
      <c r="C49" s="9" t="s">
        <v>231</v>
      </c>
      <c r="D49" s="9" t="s">
        <v>232</v>
      </c>
      <c r="E49" s="9" t="s">
        <v>233</v>
      </c>
      <c r="F49" s="9" t="s">
        <v>234</v>
      </c>
      <c r="G49" s="9" t="s">
        <v>79</v>
      </c>
      <c r="H49" s="9" t="s">
        <v>235</v>
      </c>
      <c r="I49" s="9" t="s">
        <v>81</v>
      </c>
      <c r="J49" s="9" t="s">
        <v>143</v>
      </c>
      <c r="K49" s="9" t="s">
        <v>236</v>
      </c>
      <c r="L49" s="9" t="s">
        <v>158</v>
      </c>
      <c r="M49" s="11">
        <v>11.87</v>
      </c>
      <c r="N49" s="9" t="s">
        <v>70</v>
      </c>
      <c r="O49" s="9" t="s">
        <v>144</v>
      </c>
      <c r="P49" s="9" t="s">
        <v>72</v>
      </c>
      <c r="Q49" s="11">
        <v>7.72</v>
      </c>
      <c r="R49" s="9" t="s">
        <v>73</v>
      </c>
      <c r="S49" s="9" t="s">
        <v>0</v>
      </c>
      <c r="T49" s="9" t="s">
        <v>0</v>
      </c>
      <c r="U49" s="9" t="s">
        <v>145</v>
      </c>
    </row>
    <row r="50" spans="1:21" x14ac:dyDescent="0.25">
      <c r="A50" s="10" t="s">
        <v>19</v>
      </c>
      <c r="B50" s="10" t="s">
        <v>60</v>
      </c>
      <c r="C50" s="10" t="s">
        <v>166</v>
      </c>
      <c r="D50" s="10" t="s">
        <v>167</v>
      </c>
      <c r="E50" s="10" t="s">
        <v>237</v>
      </c>
      <c r="F50" s="10" t="s">
        <v>238</v>
      </c>
      <c r="G50" s="10" t="s">
        <v>79</v>
      </c>
      <c r="H50" s="10" t="s">
        <v>229</v>
      </c>
      <c r="I50" s="10" t="s">
        <v>67</v>
      </c>
      <c r="J50" s="10" t="s">
        <v>105</v>
      </c>
      <c r="K50" s="10" t="s">
        <v>164</v>
      </c>
      <c r="L50" s="10" t="s">
        <v>158</v>
      </c>
      <c r="M50" s="12">
        <v>60.83</v>
      </c>
      <c r="N50" s="10" t="s">
        <v>70</v>
      </c>
      <c r="O50" s="10" t="s">
        <v>126</v>
      </c>
      <c r="P50" s="10" t="s">
        <v>72</v>
      </c>
      <c r="Q50" s="12">
        <v>57.79</v>
      </c>
      <c r="R50" s="10" t="s">
        <v>73</v>
      </c>
      <c r="S50" s="10" t="s">
        <v>0</v>
      </c>
      <c r="T50" s="10" t="s">
        <v>0</v>
      </c>
      <c r="U50" s="10" t="s">
        <v>106</v>
      </c>
    </row>
    <row r="51" spans="1:21" x14ac:dyDescent="0.25">
      <c r="A51" s="9" t="s">
        <v>19</v>
      </c>
      <c r="B51" s="9" t="s">
        <v>60</v>
      </c>
      <c r="C51" s="9" t="s">
        <v>159</v>
      </c>
      <c r="D51" s="9" t="s">
        <v>160</v>
      </c>
      <c r="E51" s="9" t="s">
        <v>239</v>
      </c>
      <c r="F51" s="9" t="s">
        <v>240</v>
      </c>
      <c r="G51" s="9" t="s">
        <v>79</v>
      </c>
      <c r="H51" s="9" t="s">
        <v>229</v>
      </c>
      <c r="I51" s="9" t="s">
        <v>113</v>
      </c>
      <c r="J51" s="9" t="s">
        <v>105</v>
      </c>
      <c r="K51" s="9" t="s">
        <v>164</v>
      </c>
      <c r="L51" s="9" t="s">
        <v>158</v>
      </c>
      <c r="M51" s="11">
        <v>45.62</v>
      </c>
      <c r="N51" s="9" t="s">
        <v>70</v>
      </c>
      <c r="O51" s="9" t="s">
        <v>100</v>
      </c>
      <c r="P51" s="9" t="s">
        <v>72</v>
      </c>
      <c r="Q51" s="11">
        <v>47.9</v>
      </c>
      <c r="R51" s="9" t="s">
        <v>73</v>
      </c>
      <c r="S51" s="9" t="s">
        <v>0</v>
      </c>
      <c r="T51" s="9" t="s">
        <v>0</v>
      </c>
      <c r="U51" s="9" t="s">
        <v>106</v>
      </c>
    </row>
    <row r="52" spans="1:21" x14ac:dyDescent="0.25">
      <c r="A52" s="10" t="s">
        <v>19</v>
      </c>
      <c r="B52" s="10" t="s">
        <v>60</v>
      </c>
      <c r="C52" s="10" t="s">
        <v>159</v>
      </c>
      <c r="D52" s="10" t="s">
        <v>160</v>
      </c>
      <c r="E52" s="10" t="s">
        <v>239</v>
      </c>
      <c r="F52" s="10" t="s">
        <v>241</v>
      </c>
      <c r="G52" s="10" t="s">
        <v>79</v>
      </c>
      <c r="H52" s="10" t="s">
        <v>229</v>
      </c>
      <c r="I52" s="10" t="s">
        <v>113</v>
      </c>
      <c r="J52" s="10" t="s">
        <v>82</v>
      </c>
      <c r="K52" s="10" t="s">
        <v>164</v>
      </c>
      <c r="L52" s="10" t="s">
        <v>158</v>
      </c>
      <c r="M52" s="12">
        <v>53.12</v>
      </c>
      <c r="N52" s="10" t="s">
        <v>70</v>
      </c>
      <c r="O52" s="10" t="s">
        <v>100</v>
      </c>
      <c r="P52" s="10" t="s">
        <v>72</v>
      </c>
      <c r="Q52" s="12">
        <v>55.78</v>
      </c>
      <c r="R52" s="10" t="s">
        <v>73</v>
      </c>
      <c r="S52" s="10" t="s">
        <v>0</v>
      </c>
      <c r="T52" s="10" t="s">
        <v>0</v>
      </c>
      <c r="U52" s="10" t="s">
        <v>86</v>
      </c>
    </row>
    <row r="53" spans="1:21" x14ac:dyDescent="0.25">
      <c r="A53" s="9" t="s">
        <v>19</v>
      </c>
      <c r="B53" s="9" t="s">
        <v>60</v>
      </c>
      <c r="C53" s="9" t="s">
        <v>159</v>
      </c>
      <c r="D53" s="9" t="s">
        <v>160</v>
      </c>
      <c r="E53" s="9" t="s">
        <v>239</v>
      </c>
      <c r="F53" s="9" t="s">
        <v>242</v>
      </c>
      <c r="G53" s="9" t="s">
        <v>79</v>
      </c>
      <c r="H53" s="9" t="s">
        <v>229</v>
      </c>
      <c r="I53" s="9" t="s">
        <v>113</v>
      </c>
      <c r="J53" s="9" t="s">
        <v>212</v>
      </c>
      <c r="K53" s="9" t="s">
        <v>164</v>
      </c>
      <c r="L53" s="9" t="s">
        <v>158</v>
      </c>
      <c r="M53" s="11">
        <v>41.1</v>
      </c>
      <c r="N53" s="9" t="s">
        <v>70</v>
      </c>
      <c r="O53" s="9" t="s">
        <v>144</v>
      </c>
      <c r="P53" s="9" t="s">
        <v>72</v>
      </c>
      <c r="Q53" s="11">
        <v>26.72</v>
      </c>
      <c r="R53" s="9" t="s">
        <v>73</v>
      </c>
      <c r="S53" s="9" t="s">
        <v>0</v>
      </c>
      <c r="T53" s="9" t="s">
        <v>0</v>
      </c>
      <c r="U53" s="9" t="s">
        <v>214</v>
      </c>
    </row>
    <row r="54" spans="1:21" x14ac:dyDescent="0.25">
      <c r="A54" s="10" t="s">
        <v>19</v>
      </c>
      <c r="B54" s="10" t="s">
        <v>60</v>
      </c>
      <c r="C54" s="10" t="s">
        <v>159</v>
      </c>
      <c r="D54" s="10" t="s">
        <v>160</v>
      </c>
      <c r="E54" s="10" t="s">
        <v>243</v>
      </c>
      <c r="F54" s="10" t="s">
        <v>244</v>
      </c>
      <c r="G54" s="10" t="s">
        <v>79</v>
      </c>
      <c r="H54" s="10" t="s">
        <v>219</v>
      </c>
      <c r="I54" s="10" t="s">
        <v>67</v>
      </c>
      <c r="J54" s="10" t="s">
        <v>82</v>
      </c>
      <c r="K54" s="10" t="s">
        <v>164</v>
      </c>
      <c r="L54" s="10" t="s">
        <v>158</v>
      </c>
      <c r="M54" s="12">
        <v>95.41</v>
      </c>
      <c r="N54" s="10" t="s">
        <v>70</v>
      </c>
      <c r="O54" s="10" t="s">
        <v>126</v>
      </c>
      <c r="P54" s="10" t="s">
        <v>72</v>
      </c>
      <c r="Q54" s="12">
        <v>90.64</v>
      </c>
      <c r="R54" s="10" t="s">
        <v>73</v>
      </c>
      <c r="S54" s="10" t="s">
        <v>0</v>
      </c>
      <c r="T54" s="10" t="s">
        <v>0</v>
      </c>
      <c r="U54" s="10" t="s">
        <v>86</v>
      </c>
    </row>
    <row r="55" spans="1:21" x14ac:dyDescent="0.25">
      <c r="A55" s="9" t="s">
        <v>19</v>
      </c>
      <c r="B55" s="9" t="s">
        <v>60</v>
      </c>
      <c r="C55" s="9" t="s">
        <v>159</v>
      </c>
      <c r="D55" s="9" t="s">
        <v>160</v>
      </c>
      <c r="E55" s="9" t="s">
        <v>239</v>
      </c>
      <c r="F55" s="9" t="s">
        <v>242</v>
      </c>
      <c r="G55" s="9" t="s">
        <v>79</v>
      </c>
      <c r="H55" s="9" t="s">
        <v>229</v>
      </c>
      <c r="I55" s="9" t="s">
        <v>113</v>
      </c>
      <c r="J55" s="9" t="s">
        <v>212</v>
      </c>
      <c r="K55" s="9" t="s">
        <v>164</v>
      </c>
      <c r="L55" s="9" t="s">
        <v>158</v>
      </c>
      <c r="M55" s="11">
        <v>43.33</v>
      </c>
      <c r="N55" s="9" t="s">
        <v>70</v>
      </c>
      <c r="O55" s="9" t="s">
        <v>144</v>
      </c>
      <c r="P55" s="9" t="s">
        <v>72</v>
      </c>
      <c r="Q55" s="11">
        <v>28.16</v>
      </c>
      <c r="R55" s="9" t="s">
        <v>73</v>
      </c>
      <c r="S55" s="9" t="s">
        <v>0</v>
      </c>
      <c r="T55" s="9" t="s">
        <v>0</v>
      </c>
      <c r="U55" s="9" t="s">
        <v>214</v>
      </c>
    </row>
    <row r="56" spans="1:21" x14ac:dyDescent="0.25">
      <c r="A56" s="10" t="s">
        <v>19</v>
      </c>
      <c r="B56" s="10" t="s">
        <v>60</v>
      </c>
      <c r="C56" s="10" t="s">
        <v>159</v>
      </c>
      <c r="D56" s="10" t="s">
        <v>160</v>
      </c>
      <c r="E56" s="10" t="s">
        <v>239</v>
      </c>
      <c r="F56" s="10" t="s">
        <v>242</v>
      </c>
      <c r="G56" s="10" t="s">
        <v>79</v>
      </c>
      <c r="H56" s="10" t="s">
        <v>229</v>
      </c>
      <c r="I56" s="10" t="s">
        <v>113</v>
      </c>
      <c r="J56" s="10" t="s">
        <v>212</v>
      </c>
      <c r="K56" s="10" t="s">
        <v>164</v>
      </c>
      <c r="L56" s="10" t="s">
        <v>158</v>
      </c>
      <c r="M56" s="12">
        <v>22.7</v>
      </c>
      <c r="N56" s="10" t="s">
        <v>70</v>
      </c>
      <c r="O56" s="10" t="s">
        <v>144</v>
      </c>
      <c r="P56" s="10" t="s">
        <v>72</v>
      </c>
      <c r="Q56" s="12">
        <v>14.76</v>
      </c>
      <c r="R56" s="10" t="s">
        <v>73</v>
      </c>
      <c r="S56" s="10" t="s">
        <v>0</v>
      </c>
      <c r="T56" s="10" t="s">
        <v>0</v>
      </c>
      <c r="U56" s="10" t="s">
        <v>214</v>
      </c>
    </row>
    <row r="57" spans="1:21" x14ac:dyDescent="0.25">
      <c r="A57" s="9" t="s">
        <v>19</v>
      </c>
      <c r="B57" s="9" t="s">
        <v>60</v>
      </c>
      <c r="C57" s="9" t="s">
        <v>159</v>
      </c>
      <c r="D57" s="9" t="s">
        <v>160</v>
      </c>
      <c r="E57" s="9" t="s">
        <v>239</v>
      </c>
      <c r="F57" s="9" t="s">
        <v>242</v>
      </c>
      <c r="G57" s="9" t="s">
        <v>79</v>
      </c>
      <c r="H57" s="9" t="s">
        <v>229</v>
      </c>
      <c r="I57" s="9" t="s">
        <v>113</v>
      </c>
      <c r="J57" s="9" t="s">
        <v>212</v>
      </c>
      <c r="K57" s="9" t="s">
        <v>164</v>
      </c>
      <c r="L57" s="9" t="s">
        <v>158</v>
      </c>
      <c r="M57" s="11">
        <v>1.04</v>
      </c>
      <c r="N57" s="9" t="s">
        <v>70</v>
      </c>
      <c r="O57" s="9" t="s">
        <v>144</v>
      </c>
      <c r="P57" s="9" t="s">
        <v>72</v>
      </c>
      <c r="Q57" s="11">
        <v>0.68</v>
      </c>
      <c r="R57" s="9" t="s">
        <v>73</v>
      </c>
      <c r="S57" s="9" t="s">
        <v>0</v>
      </c>
      <c r="T57" s="9" t="s">
        <v>0</v>
      </c>
      <c r="U57" s="9" t="s">
        <v>214</v>
      </c>
    </row>
    <row r="58" spans="1:21" x14ac:dyDescent="0.25">
      <c r="A58" s="10" t="s">
        <v>19</v>
      </c>
      <c r="B58" s="10" t="s">
        <v>60</v>
      </c>
      <c r="C58" s="10" t="s">
        <v>95</v>
      </c>
      <c r="D58" s="10" t="s">
        <v>96</v>
      </c>
      <c r="E58" s="10" t="s">
        <v>245</v>
      </c>
      <c r="F58" s="10" t="s">
        <v>246</v>
      </c>
      <c r="G58" s="10" t="s">
        <v>137</v>
      </c>
      <c r="H58" s="10" t="s">
        <v>247</v>
      </c>
      <c r="I58" s="10" t="s">
        <v>81</v>
      </c>
      <c r="J58" s="10" t="s">
        <v>143</v>
      </c>
      <c r="K58" s="10" t="s">
        <v>158</v>
      </c>
      <c r="L58" s="10" t="s">
        <v>158</v>
      </c>
      <c r="M58" s="12">
        <v>44.67</v>
      </c>
      <c r="N58" s="10" t="s">
        <v>70</v>
      </c>
      <c r="O58" s="10" t="s">
        <v>144</v>
      </c>
      <c r="P58" s="10" t="s">
        <v>72</v>
      </c>
      <c r="Q58" s="12">
        <v>29.04</v>
      </c>
      <c r="R58" s="10" t="s">
        <v>73</v>
      </c>
      <c r="S58" s="10" t="s">
        <v>0</v>
      </c>
      <c r="T58" s="10" t="s">
        <v>0</v>
      </c>
      <c r="U58" s="10" t="s">
        <v>145</v>
      </c>
    </row>
    <row r="59" spans="1:21" x14ac:dyDescent="0.25">
      <c r="A59" s="9" t="s">
        <v>19</v>
      </c>
      <c r="B59" s="9" t="s">
        <v>60</v>
      </c>
      <c r="C59" s="9" t="s">
        <v>95</v>
      </c>
      <c r="D59" s="9" t="s">
        <v>96</v>
      </c>
      <c r="E59" s="9" t="s">
        <v>245</v>
      </c>
      <c r="F59" s="9" t="s">
        <v>246</v>
      </c>
      <c r="G59" s="9" t="s">
        <v>137</v>
      </c>
      <c r="H59" s="9" t="s">
        <v>247</v>
      </c>
      <c r="I59" s="9" t="s">
        <v>81</v>
      </c>
      <c r="J59" s="9" t="s">
        <v>143</v>
      </c>
      <c r="K59" s="9" t="s">
        <v>158</v>
      </c>
      <c r="L59" s="9" t="s">
        <v>158</v>
      </c>
      <c r="M59" s="11">
        <v>15.83</v>
      </c>
      <c r="N59" s="9" t="s">
        <v>70</v>
      </c>
      <c r="O59" s="9" t="s">
        <v>144</v>
      </c>
      <c r="P59" s="9" t="s">
        <v>72</v>
      </c>
      <c r="Q59" s="11">
        <v>10.29</v>
      </c>
      <c r="R59" s="9" t="s">
        <v>73</v>
      </c>
      <c r="S59" s="9" t="s">
        <v>0</v>
      </c>
      <c r="T59" s="9" t="s">
        <v>0</v>
      </c>
      <c r="U59" s="9" t="s">
        <v>145</v>
      </c>
    </row>
    <row r="60" spans="1:21" x14ac:dyDescent="0.25">
      <c r="A60" s="10" t="s">
        <v>19</v>
      </c>
      <c r="B60" s="10" t="s">
        <v>127</v>
      </c>
      <c r="C60" s="10" t="s">
        <v>159</v>
      </c>
      <c r="D60" s="10" t="s">
        <v>160</v>
      </c>
      <c r="E60" s="10" t="s">
        <v>248</v>
      </c>
      <c r="F60" s="10" t="s">
        <v>249</v>
      </c>
      <c r="G60" s="10" t="s">
        <v>137</v>
      </c>
      <c r="H60" s="10" t="s">
        <v>250</v>
      </c>
      <c r="I60" s="10" t="s">
        <v>138</v>
      </c>
      <c r="J60" s="10" t="s">
        <v>251</v>
      </c>
      <c r="K60" s="10" t="s">
        <v>252</v>
      </c>
      <c r="L60" s="10" t="s">
        <v>253</v>
      </c>
      <c r="M60" s="12">
        <v>-22.92</v>
      </c>
      <c r="N60" s="10" t="s">
        <v>70</v>
      </c>
      <c r="O60" s="10" t="s">
        <v>94</v>
      </c>
      <c r="P60" s="10" t="s">
        <v>72</v>
      </c>
      <c r="Q60" s="12">
        <v>-13.29</v>
      </c>
      <c r="R60" s="10" t="s">
        <v>73</v>
      </c>
      <c r="S60" s="10" t="s">
        <v>0</v>
      </c>
      <c r="T60" s="10" t="s">
        <v>0</v>
      </c>
      <c r="U60" s="10" t="s">
        <v>254</v>
      </c>
    </row>
    <row r="61" spans="1:21" x14ac:dyDescent="0.25">
      <c r="A61" s="9" t="s">
        <v>19</v>
      </c>
      <c r="B61" s="9" t="s">
        <v>60</v>
      </c>
      <c r="C61" s="9" t="s">
        <v>159</v>
      </c>
      <c r="D61" s="9" t="s">
        <v>160</v>
      </c>
      <c r="E61" s="9" t="s">
        <v>248</v>
      </c>
      <c r="F61" s="9" t="s">
        <v>249</v>
      </c>
      <c r="G61" s="9" t="s">
        <v>137</v>
      </c>
      <c r="H61" s="9" t="s">
        <v>250</v>
      </c>
      <c r="I61" s="9" t="s">
        <v>138</v>
      </c>
      <c r="J61" s="9" t="s">
        <v>251</v>
      </c>
      <c r="K61" s="9" t="s">
        <v>252</v>
      </c>
      <c r="L61" s="9" t="s">
        <v>252</v>
      </c>
      <c r="M61" s="11">
        <v>19.48</v>
      </c>
      <c r="N61" s="9" t="s">
        <v>70</v>
      </c>
      <c r="O61" s="9" t="s">
        <v>94</v>
      </c>
      <c r="P61" s="9" t="s">
        <v>72</v>
      </c>
      <c r="Q61" s="11">
        <v>11.3</v>
      </c>
      <c r="R61" s="9" t="s">
        <v>73</v>
      </c>
      <c r="S61" s="9" t="s">
        <v>0</v>
      </c>
      <c r="T61" s="9" t="s">
        <v>0</v>
      </c>
      <c r="U61" s="9" t="s">
        <v>254</v>
      </c>
    </row>
    <row r="62" spans="1:21" x14ac:dyDescent="0.25">
      <c r="A62" s="10" t="s">
        <v>19</v>
      </c>
      <c r="B62" s="10" t="s">
        <v>60</v>
      </c>
      <c r="C62" s="10" t="s">
        <v>255</v>
      </c>
      <c r="D62" s="10" t="s">
        <v>256</v>
      </c>
      <c r="E62" s="10" t="s">
        <v>257</v>
      </c>
      <c r="F62" s="10" t="s">
        <v>258</v>
      </c>
      <c r="G62" s="10" t="s">
        <v>79</v>
      </c>
      <c r="H62" s="10" t="s">
        <v>259</v>
      </c>
      <c r="I62" s="10" t="s">
        <v>260</v>
      </c>
      <c r="J62" s="10" t="s">
        <v>82</v>
      </c>
      <c r="K62" s="10" t="s">
        <v>261</v>
      </c>
      <c r="L62" s="10" t="s">
        <v>262</v>
      </c>
      <c r="M62" s="12">
        <v>96</v>
      </c>
      <c r="N62" s="10" t="s">
        <v>70</v>
      </c>
      <c r="O62" s="10" t="s">
        <v>85</v>
      </c>
      <c r="P62" s="10" t="s">
        <v>72</v>
      </c>
      <c r="Q62" s="12">
        <v>96</v>
      </c>
      <c r="R62" s="10" t="s">
        <v>73</v>
      </c>
      <c r="S62" s="10" t="s">
        <v>0</v>
      </c>
      <c r="T62" s="10" t="s">
        <v>0</v>
      </c>
      <c r="U62" s="10" t="s">
        <v>86</v>
      </c>
    </row>
    <row r="63" spans="1:21" x14ac:dyDescent="0.25">
      <c r="A63" s="9" t="s">
        <v>19</v>
      </c>
      <c r="B63" s="9" t="s">
        <v>60</v>
      </c>
      <c r="C63" s="9" t="s">
        <v>255</v>
      </c>
      <c r="D63" s="9" t="s">
        <v>256</v>
      </c>
      <c r="E63" s="9" t="s">
        <v>257</v>
      </c>
      <c r="F63" s="9" t="s">
        <v>263</v>
      </c>
      <c r="G63" s="9" t="s">
        <v>79</v>
      </c>
      <c r="H63" s="9" t="s">
        <v>259</v>
      </c>
      <c r="I63" s="9" t="s">
        <v>260</v>
      </c>
      <c r="J63" s="9" t="s">
        <v>105</v>
      </c>
      <c r="K63" s="9" t="s">
        <v>261</v>
      </c>
      <c r="L63" s="9" t="s">
        <v>262</v>
      </c>
      <c r="M63" s="11">
        <v>92.7</v>
      </c>
      <c r="N63" s="9" t="s">
        <v>70</v>
      </c>
      <c r="O63" s="9" t="s">
        <v>85</v>
      </c>
      <c r="P63" s="9" t="s">
        <v>72</v>
      </c>
      <c r="Q63" s="11">
        <v>92.7</v>
      </c>
      <c r="R63" s="9" t="s">
        <v>73</v>
      </c>
      <c r="S63" s="9" t="s">
        <v>0</v>
      </c>
      <c r="T63" s="9" t="s">
        <v>0</v>
      </c>
      <c r="U63" s="9" t="s">
        <v>106</v>
      </c>
    </row>
    <row r="64" spans="1:21" x14ac:dyDescent="0.25">
      <c r="A64" s="10" t="s">
        <v>19</v>
      </c>
      <c r="B64" s="10" t="s">
        <v>60</v>
      </c>
      <c r="C64" s="10" t="s">
        <v>264</v>
      </c>
      <c r="D64" s="10" t="s">
        <v>265</v>
      </c>
      <c r="E64" s="10" t="s">
        <v>266</v>
      </c>
      <c r="F64" s="10" t="s">
        <v>267</v>
      </c>
      <c r="G64" s="10" t="s">
        <v>65</v>
      </c>
      <c r="H64" s="10" t="s">
        <v>268</v>
      </c>
      <c r="I64" s="10" t="s">
        <v>67</v>
      </c>
      <c r="J64" s="10" t="s">
        <v>68</v>
      </c>
      <c r="K64" s="10" t="s">
        <v>269</v>
      </c>
      <c r="L64" s="10" t="s">
        <v>158</v>
      </c>
      <c r="M64" s="12">
        <v>55.26</v>
      </c>
      <c r="N64" s="10" t="s">
        <v>70</v>
      </c>
      <c r="O64" s="10" t="s">
        <v>270</v>
      </c>
      <c r="P64" s="10" t="s">
        <v>72</v>
      </c>
      <c r="Q64" s="12">
        <v>1.93</v>
      </c>
      <c r="R64" s="10" t="s">
        <v>73</v>
      </c>
      <c r="S64" s="10" t="s">
        <v>0</v>
      </c>
      <c r="T64" s="10" t="s">
        <v>0</v>
      </c>
      <c r="U64" s="10" t="s">
        <v>74</v>
      </c>
    </row>
    <row r="65" spans="1:21" x14ac:dyDescent="0.25">
      <c r="A65" s="9" t="s">
        <v>19</v>
      </c>
      <c r="B65" s="9" t="s">
        <v>60</v>
      </c>
      <c r="C65" s="9" t="s">
        <v>166</v>
      </c>
      <c r="D65" s="9" t="s">
        <v>167</v>
      </c>
      <c r="E65" s="9" t="s">
        <v>168</v>
      </c>
      <c r="F65" s="9" t="s">
        <v>271</v>
      </c>
      <c r="G65" s="9" t="s">
        <v>79</v>
      </c>
      <c r="H65" s="9" t="s">
        <v>170</v>
      </c>
      <c r="I65" s="9" t="s">
        <v>67</v>
      </c>
      <c r="J65" s="9" t="s">
        <v>212</v>
      </c>
      <c r="K65" s="9" t="s">
        <v>171</v>
      </c>
      <c r="L65" s="9" t="s">
        <v>175</v>
      </c>
      <c r="M65" s="11">
        <v>21.3</v>
      </c>
      <c r="N65" s="9" t="s">
        <v>70</v>
      </c>
      <c r="O65" s="9" t="s">
        <v>94</v>
      </c>
      <c r="P65" s="9" t="s">
        <v>72</v>
      </c>
      <c r="Q65" s="11">
        <v>12.35</v>
      </c>
      <c r="R65" s="9" t="s">
        <v>73</v>
      </c>
      <c r="S65" s="9" t="s">
        <v>0</v>
      </c>
      <c r="T65" s="9" t="s">
        <v>0</v>
      </c>
      <c r="U65" s="9" t="s">
        <v>214</v>
      </c>
    </row>
    <row r="66" spans="1:21" x14ac:dyDescent="0.25">
      <c r="A66" s="10" t="s">
        <v>19</v>
      </c>
      <c r="B66" s="10" t="s">
        <v>60</v>
      </c>
      <c r="C66" s="10" t="s">
        <v>166</v>
      </c>
      <c r="D66" s="10" t="s">
        <v>167</v>
      </c>
      <c r="E66" s="10" t="s">
        <v>168</v>
      </c>
      <c r="F66" s="10" t="s">
        <v>271</v>
      </c>
      <c r="G66" s="10" t="s">
        <v>79</v>
      </c>
      <c r="H66" s="10" t="s">
        <v>170</v>
      </c>
      <c r="I66" s="10" t="s">
        <v>67</v>
      </c>
      <c r="J66" s="10" t="s">
        <v>212</v>
      </c>
      <c r="K66" s="10" t="s">
        <v>171</v>
      </c>
      <c r="L66" s="10" t="s">
        <v>175</v>
      </c>
      <c r="M66" s="12">
        <v>34.1</v>
      </c>
      <c r="N66" s="10" t="s">
        <v>70</v>
      </c>
      <c r="O66" s="10" t="s">
        <v>94</v>
      </c>
      <c r="P66" s="10" t="s">
        <v>72</v>
      </c>
      <c r="Q66" s="12">
        <v>19.78</v>
      </c>
      <c r="R66" s="10" t="s">
        <v>73</v>
      </c>
      <c r="S66" s="10" t="s">
        <v>0</v>
      </c>
      <c r="T66" s="10" t="s">
        <v>0</v>
      </c>
      <c r="U66" s="10" t="s">
        <v>214</v>
      </c>
    </row>
    <row r="67" spans="1:21" x14ac:dyDescent="0.25">
      <c r="A67" s="9" t="s">
        <v>19</v>
      </c>
      <c r="B67" s="9" t="s">
        <v>60</v>
      </c>
      <c r="C67" s="9" t="s">
        <v>166</v>
      </c>
      <c r="D67" s="9" t="s">
        <v>167</v>
      </c>
      <c r="E67" s="9" t="s">
        <v>168</v>
      </c>
      <c r="F67" s="9" t="s">
        <v>271</v>
      </c>
      <c r="G67" s="9" t="s">
        <v>79</v>
      </c>
      <c r="H67" s="9" t="s">
        <v>170</v>
      </c>
      <c r="I67" s="9" t="s">
        <v>67</v>
      </c>
      <c r="J67" s="9" t="s">
        <v>212</v>
      </c>
      <c r="K67" s="9" t="s">
        <v>171</v>
      </c>
      <c r="L67" s="9" t="s">
        <v>175</v>
      </c>
      <c r="M67" s="11">
        <v>20.62</v>
      </c>
      <c r="N67" s="9" t="s">
        <v>70</v>
      </c>
      <c r="O67" s="9" t="s">
        <v>94</v>
      </c>
      <c r="P67" s="9" t="s">
        <v>72</v>
      </c>
      <c r="Q67" s="11">
        <v>11.96</v>
      </c>
      <c r="R67" s="9" t="s">
        <v>73</v>
      </c>
      <c r="S67" s="9" t="s">
        <v>0</v>
      </c>
      <c r="T67" s="9" t="s">
        <v>0</v>
      </c>
      <c r="U67" s="9" t="s">
        <v>214</v>
      </c>
    </row>
    <row r="68" spans="1:21" x14ac:dyDescent="0.25">
      <c r="A68" s="10" t="s">
        <v>19</v>
      </c>
      <c r="B68" s="10" t="s">
        <v>60</v>
      </c>
      <c r="C68" s="10" t="s">
        <v>190</v>
      </c>
      <c r="D68" s="10" t="s">
        <v>191</v>
      </c>
      <c r="E68" s="10" t="s">
        <v>272</v>
      </c>
      <c r="F68" s="10" t="s">
        <v>273</v>
      </c>
      <c r="G68" s="10" t="s">
        <v>65</v>
      </c>
      <c r="H68" s="10" t="s">
        <v>274</v>
      </c>
      <c r="I68" s="10" t="s">
        <v>113</v>
      </c>
      <c r="J68" s="10" t="s">
        <v>105</v>
      </c>
      <c r="K68" s="10" t="s">
        <v>275</v>
      </c>
      <c r="L68" s="10" t="s">
        <v>158</v>
      </c>
      <c r="M68" s="12">
        <v>41.7</v>
      </c>
      <c r="N68" s="10" t="s">
        <v>70</v>
      </c>
      <c r="O68" s="10" t="s">
        <v>116</v>
      </c>
      <c r="P68" s="10" t="s">
        <v>72</v>
      </c>
      <c r="Q68" s="12">
        <v>3.34</v>
      </c>
      <c r="R68" s="10" t="s">
        <v>73</v>
      </c>
      <c r="S68" s="10" t="s">
        <v>0</v>
      </c>
      <c r="T68" s="10" t="s">
        <v>0</v>
      </c>
      <c r="U68" s="10" t="s">
        <v>106</v>
      </c>
    </row>
    <row r="69" spans="1:21" x14ac:dyDescent="0.25">
      <c r="A69" s="9" t="s">
        <v>19</v>
      </c>
      <c r="B69" s="9" t="s">
        <v>60</v>
      </c>
      <c r="C69" s="9" t="s">
        <v>276</v>
      </c>
      <c r="D69" s="9" t="s">
        <v>277</v>
      </c>
      <c r="E69" s="9" t="s">
        <v>278</v>
      </c>
      <c r="F69" s="9" t="s">
        <v>279</v>
      </c>
      <c r="G69" s="9" t="s">
        <v>79</v>
      </c>
      <c r="H69" s="9" t="s">
        <v>280</v>
      </c>
      <c r="I69" s="9" t="s">
        <v>81</v>
      </c>
      <c r="J69" s="9" t="s">
        <v>281</v>
      </c>
      <c r="K69" s="9" t="s">
        <v>83</v>
      </c>
      <c r="L69" s="9" t="s">
        <v>158</v>
      </c>
      <c r="M69" s="11">
        <v>156.47999999999999</v>
      </c>
      <c r="N69" s="9" t="s">
        <v>70</v>
      </c>
      <c r="O69" s="9" t="s">
        <v>282</v>
      </c>
      <c r="P69" s="9" t="s">
        <v>72</v>
      </c>
      <c r="Q69" s="11">
        <v>89.19</v>
      </c>
      <c r="R69" s="9" t="s">
        <v>73</v>
      </c>
      <c r="S69" s="9" t="s">
        <v>0</v>
      </c>
      <c r="T69" s="9" t="s">
        <v>0</v>
      </c>
      <c r="U69" s="9" t="s">
        <v>283</v>
      </c>
    </row>
    <row r="70" spans="1:21" x14ac:dyDescent="0.25">
      <c r="A70" s="10" t="s">
        <v>19</v>
      </c>
      <c r="B70" s="10" t="s">
        <v>60</v>
      </c>
      <c r="C70" s="10" t="s">
        <v>159</v>
      </c>
      <c r="D70" s="10" t="s">
        <v>160</v>
      </c>
      <c r="E70" s="10" t="s">
        <v>187</v>
      </c>
      <c r="F70" s="10" t="s">
        <v>284</v>
      </c>
      <c r="G70" s="10" t="s">
        <v>79</v>
      </c>
      <c r="H70" s="10" t="s">
        <v>130</v>
      </c>
      <c r="I70" s="10" t="s">
        <v>67</v>
      </c>
      <c r="J70" s="10" t="s">
        <v>285</v>
      </c>
      <c r="K70" s="10" t="s">
        <v>130</v>
      </c>
      <c r="L70" s="10" t="s">
        <v>189</v>
      </c>
      <c r="M70" s="12">
        <v>21.68</v>
      </c>
      <c r="N70" s="10" t="s">
        <v>70</v>
      </c>
      <c r="O70" s="10" t="s">
        <v>94</v>
      </c>
      <c r="P70" s="10" t="s">
        <v>72</v>
      </c>
      <c r="Q70" s="12">
        <v>12.57</v>
      </c>
      <c r="R70" s="10" t="s">
        <v>73</v>
      </c>
      <c r="S70" s="10" t="s">
        <v>0</v>
      </c>
      <c r="T70" s="10" t="s">
        <v>0</v>
      </c>
      <c r="U70" s="10" t="s">
        <v>286</v>
      </c>
    </row>
    <row r="71" spans="1:21" x14ac:dyDescent="0.25">
      <c r="A71" s="9" t="s">
        <v>19</v>
      </c>
      <c r="B71" s="9" t="s">
        <v>60</v>
      </c>
      <c r="C71" s="9" t="s">
        <v>159</v>
      </c>
      <c r="D71" s="9" t="s">
        <v>160</v>
      </c>
      <c r="E71" s="9" t="s">
        <v>187</v>
      </c>
      <c r="F71" s="9" t="s">
        <v>287</v>
      </c>
      <c r="G71" s="9" t="s">
        <v>79</v>
      </c>
      <c r="H71" s="9" t="s">
        <v>130</v>
      </c>
      <c r="I71" s="9" t="s">
        <v>67</v>
      </c>
      <c r="J71" s="9" t="s">
        <v>105</v>
      </c>
      <c r="K71" s="9" t="s">
        <v>130</v>
      </c>
      <c r="L71" s="9" t="s">
        <v>189</v>
      </c>
      <c r="M71" s="11">
        <v>30.42</v>
      </c>
      <c r="N71" s="9" t="s">
        <v>70</v>
      </c>
      <c r="O71" s="9" t="s">
        <v>126</v>
      </c>
      <c r="P71" s="9" t="s">
        <v>72</v>
      </c>
      <c r="Q71" s="11">
        <v>28.9</v>
      </c>
      <c r="R71" s="9" t="s">
        <v>73</v>
      </c>
      <c r="S71" s="9" t="s">
        <v>0</v>
      </c>
      <c r="T71" s="9" t="s">
        <v>0</v>
      </c>
      <c r="U71" s="9" t="s">
        <v>106</v>
      </c>
    </row>
    <row r="72" spans="1:21" x14ac:dyDescent="0.25">
      <c r="A72" s="10" t="s">
        <v>19</v>
      </c>
      <c r="B72" s="10" t="s">
        <v>60</v>
      </c>
      <c r="C72" s="10" t="s">
        <v>264</v>
      </c>
      <c r="D72" s="10" t="s">
        <v>265</v>
      </c>
      <c r="E72" s="10" t="s">
        <v>288</v>
      </c>
      <c r="F72" s="10" t="s">
        <v>289</v>
      </c>
      <c r="G72" s="10" t="s">
        <v>65</v>
      </c>
      <c r="H72" s="10" t="s">
        <v>290</v>
      </c>
      <c r="I72" s="10" t="s">
        <v>67</v>
      </c>
      <c r="J72" s="10" t="s">
        <v>68</v>
      </c>
      <c r="K72" s="10" t="s">
        <v>291</v>
      </c>
      <c r="L72" s="10" t="s">
        <v>93</v>
      </c>
      <c r="M72" s="12">
        <v>27.63</v>
      </c>
      <c r="N72" s="10" t="s">
        <v>70</v>
      </c>
      <c r="O72" s="10" t="s">
        <v>270</v>
      </c>
      <c r="P72" s="10" t="s">
        <v>72</v>
      </c>
      <c r="Q72" s="12">
        <v>0.97</v>
      </c>
      <c r="R72" s="10" t="s">
        <v>73</v>
      </c>
      <c r="S72" s="10" t="s">
        <v>0</v>
      </c>
      <c r="T72" s="10" t="s">
        <v>0</v>
      </c>
      <c r="U72" s="10" t="s">
        <v>74</v>
      </c>
    </row>
    <row r="73" spans="1:21" x14ac:dyDescent="0.25">
      <c r="A73" s="9" t="s">
        <v>19</v>
      </c>
      <c r="B73" s="9" t="s">
        <v>127</v>
      </c>
      <c r="C73" s="9" t="s">
        <v>61</v>
      </c>
      <c r="D73" s="9" t="s">
        <v>62</v>
      </c>
      <c r="E73" s="9" t="s">
        <v>292</v>
      </c>
      <c r="F73" s="9" t="s">
        <v>293</v>
      </c>
      <c r="G73" s="9" t="s">
        <v>137</v>
      </c>
      <c r="H73" s="9" t="s">
        <v>142</v>
      </c>
      <c r="I73" s="9" t="s">
        <v>67</v>
      </c>
      <c r="J73" s="9" t="s">
        <v>105</v>
      </c>
      <c r="K73" s="9" t="s">
        <v>84</v>
      </c>
      <c r="L73" s="9" t="s">
        <v>158</v>
      </c>
      <c r="M73" s="11">
        <v>-19.68</v>
      </c>
      <c r="N73" s="9" t="s">
        <v>70</v>
      </c>
      <c r="O73" s="9" t="s">
        <v>126</v>
      </c>
      <c r="P73" s="9" t="s">
        <v>72</v>
      </c>
      <c r="Q73" s="11">
        <v>-18.7</v>
      </c>
      <c r="R73" s="9" t="s">
        <v>73</v>
      </c>
      <c r="S73" s="9" t="s">
        <v>0</v>
      </c>
      <c r="T73" s="9" t="s">
        <v>0</v>
      </c>
      <c r="U73" s="9" t="s">
        <v>106</v>
      </c>
    </row>
    <row r="74" spans="1:21" x14ac:dyDescent="0.25">
      <c r="A74" s="10" t="s">
        <v>19</v>
      </c>
      <c r="B74" s="10" t="s">
        <v>60</v>
      </c>
      <c r="C74" s="10" t="s">
        <v>294</v>
      </c>
      <c r="D74" s="10" t="s">
        <v>295</v>
      </c>
      <c r="E74" s="10" t="s">
        <v>296</v>
      </c>
      <c r="F74" s="10" t="s">
        <v>297</v>
      </c>
      <c r="G74" s="10" t="s">
        <v>65</v>
      </c>
      <c r="H74" s="10" t="s">
        <v>298</v>
      </c>
      <c r="I74" s="10" t="s">
        <v>81</v>
      </c>
      <c r="J74" s="10" t="s">
        <v>281</v>
      </c>
      <c r="K74" s="10" t="s">
        <v>299</v>
      </c>
      <c r="L74" s="10" t="s">
        <v>158</v>
      </c>
      <c r="M74" s="12">
        <v>156.47999999999999</v>
      </c>
      <c r="N74" s="10" t="s">
        <v>70</v>
      </c>
      <c r="O74" s="10" t="s">
        <v>71</v>
      </c>
      <c r="P74" s="10" t="s">
        <v>72</v>
      </c>
      <c r="Q74" s="12">
        <v>5.87</v>
      </c>
      <c r="R74" s="10" t="s">
        <v>73</v>
      </c>
      <c r="S74" s="10" t="s">
        <v>0</v>
      </c>
      <c r="T74" s="10" t="s">
        <v>0</v>
      </c>
      <c r="U74" s="10" t="s">
        <v>283</v>
      </c>
    </row>
    <row r="75" spans="1:21" x14ac:dyDescent="0.25">
      <c r="A75" s="9" t="s">
        <v>19</v>
      </c>
      <c r="B75" s="9" t="s">
        <v>60</v>
      </c>
      <c r="C75" s="9" t="s">
        <v>215</v>
      </c>
      <c r="D75" s="9" t="s">
        <v>216</v>
      </c>
      <c r="E75" s="9" t="s">
        <v>300</v>
      </c>
      <c r="F75" s="9" t="s">
        <v>301</v>
      </c>
      <c r="G75" s="9" t="s">
        <v>79</v>
      </c>
      <c r="H75" s="9" t="s">
        <v>302</v>
      </c>
      <c r="I75" s="9" t="s">
        <v>81</v>
      </c>
      <c r="J75" s="9" t="s">
        <v>212</v>
      </c>
      <c r="K75" s="9" t="s">
        <v>303</v>
      </c>
      <c r="L75" s="9" t="s">
        <v>158</v>
      </c>
      <c r="M75" s="11">
        <v>104.26</v>
      </c>
      <c r="N75" s="9" t="s">
        <v>70</v>
      </c>
      <c r="O75" s="9" t="s">
        <v>304</v>
      </c>
      <c r="P75" s="9" t="s">
        <v>72</v>
      </c>
      <c r="Q75" s="11">
        <v>65.16</v>
      </c>
      <c r="R75" s="9" t="s">
        <v>73</v>
      </c>
      <c r="S75" s="9" t="s">
        <v>0</v>
      </c>
      <c r="T75" s="9" t="s">
        <v>0</v>
      </c>
      <c r="U75" s="9" t="s">
        <v>214</v>
      </c>
    </row>
    <row r="76" spans="1:21" x14ac:dyDescent="0.25">
      <c r="A76" s="10" t="s">
        <v>19</v>
      </c>
      <c r="B76" s="10" t="s">
        <v>60</v>
      </c>
      <c r="C76" s="10" t="s">
        <v>215</v>
      </c>
      <c r="D76" s="10" t="s">
        <v>216</v>
      </c>
      <c r="E76" s="10" t="s">
        <v>300</v>
      </c>
      <c r="F76" s="10" t="s">
        <v>301</v>
      </c>
      <c r="G76" s="10" t="s">
        <v>79</v>
      </c>
      <c r="H76" s="10" t="s">
        <v>302</v>
      </c>
      <c r="I76" s="10" t="s">
        <v>81</v>
      </c>
      <c r="J76" s="10" t="s">
        <v>212</v>
      </c>
      <c r="K76" s="10" t="s">
        <v>303</v>
      </c>
      <c r="L76" s="10" t="s">
        <v>158</v>
      </c>
      <c r="M76" s="12">
        <v>22.7</v>
      </c>
      <c r="N76" s="10" t="s">
        <v>70</v>
      </c>
      <c r="O76" s="10" t="s">
        <v>304</v>
      </c>
      <c r="P76" s="10" t="s">
        <v>72</v>
      </c>
      <c r="Q76" s="12">
        <v>14.19</v>
      </c>
      <c r="R76" s="10" t="s">
        <v>73</v>
      </c>
      <c r="S76" s="10" t="s">
        <v>0</v>
      </c>
      <c r="T76" s="10" t="s">
        <v>0</v>
      </c>
      <c r="U76" s="10" t="s">
        <v>214</v>
      </c>
    </row>
    <row r="77" spans="1:21" x14ac:dyDescent="0.25">
      <c r="A77" s="9" t="s">
        <v>19</v>
      </c>
      <c r="B77" s="9" t="s">
        <v>60</v>
      </c>
      <c r="C77" s="9" t="s">
        <v>159</v>
      </c>
      <c r="D77" s="9" t="s">
        <v>160</v>
      </c>
      <c r="E77" s="9" t="s">
        <v>305</v>
      </c>
      <c r="F77" s="9" t="s">
        <v>306</v>
      </c>
      <c r="G77" s="9" t="s">
        <v>79</v>
      </c>
      <c r="H77" s="9" t="s">
        <v>307</v>
      </c>
      <c r="I77" s="9" t="s">
        <v>67</v>
      </c>
      <c r="J77" s="9" t="s">
        <v>82</v>
      </c>
      <c r="K77" s="9" t="s">
        <v>308</v>
      </c>
      <c r="L77" s="9" t="s">
        <v>252</v>
      </c>
      <c r="M77" s="11">
        <v>59.75</v>
      </c>
      <c r="N77" s="9" t="s">
        <v>70</v>
      </c>
      <c r="O77" s="9" t="s">
        <v>126</v>
      </c>
      <c r="P77" s="9" t="s">
        <v>72</v>
      </c>
      <c r="Q77" s="11">
        <v>56.76</v>
      </c>
      <c r="R77" s="9" t="s">
        <v>73</v>
      </c>
      <c r="S77" s="9" t="s">
        <v>0</v>
      </c>
      <c r="T77" s="9" t="s">
        <v>0</v>
      </c>
      <c r="U77" s="9" t="s">
        <v>86</v>
      </c>
    </row>
    <row r="78" spans="1:21" x14ac:dyDescent="0.25">
      <c r="A78" s="10" t="s">
        <v>19</v>
      </c>
      <c r="B78" s="10" t="s">
        <v>60</v>
      </c>
      <c r="C78" s="10" t="s">
        <v>215</v>
      </c>
      <c r="D78" s="10" t="s">
        <v>216</v>
      </c>
      <c r="E78" s="10" t="s">
        <v>309</v>
      </c>
      <c r="F78" s="10" t="s">
        <v>310</v>
      </c>
      <c r="G78" s="10" t="s">
        <v>79</v>
      </c>
      <c r="H78" s="10" t="s">
        <v>311</v>
      </c>
      <c r="I78" s="10" t="s">
        <v>312</v>
      </c>
      <c r="J78" s="10" t="s">
        <v>212</v>
      </c>
      <c r="K78" s="10" t="s">
        <v>83</v>
      </c>
      <c r="L78" s="10" t="s">
        <v>158</v>
      </c>
      <c r="M78" s="12">
        <v>34.25</v>
      </c>
      <c r="N78" s="10" t="s">
        <v>70</v>
      </c>
      <c r="O78" s="10" t="s">
        <v>304</v>
      </c>
      <c r="P78" s="10" t="s">
        <v>72</v>
      </c>
      <c r="Q78" s="12">
        <v>21.41</v>
      </c>
      <c r="R78" s="10" t="s">
        <v>73</v>
      </c>
      <c r="S78" s="10" t="s">
        <v>0</v>
      </c>
      <c r="T78" s="10" t="s">
        <v>0</v>
      </c>
      <c r="U78" s="10" t="s">
        <v>214</v>
      </c>
    </row>
    <row r="79" spans="1:21" x14ac:dyDescent="0.25">
      <c r="A79" s="9" t="s">
        <v>19</v>
      </c>
      <c r="B79" s="9" t="s">
        <v>60</v>
      </c>
      <c r="C79" s="9" t="s">
        <v>215</v>
      </c>
      <c r="D79" s="9" t="s">
        <v>216</v>
      </c>
      <c r="E79" s="9" t="s">
        <v>309</v>
      </c>
      <c r="F79" s="9" t="s">
        <v>310</v>
      </c>
      <c r="G79" s="9" t="s">
        <v>79</v>
      </c>
      <c r="H79" s="9" t="s">
        <v>311</v>
      </c>
      <c r="I79" s="9" t="s">
        <v>312</v>
      </c>
      <c r="J79" s="9" t="s">
        <v>212</v>
      </c>
      <c r="K79" s="9" t="s">
        <v>83</v>
      </c>
      <c r="L79" s="9" t="s">
        <v>158</v>
      </c>
      <c r="M79" s="11">
        <v>22.7</v>
      </c>
      <c r="N79" s="9" t="s">
        <v>70</v>
      </c>
      <c r="O79" s="9" t="s">
        <v>304</v>
      </c>
      <c r="P79" s="9" t="s">
        <v>72</v>
      </c>
      <c r="Q79" s="11">
        <v>14.19</v>
      </c>
      <c r="R79" s="9" t="s">
        <v>73</v>
      </c>
      <c r="S79" s="9" t="s">
        <v>0</v>
      </c>
      <c r="T79" s="9" t="s">
        <v>0</v>
      </c>
      <c r="U79" s="9" t="s">
        <v>214</v>
      </c>
    </row>
    <row r="80" spans="1:21" x14ac:dyDescent="0.25">
      <c r="A80" s="10" t="s">
        <v>18</v>
      </c>
      <c r="B80" s="10" t="s">
        <v>60</v>
      </c>
      <c r="C80" s="10" t="s">
        <v>313</v>
      </c>
      <c r="D80" s="10" t="s">
        <v>314</v>
      </c>
      <c r="E80" s="10" t="s">
        <v>315</v>
      </c>
      <c r="F80" s="10" t="s">
        <v>316</v>
      </c>
      <c r="G80" s="10" t="s">
        <v>79</v>
      </c>
      <c r="H80" s="10" t="s">
        <v>317</v>
      </c>
      <c r="I80" s="10" t="s">
        <v>113</v>
      </c>
      <c r="J80" s="10" t="s">
        <v>202</v>
      </c>
      <c r="K80" s="10" t="s">
        <v>195</v>
      </c>
      <c r="L80" s="10" t="s">
        <v>158</v>
      </c>
      <c r="M80" s="12">
        <v>157.19</v>
      </c>
      <c r="N80" s="10" t="s">
        <v>70</v>
      </c>
      <c r="O80" s="10" t="s">
        <v>318</v>
      </c>
      <c r="P80" s="10" t="s">
        <v>72</v>
      </c>
      <c r="Q80" s="12">
        <v>3.15</v>
      </c>
      <c r="R80" s="10" t="s">
        <v>73</v>
      </c>
      <c r="S80" s="10" t="s">
        <v>0</v>
      </c>
      <c r="T80" s="10" t="s">
        <v>0</v>
      </c>
      <c r="U80" s="10" t="s">
        <v>205</v>
      </c>
    </row>
    <row r="81" spans="1:21" x14ac:dyDescent="0.25">
      <c r="A81" s="9" t="s">
        <v>19</v>
      </c>
      <c r="B81" s="9" t="s">
        <v>127</v>
      </c>
      <c r="C81" s="9" t="s">
        <v>319</v>
      </c>
      <c r="D81" s="9" t="s">
        <v>320</v>
      </c>
      <c r="E81" s="9" t="s">
        <v>321</v>
      </c>
      <c r="F81" s="9" t="s">
        <v>322</v>
      </c>
      <c r="G81" s="9" t="s">
        <v>79</v>
      </c>
      <c r="H81" s="9" t="s">
        <v>323</v>
      </c>
      <c r="I81" s="9" t="s">
        <v>123</v>
      </c>
      <c r="J81" s="9" t="s">
        <v>324</v>
      </c>
      <c r="K81" s="9" t="s">
        <v>83</v>
      </c>
      <c r="L81" s="9" t="s">
        <v>153</v>
      </c>
      <c r="M81" s="11">
        <v>-201.17</v>
      </c>
      <c r="N81" s="9" t="s">
        <v>70</v>
      </c>
      <c r="O81" s="9" t="s">
        <v>282</v>
      </c>
      <c r="P81" s="9" t="s">
        <v>72</v>
      </c>
      <c r="Q81" s="11">
        <v>-114.67</v>
      </c>
      <c r="R81" s="9" t="s">
        <v>325</v>
      </c>
      <c r="S81" s="9" t="s">
        <v>0</v>
      </c>
      <c r="T81" s="9" t="s">
        <v>0</v>
      </c>
      <c r="U81" s="9" t="s">
        <v>326</v>
      </c>
    </row>
    <row r="82" spans="1:21" x14ac:dyDescent="0.25">
      <c r="A82" s="10" t="s">
        <v>19</v>
      </c>
      <c r="B82" s="10" t="s">
        <v>60</v>
      </c>
      <c r="C82" s="10" t="s">
        <v>75</v>
      </c>
      <c r="D82" s="10" t="s">
        <v>76</v>
      </c>
      <c r="E82" s="10" t="s">
        <v>327</v>
      </c>
      <c r="F82" s="10" t="s">
        <v>328</v>
      </c>
      <c r="G82" s="10" t="s">
        <v>79</v>
      </c>
      <c r="H82" s="10" t="s">
        <v>329</v>
      </c>
      <c r="I82" s="10" t="s">
        <v>123</v>
      </c>
      <c r="J82" s="10" t="s">
        <v>82</v>
      </c>
      <c r="K82" s="10" t="s">
        <v>330</v>
      </c>
      <c r="L82" s="10" t="s">
        <v>331</v>
      </c>
      <c r="M82" s="12">
        <v>32.020000000000003</v>
      </c>
      <c r="N82" s="10" t="s">
        <v>70</v>
      </c>
      <c r="O82" s="10" t="s">
        <v>85</v>
      </c>
      <c r="P82" s="10" t="s">
        <v>72</v>
      </c>
      <c r="Q82" s="12">
        <v>32.020000000000003</v>
      </c>
      <c r="R82" s="10" t="s">
        <v>73</v>
      </c>
      <c r="S82" s="10" t="s">
        <v>0</v>
      </c>
      <c r="T82" s="10" t="s">
        <v>0</v>
      </c>
      <c r="U82" s="10" t="s">
        <v>86</v>
      </c>
    </row>
    <row r="83" spans="1:21" x14ac:dyDescent="0.25">
      <c r="A83" s="9" t="s">
        <v>19</v>
      </c>
      <c r="B83" s="9" t="s">
        <v>60</v>
      </c>
      <c r="C83" s="9" t="s">
        <v>95</v>
      </c>
      <c r="D83" s="9" t="s">
        <v>96</v>
      </c>
      <c r="E83" s="9" t="s">
        <v>155</v>
      </c>
      <c r="F83" s="9" t="s">
        <v>156</v>
      </c>
      <c r="G83" s="9" t="s">
        <v>79</v>
      </c>
      <c r="H83" s="9" t="s">
        <v>157</v>
      </c>
      <c r="I83" s="9" t="s">
        <v>81</v>
      </c>
      <c r="J83" s="9" t="s">
        <v>143</v>
      </c>
      <c r="K83" s="9" t="s">
        <v>84</v>
      </c>
      <c r="L83" s="9" t="s">
        <v>158</v>
      </c>
      <c r="M83" s="11">
        <v>11.88</v>
      </c>
      <c r="N83" s="9" t="s">
        <v>70</v>
      </c>
      <c r="O83" s="9" t="s">
        <v>144</v>
      </c>
      <c r="P83" s="9" t="s">
        <v>72</v>
      </c>
      <c r="Q83" s="11">
        <v>7.72</v>
      </c>
      <c r="R83" s="9" t="s">
        <v>73</v>
      </c>
      <c r="S83" s="9" t="s">
        <v>0</v>
      </c>
      <c r="T83" s="9" t="s">
        <v>0</v>
      </c>
      <c r="U83" s="9" t="s">
        <v>145</v>
      </c>
    </row>
    <row r="84" spans="1:21" x14ac:dyDescent="0.25">
      <c r="A84" s="10" t="s">
        <v>19</v>
      </c>
      <c r="B84" s="10" t="s">
        <v>60</v>
      </c>
      <c r="C84" s="10" t="s">
        <v>159</v>
      </c>
      <c r="D84" s="10" t="s">
        <v>160</v>
      </c>
      <c r="E84" s="10" t="s">
        <v>332</v>
      </c>
      <c r="F84" s="10" t="s">
        <v>333</v>
      </c>
      <c r="G84" s="10" t="s">
        <v>79</v>
      </c>
      <c r="H84" s="10" t="s">
        <v>219</v>
      </c>
      <c r="I84" s="10" t="s">
        <v>113</v>
      </c>
      <c r="J84" s="10" t="s">
        <v>251</v>
      </c>
      <c r="K84" s="10" t="s">
        <v>219</v>
      </c>
      <c r="L84" s="10" t="s">
        <v>69</v>
      </c>
      <c r="M84" s="12">
        <v>69.17</v>
      </c>
      <c r="N84" s="10" t="s">
        <v>70</v>
      </c>
      <c r="O84" s="10" t="s">
        <v>94</v>
      </c>
      <c r="P84" s="10" t="s">
        <v>72</v>
      </c>
      <c r="Q84" s="12">
        <v>40.119999999999997</v>
      </c>
      <c r="R84" s="10" t="s">
        <v>73</v>
      </c>
      <c r="S84" s="10" t="s">
        <v>0</v>
      </c>
      <c r="T84" s="10" t="s">
        <v>0</v>
      </c>
      <c r="U84" s="10" t="s">
        <v>254</v>
      </c>
    </row>
    <row r="85" spans="1:21" x14ac:dyDescent="0.25">
      <c r="A85" s="9" t="s">
        <v>19</v>
      </c>
      <c r="B85" s="9" t="s">
        <v>60</v>
      </c>
      <c r="C85" s="9" t="s">
        <v>159</v>
      </c>
      <c r="D85" s="9" t="s">
        <v>160</v>
      </c>
      <c r="E85" s="9" t="s">
        <v>161</v>
      </c>
      <c r="F85" s="9" t="s">
        <v>334</v>
      </c>
      <c r="G85" s="9" t="s">
        <v>79</v>
      </c>
      <c r="H85" s="9" t="s">
        <v>163</v>
      </c>
      <c r="I85" s="9" t="s">
        <v>67</v>
      </c>
      <c r="J85" s="9" t="s">
        <v>285</v>
      </c>
      <c r="K85" s="9" t="s">
        <v>164</v>
      </c>
      <c r="L85" s="9" t="s">
        <v>158</v>
      </c>
      <c r="M85" s="11">
        <v>21.68</v>
      </c>
      <c r="N85" s="9" t="s">
        <v>70</v>
      </c>
      <c r="O85" s="9" t="s">
        <v>94</v>
      </c>
      <c r="P85" s="9" t="s">
        <v>72</v>
      </c>
      <c r="Q85" s="11">
        <v>12.57</v>
      </c>
      <c r="R85" s="9" t="s">
        <v>73</v>
      </c>
      <c r="S85" s="9" t="s">
        <v>0</v>
      </c>
      <c r="T85" s="9" t="s">
        <v>0</v>
      </c>
      <c r="U85" s="9" t="s">
        <v>286</v>
      </c>
    </row>
    <row r="86" spans="1:21" x14ac:dyDescent="0.25">
      <c r="A86" s="9" t="s">
        <v>18</v>
      </c>
      <c r="B86" s="9" t="s">
        <v>60</v>
      </c>
      <c r="C86" s="9" t="s">
        <v>108</v>
      </c>
      <c r="D86" s="9" t="s">
        <v>109</v>
      </c>
      <c r="E86" s="9" t="s">
        <v>335</v>
      </c>
      <c r="F86" s="9" t="s">
        <v>336</v>
      </c>
      <c r="G86" s="9" t="s">
        <v>65</v>
      </c>
      <c r="H86" s="9" t="s">
        <v>337</v>
      </c>
      <c r="I86" s="9" t="s">
        <v>113</v>
      </c>
      <c r="J86" s="9" t="s">
        <v>338</v>
      </c>
      <c r="K86" s="9" t="s">
        <v>339</v>
      </c>
      <c r="L86" s="9" t="s">
        <v>158</v>
      </c>
      <c r="M86" s="11">
        <v>118.87</v>
      </c>
      <c r="N86" s="9" t="s">
        <v>70</v>
      </c>
      <c r="O86" s="9" t="s">
        <v>340</v>
      </c>
      <c r="P86" s="9" t="s">
        <v>72</v>
      </c>
      <c r="Q86" s="11">
        <v>4.75</v>
      </c>
      <c r="R86" s="9" t="s">
        <v>73</v>
      </c>
      <c r="S86" s="9" t="s">
        <v>0</v>
      </c>
      <c r="T86" s="9" t="s">
        <v>0</v>
      </c>
      <c r="U86" s="9" t="s">
        <v>341</v>
      </c>
    </row>
    <row r="87" spans="1:21" x14ac:dyDescent="0.25">
      <c r="A87" s="10" t="s">
        <v>18</v>
      </c>
      <c r="B87" s="10" t="s">
        <v>60</v>
      </c>
      <c r="C87" s="10" t="s">
        <v>342</v>
      </c>
      <c r="D87" s="10" t="s">
        <v>343</v>
      </c>
      <c r="E87" s="10" t="s">
        <v>344</v>
      </c>
      <c r="F87" s="10" t="s">
        <v>345</v>
      </c>
      <c r="G87" s="10" t="s">
        <v>65</v>
      </c>
      <c r="H87" s="10" t="s">
        <v>346</v>
      </c>
      <c r="I87" s="10" t="s">
        <v>113</v>
      </c>
      <c r="J87" s="10" t="s">
        <v>202</v>
      </c>
      <c r="K87" s="10" t="s">
        <v>347</v>
      </c>
      <c r="L87" s="10" t="s">
        <v>158</v>
      </c>
      <c r="M87" s="12">
        <v>125.73</v>
      </c>
      <c r="N87" s="10" t="s">
        <v>70</v>
      </c>
      <c r="O87" s="10" t="s">
        <v>348</v>
      </c>
      <c r="P87" s="10" t="s">
        <v>72</v>
      </c>
      <c r="Q87" s="12">
        <v>31.43</v>
      </c>
      <c r="R87" s="10" t="s">
        <v>73</v>
      </c>
      <c r="S87" s="10" t="s">
        <v>0</v>
      </c>
      <c r="T87" s="10" t="s">
        <v>0</v>
      </c>
      <c r="U87" s="10" t="s">
        <v>205</v>
      </c>
    </row>
    <row r="88" spans="1:21" x14ac:dyDescent="0.25">
      <c r="A88" s="9" t="s">
        <v>19</v>
      </c>
      <c r="B88" s="9" t="s">
        <v>60</v>
      </c>
      <c r="C88" s="9" t="s">
        <v>349</v>
      </c>
      <c r="D88" s="9" t="s">
        <v>350</v>
      </c>
      <c r="E88" s="9" t="s">
        <v>351</v>
      </c>
      <c r="F88" s="9" t="s">
        <v>352</v>
      </c>
      <c r="G88" s="9" t="s">
        <v>65</v>
      </c>
      <c r="H88" s="9" t="s">
        <v>353</v>
      </c>
      <c r="I88" s="9" t="s">
        <v>113</v>
      </c>
      <c r="J88" s="9" t="s">
        <v>152</v>
      </c>
      <c r="K88" s="9" t="s">
        <v>354</v>
      </c>
      <c r="L88" s="9" t="s">
        <v>158</v>
      </c>
      <c r="M88" s="11">
        <v>59.16</v>
      </c>
      <c r="N88" s="9" t="s">
        <v>70</v>
      </c>
      <c r="O88" s="9" t="s">
        <v>355</v>
      </c>
      <c r="P88" s="9" t="s">
        <v>72</v>
      </c>
      <c r="Q88" s="11">
        <v>0.89</v>
      </c>
      <c r="R88" s="9" t="s">
        <v>73</v>
      </c>
      <c r="S88" s="9" t="s">
        <v>0</v>
      </c>
      <c r="T88" s="9" t="s">
        <v>0</v>
      </c>
      <c r="U88" s="9" t="s">
        <v>154</v>
      </c>
    </row>
    <row r="89" spans="1:21" x14ac:dyDescent="0.25">
      <c r="A89" s="10" t="s">
        <v>19</v>
      </c>
      <c r="B89" s="10" t="s">
        <v>60</v>
      </c>
      <c r="C89" s="10" t="s">
        <v>356</v>
      </c>
      <c r="D89" s="10" t="s">
        <v>357</v>
      </c>
      <c r="E89" s="10" t="s">
        <v>358</v>
      </c>
      <c r="F89" s="10" t="s">
        <v>359</v>
      </c>
      <c r="G89" s="10" t="s">
        <v>65</v>
      </c>
      <c r="H89" s="10" t="s">
        <v>360</v>
      </c>
      <c r="I89" s="10" t="s">
        <v>113</v>
      </c>
      <c r="J89" s="10" t="s">
        <v>82</v>
      </c>
      <c r="K89" s="10" t="s">
        <v>203</v>
      </c>
      <c r="L89" s="10" t="s">
        <v>158</v>
      </c>
      <c r="M89" s="12">
        <v>35.42</v>
      </c>
      <c r="N89" s="10" t="s">
        <v>70</v>
      </c>
      <c r="O89" s="10" t="s">
        <v>361</v>
      </c>
      <c r="P89" s="10" t="s">
        <v>72</v>
      </c>
      <c r="Q89" s="12">
        <v>2.66</v>
      </c>
      <c r="R89" s="10" t="s">
        <v>73</v>
      </c>
      <c r="S89" s="10" t="s">
        <v>0</v>
      </c>
      <c r="T89" s="10" t="s">
        <v>0</v>
      </c>
      <c r="U89" s="10" t="s">
        <v>86</v>
      </c>
    </row>
    <row r="90" spans="1:21" x14ac:dyDescent="0.25">
      <c r="A90" s="9" t="s">
        <v>19</v>
      </c>
      <c r="B90" s="9" t="s">
        <v>60</v>
      </c>
      <c r="C90" s="9" t="s">
        <v>61</v>
      </c>
      <c r="D90" s="9" t="s">
        <v>62</v>
      </c>
      <c r="E90" s="9" t="s">
        <v>362</v>
      </c>
      <c r="F90" s="9" t="s">
        <v>363</v>
      </c>
      <c r="G90" s="9" t="s">
        <v>65</v>
      </c>
      <c r="H90" s="9" t="s">
        <v>364</v>
      </c>
      <c r="I90" s="9" t="s">
        <v>209</v>
      </c>
      <c r="J90" s="9" t="s">
        <v>105</v>
      </c>
      <c r="K90" s="9" t="s">
        <v>364</v>
      </c>
      <c r="L90" s="9" t="s">
        <v>365</v>
      </c>
      <c r="M90" s="11">
        <v>78.33</v>
      </c>
      <c r="N90" s="9" t="s">
        <v>70</v>
      </c>
      <c r="O90" s="9" t="s">
        <v>361</v>
      </c>
      <c r="P90" s="9" t="s">
        <v>72</v>
      </c>
      <c r="Q90" s="11">
        <v>5.87</v>
      </c>
      <c r="R90" s="9" t="s">
        <v>73</v>
      </c>
      <c r="S90" s="9" t="s">
        <v>0</v>
      </c>
      <c r="T90" s="9" t="s">
        <v>0</v>
      </c>
      <c r="U90" s="9" t="s">
        <v>210</v>
      </c>
    </row>
    <row r="91" spans="1:21" x14ac:dyDescent="0.25">
      <c r="A91" s="10" t="s">
        <v>19</v>
      </c>
      <c r="B91" s="10" t="s">
        <v>60</v>
      </c>
      <c r="C91" s="10" t="s">
        <v>366</v>
      </c>
      <c r="D91" s="10" t="s">
        <v>367</v>
      </c>
      <c r="E91" s="10" t="s">
        <v>368</v>
      </c>
      <c r="F91" s="10" t="s">
        <v>369</v>
      </c>
      <c r="G91" s="10" t="s">
        <v>65</v>
      </c>
      <c r="H91" s="10" t="s">
        <v>370</v>
      </c>
      <c r="I91" s="10" t="s">
        <v>67</v>
      </c>
      <c r="J91" s="10" t="s">
        <v>68</v>
      </c>
      <c r="K91" s="10" t="s">
        <v>371</v>
      </c>
      <c r="L91" s="10" t="s">
        <v>158</v>
      </c>
      <c r="M91" s="12">
        <v>27.63</v>
      </c>
      <c r="N91" s="10" t="s">
        <v>70</v>
      </c>
      <c r="O91" s="10" t="s">
        <v>270</v>
      </c>
      <c r="P91" s="10" t="s">
        <v>72</v>
      </c>
      <c r="Q91" s="12">
        <v>0.97</v>
      </c>
      <c r="R91" s="10" t="s">
        <v>73</v>
      </c>
      <c r="S91" s="10" t="s">
        <v>0</v>
      </c>
      <c r="T91" s="10" t="s">
        <v>0</v>
      </c>
      <c r="U91" s="10" t="s">
        <v>74</v>
      </c>
    </row>
    <row r="92" spans="1:21" x14ac:dyDescent="0.25">
      <c r="A92" s="9" t="s">
        <v>19</v>
      </c>
      <c r="B92" s="9" t="s">
        <v>60</v>
      </c>
      <c r="C92" s="9" t="s">
        <v>366</v>
      </c>
      <c r="D92" s="9" t="s">
        <v>367</v>
      </c>
      <c r="E92" s="9" t="s">
        <v>372</v>
      </c>
      <c r="F92" s="9" t="s">
        <v>373</v>
      </c>
      <c r="G92" s="9" t="s">
        <v>65</v>
      </c>
      <c r="H92" s="9" t="s">
        <v>370</v>
      </c>
      <c r="I92" s="9" t="s">
        <v>67</v>
      </c>
      <c r="J92" s="9" t="s">
        <v>68</v>
      </c>
      <c r="K92" s="9" t="s">
        <v>371</v>
      </c>
      <c r="L92" s="9" t="s">
        <v>158</v>
      </c>
      <c r="M92" s="11">
        <v>22.42</v>
      </c>
      <c r="N92" s="9" t="s">
        <v>70</v>
      </c>
      <c r="O92" s="9" t="s">
        <v>270</v>
      </c>
      <c r="P92" s="9" t="s">
        <v>72</v>
      </c>
      <c r="Q92" s="11">
        <v>0.78</v>
      </c>
      <c r="R92" s="9" t="s">
        <v>73</v>
      </c>
      <c r="S92" s="9" t="s">
        <v>0</v>
      </c>
      <c r="T92" s="9" t="s">
        <v>0</v>
      </c>
      <c r="U92" s="9" t="s">
        <v>74</v>
      </c>
    </row>
    <row r="93" spans="1:21" x14ac:dyDescent="0.25">
      <c r="A93" s="10" t="s">
        <v>19</v>
      </c>
      <c r="B93" s="10" t="s">
        <v>60</v>
      </c>
      <c r="C93" s="10" t="s">
        <v>61</v>
      </c>
      <c r="D93" s="10" t="s">
        <v>62</v>
      </c>
      <c r="E93" s="10" t="s">
        <v>374</v>
      </c>
      <c r="F93" s="10" t="s">
        <v>375</v>
      </c>
      <c r="G93" s="10" t="s">
        <v>65</v>
      </c>
      <c r="H93" s="10" t="s">
        <v>376</v>
      </c>
      <c r="I93" s="10" t="s">
        <v>67</v>
      </c>
      <c r="J93" s="10" t="s">
        <v>68</v>
      </c>
      <c r="K93" s="10" t="s">
        <v>376</v>
      </c>
      <c r="L93" s="10" t="s">
        <v>365</v>
      </c>
      <c r="M93" s="12">
        <v>27.63</v>
      </c>
      <c r="N93" s="10" t="s">
        <v>70</v>
      </c>
      <c r="O93" s="10" t="s">
        <v>270</v>
      </c>
      <c r="P93" s="10" t="s">
        <v>72</v>
      </c>
      <c r="Q93" s="12">
        <v>0.97</v>
      </c>
      <c r="R93" s="10" t="s">
        <v>73</v>
      </c>
      <c r="S93" s="10" t="s">
        <v>0</v>
      </c>
      <c r="T93" s="10" t="s">
        <v>0</v>
      </c>
      <c r="U93" s="10" t="s">
        <v>74</v>
      </c>
    </row>
    <row r="94" spans="1:21" x14ac:dyDescent="0.25">
      <c r="A94" s="9" t="s">
        <v>19</v>
      </c>
      <c r="B94" s="9" t="s">
        <v>60</v>
      </c>
      <c r="C94" s="9" t="s">
        <v>61</v>
      </c>
      <c r="D94" s="9" t="s">
        <v>62</v>
      </c>
      <c r="E94" s="9" t="s">
        <v>374</v>
      </c>
      <c r="F94" s="9" t="s">
        <v>377</v>
      </c>
      <c r="G94" s="9" t="s">
        <v>65</v>
      </c>
      <c r="H94" s="9" t="s">
        <v>376</v>
      </c>
      <c r="I94" s="9" t="s">
        <v>67</v>
      </c>
      <c r="J94" s="9" t="s">
        <v>212</v>
      </c>
      <c r="K94" s="9" t="s">
        <v>376</v>
      </c>
      <c r="L94" s="9" t="s">
        <v>365</v>
      </c>
      <c r="M94" s="11">
        <v>6.87</v>
      </c>
      <c r="N94" s="9" t="s">
        <v>70</v>
      </c>
      <c r="O94" s="9" t="s">
        <v>378</v>
      </c>
      <c r="P94" s="9" t="s">
        <v>72</v>
      </c>
      <c r="Q94" s="11">
        <v>0.76</v>
      </c>
      <c r="R94" s="9" t="s">
        <v>73</v>
      </c>
      <c r="S94" s="9" t="s">
        <v>0</v>
      </c>
      <c r="T94" s="9" t="s">
        <v>0</v>
      </c>
      <c r="U94" s="9" t="s">
        <v>214</v>
      </c>
    </row>
    <row r="95" spans="1:21" x14ac:dyDescent="0.25">
      <c r="A95" s="10" t="s">
        <v>19</v>
      </c>
      <c r="B95" s="10" t="s">
        <v>60</v>
      </c>
      <c r="C95" s="10" t="s">
        <v>61</v>
      </c>
      <c r="D95" s="10" t="s">
        <v>62</v>
      </c>
      <c r="E95" s="10" t="s">
        <v>374</v>
      </c>
      <c r="F95" s="10" t="s">
        <v>377</v>
      </c>
      <c r="G95" s="10" t="s">
        <v>65</v>
      </c>
      <c r="H95" s="10" t="s">
        <v>376</v>
      </c>
      <c r="I95" s="10" t="s">
        <v>67</v>
      </c>
      <c r="J95" s="10" t="s">
        <v>212</v>
      </c>
      <c r="K95" s="10" t="s">
        <v>376</v>
      </c>
      <c r="L95" s="10" t="s">
        <v>365</v>
      </c>
      <c r="M95" s="12">
        <v>59.1</v>
      </c>
      <c r="N95" s="10" t="s">
        <v>70</v>
      </c>
      <c r="O95" s="10" t="s">
        <v>378</v>
      </c>
      <c r="P95" s="10" t="s">
        <v>72</v>
      </c>
      <c r="Q95" s="12">
        <v>6.5</v>
      </c>
      <c r="R95" s="10" t="s">
        <v>73</v>
      </c>
      <c r="S95" s="10" t="s">
        <v>0</v>
      </c>
      <c r="T95" s="10" t="s">
        <v>0</v>
      </c>
      <c r="U95" s="10" t="s">
        <v>214</v>
      </c>
    </row>
    <row r="96" spans="1:21" x14ac:dyDescent="0.25">
      <c r="A96" s="9" t="s">
        <v>19</v>
      </c>
      <c r="B96" s="9" t="s">
        <v>60</v>
      </c>
      <c r="C96" s="9" t="s">
        <v>61</v>
      </c>
      <c r="D96" s="9" t="s">
        <v>62</v>
      </c>
      <c r="E96" s="9" t="s">
        <v>374</v>
      </c>
      <c r="F96" s="9" t="s">
        <v>377</v>
      </c>
      <c r="G96" s="9" t="s">
        <v>65</v>
      </c>
      <c r="H96" s="9" t="s">
        <v>376</v>
      </c>
      <c r="I96" s="9" t="s">
        <v>67</v>
      </c>
      <c r="J96" s="9" t="s">
        <v>212</v>
      </c>
      <c r="K96" s="9" t="s">
        <v>376</v>
      </c>
      <c r="L96" s="9" t="s">
        <v>365</v>
      </c>
      <c r="M96" s="11">
        <v>49.87</v>
      </c>
      <c r="N96" s="9" t="s">
        <v>70</v>
      </c>
      <c r="O96" s="9" t="s">
        <v>378</v>
      </c>
      <c r="P96" s="9" t="s">
        <v>72</v>
      </c>
      <c r="Q96" s="11">
        <v>5.49</v>
      </c>
      <c r="R96" s="9" t="s">
        <v>73</v>
      </c>
      <c r="S96" s="9" t="s">
        <v>0</v>
      </c>
      <c r="T96" s="9" t="s">
        <v>0</v>
      </c>
      <c r="U96" s="9" t="s">
        <v>214</v>
      </c>
    </row>
    <row r="97" spans="1:21" x14ac:dyDescent="0.25">
      <c r="A97" s="10" t="s">
        <v>19</v>
      </c>
      <c r="B97" s="10" t="s">
        <v>60</v>
      </c>
      <c r="C97" s="10" t="s">
        <v>118</v>
      </c>
      <c r="D97" s="10" t="s">
        <v>119</v>
      </c>
      <c r="E97" s="10" t="s">
        <v>379</v>
      </c>
      <c r="F97" s="10" t="s">
        <v>380</v>
      </c>
      <c r="G97" s="10" t="s">
        <v>65</v>
      </c>
      <c r="H97" s="10" t="s">
        <v>381</v>
      </c>
      <c r="I97" s="10" t="s">
        <v>123</v>
      </c>
      <c r="J97" s="10" t="s">
        <v>143</v>
      </c>
      <c r="K97" s="10" t="s">
        <v>382</v>
      </c>
      <c r="L97" s="10" t="s">
        <v>247</v>
      </c>
      <c r="M97" s="12">
        <v>0.97</v>
      </c>
      <c r="N97" s="10" t="s">
        <v>70</v>
      </c>
      <c r="O97" s="10" t="s">
        <v>383</v>
      </c>
      <c r="P97" s="10" t="s">
        <v>72</v>
      </c>
      <c r="Q97" s="12">
        <v>0.12</v>
      </c>
      <c r="R97" s="10" t="s">
        <v>73</v>
      </c>
      <c r="S97" s="10" t="s">
        <v>0</v>
      </c>
      <c r="T97" s="10" t="s">
        <v>0</v>
      </c>
      <c r="U97" s="10" t="s">
        <v>145</v>
      </c>
    </row>
    <row r="98" spans="1:21" x14ac:dyDescent="0.25">
      <c r="A98" s="9" t="s">
        <v>19</v>
      </c>
      <c r="B98" s="9" t="s">
        <v>60</v>
      </c>
      <c r="C98" s="9" t="s">
        <v>118</v>
      </c>
      <c r="D98" s="9" t="s">
        <v>119</v>
      </c>
      <c r="E98" s="9" t="s">
        <v>379</v>
      </c>
      <c r="F98" s="9" t="s">
        <v>380</v>
      </c>
      <c r="G98" s="9" t="s">
        <v>65</v>
      </c>
      <c r="H98" s="9" t="s">
        <v>381</v>
      </c>
      <c r="I98" s="9" t="s">
        <v>123</v>
      </c>
      <c r="J98" s="9" t="s">
        <v>143</v>
      </c>
      <c r="K98" s="9" t="s">
        <v>382</v>
      </c>
      <c r="L98" s="9" t="s">
        <v>247</v>
      </c>
      <c r="M98" s="11">
        <v>8.8000000000000007</v>
      </c>
      <c r="N98" s="9" t="s">
        <v>70</v>
      </c>
      <c r="O98" s="9" t="s">
        <v>383</v>
      </c>
      <c r="P98" s="9" t="s">
        <v>72</v>
      </c>
      <c r="Q98" s="11">
        <v>1.06</v>
      </c>
      <c r="R98" s="9" t="s">
        <v>73</v>
      </c>
      <c r="S98" s="9" t="s">
        <v>0</v>
      </c>
      <c r="T98" s="9" t="s">
        <v>0</v>
      </c>
      <c r="U98" s="9" t="s">
        <v>145</v>
      </c>
    </row>
    <row r="99" spans="1:21" x14ac:dyDescent="0.25">
      <c r="A99" s="10" t="s">
        <v>19</v>
      </c>
      <c r="B99" s="10" t="s">
        <v>60</v>
      </c>
      <c r="C99" s="10" t="s">
        <v>118</v>
      </c>
      <c r="D99" s="10" t="s">
        <v>119</v>
      </c>
      <c r="E99" s="10" t="s">
        <v>379</v>
      </c>
      <c r="F99" s="10" t="s">
        <v>380</v>
      </c>
      <c r="G99" s="10" t="s">
        <v>65</v>
      </c>
      <c r="H99" s="10" t="s">
        <v>381</v>
      </c>
      <c r="I99" s="10" t="s">
        <v>123</v>
      </c>
      <c r="J99" s="10" t="s">
        <v>143</v>
      </c>
      <c r="K99" s="10" t="s">
        <v>382</v>
      </c>
      <c r="L99" s="10" t="s">
        <v>247</v>
      </c>
      <c r="M99" s="12">
        <v>24.55</v>
      </c>
      <c r="N99" s="10" t="s">
        <v>70</v>
      </c>
      <c r="O99" s="10" t="s">
        <v>383</v>
      </c>
      <c r="P99" s="10" t="s">
        <v>72</v>
      </c>
      <c r="Q99" s="12">
        <v>2.95</v>
      </c>
      <c r="R99" s="10" t="s">
        <v>73</v>
      </c>
      <c r="S99" s="10" t="s">
        <v>0</v>
      </c>
      <c r="T99" s="10" t="s">
        <v>0</v>
      </c>
      <c r="U99" s="10" t="s">
        <v>145</v>
      </c>
    </row>
    <row r="100" spans="1:21" x14ac:dyDescent="0.25">
      <c r="A100" s="9" t="s">
        <v>19</v>
      </c>
      <c r="B100" s="9" t="s">
        <v>60</v>
      </c>
      <c r="C100" s="9" t="s">
        <v>118</v>
      </c>
      <c r="D100" s="9" t="s">
        <v>119</v>
      </c>
      <c r="E100" s="9" t="s">
        <v>379</v>
      </c>
      <c r="F100" s="9" t="s">
        <v>380</v>
      </c>
      <c r="G100" s="9" t="s">
        <v>65</v>
      </c>
      <c r="H100" s="9" t="s">
        <v>381</v>
      </c>
      <c r="I100" s="9" t="s">
        <v>123</v>
      </c>
      <c r="J100" s="9" t="s">
        <v>143</v>
      </c>
      <c r="K100" s="9" t="s">
        <v>382</v>
      </c>
      <c r="L100" s="9" t="s">
        <v>247</v>
      </c>
      <c r="M100" s="11">
        <v>15</v>
      </c>
      <c r="N100" s="9" t="s">
        <v>70</v>
      </c>
      <c r="O100" s="9" t="s">
        <v>383</v>
      </c>
      <c r="P100" s="9" t="s">
        <v>72</v>
      </c>
      <c r="Q100" s="11">
        <v>1.8</v>
      </c>
      <c r="R100" s="9" t="s">
        <v>73</v>
      </c>
      <c r="S100" s="9" t="s">
        <v>0</v>
      </c>
      <c r="T100" s="9" t="s">
        <v>0</v>
      </c>
      <c r="U100" s="9" t="s">
        <v>145</v>
      </c>
    </row>
    <row r="101" spans="1:21" x14ac:dyDescent="0.25">
      <c r="A101" s="10" t="s">
        <v>19</v>
      </c>
      <c r="B101" s="10" t="s">
        <v>60</v>
      </c>
      <c r="C101" s="10" t="s">
        <v>61</v>
      </c>
      <c r="D101" s="10" t="s">
        <v>62</v>
      </c>
      <c r="E101" s="10" t="s">
        <v>384</v>
      </c>
      <c r="F101" s="10" t="s">
        <v>385</v>
      </c>
      <c r="G101" s="10" t="s">
        <v>65</v>
      </c>
      <c r="H101" s="10" t="s">
        <v>386</v>
      </c>
      <c r="I101" s="10" t="s">
        <v>67</v>
      </c>
      <c r="J101" s="10" t="s">
        <v>68</v>
      </c>
      <c r="K101" s="10" t="s">
        <v>386</v>
      </c>
      <c r="L101" s="10" t="s">
        <v>387</v>
      </c>
      <c r="M101" s="12">
        <v>22.42</v>
      </c>
      <c r="N101" s="10" t="s">
        <v>70</v>
      </c>
      <c r="O101" s="10" t="s">
        <v>71</v>
      </c>
      <c r="P101" s="10" t="s">
        <v>72</v>
      </c>
      <c r="Q101" s="12">
        <v>0.84</v>
      </c>
      <c r="R101" s="10" t="s">
        <v>73</v>
      </c>
      <c r="S101" s="10" t="s">
        <v>0</v>
      </c>
      <c r="T101" s="10" t="s">
        <v>0</v>
      </c>
      <c r="U101" s="10" t="s">
        <v>74</v>
      </c>
    </row>
    <row r="102" spans="1:21" x14ac:dyDescent="0.25">
      <c r="A102" s="9" t="s">
        <v>19</v>
      </c>
      <c r="B102" s="9" t="s">
        <v>60</v>
      </c>
      <c r="C102" s="9" t="s">
        <v>61</v>
      </c>
      <c r="D102" s="9" t="s">
        <v>62</v>
      </c>
      <c r="E102" s="9" t="s">
        <v>388</v>
      </c>
      <c r="F102" s="9" t="s">
        <v>389</v>
      </c>
      <c r="G102" s="9" t="s">
        <v>65</v>
      </c>
      <c r="H102" s="9" t="s">
        <v>390</v>
      </c>
      <c r="I102" s="9" t="s">
        <v>67</v>
      </c>
      <c r="J102" s="9" t="s">
        <v>68</v>
      </c>
      <c r="K102" s="9" t="s">
        <v>390</v>
      </c>
      <c r="L102" s="9" t="s">
        <v>365</v>
      </c>
      <c r="M102" s="11">
        <v>22.42</v>
      </c>
      <c r="N102" s="9" t="s">
        <v>70</v>
      </c>
      <c r="O102" s="9" t="s">
        <v>71</v>
      </c>
      <c r="P102" s="9" t="s">
        <v>72</v>
      </c>
      <c r="Q102" s="11">
        <v>0.84</v>
      </c>
      <c r="R102" s="9" t="s">
        <v>73</v>
      </c>
      <c r="S102" s="9" t="s">
        <v>0</v>
      </c>
      <c r="T102" s="9" t="s">
        <v>0</v>
      </c>
      <c r="U102" s="9" t="s">
        <v>74</v>
      </c>
    </row>
    <row r="103" spans="1:21" x14ac:dyDescent="0.25">
      <c r="A103" s="10" t="s">
        <v>19</v>
      </c>
      <c r="B103" s="10" t="s">
        <v>60</v>
      </c>
      <c r="C103" s="10" t="s">
        <v>61</v>
      </c>
      <c r="D103" s="10" t="s">
        <v>62</v>
      </c>
      <c r="E103" s="10" t="s">
        <v>391</v>
      </c>
      <c r="F103" s="10" t="s">
        <v>392</v>
      </c>
      <c r="G103" s="10" t="s">
        <v>65</v>
      </c>
      <c r="H103" s="10" t="s">
        <v>390</v>
      </c>
      <c r="I103" s="10" t="s">
        <v>67</v>
      </c>
      <c r="J103" s="10" t="s">
        <v>68</v>
      </c>
      <c r="K103" s="10" t="s">
        <v>390</v>
      </c>
      <c r="L103" s="10" t="s">
        <v>365</v>
      </c>
      <c r="M103" s="12">
        <v>32.130000000000003</v>
      </c>
      <c r="N103" s="10" t="s">
        <v>70</v>
      </c>
      <c r="O103" s="10" t="s">
        <v>71</v>
      </c>
      <c r="P103" s="10" t="s">
        <v>72</v>
      </c>
      <c r="Q103" s="12">
        <v>1.2</v>
      </c>
      <c r="R103" s="10" t="s">
        <v>73</v>
      </c>
      <c r="S103" s="10" t="s">
        <v>0</v>
      </c>
      <c r="T103" s="10" t="s">
        <v>0</v>
      </c>
      <c r="U103" s="10" t="s">
        <v>74</v>
      </c>
    </row>
    <row r="104" spans="1:21" x14ac:dyDescent="0.25">
      <c r="A104" s="9" t="s">
        <v>19</v>
      </c>
      <c r="B104" s="9" t="s">
        <v>60</v>
      </c>
      <c r="C104" s="9" t="s">
        <v>190</v>
      </c>
      <c r="D104" s="9" t="s">
        <v>191</v>
      </c>
      <c r="E104" s="9" t="s">
        <v>393</v>
      </c>
      <c r="F104" s="9" t="s">
        <v>394</v>
      </c>
      <c r="G104" s="9" t="s">
        <v>65</v>
      </c>
      <c r="H104" s="9" t="s">
        <v>395</v>
      </c>
      <c r="I104" s="9" t="s">
        <v>113</v>
      </c>
      <c r="J104" s="9" t="s">
        <v>105</v>
      </c>
      <c r="K104" s="9" t="s">
        <v>396</v>
      </c>
      <c r="L104" s="9" t="s">
        <v>158</v>
      </c>
      <c r="M104" s="11">
        <v>24.83</v>
      </c>
      <c r="N104" s="9" t="s">
        <v>70</v>
      </c>
      <c r="O104" s="9" t="s">
        <v>116</v>
      </c>
      <c r="P104" s="9" t="s">
        <v>72</v>
      </c>
      <c r="Q104" s="11">
        <v>1.99</v>
      </c>
      <c r="R104" s="9" t="s">
        <v>73</v>
      </c>
      <c r="S104" s="9" t="s">
        <v>0</v>
      </c>
      <c r="T104" s="9" t="s">
        <v>0</v>
      </c>
      <c r="U104" s="9" t="s">
        <v>106</v>
      </c>
    </row>
    <row r="105" spans="1:21" x14ac:dyDescent="0.25">
      <c r="A105" s="10" t="s">
        <v>19</v>
      </c>
      <c r="B105" s="10" t="s">
        <v>60</v>
      </c>
      <c r="C105" s="10" t="s">
        <v>190</v>
      </c>
      <c r="D105" s="10" t="s">
        <v>191</v>
      </c>
      <c r="E105" s="10" t="s">
        <v>393</v>
      </c>
      <c r="F105" s="10" t="s">
        <v>397</v>
      </c>
      <c r="G105" s="10" t="s">
        <v>65</v>
      </c>
      <c r="H105" s="10" t="s">
        <v>395</v>
      </c>
      <c r="I105" s="10" t="s">
        <v>113</v>
      </c>
      <c r="J105" s="10" t="s">
        <v>82</v>
      </c>
      <c r="K105" s="10" t="s">
        <v>396</v>
      </c>
      <c r="L105" s="10" t="s">
        <v>158</v>
      </c>
      <c r="M105" s="12">
        <v>26.04</v>
      </c>
      <c r="N105" s="10" t="s">
        <v>70</v>
      </c>
      <c r="O105" s="10" t="s">
        <v>116</v>
      </c>
      <c r="P105" s="10" t="s">
        <v>72</v>
      </c>
      <c r="Q105" s="12">
        <v>2.08</v>
      </c>
      <c r="R105" s="10" t="s">
        <v>73</v>
      </c>
      <c r="S105" s="10" t="s">
        <v>0</v>
      </c>
      <c r="T105" s="10" t="s">
        <v>0</v>
      </c>
      <c r="U105" s="10" t="s">
        <v>86</v>
      </c>
    </row>
    <row r="106" spans="1:21" x14ac:dyDescent="0.25">
      <c r="A106" s="9" t="s">
        <v>19</v>
      </c>
      <c r="B106" s="9" t="s">
        <v>127</v>
      </c>
      <c r="C106" s="9" t="s">
        <v>61</v>
      </c>
      <c r="D106" s="9" t="s">
        <v>62</v>
      </c>
      <c r="E106" s="9" t="s">
        <v>398</v>
      </c>
      <c r="F106" s="9" t="s">
        <v>399</v>
      </c>
      <c r="G106" s="9" t="s">
        <v>79</v>
      </c>
      <c r="H106" s="9" t="s">
        <v>323</v>
      </c>
      <c r="I106" s="9" t="s">
        <v>67</v>
      </c>
      <c r="J106" s="9" t="s">
        <v>68</v>
      </c>
      <c r="K106" s="9" t="s">
        <v>323</v>
      </c>
      <c r="L106" s="9" t="s">
        <v>400</v>
      </c>
      <c r="M106" s="11">
        <v>-27.63</v>
      </c>
      <c r="N106" s="9" t="s">
        <v>70</v>
      </c>
      <c r="O106" s="9" t="s">
        <v>282</v>
      </c>
      <c r="P106" s="9" t="s">
        <v>72</v>
      </c>
      <c r="Q106" s="11">
        <v>-15.75</v>
      </c>
      <c r="R106" s="9" t="s">
        <v>325</v>
      </c>
      <c r="S106" s="9" t="s">
        <v>0</v>
      </c>
      <c r="T106" s="9" t="s">
        <v>0</v>
      </c>
      <c r="U106" s="9" t="s">
        <v>74</v>
      </c>
    </row>
    <row r="107" spans="1:21" x14ac:dyDescent="0.25">
      <c r="A107" s="10" t="s">
        <v>19</v>
      </c>
      <c r="B107" s="10" t="s">
        <v>127</v>
      </c>
      <c r="C107" s="10" t="s">
        <v>61</v>
      </c>
      <c r="D107" s="10" t="s">
        <v>62</v>
      </c>
      <c r="E107" s="10" t="s">
        <v>398</v>
      </c>
      <c r="F107" s="10" t="s">
        <v>401</v>
      </c>
      <c r="G107" s="10" t="s">
        <v>79</v>
      </c>
      <c r="H107" s="10" t="s">
        <v>323</v>
      </c>
      <c r="I107" s="10" t="s">
        <v>67</v>
      </c>
      <c r="J107" s="10" t="s">
        <v>105</v>
      </c>
      <c r="K107" s="10" t="s">
        <v>323</v>
      </c>
      <c r="L107" s="10" t="s">
        <v>400</v>
      </c>
      <c r="M107" s="12">
        <v>-15.21</v>
      </c>
      <c r="N107" s="10" t="s">
        <v>70</v>
      </c>
      <c r="O107" s="10" t="s">
        <v>173</v>
      </c>
      <c r="P107" s="10" t="s">
        <v>72</v>
      </c>
      <c r="Q107" s="12">
        <v>-13.84</v>
      </c>
      <c r="R107" s="10" t="s">
        <v>325</v>
      </c>
      <c r="S107" s="10" t="s">
        <v>0</v>
      </c>
      <c r="T107" s="10" t="s">
        <v>0</v>
      </c>
      <c r="U107" s="10" t="s">
        <v>106</v>
      </c>
    </row>
    <row r="108" spans="1:21" x14ac:dyDescent="0.25">
      <c r="A108" s="9" t="s">
        <v>19</v>
      </c>
      <c r="B108" s="9" t="s">
        <v>60</v>
      </c>
      <c r="C108" s="9" t="s">
        <v>402</v>
      </c>
      <c r="D108" s="9" t="s">
        <v>403</v>
      </c>
      <c r="E108" s="9" t="s">
        <v>404</v>
      </c>
      <c r="F108" s="9" t="s">
        <v>405</v>
      </c>
      <c r="G108" s="9" t="s">
        <v>79</v>
      </c>
      <c r="H108" s="9" t="s">
        <v>406</v>
      </c>
      <c r="I108" s="9" t="s">
        <v>81</v>
      </c>
      <c r="J108" s="9" t="s">
        <v>105</v>
      </c>
      <c r="K108" s="9" t="s">
        <v>407</v>
      </c>
      <c r="L108" s="9" t="s">
        <v>408</v>
      </c>
      <c r="M108" s="11">
        <v>33.75</v>
      </c>
      <c r="N108" s="9" t="s">
        <v>70</v>
      </c>
      <c r="O108" s="9" t="s">
        <v>85</v>
      </c>
      <c r="P108" s="9" t="s">
        <v>72</v>
      </c>
      <c r="Q108" s="11">
        <v>33.75</v>
      </c>
      <c r="R108" s="9" t="s">
        <v>73</v>
      </c>
      <c r="S108" s="9" t="s">
        <v>0</v>
      </c>
      <c r="T108" s="9" t="s">
        <v>0</v>
      </c>
      <c r="U108" s="9" t="s">
        <v>106</v>
      </c>
    </row>
    <row r="109" spans="1:21" x14ac:dyDescent="0.25">
      <c r="A109" s="10" t="s">
        <v>19</v>
      </c>
      <c r="B109" s="10" t="s">
        <v>60</v>
      </c>
      <c r="C109" s="10" t="s">
        <v>402</v>
      </c>
      <c r="D109" s="10" t="s">
        <v>403</v>
      </c>
      <c r="E109" s="10" t="s">
        <v>404</v>
      </c>
      <c r="F109" s="10" t="s">
        <v>409</v>
      </c>
      <c r="G109" s="10" t="s">
        <v>79</v>
      </c>
      <c r="H109" s="10" t="s">
        <v>406</v>
      </c>
      <c r="I109" s="10" t="s">
        <v>81</v>
      </c>
      <c r="J109" s="10" t="s">
        <v>82</v>
      </c>
      <c r="K109" s="10" t="s">
        <v>407</v>
      </c>
      <c r="L109" s="10" t="s">
        <v>408</v>
      </c>
      <c r="M109" s="12">
        <v>34.17</v>
      </c>
      <c r="N109" s="10" t="s">
        <v>70</v>
      </c>
      <c r="O109" s="10" t="s">
        <v>85</v>
      </c>
      <c r="P109" s="10" t="s">
        <v>72</v>
      </c>
      <c r="Q109" s="12">
        <v>34.17</v>
      </c>
      <c r="R109" s="10" t="s">
        <v>73</v>
      </c>
      <c r="S109" s="10" t="s">
        <v>0</v>
      </c>
      <c r="T109" s="10" t="s">
        <v>0</v>
      </c>
      <c r="U109" s="10" t="s">
        <v>86</v>
      </c>
    </row>
    <row r="110" spans="1:21" x14ac:dyDescent="0.25">
      <c r="A110" s="9" t="s">
        <v>19</v>
      </c>
      <c r="B110" s="9" t="s">
        <v>60</v>
      </c>
      <c r="C110" s="9" t="s">
        <v>166</v>
      </c>
      <c r="D110" s="9" t="s">
        <v>167</v>
      </c>
      <c r="E110" s="9" t="s">
        <v>410</v>
      </c>
      <c r="F110" s="9" t="s">
        <v>411</v>
      </c>
      <c r="G110" s="9" t="s">
        <v>79</v>
      </c>
      <c r="H110" s="9" t="s">
        <v>412</v>
      </c>
      <c r="I110" s="9" t="s">
        <v>67</v>
      </c>
      <c r="J110" s="9" t="s">
        <v>105</v>
      </c>
      <c r="K110" s="9" t="s">
        <v>413</v>
      </c>
      <c r="L110" s="9" t="s">
        <v>365</v>
      </c>
      <c r="M110" s="11">
        <v>97.33</v>
      </c>
      <c r="N110" s="9" t="s">
        <v>70</v>
      </c>
      <c r="O110" s="9" t="s">
        <v>126</v>
      </c>
      <c r="P110" s="9" t="s">
        <v>72</v>
      </c>
      <c r="Q110" s="11">
        <v>92.46</v>
      </c>
      <c r="R110" s="9" t="s">
        <v>73</v>
      </c>
      <c r="S110" s="9" t="s">
        <v>0</v>
      </c>
      <c r="T110" s="9" t="s">
        <v>0</v>
      </c>
      <c r="U110" s="9" t="s">
        <v>106</v>
      </c>
    </row>
    <row r="111" spans="1:21" x14ac:dyDescent="0.25">
      <c r="A111" s="10" t="s">
        <v>19</v>
      </c>
      <c r="B111" s="10" t="s">
        <v>60</v>
      </c>
      <c r="C111" s="10" t="s">
        <v>166</v>
      </c>
      <c r="D111" s="10" t="s">
        <v>167</v>
      </c>
      <c r="E111" s="10" t="s">
        <v>410</v>
      </c>
      <c r="F111" s="10" t="s">
        <v>414</v>
      </c>
      <c r="G111" s="10" t="s">
        <v>79</v>
      </c>
      <c r="H111" s="10" t="s">
        <v>412</v>
      </c>
      <c r="I111" s="10" t="s">
        <v>67</v>
      </c>
      <c r="J111" s="10" t="s">
        <v>82</v>
      </c>
      <c r="K111" s="10" t="s">
        <v>413</v>
      </c>
      <c r="L111" s="10" t="s">
        <v>365</v>
      </c>
      <c r="M111" s="12">
        <v>99</v>
      </c>
      <c r="N111" s="10" t="s">
        <v>70</v>
      </c>
      <c r="O111" s="10" t="s">
        <v>126</v>
      </c>
      <c r="P111" s="10" t="s">
        <v>72</v>
      </c>
      <c r="Q111" s="12">
        <v>94.05</v>
      </c>
      <c r="R111" s="10" t="s">
        <v>73</v>
      </c>
      <c r="S111" s="10" t="s">
        <v>0</v>
      </c>
      <c r="T111" s="10" t="s">
        <v>0</v>
      </c>
      <c r="U111" s="10" t="s">
        <v>86</v>
      </c>
    </row>
    <row r="112" spans="1:21" x14ac:dyDescent="0.25">
      <c r="A112" s="9" t="s">
        <v>19</v>
      </c>
      <c r="B112" s="9" t="s">
        <v>60</v>
      </c>
      <c r="C112" s="9" t="s">
        <v>95</v>
      </c>
      <c r="D112" s="9" t="s">
        <v>96</v>
      </c>
      <c r="E112" s="9" t="s">
        <v>415</v>
      </c>
      <c r="F112" s="9" t="s">
        <v>416</v>
      </c>
      <c r="G112" s="9" t="s">
        <v>79</v>
      </c>
      <c r="H112" s="9" t="s">
        <v>417</v>
      </c>
      <c r="I112" s="9" t="s">
        <v>81</v>
      </c>
      <c r="J112" s="9" t="s">
        <v>212</v>
      </c>
      <c r="K112" s="9" t="s">
        <v>417</v>
      </c>
      <c r="L112" s="9" t="s">
        <v>247</v>
      </c>
      <c r="M112" s="11">
        <v>101.9</v>
      </c>
      <c r="N112" s="9" t="s">
        <v>70</v>
      </c>
      <c r="O112" s="9" t="s">
        <v>144</v>
      </c>
      <c r="P112" s="9" t="s">
        <v>72</v>
      </c>
      <c r="Q112" s="11">
        <v>66.239999999999995</v>
      </c>
      <c r="R112" s="9" t="s">
        <v>73</v>
      </c>
      <c r="S112" s="9" t="s">
        <v>0</v>
      </c>
      <c r="T112" s="9" t="s">
        <v>0</v>
      </c>
      <c r="U112" s="9" t="s">
        <v>214</v>
      </c>
    </row>
    <row r="113" spans="1:21" x14ac:dyDescent="0.25">
      <c r="A113" s="10" t="s">
        <v>19</v>
      </c>
      <c r="B113" s="10" t="s">
        <v>127</v>
      </c>
      <c r="C113" s="10" t="s">
        <v>87</v>
      </c>
      <c r="D113" s="10" t="s">
        <v>88</v>
      </c>
      <c r="E113" s="10" t="s">
        <v>89</v>
      </c>
      <c r="F113" s="10" t="s">
        <v>90</v>
      </c>
      <c r="G113" s="10" t="s">
        <v>79</v>
      </c>
      <c r="H113" s="10" t="s">
        <v>91</v>
      </c>
      <c r="I113" s="10" t="s">
        <v>67</v>
      </c>
      <c r="J113" s="10" t="s">
        <v>68</v>
      </c>
      <c r="K113" s="10" t="s">
        <v>92</v>
      </c>
      <c r="L113" s="10" t="s">
        <v>418</v>
      </c>
      <c r="M113" s="12">
        <v>-27.63</v>
      </c>
      <c r="N113" s="10" t="s">
        <v>70</v>
      </c>
      <c r="O113" s="10" t="s">
        <v>94</v>
      </c>
      <c r="P113" s="10" t="s">
        <v>72</v>
      </c>
      <c r="Q113" s="12">
        <v>-16.03</v>
      </c>
      <c r="R113" s="10" t="s">
        <v>73</v>
      </c>
      <c r="S113" s="10" t="s">
        <v>0</v>
      </c>
      <c r="T113" s="10" t="s">
        <v>0</v>
      </c>
      <c r="U113" s="10" t="s">
        <v>74</v>
      </c>
    </row>
    <row r="114" spans="1:21" x14ac:dyDescent="0.25">
      <c r="A114" s="9" t="s">
        <v>19</v>
      </c>
      <c r="B114" s="9" t="s">
        <v>60</v>
      </c>
      <c r="C114" s="9" t="s">
        <v>95</v>
      </c>
      <c r="D114" s="9" t="s">
        <v>96</v>
      </c>
      <c r="E114" s="9" t="s">
        <v>419</v>
      </c>
      <c r="F114" s="9" t="s">
        <v>420</v>
      </c>
      <c r="G114" s="9" t="s">
        <v>79</v>
      </c>
      <c r="H114" s="9" t="s">
        <v>421</v>
      </c>
      <c r="I114" s="9" t="s">
        <v>123</v>
      </c>
      <c r="J114" s="9" t="s">
        <v>105</v>
      </c>
      <c r="K114" s="9" t="s">
        <v>422</v>
      </c>
      <c r="L114" s="9" t="s">
        <v>423</v>
      </c>
      <c r="M114" s="11">
        <v>28.39</v>
      </c>
      <c r="N114" s="9" t="s">
        <v>70</v>
      </c>
      <c r="O114" s="9" t="s">
        <v>85</v>
      </c>
      <c r="P114" s="9" t="s">
        <v>72</v>
      </c>
      <c r="Q114" s="11">
        <v>28.39</v>
      </c>
      <c r="R114" s="9" t="s">
        <v>73</v>
      </c>
      <c r="S114" s="9" t="s">
        <v>0</v>
      </c>
      <c r="T114" s="9" t="s">
        <v>0</v>
      </c>
      <c r="U114" s="9" t="s">
        <v>106</v>
      </c>
    </row>
    <row r="115" spans="1:21" x14ac:dyDescent="0.25">
      <c r="A115" s="10" t="s">
        <v>19</v>
      </c>
      <c r="B115" s="10" t="s">
        <v>60</v>
      </c>
      <c r="C115" s="10" t="s">
        <v>166</v>
      </c>
      <c r="D115" s="10" t="s">
        <v>167</v>
      </c>
      <c r="E115" s="10" t="s">
        <v>424</v>
      </c>
      <c r="F115" s="10" t="s">
        <v>425</v>
      </c>
      <c r="G115" s="10" t="s">
        <v>79</v>
      </c>
      <c r="H115" s="10" t="s">
        <v>426</v>
      </c>
      <c r="I115" s="10" t="s">
        <v>67</v>
      </c>
      <c r="J115" s="10" t="s">
        <v>105</v>
      </c>
      <c r="K115" s="10" t="s">
        <v>219</v>
      </c>
      <c r="L115" s="10" t="s">
        <v>69</v>
      </c>
      <c r="M115" s="12">
        <v>60.83</v>
      </c>
      <c r="N115" s="10" t="s">
        <v>70</v>
      </c>
      <c r="O115" s="10" t="s">
        <v>126</v>
      </c>
      <c r="P115" s="10" t="s">
        <v>72</v>
      </c>
      <c r="Q115" s="12">
        <v>57.79</v>
      </c>
      <c r="R115" s="10" t="s">
        <v>73</v>
      </c>
      <c r="S115" s="10" t="s">
        <v>0</v>
      </c>
      <c r="T115" s="10" t="s">
        <v>0</v>
      </c>
      <c r="U115" s="10" t="s">
        <v>106</v>
      </c>
    </row>
    <row r="116" spans="1:21" x14ac:dyDescent="0.25">
      <c r="A116" s="9" t="s">
        <v>19</v>
      </c>
      <c r="B116" s="9" t="s">
        <v>60</v>
      </c>
      <c r="C116" s="9" t="s">
        <v>166</v>
      </c>
      <c r="D116" s="9" t="s">
        <v>167</v>
      </c>
      <c r="E116" s="9" t="s">
        <v>424</v>
      </c>
      <c r="F116" s="9" t="s">
        <v>427</v>
      </c>
      <c r="G116" s="9" t="s">
        <v>79</v>
      </c>
      <c r="H116" s="9" t="s">
        <v>426</v>
      </c>
      <c r="I116" s="9" t="s">
        <v>67</v>
      </c>
      <c r="J116" s="9" t="s">
        <v>82</v>
      </c>
      <c r="K116" s="9" t="s">
        <v>219</v>
      </c>
      <c r="L116" s="9" t="s">
        <v>69</v>
      </c>
      <c r="M116" s="11">
        <v>61.87</v>
      </c>
      <c r="N116" s="9" t="s">
        <v>70</v>
      </c>
      <c r="O116" s="9" t="s">
        <v>126</v>
      </c>
      <c r="P116" s="9" t="s">
        <v>72</v>
      </c>
      <c r="Q116" s="11">
        <v>58.78</v>
      </c>
      <c r="R116" s="9" t="s">
        <v>73</v>
      </c>
      <c r="S116" s="9" t="s">
        <v>0</v>
      </c>
      <c r="T116" s="9" t="s">
        <v>0</v>
      </c>
      <c r="U116" s="9" t="s">
        <v>86</v>
      </c>
    </row>
    <row r="117" spans="1:21" x14ac:dyDescent="0.25">
      <c r="A117" s="10" t="s">
        <v>19</v>
      </c>
      <c r="B117" s="10" t="s">
        <v>60</v>
      </c>
      <c r="C117" s="10" t="s">
        <v>95</v>
      </c>
      <c r="D117" s="10" t="s">
        <v>96</v>
      </c>
      <c r="E117" s="10" t="s">
        <v>428</v>
      </c>
      <c r="F117" s="10" t="s">
        <v>429</v>
      </c>
      <c r="G117" s="10" t="s">
        <v>79</v>
      </c>
      <c r="H117" s="10" t="s">
        <v>426</v>
      </c>
      <c r="I117" s="10" t="s">
        <v>220</v>
      </c>
      <c r="J117" s="10" t="s">
        <v>212</v>
      </c>
      <c r="K117" s="10" t="s">
        <v>426</v>
      </c>
      <c r="L117" s="10" t="s">
        <v>365</v>
      </c>
      <c r="M117" s="12">
        <v>28.4</v>
      </c>
      <c r="N117" s="10" t="s">
        <v>70</v>
      </c>
      <c r="O117" s="10" t="s">
        <v>213</v>
      </c>
      <c r="P117" s="10" t="s">
        <v>72</v>
      </c>
      <c r="Q117" s="12">
        <v>17.04</v>
      </c>
      <c r="R117" s="10" t="s">
        <v>73</v>
      </c>
      <c r="S117" s="10" t="s">
        <v>0</v>
      </c>
      <c r="T117" s="10" t="s">
        <v>0</v>
      </c>
      <c r="U117" s="10" t="s">
        <v>214</v>
      </c>
    </row>
    <row r="118" spans="1:21" x14ac:dyDescent="0.25">
      <c r="A118" s="9" t="s">
        <v>19</v>
      </c>
      <c r="B118" s="9" t="s">
        <v>60</v>
      </c>
      <c r="C118" s="9" t="s">
        <v>95</v>
      </c>
      <c r="D118" s="9" t="s">
        <v>96</v>
      </c>
      <c r="E118" s="9" t="s">
        <v>430</v>
      </c>
      <c r="F118" s="9" t="s">
        <v>431</v>
      </c>
      <c r="G118" s="9" t="s">
        <v>79</v>
      </c>
      <c r="H118" s="9" t="s">
        <v>432</v>
      </c>
      <c r="I118" s="9" t="s">
        <v>81</v>
      </c>
      <c r="J118" s="9" t="s">
        <v>105</v>
      </c>
      <c r="K118" s="9" t="s">
        <v>432</v>
      </c>
      <c r="L118" s="9" t="s">
        <v>247</v>
      </c>
      <c r="M118" s="11">
        <v>27.8</v>
      </c>
      <c r="N118" s="9" t="s">
        <v>70</v>
      </c>
      <c r="O118" s="9" t="s">
        <v>100</v>
      </c>
      <c r="P118" s="9" t="s">
        <v>72</v>
      </c>
      <c r="Q118" s="11">
        <v>29.19</v>
      </c>
      <c r="R118" s="9" t="s">
        <v>73</v>
      </c>
      <c r="S118" s="9" t="s">
        <v>0</v>
      </c>
      <c r="T118" s="9" t="s">
        <v>0</v>
      </c>
      <c r="U118" s="9" t="s">
        <v>106</v>
      </c>
    </row>
    <row r="119" spans="1:21" x14ac:dyDescent="0.25">
      <c r="A119" s="10" t="s">
        <v>19</v>
      </c>
      <c r="B119" s="10" t="s">
        <v>60</v>
      </c>
      <c r="C119" s="10" t="s">
        <v>95</v>
      </c>
      <c r="D119" s="10" t="s">
        <v>96</v>
      </c>
      <c r="E119" s="10" t="s">
        <v>430</v>
      </c>
      <c r="F119" s="10" t="s">
        <v>433</v>
      </c>
      <c r="G119" s="10" t="s">
        <v>79</v>
      </c>
      <c r="H119" s="10" t="s">
        <v>432</v>
      </c>
      <c r="I119" s="10" t="s">
        <v>81</v>
      </c>
      <c r="J119" s="10" t="s">
        <v>82</v>
      </c>
      <c r="K119" s="10" t="s">
        <v>432</v>
      </c>
      <c r="L119" s="10" t="s">
        <v>247</v>
      </c>
      <c r="M119" s="12">
        <v>28.27</v>
      </c>
      <c r="N119" s="10" t="s">
        <v>70</v>
      </c>
      <c r="O119" s="10" t="s">
        <v>100</v>
      </c>
      <c r="P119" s="10" t="s">
        <v>72</v>
      </c>
      <c r="Q119" s="12">
        <v>29.68</v>
      </c>
      <c r="R119" s="10" t="s">
        <v>73</v>
      </c>
      <c r="S119" s="10" t="s">
        <v>0</v>
      </c>
      <c r="T119" s="10" t="s">
        <v>0</v>
      </c>
      <c r="U119" s="10" t="s">
        <v>86</v>
      </c>
    </row>
    <row r="120" spans="1:21" x14ac:dyDescent="0.25">
      <c r="A120" s="9" t="s">
        <v>19</v>
      </c>
      <c r="B120" s="9" t="s">
        <v>60</v>
      </c>
      <c r="C120" s="9" t="s">
        <v>95</v>
      </c>
      <c r="D120" s="9" t="s">
        <v>96</v>
      </c>
      <c r="E120" s="9" t="s">
        <v>430</v>
      </c>
      <c r="F120" s="9" t="s">
        <v>434</v>
      </c>
      <c r="G120" s="9" t="s">
        <v>79</v>
      </c>
      <c r="H120" s="9" t="s">
        <v>432</v>
      </c>
      <c r="I120" s="9" t="s">
        <v>81</v>
      </c>
      <c r="J120" s="9" t="s">
        <v>143</v>
      </c>
      <c r="K120" s="9" t="s">
        <v>432</v>
      </c>
      <c r="L120" s="9" t="s">
        <v>247</v>
      </c>
      <c r="M120" s="11">
        <v>22.08</v>
      </c>
      <c r="N120" s="9" t="s">
        <v>70</v>
      </c>
      <c r="O120" s="9" t="s">
        <v>144</v>
      </c>
      <c r="P120" s="9" t="s">
        <v>72</v>
      </c>
      <c r="Q120" s="11">
        <v>14.35</v>
      </c>
      <c r="R120" s="9" t="s">
        <v>73</v>
      </c>
      <c r="S120" s="9" t="s">
        <v>0</v>
      </c>
      <c r="T120" s="9" t="s">
        <v>0</v>
      </c>
      <c r="U120" s="9" t="s">
        <v>145</v>
      </c>
    </row>
    <row r="121" spans="1:21" x14ac:dyDescent="0.25">
      <c r="A121" s="10" t="s">
        <v>19</v>
      </c>
      <c r="B121" s="10" t="s">
        <v>60</v>
      </c>
      <c r="C121" s="10" t="s">
        <v>95</v>
      </c>
      <c r="D121" s="10" t="s">
        <v>96</v>
      </c>
      <c r="E121" s="10" t="s">
        <v>430</v>
      </c>
      <c r="F121" s="10" t="s">
        <v>434</v>
      </c>
      <c r="G121" s="10" t="s">
        <v>79</v>
      </c>
      <c r="H121" s="10" t="s">
        <v>432</v>
      </c>
      <c r="I121" s="10" t="s">
        <v>81</v>
      </c>
      <c r="J121" s="10" t="s">
        <v>143</v>
      </c>
      <c r="K121" s="10" t="s">
        <v>432</v>
      </c>
      <c r="L121" s="10" t="s">
        <v>247</v>
      </c>
      <c r="M121" s="12">
        <v>34</v>
      </c>
      <c r="N121" s="10" t="s">
        <v>70</v>
      </c>
      <c r="O121" s="10" t="s">
        <v>144</v>
      </c>
      <c r="P121" s="10" t="s">
        <v>72</v>
      </c>
      <c r="Q121" s="12">
        <v>22.1</v>
      </c>
      <c r="R121" s="10" t="s">
        <v>73</v>
      </c>
      <c r="S121" s="10" t="s">
        <v>0</v>
      </c>
      <c r="T121" s="10" t="s">
        <v>0</v>
      </c>
      <c r="U121" s="10" t="s">
        <v>145</v>
      </c>
    </row>
    <row r="122" spans="1:21" x14ac:dyDescent="0.25">
      <c r="A122" s="9" t="s">
        <v>19</v>
      </c>
      <c r="B122" s="9" t="s">
        <v>60</v>
      </c>
      <c r="C122" s="9" t="s">
        <v>95</v>
      </c>
      <c r="D122" s="9" t="s">
        <v>96</v>
      </c>
      <c r="E122" s="9" t="s">
        <v>430</v>
      </c>
      <c r="F122" s="9" t="s">
        <v>434</v>
      </c>
      <c r="G122" s="9" t="s">
        <v>79</v>
      </c>
      <c r="H122" s="9" t="s">
        <v>432</v>
      </c>
      <c r="I122" s="9" t="s">
        <v>81</v>
      </c>
      <c r="J122" s="9" t="s">
        <v>143</v>
      </c>
      <c r="K122" s="9" t="s">
        <v>432</v>
      </c>
      <c r="L122" s="9" t="s">
        <v>247</v>
      </c>
      <c r="M122" s="11">
        <v>15.8</v>
      </c>
      <c r="N122" s="9" t="s">
        <v>70</v>
      </c>
      <c r="O122" s="9" t="s">
        <v>144</v>
      </c>
      <c r="P122" s="9" t="s">
        <v>72</v>
      </c>
      <c r="Q122" s="11">
        <v>10.27</v>
      </c>
      <c r="R122" s="9" t="s">
        <v>73</v>
      </c>
      <c r="S122" s="9" t="s">
        <v>0</v>
      </c>
      <c r="T122" s="9" t="s">
        <v>0</v>
      </c>
      <c r="U122" s="9" t="s">
        <v>145</v>
      </c>
    </row>
    <row r="123" spans="1:21" x14ac:dyDescent="0.25">
      <c r="A123" s="10" t="s">
        <v>19</v>
      </c>
      <c r="B123" s="10" t="s">
        <v>60</v>
      </c>
      <c r="C123" s="10" t="s">
        <v>95</v>
      </c>
      <c r="D123" s="10" t="s">
        <v>96</v>
      </c>
      <c r="E123" s="10" t="s">
        <v>435</v>
      </c>
      <c r="F123" s="10" t="s">
        <v>436</v>
      </c>
      <c r="G123" s="10" t="s">
        <v>79</v>
      </c>
      <c r="H123" s="10" t="s">
        <v>437</v>
      </c>
      <c r="I123" s="10" t="s">
        <v>81</v>
      </c>
      <c r="J123" s="10" t="s">
        <v>105</v>
      </c>
      <c r="K123" s="10" t="s">
        <v>437</v>
      </c>
      <c r="L123" s="10" t="s">
        <v>365</v>
      </c>
      <c r="M123" s="12">
        <v>13.5</v>
      </c>
      <c r="N123" s="10" t="s">
        <v>70</v>
      </c>
      <c r="O123" s="10" t="s">
        <v>100</v>
      </c>
      <c r="P123" s="10" t="s">
        <v>72</v>
      </c>
      <c r="Q123" s="12">
        <v>14.18</v>
      </c>
      <c r="R123" s="10" t="s">
        <v>73</v>
      </c>
      <c r="S123" s="10" t="s">
        <v>0</v>
      </c>
      <c r="T123" s="10" t="s">
        <v>0</v>
      </c>
      <c r="U123" s="10" t="s">
        <v>106</v>
      </c>
    </row>
    <row r="124" spans="1:21" x14ac:dyDescent="0.25">
      <c r="A124" s="9" t="s">
        <v>19</v>
      </c>
      <c r="B124" s="9" t="s">
        <v>60</v>
      </c>
      <c r="C124" s="9" t="s">
        <v>95</v>
      </c>
      <c r="D124" s="9" t="s">
        <v>96</v>
      </c>
      <c r="E124" s="9" t="s">
        <v>438</v>
      </c>
      <c r="F124" s="9" t="s">
        <v>439</v>
      </c>
      <c r="G124" s="9" t="s">
        <v>79</v>
      </c>
      <c r="H124" s="9" t="s">
        <v>84</v>
      </c>
      <c r="I124" s="9" t="s">
        <v>123</v>
      </c>
      <c r="J124" s="9" t="s">
        <v>82</v>
      </c>
      <c r="K124" s="9" t="s">
        <v>84</v>
      </c>
      <c r="L124" s="9" t="s">
        <v>158</v>
      </c>
      <c r="M124" s="11">
        <v>25.36</v>
      </c>
      <c r="N124" s="9" t="s">
        <v>70</v>
      </c>
      <c r="O124" s="9" t="s">
        <v>85</v>
      </c>
      <c r="P124" s="9" t="s">
        <v>72</v>
      </c>
      <c r="Q124" s="11">
        <v>25.36</v>
      </c>
      <c r="R124" s="9" t="s">
        <v>73</v>
      </c>
      <c r="S124" s="9" t="s">
        <v>0</v>
      </c>
      <c r="T124" s="9" t="s">
        <v>0</v>
      </c>
      <c r="U124" s="9" t="s">
        <v>86</v>
      </c>
    </row>
    <row r="125" spans="1:21" x14ac:dyDescent="0.25">
      <c r="A125" s="10" t="s">
        <v>19</v>
      </c>
      <c r="B125" s="10" t="s">
        <v>60</v>
      </c>
      <c r="C125" s="10" t="s">
        <v>95</v>
      </c>
      <c r="D125" s="10" t="s">
        <v>96</v>
      </c>
      <c r="E125" s="10" t="s">
        <v>438</v>
      </c>
      <c r="F125" s="10" t="s">
        <v>440</v>
      </c>
      <c r="G125" s="10" t="s">
        <v>79</v>
      </c>
      <c r="H125" s="10" t="s">
        <v>84</v>
      </c>
      <c r="I125" s="10" t="s">
        <v>123</v>
      </c>
      <c r="J125" s="10" t="s">
        <v>143</v>
      </c>
      <c r="K125" s="10" t="s">
        <v>84</v>
      </c>
      <c r="L125" s="10" t="s">
        <v>158</v>
      </c>
      <c r="M125" s="12">
        <v>1.22</v>
      </c>
      <c r="N125" s="10" t="s">
        <v>70</v>
      </c>
      <c r="O125" s="10" t="s">
        <v>213</v>
      </c>
      <c r="P125" s="10" t="s">
        <v>72</v>
      </c>
      <c r="Q125" s="12">
        <v>0.73</v>
      </c>
      <c r="R125" s="10" t="s">
        <v>73</v>
      </c>
      <c r="S125" s="10" t="s">
        <v>0</v>
      </c>
      <c r="T125" s="10" t="s">
        <v>0</v>
      </c>
      <c r="U125" s="10" t="s">
        <v>145</v>
      </c>
    </row>
    <row r="126" spans="1:21" x14ac:dyDescent="0.25">
      <c r="A126" s="9" t="s">
        <v>19</v>
      </c>
      <c r="B126" s="9" t="s">
        <v>60</v>
      </c>
      <c r="C126" s="9" t="s">
        <v>95</v>
      </c>
      <c r="D126" s="9" t="s">
        <v>96</v>
      </c>
      <c r="E126" s="9" t="s">
        <v>438</v>
      </c>
      <c r="F126" s="9" t="s">
        <v>440</v>
      </c>
      <c r="G126" s="9" t="s">
        <v>79</v>
      </c>
      <c r="H126" s="9" t="s">
        <v>84</v>
      </c>
      <c r="I126" s="9" t="s">
        <v>123</v>
      </c>
      <c r="J126" s="9" t="s">
        <v>143</v>
      </c>
      <c r="K126" s="9" t="s">
        <v>84</v>
      </c>
      <c r="L126" s="9" t="s">
        <v>158</v>
      </c>
      <c r="M126" s="11">
        <v>11.83</v>
      </c>
      <c r="N126" s="9" t="s">
        <v>70</v>
      </c>
      <c r="O126" s="9" t="s">
        <v>213</v>
      </c>
      <c r="P126" s="9" t="s">
        <v>72</v>
      </c>
      <c r="Q126" s="11">
        <v>7.1</v>
      </c>
      <c r="R126" s="9" t="s">
        <v>73</v>
      </c>
      <c r="S126" s="9" t="s">
        <v>0</v>
      </c>
      <c r="T126" s="9" t="s">
        <v>0</v>
      </c>
      <c r="U126" s="9" t="s">
        <v>145</v>
      </c>
    </row>
    <row r="127" spans="1:21" x14ac:dyDescent="0.25">
      <c r="A127" s="10" t="s">
        <v>19</v>
      </c>
      <c r="B127" s="10" t="s">
        <v>60</v>
      </c>
      <c r="C127" s="10" t="s">
        <v>95</v>
      </c>
      <c r="D127" s="10" t="s">
        <v>96</v>
      </c>
      <c r="E127" s="10" t="s">
        <v>438</v>
      </c>
      <c r="F127" s="10" t="s">
        <v>440</v>
      </c>
      <c r="G127" s="10" t="s">
        <v>79</v>
      </c>
      <c r="H127" s="10" t="s">
        <v>84</v>
      </c>
      <c r="I127" s="10" t="s">
        <v>123</v>
      </c>
      <c r="J127" s="10" t="s">
        <v>143</v>
      </c>
      <c r="K127" s="10" t="s">
        <v>84</v>
      </c>
      <c r="L127" s="10" t="s">
        <v>158</v>
      </c>
      <c r="M127" s="12">
        <v>6.85</v>
      </c>
      <c r="N127" s="10" t="s">
        <v>70</v>
      </c>
      <c r="O127" s="10" t="s">
        <v>213</v>
      </c>
      <c r="P127" s="10" t="s">
        <v>72</v>
      </c>
      <c r="Q127" s="12">
        <v>4.1100000000000003</v>
      </c>
      <c r="R127" s="10" t="s">
        <v>73</v>
      </c>
      <c r="S127" s="10" t="s">
        <v>0</v>
      </c>
      <c r="T127" s="10" t="s">
        <v>0</v>
      </c>
      <c r="U127" s="10" t="s">
        <v>145</v>
      </c>
    </row>
    <row r="128" spans="1:21" x14ac:dyDescent="0.25">
      <c r="A128" s="9" t="s">
        <v>19</v>
      </c>
      <c r="B128" s="9" t="s">
        <v>60</v>
      </c>
      <c r="C128" s="9" t="s">
        <v>95</v>
      </c>
      <c r="D128" s="9" t="s">
        <v>96</v>
      </c>
      <c r="E128" s="9" t="s">
        <v>438</v>
      </c>
      <c r="F128" s="9" t="s">
        <v>440</v>
      </c>
      <c r="G128" s="9" t="s">
        <v>79</v>
      </c>
      <c r="H128" s="9" t="s">
        <v>84</v>
      </c>
      <c r="I128" s="9" t="s">
        <v>123</v>
      </c>
      <c r="J128" s="9" t="s">
        <v>143</v>
      </c>
      <c r="K128" s="9" t="s">
        <v>84</v>
      </c>
      <c r="L128" s="9" t="s">
        <v>158</v>
      </c>
      <c r="M128" s="11">
        <v>4.41</v>
      </c>
      <c r="N128" s="9" t="s">
        <v>70</v>
      </c>
      <c r="O128" s="9" t="s">
        <v>213</v>
      </c>
      <c r="P128" s="9" t="s">
        <v>72</v>
      </c>
      <c r="Q128" s="11">
        <v>2.65</v>
      </c>
      <c r="R128" s="9" t="s">
        <v>73</v>
      </c>
      <c r="S128" s="9" t="s">
        <v>0</v>
      </c>
      <c r="T128" s="9" t="s">
        <v>0</v>
      </c>
      <c r="U128" s="9" t="s">
        <v>145</v>
      </c>
    </row>
    <row r="129" spans="1:21" x14ac:dyDescent="0.25">
      <c r="A129" s="10" t="s">
        <v>19</v>
      </c>
      <c r="B129" s="10" t="s">
        <v>60</v>
      </c>
      <c r="C129" s="10" t="s">
        <v>95</v>
      </c>
      <c r="D129" s="10" t="s">
        <v>96</v>
      </c>
      <c r="E129" s="10" t="s">
        <v>438</v>
      </c>
      <c r="F129" s="10" t="s">
        <v>440</v>
      </c>
      <c r="G129" s="10" t="s">
        <v>79</v>
      </c>
      <c r="H129" s="10" t="s">
        <v>84</v>
      </c>
      <c r="I129" s="10" t="s">
        <v>123</v>
      </c>
      <c r="J129" s="10" t="s">
        <v>143</v>
      </c>
      <c r="K129" s="10" t="s">
        <v>84</v>
      </c>
      <c r="L129" s="10" t="s">
        <v>158</v>
      </c>
      <c r="M129" s="12">
        <v>6.13</v>
      </c>
      <c r="N129" s="10" t="s">
        <v>70</v>
      </c>
      <c r="O129" s="10" t="s">
        <v>213</v>
      </c>
      <c r="P129" s="10" t="s">
        <v>72</v>
      </c>
      <c r="Q129" s="12">
        <v>3.68</v>
      </c>
      <c r="R129" s="10" t="s">
        <v>73</v>
      </c>
      <c r="S129" s="10" t="s">
        <v>0</v>
      </c>
      <c r="T129" s="10" t="s">
        <v>0</v>
      </c>
      <c r="U129" s="10" t="s">
        <v>145</v>
      </c>
    </row>
    <row r="130" spans="1:21" x14ac:dyDescent="0.25">
      <c r="A130" s="9" t="s">
        <v>19</v>
      </c>
      <c r="B130" s="9" t="s">
        <v>60</v>
      </c>
      <c r="C130" s="9" t="s">
        <v>95</v>
      </c>
      <c r="D130" s="9" t="s">
        <v>96</v>
      </c>
      <c r="E130" s="9" t="s">
        <v>438</v>
      </c>
      <c r="F130" s="9" t="s">
        <v>440</v>
      </c>
      <c r="G130" s="9" t="s">
        <v>79</v>
      </c>
      <c r="H130" s="9" t="s">
        <v>84</v>
      </c>
      <c r="I130" s="9" t="s">
        <v>123</v>
      </c>
      <c r="J130" s="9" t="s">
        <v>143</v>
      </c>
      <c r="K130" s="9" t="s">
        <v>84</v>
      </c>
      <c r="L130" s="9" t="s">
        <v>158</v>
      </c>
      <c r="M130" s="11">
        <v>16.670000000000002</v>
      </c>
      <c r="N130" s="9" t="s">
        <v>70</v>
      </c>
      <c r="O130" s="9" t="s">
        <v>213</v>
      </c>
      <c r="P130" s="9" t="s">
        <v>72</v>
      </c>
      <c r="Q130" s="11">
        <v>10</v>
      </c>
      <c r="R130" s="9" t="s">
        <v>73</v>
      </c>
      <c r="S130" s="9" t="s">
        <v>0</v>
      </c>
      <c r="T130" s="9" t="s">
        <v>0</v>
      </c>
      <c r="U130" s="9" t="s">
        <v>145</v>
      </c>
    </row>
    <row r="131" spans="1:21" x14ac:dyDescent="0.25">
      <c r="A131" s="10" t="s">
        <v>19</v>
      </c>
      <c r="B131" s="10" t="s">
        <v>60</v>
      </c>
      <c r="C131" s="10" t="s">
        <v>319</v>
      </c>
      <c r="D131" s="10" t="s">
        <v>320</v>
      </c>
      <c r="E131" s="10" t="s">
        <v>441</v>
      </c>
      <c r="F131" s="10" t="s">
        <v>442</v>
      </c>
      <c r="G131" s="10" t="s">
        <v>137</v>
      </c>
      <c r="H131" s="10" t="s">
        <v>443</v>
      </c>
      <c r="I131" s="10" t="s">
        <v>81</v>
      </c>
      <c r="J131" s="10" t="s">
        <v>82</v>
      </c>
      <c r="K131" s="10" t="s">
        <v>423</v>
      </c>
      <c r="L131" s="10" t="s">
        <v>423</v>
      </c>
      <c r="M131" s="12">
        <v>17.28</v>
      </c>
      <c r="N131" s="10" t="s">
        <v>70</v>
      </c>
      <c r="O131" s="10" t="s">
        <v>100</v>
      </c>
      <c r="P131" s="10" t="s">
        <v>72</v>
      </c>
      <c r="Q131" s="12">
        <v>18.14</v>
      </c>
      <c r="R131" s="10" t="s">
        <v>73</v>
      </c>
      <c r="S131" s="10" t="s">
        <v>0</v>
      </c>
      <c r="T131" s="10" t="s">
        <v>0</v>
      </c>
      <c r="U131" s="10" t="s">
        <v>86</v>
      </c>
    </row>
    <row r="132" spans="1:21" x14ac:dyDescent="0.25">
      <c r="A132" s="9" t="s">
        <v>19</v>
      </c>
      <c r="B132" s="9" t="s">
        <v>60</v>
      </c>
      <c r="C132" s="9" t="s">
        <v>319</v>
      </c>
      <c r="D132" s="9" t="s">
        <v>320</v>
      </c>
      <c r="E132" s="9" t="s">
        <v>441</v>
      </c>
      <c r="F132" s="9" t="s">
        <v>444</v>
      </c>
      <c r="G132" s="9" t="s">
        <v>137</v>
      </c>
      <c r="H132" s="9" t="s">
        <v>443</v>
      </c>
      <c r="I132" s="9" t="s">
        <v>81</v>
      </c>
      <c r="J132" s="9" t="s">
        <v>445</v>
      </c>
      <c r="K132" s="9" t="s">
        <v>423</v>
      </c>
      <c r="L132" s="9" t="s">
        <v>423</v>
      </c>
      <c r="M132" s="11">
        <v>28.63</v>
      </c>
      <c r="N132" s="9" t="s">
        <v>70</v>
      </c>
      <c r="O132" s="9" t="s">
        <v>144</v>
      </c>
      <c r="P132" s="9" t="s">
        <v>72</v>
      </c>
      <c r="Q132" s="11">
        <v>18.61</v>
      </c>
      <c r="R132" s="9" t="s">
        <v>73</v>
      </c>
      <c r="S132" s="9" t="s">
        <v>0</v>
      </c>
      <c r="T132" s="9" t="s">
        <v>0</v>
      </c>
      <c r="U132" s="9" t="s">
        <v>446</v>
      </c>
    </row>
    <row r="133" spans="1:21" x14ac:dyDescent="0.25">
      <c r="A133" s="10" t="s">
        <v>19</v>
      </c>
      <c r="B133" s="10" t="s">
        <v>60</v>
      </c>
      <c r="C133" s="10" t="s">
        <v>319</v>
      </c>
      <c r="D133" s="10" t="s">
        <v>320</v>
      </c>
      <c r="E133" s="10" t="s">
        <v>441</v>
      </c>
      <c r="F133" s="10" t="s">
        <v>444</v>
      </c>
      <c r="G133" s="10" t="s">
        <v>137</v>
      </c>
      <c r="H133" s="10" t="s">
        <v>443</v>
      </c>
      <c r="I133" s="10" t="s">
        <v>81</v>
      </c>
      <c r="J133" s="10" t="s">
        <v>445</v>
      </c>
      <c r="K133" s="10" t="s">
        <v>423</v>
      </c>
      <c r="L133" s="10" t="s">
        <v>423</v>
      </c>
      <c r="M133" s="12">
        <v>1.96</v>
      </c>
      <c r="N133" s="10" t="s">
        <v>70</v>
      </c>
      <c r="O133" s="10" t="s">
        <v>144</v>
      </c>
      <c r="P133" s="10" t="s">
        <v>72</v>
      </c>
      <c r="Q133" s="12">
        <v>1.27</v>
      </c>
      <c r="R133" s="10" t="s">
        <v>73</v>
      </c>
      <c r="S133" s="10" t="s">
        <v>0</v>
      </c>
      <c r="T133" s="10" t="s">
        <v>0</v>
      </c>
      <c r="U133" s="10" t="s">
        <v>446</v>
      </c>
    </row>
    <row r="134" spans="1:21" x14ac:dyDescent="0.25">
      <c r="A134" s="9" t="s">
        <v>19</v>
      </c>
      <c r="B134" s="9" t="s">
        <v>60</v>
      </c>
      <c r="C134" s="9" t="s">
        <v>319</v>
      </c>
      <c r="D134" s="9" t="s">
        <v>320</v>
      </c>
      <c r="E134" s="9" t="s">
        <v>441</v>
      </c>
      <c r="F134" s="9" t="s">
        <v>444</v>
      </c>
      <c r="G134" s="9" t="s">
        <v>137</v>
      </c>
      <c r="H134" s="9" t="s">
        <v>443</v>
      </c>
      <c r="I134" s="9" t="s">
        <v>81</v>
      </c>
      <c r="J134" s="9" t="s">
        <v>445</v>
      </c>
      <c r="K134" s="9" t="s">
        <v>423</v>
      </c>
      <c r="L134" s="9" t="s">
        <v>423</v>
      </c>
      <c r="M134" s="11">
        <v>0.82</v>
      </c>
      <c r="N134" s="9" t="s">
        <v>70</v>
      </c>
      <c r="O134" s="9" t="s">
        <v>144</v>
      </c>
      <c r="P134" s="9" t="s">
        <v>72</v>
      </c>
      <c r="Q134" s="11">
        <v>0.53</v>
      </c>
      <c r="R134" s="9" t="s">
        <v>73</v>
      </c>
      <c r="S134" s="9" t="s">
        <v>0</v>
      </c>
      <c r="T134" s="9" t="s">
        <v>0</v>
      </c>
      <c r="U134" s="9" t="s">
        <v>446</v>
      </c>
    </row>
    <row r="135" spans="1:21" x14ac:dyDescent="0.25">
      <c r="A135" s="10" t="s">
        <v>19</v>
      </c>
      <c r="B135" s="10" t="s">
        <v>60</v>
      </c>
      <c r="C135" s="10" t="s">
        <v>319</v>
      </c>
      <c r="D135" s="10" t="s">
        <v>320</v>
      </c>
      <c r="E135" s="10" t="s">
        <v>441</v>
      </c>
      <c r="F135" s="10" t="s">
        <v>447</v>
      </c>
      <c r="G135" s="10" t="s">
        <v>137</v>
      </c>
      <c r="H135" s="10" t="s">
        <v>443</v>
      </c>
      <c r="I135" s="10" t="s">
        <v>81</v>
      </c>
      <c r="J135" s="10" t="s">
        <v>143</v>
      </c>
      <c r="K135" s="10" t="s">
        <v>423</v>
      </c>
      <c r="L135" s="10" t="s">
        <v>423</v>
      </c>
      <c r="M135" s="12">
        <v>7.92</v>
      </c>
      <c r="N135" s="10" t="s">
        <v>70</v>
      </c>
      <c r="O135" s="10" t="s">
        <v>144</v>
      </c>
      <c r="P135" s="10" t="s">
        <v>72</v>
      </c>
      <c r="Q135" s="12">
        <v>5.15</v>
      </c>
      <c r="R135" s="10" t="s">
        <v>73</v>
      </c>
      <c r="S135" s="10" t="s">
        <v>0</v>
      </c>
      <c r="T135" s="10" t="s">
        <v>0</v>
      </c>
      <c r="U135" s="10" t="s">
        <v>145</v>
      </c>
    </row>
    <row r="136" spans="1:21" x14ac:dyDescent="0.25">
      <c r="A136" s="9" t="s">
        <v>19</v>
      </c>
      <c r="B136" s="9" t="s">
        <v>60</v>
      </c>
      <c r="C136" s="9" t="s">
        <v>319</v>
      </c>
      <c r="D136" s="9" t="s">
        <v>320</v>
      </c>
      <c r="E136" s="9" t="s">
        <v>441</v>
      </c>
      <c r="F136" s="9" t="s">
        <v>447</v>
      </c>
      <c r="G136" s="9" t="s">
        <v>137</v>
      </c>
      <c r="H136" s="9" t="s">
        <v>443</v>
      </c>
      <c r="I136" s="9" t="s">
        <v>81</v>
      </c>
      <c r="J136" s="9" t="s">
        <v>143</v>
      </c>
      <c r="K136" s="9" t="s">
        <v>423</v>
      </c>
      <c r="L136" s="9" t="s">
        <v>423</v>
      </c>
      <c r="M136" s="11">
        <v>9.24</v>
      </c>
      <c r="N136" s="9" t="s">
        <v>70</v>
      </c>
      <c r="O136" s="9" t="s">
        <v>144</v>
      </c>
      <c r="P136" s="9" t="s">
        <v>72</v>
      </c>
      <c r="Q136" s="11">
        <v>6.01</v>
      </c>
      <c r="R136" s="9" t="s">
        <v>73</v>
      </c>
      <c r="S136" s="9" t="s">
        <v>0</v>
      </c>
      <c r="T136" s="9" t="s">
        <v>0</v>
      </c>
      <c r="U136" s="9" t="s">
        <v>145</v>
      </c>
    </row>
    <row r="137" spans="1:21" x14ac:dyDescent="0.25">
      <c r="A137" s="10" t="s">
        <v>19</v>
      </c>
      <c r="B137" s="10" t="s">
        <v>60</v>
      </c>
      <c r="C137" s="10" t="s">
        <v>319</v>
      </c>
      <c r="D137" s="10" t="s">
        <v>320</v>
      </c>
      <c r="E137" s="10" t="s">
        <v>441</v>
      </c>
      <c r="F137" s="10" t="s">
        <v>447</v>
      </c>
      <c r="G137" s="10" t="s">
        <v>137</v>
      </c>
      <c r="H137" s="10" t="s">
        <v>443</v>
      </c>
      <c r="I137" s="10" t="s">
        <v>81</v>
      </c>
      <c r="J137" s="10" t="s">
        <v>143</v>
      </c>
      <c r="K137" s="10" t="s">
        <v>423</v>
      </c>
      <c r="L137" s="10" t="s">
        <v>423</v>
      </c>
      <c r="M137" s="12">
        <v>33.5</v>
      </c>
      <c r="N137" s="10" t="s">
        <v>70</v>
      </c>
      <c r="O137" s="10" t="s">
        <v>144</v>
      </c>
      <c r="P137" s="10" t="s">
        <v>72</v>
      </c>
      <c r="Q137" s="12">
        <v>21.78</v>
      </c>
      <c r="R137" s="10" t="s">
        <v>73</v>
      </c>
      <c r="S137" s="10" t="s">
        <v>0</v>
      </c>
      <c r="T137" s="10" t="s">
        <v>0</v>
      </c>
      <c r="U137" s="10" t="s">
        <v>145</v>
      </c>
    </row>
    <row r="138" spans="1:21" x14ac:dyDescent="0.25">
      <c r="A138" s="9" t="s">
        <v>19</v>
      </c>
      <c r="B138" s="9" t="s">
        <v>127</v>
      </c>
      <c r="C138" s="9" t="s">
        <v>75</v>
      </c>
      <c r="D138" s="9" t="s">
        <v>76</v>
      </c>
      <c r="E138" s="9" t="s">
        <v>448</v>
      </c>
      <c r="F138" s="9" t="s">
        <v>449</v>
      </c>
      <c r="G138" s="9" t="s">
        <v>137</v>
      </c>
      <c r="H138" s="9" t="s">
        <v>450</v>
      </c>
      <c r="I138" s="9" t="s">
        <v>123</v>
      </c>
      <c r="J138" s="9" t="s">
        <v>105</v>
      </c>
      <c r="K138" s="9" t="s">
        <v>451</v>
      </c>
      <c r="L138" s="9" t="s">
        <v>452</v>
      </c>
      <c r="M138" s="11">
        <v>-16.66</v>
      </c>
      <c r="N138" s="9" t="s">
        <v>70</v>
      </c>
      <c r="O138" s="9" t="s">
        <v>85</v>
      </c>
      <c r="P138" s="9" t="s">
        <v>72</v>
      </c>
      <c r="Q138" s="11">
        <v>-16.66</v>
      </c>
      <c r="R138" s="9" t="s">
        <v>73</v>
      </c>
      <c r="S138" s="9" t="s">
        <v>0</v>
      </c>
      <c r="T138" s="9" t="s">
        <v>0</v>
      </c>
      <c r="U138" s="9" t="s">
        <v>106</v>
      </c>
    </row>
    <row r="139" spans="1:21" x14ac:dyDescent="0.25">
      <c r="A139" s="10" t="s">
        <v>19</v>
      </c>
      <c r="B139" s="10" t="s">
        <v>60</v>
      </c>
      <c r="C139" s="10" t="s">
        <v>75</v>
      </c>
      <c r="D139" s="10" t="s">
        <v>76</v>
      </c>
      <c r="E139" s="10" t="s">
        <v>448</v>
      </c>
      <c r="F139" s="10" t="s">
        <v>449</v>
      </c>
      <c r="G139" s="10" t="s">
        <v>137</v>
      </c>
      <c r="H139" s="10" t="s">
        <v>450</v>
      </c>
      <c r="I139" s="10" t="s">
        <v>123</v>
      </c>
      <c r="J139" s="10" t="s">
        <v>105</v>
      </c>
      <c r="K139" s="10" t="s">
        <v>451</v>
      </c>
      <c r="L139" s="10" t="s">
        <v>451</v>
      </c>
      <c r="M139" s="12">
        <v>16.66</v>
      </c>
      <c r="N139" s="10" t="s">
        <v>70</v>
      </c>
      <c r="O139" s="10" t="s">
        <v>85</v>
      </c>
      <c r="P139" s="10" t="s">
        <v>72</v>
      </c>
      <c r="Q139" s="12">
        <v>16.66</v>
      </c>
      <c r="R139" s="10" t="s">
        <v>73</v>
      </c>
      <c r="S139" s="10" t="s">
        <v>0</v>
      </c>
      <c r="T139" s="10" t="s">
        <v>0</v>
      </c>
      <c r="U139" s="10" t="s">
        <v>106</v>
      </c>
    </row>
    <row r="140" spans="1:21" x14ac:dyDescent="0.25">
      <c r="A140" s="9" t="s">
        <v>19</v>
      </c>
      <c r="B140" s="9" t="s">
        <v>127</v>
      </c>
      <c r="C140" s="9" t="s">
        <v>75</v>
      </c>
      <c r="D140" s="9" t="s">
        <v>76</v>
      </c>
      <c r="E140" s="9" t="s">
        <v>448</v>
      </c>
      <c r="F140" s="9" t="s">
        <v>453</v>
      </c>
      <c r="G140" s="9" t="s">
        <v>137</v>
      </c>
      <c r="H140" s="9" t="s">
        <v>450</v>
      </c>
      <c r="I140" s="9" t="s">
        <v>123</v>
      </c>
      <c r="J140" s="9" t="s">
        <v>82</v>
      </c>
      <c r="K140" s="9" t="s">
        <v>451</v>
      </c>
      <c r="L140" s="9" t="s">
        <v>452</v>
      </c>
      <c r="M140" s="11">
        <v>-39.020000000000003</v>
      </c>
      <c r="N140" s="9" t="s">
        <v>70</v>
      </c>
      <c r="O140" s="9" t="s">
        <v>85</v>
      </c>
      <c r="P140" s="9" t="s">
        <v>72</v>
      </c>
      <c r="Q140" s="11">
        <v>-39.020000000000003</v>
      </c>
      <c r="R140" s="9" t="s">
        <v>73</v>
      </c>
      <c r="S140" s="9" t="s">
        <v>0</v>
      </c>
      <c r="T140" s="9" t="s">
        <v>0</v>
      </c>
      <c r="U140" s="9" t="s">
        <v>86</v>
      </c>
    </row>
    <row r="141" spans="1:21" x14ac:dyDescent="0.25">
      <c r="A141" s="10" t="s">
        <v>19</v>
      </c>
      <c r="B141" s="10" t="s">
        <v>60</v>
      </c>
      <c r="C141" s="10" t="s">
        <v>75</v>
      </c>
      <c r="D141" s="10" t="s">
        <v>76</v>
      </c>
      <c r="E141" s="10" t="s">
        <v>448</v>
      </c>
      <c r="F141" s="10" t="s">
        <v>453</v>
      </c>
      <c r="G141" s="10" t="s">
        <v>137</v>
      </c>
      <c r="H141" s="10" t="s">
        <v>450</v>
      </c>
      <c r="I141" s="10" t="s">
        <v>123</v>
      </c>
      <c r="J141" s="10" t="s">
        <v>82</v>
      </c>
      <c r="K141" s="10" t="s">
        <v>451</v>
      </c>
      <c r="L141" s="10" t="s">
        <v>451</v>
      </c>
      <c r="M141" s="12">
        <v>39.020000000000003</v>
      </c>
      <c r="N141" s="10" t="s">
        <v>70</v>
      </c>
      <c r="O141" s="10" t="s">
        <v>85</v>
      </c>
      <c r="P141" s="10" t="s">
        <v>72</v>
      </c>
      <c r="Q141" s="12">
        <v>39.020000000000003</v>
      </c>
      <c r="R141" s="10" t="s">
        <v>73</v>
      </c>
      <c r="S141" s="10" t="s">
        <v>0</v>
      </c>
      <c r="T141" s="10" t="s">
        <v>0</v>
      </c>
      <c r="U141" s="10" t="s">
        <v>86</v>
      </c>
    </row>
    <row r="142" spans="1:21" x14ac:dyDescent="0.25">
      <c r="A142" s="9" t="s">
        <v>19</v>
      </c>
      <c r="B142" s="9" t="s">
        <v>60</v>
      </c>
      <c r="C142" s="9" t="s">
        <v>95</v>
      </c>
      <c r="D142" s="9" t="s">
        <v>96</v>
      </c>
      <c r="E142" s="9" t="s">
        <v>454</v>
      </c>
      <c r="F142" s="9" t="s">
        <v>455</v>
      </c>
      <c r="G142" s="9" t="s">
        <v>137</v>
      </c>
      <c r="H142" s="9" t="s">
        <v>456</v>
      </c>
      <c r="I142" s="9" t="s">
        <v>81</v>
      </c>
      <c r="J142" s="9" t="s">
        <v>143</v>
      </c>
      <c r="K142" s="9" t="s">
        <v>153</v>
      </c>
      <c r="L142" s="9" t="s">
        <v>153</v>
      </c>
      <c r="M142" s="11">
        <v>45.51</v>
      </c>
      <c r="N142" s="9" t="s">
        <v>70</v>
      </c>
      <c r="O142" s="9" t="s">
        <v>144</v>
      </c>
      <c r="P142" s="9" t="s">
        <v>72</v>
      </c>
      <c r="Q142" s="11">
        <v>29.58</v>
      </c>
      <c r="R142" s="9" t="s">
        <v>73</v>
      </c>
      <c r="S142" s="9" t="s">
        <v>0</v>
      </c>
      <c r="T142" s="9" t="s">
        <v>0</v>
      </c>
      <c r="U142" s="9" t="s">
        <v>145</v>
      </c>
    </row>
    <row r="143" spans="1:21" x14ac:dyDescent="0.25">
      <c r="A143" s="10" t="s">
        <v>19</v>
      </c>
      <c r="B143" s="10" t="s">
        <v>60</v>
      </c>
      <c r="C143" s="10" t="s">
        <v>457</v>
      </c>
      <c r="D143" s="10" t="s">
        <v>458</v>
      </c>
      <c r="E143" s="10" t="s">
        <v>459</v>
      </c>
      <c r="F143" s="10" t="s">
        <v>460</v>
      </c>
      <c r="G143" s="10" t="s">
        <v>137</v>
      </c>
      <c r="H143" s="10" t="s">
        <v>461</v>
      </c>
      <c r="I143" s="10" t="s">
        <v>462</v>
      </c>
      <c r="J143" s="10" t="s">
        <v>143</v>
      </c>
      <c r="K143" s="10" t="s">
        <v>153</v>
      </c>
      <c r="L143" s="10" t="s">
        <v>153</v>
      </c>
      <c r="M143" s="12">
        <v>8.4</v>
      </c>
      <c r="N143" s="10" t="s">
        <v>70</v>
      </c>
      <c r="O143" s="10" t="s">
        <v>144</v>
      </c>
      <c r="P143" s="10" t="s">
        <v>72</v>
      </c>
      <c r="Q143" s="12">
        <v>5.46</v>
      </c>
      <c r="R143" s="10" t="s">
        <v>73</v>
      </c>
      <c r="S143" s="10" t="s">
        <v>0</v>
      </c>
      <c r="T143" s="10" t="s">
        <v>0</v>
      </c>
      <c r="U143" s="10" t="s">
        <v>145</v>
      </c>
    </row>
    <row r="144" spans="1:21" x14ac:dyDescent="0.25">
      <c r="A144" s="9" t="s">
        <v>19</v>
      </c>
      <c r="B144" s="9" t="s">
        <v>60</v>
      </c>
      <c r="C144" s="9" t="s">
        <v>457</v>
      </c>
      <c r="D144" s="9" t="s">
        <v>458</v>
      </c>
      <c r="E144" s="9" t="s">
        <v>459</v>
      </c>
      <c r="F144" s="9" t="s">
        <v>460</v>
      </c>
      <c r="G144" s="9" t="s">
        <v>137</v>
      </c>
      <c r="H144" s="9" t="s">
        <v>461</v>
      </c>
      <c r="I144" s="9" t="s">
        <v>462</v>
      </c>
      <c r="J144" s="9" t="s">
        <v>143</v>
      </c>
      <c r="K144" s="9" t="s">
        <v>153</v>
      </c>
      <c r="L144" s="9" t="s">
        <v>153</v>
      </c>
      <c r="M144" s="11">
        <v>18.66</v>
      </c>
      <c r="N144" s="9" t="s">
        <v>70</v>
      </c>
      <c r="O144" s="9" t="s">
        <v>144</v>
      </c>
      <c r="P144" s="9" t="s">
        <v>72</v>
      </c>
      <c r="Q144" s="11">
        <v>12.13</v>
      </c>
      <c r="R144" s="9" t="s">
        <v>73</v>
      </c>
      <c r="S144" s="9" t="s">
        <v>0</v>
      </c>
      <c r="T144" s="9" t="s">
        <v>0</v>
      </c>
      <c r="U144" s="9" t="s">
        <v>145</v>
      </c>
    </row>
    <row r="145" spans="1:21" x14ac:dyDescent="0.25">
      <c r="A145" s="10" t="s">
        <v>19</v>
      </c>
      <c r="B145" s="10" t="s">
        <v>60</v>
      </c>
      <c r="C145" s="10" t="s">
        <v>457</v>
      </c>
      <c r="D145" s="10" t="s">
        <v>458</v>
      </c>
      <c r="E145" s="10" t="s">
        <v>459</v>
      </c>
      <c r="F145" s="10" t="s">
        <v>460</v>
      </c>
      <c r="G145" s="10" t="s">
        <v>137</v>
      </c>
      <c r="H145" s="10" t="s">
        <v>461</v>
      </c>
      <c r="I145" s="10" t="s">
        <v>462</v>
      </c>
      <c r="J145" s="10" t="s">
        <v>143</v>
      </c>
      <c r="K145" s="10" t="s">
        <v>153</v>
      </c>
      <c r="L145" s="10" t="s">
        <v>153</v>
      </c>
      <c r="M145" s="12">
        <v>33</v>
      </c>
      <c r="N145" s="10" t="s">
        <v>70</v>
      </c>
      <c r="O145" s="10" t="s">
        <v>144</v>
      </c>
      <c r="P145" s="10" t="s">
        <v>72</v>
      </c>
      <c r="Q145" s="12">
        <v>21.45</v>
      </c>
      <c r="R145" s="10" t="s">
        <v>73</v>
      </c>
      <c r="S145" s="10" t="s">
        <v>0</v>
      </c>
      <c r="T145" s="10" t="s">
        <v>0</v>
      </c>
      <c r="U145" s="10" t="s">
        <v>145</v>
      </c>
    </row>
    <row r="146" spans="1:21" x14ac:dyDescent="0.25">
      <c r="A146" s="9" t="s">
        <v>19</v>
      </c>
      <c r="B146" s="9" t="s">
        <v>60</v>
      </c>
      <c r="C146" s="9" t="s">
        <v>95</v>
      </c>
      <c r="D146" s="9" t="s">
        <v>96</v>
      </c>
      <c r="E146" s="9" t="s">
        <v>463</v>
      </c>
      <c r="F146" s="9" t="s">
        <v>464</v>
      </c>
      <c r="G146" s="9" t="s">
        <v>137</v>
      </c>
      <c r="H146" s="9" t="s">
        <v>365</v>
      </c>
      <c r="I146" s="9" t="s">
        <v>81</v>
      </c>
      <c r="J146" s="9" t="s">
        <v>143</v>
      </c>
      <c r="K146" s="9" t="s">
        <v>365</v>
      </c>
      <c r="L146" s="9" t="s">
        <v>365</v>
      </c>
      <c r="M146" s="11">
        <v>44.66</v>
      </c>
      <c r="N146" s="9" t="s">
        <v>70</v>
      </c>
      <c r="O146" s="9" t="s">
        <v>144</v>
      </c>
      <c r="P146" s="9" t="s">
        <v>72</v>
      </c>
      <c r="Q146" s="11">
        <v>29.03</v>
      </c>
      <c r="R146" s="9" t="s">
        <v>73</v>
      </c>
      <c r="S146" s="9" t="s">
        <v>0</v>
      </c>
      <c r="T146" s="9" t="s">
        <v>0</v>
      </c>
      <c r="U146" s="9" t="s">
        <v>145</v>
      </c>
    </row>
    <row r="147" spans="1:21" x14ac:dyDescent="0.25">
      <c r="Q147" s="12"/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9E1BB-9CA6-4EBA-BCC4-B20CED73E619}">
  <dimension ref="A1:Y146"/>
  <sheetViews>
    <sheetView tabSelected="1" topLeftCell="B91" workbookViewId="0">
      <selection activeCell="B2" sqref="A2:XFD145"/>
    </sheetView>
  </sheetViews>
  <sheetFormatPr defaultRowHeight="15" x14ac:dyDescent="0.25"/>
  <cols>
    <col min="1" max="1" width="19" style="24" customWidth="1"/>
    <col min="2" max="2" width="17.7109375" style="24" customWidth="1"/>
    <col min="3" max="3" width="13.28515625" style="24" customWidth="1"/>
    <col min="4" max="4" width="11" style="24" customWidth="1"/>
    <col min="5" max="5" width="13.42578125" style="24" customWidth="1"/>
    <col min="6" max="6" width="11.28515625" style="24" customWidth="1"/>
    <col min="7" max="7" width="8" style="24" customWidth="1"/>
    <col min="8" max="8" width="39" style="24" customWidth="1"/>
    <col min="9" max="9" width="11.7109375" style="24" customWidth="1"/>
    <col min="10" max="10" width="13.140625" style="24" customWidth="1"/>
    <col min="11" max="11" width="6.140625" style="24" customWidth="1"/>
    <col min="12" max="13" width="13.140625" style="24" customWidth="1"/>
    <col min="14" max="14" width="13.5703125" style="24" customWidth="1"/>
    <col min="15" max="15" width="10" style="24" customWidth="1"/>
    <col min="16" max="16" width="9.7109375" style="24" customWidth="1"/>
    <col min="17" max="17" width="9" style="24" customWidth="1"/>
    <col min="18" max="18" width="34.42578125" style="24" bestFit="1" customWidth="1"/>
    <col min="19" max="16384" width="9.140625" style="24"/>
  </cols>
  <sheetData>
    <row r="1" spans="1:25" x14ac:dyDescent="0.25">
      <c r="A1" s="23" t="s">
        <v>40</v>
      </c>
      <c r="B1" s="23" t="s">
        <v>42</v>
      </c>
      <c r="C1" s="23"/>
      <c r="D1" s="23" t="s">
        <v>43</v>
      </c>
      <c r="E1" s="23" t="s">
        <v>44</v>
      </c>
      <c r="F1" s="23" t="s">
        <v>45</v>
      </c>
      <c r="G1" s="23" t="s">
        <v>47</v>
      </c>
      <c r="H1" s="23" t="s">
        <v>48</v>
      </c>
      <c r="I1" s="23" t="s">
        <v>49</v>
      </c>
      <c r="J1" s="23" t="s">
        <v>50</v>
      </c>
      <c r="K1" s="23"/>
      <c r="L1" s="23"/>
      <c r="M1" s="23"/>
      <c r="N1" s="23" t="s">
        <v>51</v>
      </c>
      <c r="O1" s="23" t="s">
        <v>53</v>
      </c>
      <c r="P1" s="23" t="s">
        <v>55</v>
      </c>
      <c r="Q1" s="23" t="s">
        <v>56</v>
      </c>
      <c r="R1" s="23" t="s">
        <v>59</v>
      </c>
    </row>
    <row r="2" spans="1:25" x14ac:dyDescent="0.25">
      <c r="A2" s="25" t="s">
        <v>127</v>
      </c>
      <c r="B2" s="25" t="s">
        <v>62</v>
      </c>
      <c r="C2" s="25">
        <v>9079571</v>
      </c>
      <c r="D2" s="25" t="s">
        <v>292</v>
      </c>
      <c r="E2" s="25" t="s">
        <v>293</v>
      </c>
      <c r="F2" s="25" t="s">
        <v>137</v>
      </c>
      <c r="G2" s="25" t="s">
        <v>67</v>
      </c>
      <c r="H2" s="25" t="s">
        <v>105</v>
      </c>
      <c r="I2" s="25" t="s">
        <v>84</v>
      </c>
      <c r="J2" s="25" t="s">
        <v>158</v>
      </c>
      <c r="K2" s="25">
        <f>DATEDIF(I2,J2,"M")</f>
        <v>1</v>
      </c>
      <c r="L2" s="25" t="s">
        <v>587</v>
      </c>
      <c r="M2" s="25" t="s">
        <v>588</v>
      </c>
      <c r="N2" s="26">
        <v>-19.68</v>
      </c>
      <c r="O2" s="27">
        <v>0.95</v>
      </c>
      <c r="P2" s="26">
        <v>-18.7</v>
      </c>
      <c r="Q2" s="25" t="s">
        <v>73</v>
      </c>
      <c r="R2" s="25" t="s">
        <v>106</v>
      </c>
      <c r="S2" s="24" t="s">
        <v>575</v>
      </c>
    </row>
    <row r="3" spans="1:25" x14ac:dyDescent="0.25">
      <c r="A3" s="25" t="s">
        <v>127</v>
      </c>
      <c r="B3" s="25" t="s">
        <v>62</v>
      </c>
      <c r="C3" s="25">
        <v>9079571</v>
      </c>
      <c r="D3" s="25" t="s">
        <v>398</v>
      </c>
      <c r="E3" s="25" t="s">
        <v>401</v>
      </c>
      <c r="F3" s="25" t="s">
        <v>79</v>
      </c>
      <c r="G3" s="25" t="s">
        <v>67</v>
      </c>
      <c r="H3" s="25" t="s">
        <v>105</v>
      </c>
      <c r="I3" s="25" t="s">
        <v>323</v>
      </c>
      <c r="J3" s="25" t="s">
        <v>400</v>
      </c>
      <c r="K3" s="25">
        <f>DATEDIF(I3,J3,"M")</f>
        <v>11</v>
      </c>
      <c r="L3" s="25" t="s">
        <v>587</v>
      </c>
      <c r="M3" s="25" t="s">
        <v>588</v>
      </c>
      <c r="N3" s="26">
        <v>-15.21</v>
      </c>
      <c r="O3" s="27">
        <v>0.91</v>
      </c>
      <c r="P3" s="26">
        <v>-13.84</v>
      </c>
      <c r="Q3" s="25" t="s">
        <v>325</v>
      </c>
      <c r="R3" s="25" t="s">
        <v>106</v>
      </c>
      <c r="S3" s="24" t="s">
        <v>573</v>
      </c>
    </row>
    <row r="4" spans="1:25" x14ac:dyDescent="0.25">
      <c r="A4" s="25" t="s">
        <v>127</v>
      </c>
      <c r="B4" s="25" t="s">
        <v>62</v>
      </c>
      <c r="C4" s="25">
        <v>9079571</v>
      </c>
      <c r="D4" s="25" t="s">
        <v>398</v>
      </c>
      <c r="E4" s="25" t="s">
        <v>399</v>
      </c>
      <c r="F4" s="25" t="s">
        <v>79</v>
      </c>
      <c r="G4" s="25" t="s">
        <v>67</v>
      </c>
      <c r="H4" s="25" t="s">
        <v>68</v>
      </c>
      <c r="I4" s="25" t="s">
        <v>323</v>
      </c>
      <c r="J4" s="25" t="s">
        <v>400</v>
      </c>
      <c r="K4" s="25">
        <f>DATEDIF(I4,J4,"M")</f>
        <v>11</v>
      </c>
      <c r="L4" s="25" t="s">
        <v>587</v>
      </c>
      <c r="M4" s="25" t="s">
        <v>588</v>
      </c>
      <c r="N4" s="26">
        <v>-27.63</v>
      </c>
      <c r="O4" s="27">
        <v>0.56999999999999995</v>
      </c>
      <c r="P4" s="26">
        <v>-15.75</v>
      </c>
      <c r="Q4" s="25" t="s">
        <v>325</v>
      </c>
      <c r="R4" s="25" t="s">
        <v>74</v>
      </c>
      <c r="S4" s="24" t="s">
        <v>577</v>
      </c>
    </row>
    <row r="5" spans="1:25" x14ac:dyDescent="0.25">
      <c r="A5" s="25" t="s">
        <v>60</v>
      </c>
      <c r="B5" s="25" t="s">
        <v>62</v>
      </c>
      <c r="C5" s="25">
        <v>9079571</v>
      </c>
      <c r="D5" s="25" t="s">
        <v>63</v>
      </c>
      <c r="E5" s="25" t="s">
        <v>64</v>
      </c>
      <c r="F5" s="25" t="s">
        <v>65</v>
      </c>
      <c r="G5" s="25" t="s">
        <v>67</v>
      </c>
      <c r="H5" s="25" t="s">
        <v>68</v>
      </c>
      <c r="I5" s="25" t="s">
        <v>66</v>
      </c>
      <c r="J5" s="25" t="s">
        <v>69</v>
      </c>
      <c r="K5" s="25">
        <f>DATEDIF(I5,J5,"M")</f>
        <v>15</v>
      </c>
      <c r="L5" s="25" t="s">
        <v>587</v>
      </c>
      <c r="M5" s="25" t="s">
        <v>588</v>
      </c>
      <c r="N5" s="26">
        <v>27.63</v>
      </c>
      <c r="O5" s="27">
        <v>3.7499999999999999E-2</v>
      </c>
      <c r="P5" s="26">
        <v>1.04</v>
      </c>
      <c r="Q5" s="25" t="s">
        <v>73</v>
      </c>
      <c r="R5" s="25" t="s">
        <v>74</v>
      </c>
      <c r="S5" s="24" t="s">
        <v>577</v>
      </c>
    </row>
    <row r="6" spans="1:25" x14ac:dyDescent="0.25">
      <c r="A6" s="25" t="s">
        <v>60</v>
      </c>
      <c r="B6" s="25" t="s">
        <v>62</v>
      </c>
      <c r="C6" s="25">
        <v>9079571</v>
      </c>
      <c r="D6" s="25" t="s">
        <v>384</v>
      </c>
      <c r="E6" s="25" t="s">
        <v>385</v>
      </c>
      <c r="F6" s="25" t="s">
        <v>65</v>
      </c>
      <c r="G6" s="25" t="s">
        <v>67</v>
      </c>
      <c r="H6" s="25" t="s">
        <v>68</v>
      </c>
      <c r="I6" s="25" t="s">
        <v>386</v>
      </c>
      <c r="J6" s="25" t="s">
        <v>387</v>
      </c>
      <c r="K6" s="25">
        <f>DATEDIF(I6,J6,"M")</f>
        <v>15</v>
      </c>
      <c r="L6" s="25" t="s">
        <v>587</v>
      </c>
      <c r="M6" s="25" t="s">
        <v>588</v>
      </c>
      <c r="N6" s="26">
        <v>22.42</v>
      </c>
      <c r="O6" s="27">
        <v>3.7499999999999999E-2</v>
      </c>
      <c r="P6" s="26">
        <v>0.84</v>
      </c>
      <c r="Q6" s="25" t="s">
        <v>73</v>
      </c>
      <c r="R6" s="25" t="s">
        <v>74</v>
      </c>
      <c r="S6" s="24" t="s">
        <v>577</v>
      </c>
    </row>
    <row r="7" spans="1:25" x14ac:dyDescent="0.25">
      <c r="A7" s="25" t="s">
        <v>60</v>
      </c>
      <c r="B7" s="25" t="s">
        <v>62</v>
      </c>
      <c r="C7" s="25">
        <v>9079571</v>
      </c>
      <c r="D7" s="25" t="s">
        <v>388</v>
      </c>
      <c r="E7" s="25" t="s">
        <v>389</v>
      </c>
      <c r="F7" s="25" t="s">
        <v>65</v>
      </c>
      <c r="G7" s="25" t="s">
        <v>67</v>
      </c>
      <c r="H7" s="25" t="s">
        <v>68</v>
      </c>
      <c r="I7" s="25" t="s">
        <v>390</v>
      </c>
      <c r="J7" s="25" t="s">
        <v>365</v>
      </c>
      <c r="K7" s="25">
        <f>DATEDIF(I7,J7,"M")</f>
        <v>15</v>
      </c>
      <c r="L7" s="25" t="s">
        <v>587</v>
      </c>
      <c r="M7" s="25" t="s">
        <v>588</v>
      </c>
      <c r="N7" s="26">
        <v>22.42</v>
      </c>
      <c r="O7" s="27">
        <v>3.7499999999999999E-2</v>
      </c>
      <c r="P7" s="26">
        <v>0.84</v>
      </c>
      <c r="Q7" s="25" t="s">
        <v>73</v>
      </c>
      <c r="R7" s="25" t="s">
        <v>74</v>
      </c>
      <c r="S7" s="24" t="s">
        <v>577</v>
      </c>
    </row>
    <row r="8" spans="1:25" x14ac:dyDescent="0.25">
      <c r="A8" s="25" t="s">
        <v>60</v>
      </c>
      <c r="B8" s="25" t="s">
        <v>62</v>
      </c>
      <c r="C8" s="25">
        <v>9079571</v>
      </c>
      <c r="D8" s="25" t="s">
        <v>391</v>
      </c>
      <c r="E8" s="25" t="s">
        <v>392</v>
      </c>
      <c r="F8" s="25" t="s">
        <v>65</v>
      </c>
      <c r="G8" s="25" t="s">
        <v>67</v>
      </c>
      <c r="H8" s="25" t="s">
        <v>68</v>
      </c>
      <c r="I8" s="25" t="s">
        <v>390</v>
      </c>
      <c r="J8" s="25" t="s">
        <v>365</v>
      </c>
      <c r="K8" s="25">
        <f>DATEDIF(I8,J8,"M")</f>
        <v>15</v>
      </c>
      <c r="L8" s="25" t="s">
        <v>587</v>
      </c>
      <c r="M8" s="25" t="s">
        <v>588</v>
      </c>
      <c r="N8" s="26">
        <v>32.130000000000003</v>
      </c>
      <c r="O8" s="27">
        <v>3.7499999999999999E-2</v>
      </c>
      <c r="P8" s="26">
        <v>1.2</v>
      </c>
      <c r="Q8" s="25" t="s">
        <v>73</v>
      </c>
      <c r="R8" s="25" t="s">
        <v>74</v>
      </c>
      <c r="S8" s="24" t="s">
        <v>577</v>
      </c>
    </row>
    <row r="9" spans="1:25" x14ac:dyDescent="0.25">
      <c r="A9" s="25" t="s">
        <v>60</v>
      </c>
      <c r="B9" s="25" t="s">
        <v>62</v>
      </c>
      <c r="C9" s="25">
        <v>9079571</v>
      </c>
      <c r="D9" s="25" t="s">
        <v>176</v>
      </c>
      <c r="E9" s="25" t="s">
        <v>177</v>
      </c>
      <c r="F9" s="25" t="s">
        <v>65</v>
      </c>
      <c r="G9" s="25" t="s">
        <v>67</v>
      </c>
      <c r="H9" s="25" t="s">
        <v>68</v>
      </c>
      <c r="I9" s="25" t="s">
        <v>179</v>
      </c>
      <c r="J9" s="25" t="s">
        <v>84</v>
      </c>
      <c r="K9" s="25">
        <f>DATEDIF(I9,J9,"M")</f>
        <v>19</v>
      </c>
      <c r="L9" s="25" t="s">
        <v>587</v>
      </c>
      <c r="M9" s="25" t="s">
        <v>588</v>
      </c>
      <c r="N9" s="26">
        <v>32.130000000000003</v>
      </c>
      <c r="O9" s="27">
        <v>3.7499999999999999E-2</v>
      </c>
      <c r="P9" s="26">
        <v>1.2</v>
      </c>
      <c r="Q9" s="25" t="s">
        <v>73</v>
      </c>
      <c r="R9" s="25" t="s">
        <v>74</v>
      </c>
      <c r="S9" s="24" t="s">
        <v>577</v>
      </c>
    </row>
    <row r="10" spans="1:25" x14ac:dyDescent="0.25">
      <c r="A10" s="25" t="s">
        <v>60</v>
      </c>
      <c r="B10" s="25" t="s">
        <v>62</v>
      </c>
      <c r="C10" s="25">
        <v>9079571</v>
      </c>
      <c r="D10" s="25" t="s">
        <v>374</v>
      </c>
      <c r="E10" s="25" t="s">
        <v>375</v>
      </c>
      <c r="F10" s="25" t="s">
        <v>65</v>
      </c>
      <c r="G10" s="25" t="s">
        <v>67</v>
      </c>
      <c r="H10" s="25" t="s">
        <v>68</v>
      </c>
      <c r="I10" s="25" t="s">
        <v>376</v>
      </c>
      <c r="J10" s="25" t="s">
        <v>365</v>
      </c>
      <c r="K10" s="25">
        <f>DATEDIF(I10,J10,"M")</f>
        <v>21</v>
      </c>
      <c r="L10" s="25" t="s">
        <v>587</v>
      </c>
      <c r="M10" s="25" t="s">
        <v>588</v>
      </c>
      <c r="N10" s="26">
        <v>27.63</v>
      </c>
      <c r="O10" s="27">
        <v>3.5000000000000003E-2</v>
      </c>
      <c r="P10" s="26">
        <v>0.97</v>
      </c>
      <c r="Q10" s="25" t="s">
        <v>73</v>
      </c>
      <c r="R10" s="25" t="s">
        <v>74</v>
      </c>
      <c r="S10" s="24" t="s">
        <v>68</v>
      </c>
    </row>
    <row r="11" spans="1:25" x14ac:dyDescent="0.25">
      <c r="A11" s="25" t="s">
        <v>60</v>
      </c>
      <c r="B11" s="25" t="s">
        <v>62</v>
      </c>
      <c r="C11" s="25">
        <v>9079571</v>
      </c>
      <c r="D11" s="25" t="s">
        <v>374</v>
      </c>
      <c r="E11" s="25" t="s">
        <v>377</v>
      </c>
      <c r="F11" s="25" t="s">
        <v>65</v>
      </c>
      <c r="G11" s="25" t="s">
        <v>67</v>
      </c>
      <c r="H11" s="25" t="s">
        <v>212</v>
      </c>
      <c r="I11" s="25" t="s">
        <v>376</v>
      </c>
      <c r="J11" s="25" t="s">
        <v>365</v>
      </c>
      <c r="K11" s="25">
        <f>DATEDIF(I11,J11,"M")</f>
        <v>21</v>
      </c>
      <c r="L11" s="25" t="s">
        <v>587</v>
      </c>
      <c r="M11" s="25" t="s">
        <v>588</v>
      </c>
      <c r="N11" s="26">
        <v>6.87</v>
      </c>
      <c r="O11" s="27">
        <v>0.11</v>
      </c>
      <c r="P11" s="26">
        <v>0.76</v>
      </c>
      <c r="Q11" s="25" t="s">
        <v>73</v>
      </c>
      <c r="R11" s="25" t="s">
        <v>214</v>
      </c>
      <c r="S11" s="24" t="s">
        <v>581</v>
      </c>
    </row>
    <row r="12" spans="1:25" s="35" customFormat="1" x14ac:dyDescent="0.25">
      <c r="A12" s="25" t="s">
        <v>60</v>
      </c>
      <c r="B12" s="25" t="s">
        <v>62</v>
      </c>
      <c r="C12" s="25">
        <v>9079571</v>
      </c>
      <c r="D12" s="25" t="s">
        <v>374</v>
      </c>
      <c r="E12" s="25" t="s">
        <v>377</v>
      </c>
      <c r="F12" s="25" t="s">
        <v>65</v>
      </c>
      <c r="G12" s="25" t="s">
        <v>67</v>
      </c>
      <c r="H12" s="25" t="s">
        <v>212</v>
      </c>
      <c r="I12" s="25" t="s">
        <v>376</v>
      </c>
      <c r="J12" s="25" t="s">
        <v>365</v>
      </c>
      <c r="K12" s="25">
        <f>DATEDIF(I12,J12,"M")</f>
        <v>21</v>
      </c>
      <c r="L12" s="25" t="s">
        <v>587</v>
      </c>
      <c r="M12" s="25" t="s">
        <v>588</v>
      </c>
      <c r="N12" s="26">
        <v>59.1</v>
      </c>
      <c r="O12" s="27">
        <v>0.11</v>
      </c>
      <c r="P12" s="26">
        <v>6.5</v>
      </c>
      <c r="Q12" s="25" t="s">
        <v>73</v>
      </c>
      <c r="R12" s="25" t="s">
        <v>214</v>
      </c>
      <c r="S12" s="24" t="s">
        <v>581</v>
      </c>
      <c r="T12" s="24"/>
      <c r="U12" s="24"/>
      <c r="V12" s="24"/>
      <c r="W12" s="24"/>
      <c r="X12" s="24"/>
      <c r="Y12" s="24"/>
    </row>
    <row r="13" spans="1:25" x14ac:dyDescent="0.25">
      <c r="A13" s="25" t="s">
        <v>60</v>
      </c>
      <c r="B13" s="25" t="s">
        <v>62</v>
      </c>
      <c r="C13" s="25">
        <v>9079571</v>
      </c>
      <c r="D13" s="25" t="s">
        <v>374</v>
      </c>
      <c r="E13" s="25" t="s">
        <v>377</v>
      </c>
      <c r="F13" s="25" t="s">
        <v>65</v>
      </c>
      <c r="G13" s="25" t="s">
        <v>67</v>
      </c>
      <c r="H13" s="25" t="s">
        <v>212</v>
      </c>
      <c r="I13" s="25" t="s">
        <v>376</v>
      </c>
      <c r="J13" s="25" t="s">
        <v>365</v>
      </c>
      <c r="K13" s="25">
        <f>DATEDIF(I13,J13,"M")</f>
        <v>21</v>
      </c>
      <c r="L13" s="25" t="s">
        <v>587</v>
      </c>
      <c r="M13" s="25" t="s">
        <v>588</v>
      </c>
      <c r="N13" s="26">
        <v>49.87</v>
      </c>
      <c r="O13" s="27">
        <v>0.11</v>
      </c>
      <c r="P13" s="26">
        <v>5.49</v>
      </c>
      <c r="Q13" s="25" t="s">
        <v>73</v>
      </c>
      <c r="R13" s="25" t="s">
        <v>214</v>
      </c>
      <c r="S13" s="24" t="s">
        <v>581</v>
      </c>
    </row>
    <row r="14" spans="1:25" x14ac:dyDescent="0.25">
      <c r="A14" s="25" t="s">
        <v>60</v>
      </c>
      <c r="B14" s="25" t="s">
        <v>62</v>
      </c>
      <c r="C14" s="25">
        <v>9079571</v>
      </c>
      <c r="D14" s="25" t="s">
        <v>362</v>
      </c>
      <c r="E14" s="25" t="s">
        <v>363</v>
      </c>
      <c r="F14" s="25" t="s">
        <v>65</v>
      </c>
      <c r="G14" s="25" t="s">
        <v>209</v>
      </c>
      <c r="H14" s="25" t="s">
        <v>105</v>
      </c>
      <c r="I14" s="25" t="s">
        <v>364</v>
      </c>
      <c r="J14" s="25" t="s">
        <v>365</v>
      </c>
      <c r="K14" s="25">
        <f>DATEDIF(I14,J14,"M")</f>
        <v>26</v>
      </c>
      <c r="L14" s="25" t="s">
        <v>587</v>
      </c>
      <c r="M14" s="25" t="s">
        <v>588</v>
      </c>
      <c r="N14" s="26">
        <v>78.33</v>
      </c>
      <c r="O14" s="27">
        <v>7.4999999999999997E-2</v>
      </c>
      <c r="P14" s="26">
        <v>5.87</v>
      </c>
      <c r="Q14" s="25" t="s">
        <v>73</v>
      </c>
      <c r="R14" s="25" t="s">
        <v>210</v>
      </c>
      <c r="S14" s="24" t="s">
        <v>575</v>
      </c>
    </row>
    <row r="15" spans="1:25" s="35" customFormat="1" x14ac:dyDescent="0.25">
      <c r="A15" s="32" t="s">
        <v>60</v>
      </c>
      <c r="B15" s="32" t="s">
        <v>277</v>
      </c>
      <c r="C15" s="32">
        <v>7470776</v>
      </c>
      <c r="D15" s="32" t="s">
        <v>278</v>
      </c>
      <c r="E15" s="32" t="s">
        <v>279</v>
      </c>
      <c r="F15" s="32" t="s">
        <v>79</v>
      </c>
      <c r="G15" s="32" t="s">
        <v>81</v>
      </c>
      <c r="H15" s="32" t="s">
        <v>281</v>
      </c>
      <c r="I15" s="32" t="s">
        <v>83</v>
      </c>
      <c r="J15" s="32" t="s">
        <v>158</v>
      </c>
      <c r="K15" s="32">
        <f>DATEDIF(I15,J15,"M")</f>
        <v>10</v>
      </c>
      <c r="L15" s="32" t="s">
        <v>587</v>
      </c>
      <c r="M15" s="32" t="s">
        <v>588</v>
      </c>
      <c r="N15" s="33">
        <v>156.47999999999999</v>
      </c>
      <c r="O15" s="34">
        <v>0.56999999999999995</v>
      </c>
      <c r="P15" s="33">
        <v>89.19</v>
      </c>
      <c r="Q15" s="32" t="s">
        <v>73</v>
      </c>
      <c r="R15" s="32" t="s">
        <v>283</v>
      </c>
      <c r="S15" s="35" t="s">
        <v>577</v>
      </c>
    </row>
    <row r="16" spans="1:25" s="35" customFormat="1" x14ac:dyDescent="0.25">
      <c r="A16" s="32" t="s">
        <v>60</v>
      </c>
      <c r="B16" s="32" t="s">
        <v>160</v>
      </c>
      <c r="C16" s="32">
        <v>17554531</v>
      </c>
      <c r="D16" s="32" t="s">
        <v>248</v>
      </c>
      <c r="E16" s="32" t="s">
        <v>249</v>
      </c>
      <c r="F16" s="32" t="s">
        <v>137</v>
      </c>
      <c r="G16" s="32" t="s">
        <v>138</v>
      </c>
      <c r="H16" s="32" t="s">
        <v>251</v>
      </c>
      <c r="I16" s="32" t="s">
        <v>252</v>
      </c>
      <c r="J16" s="32" t="s">
        <v>252</v>
      </c>
      <c r="K16" s="32">
        <f>DATEDIF(I16,J16,"M")</f>
        <v>0</v>
      </c>
      <c r="L16" s="32" t="s">
        <v>587</v>
      </c>
      <c r="M16" s="32" t="s">
        <v>589</v>
      </c>
      <c r="N16" s="33">
        <v>19.48</v>
      </c>
      <c r="O16" s="34">
        <v>0.57999999999999996</v>
      </c>
      <c r="P16" s="33">
        <v>11.3</v>
      </c>
      <c r="Q16" s="32" t="s">
        <v>73</v>
      </c>
      <c r="R16" s="32" t="s">
        <v>254</v>
      </c>
      <c r="S16" s="35" t="s">
        <v>576</v>
      </c>
    </row>
    <row r="17" spans="1:25" s="35" customFormat="1" x14ac:dyDescent="0.25">
      <c r="A17" s="32" t="s">
        <v>60</v>
      </c>
      <c r="B17" s="32" t="s">
        <v>160</v>
      </c>
      <c r="C17" s="32">
        <v>17554531</v>
      </c>
      <c r="D17" s="32" t="s">
        <v>227</v>
      </c>
      <c r="E17" s="32" t="s">
        <v>228</v>
      </c>
      <c r="F17" s="32" t="s">
        <v>137</v>
      </c>
      <c r="G17" s="32" t="s">
        <v>113</v>
      </c>
      <c r="H17" s="32" t="s">
        <v>212</v>
      </c>
      <c r="I17" s="32" t="s">
        <v>230</v>
      </c>
      <c r="J17" s="32" t="s">
        <v>230</v>
      </c>
      <c r="K17" s="32">
        <f>DATEDIF(I17,J17,"M")</f>
        <v>0</v>
      </c>
      <c r="L17" s="32" t="s">
        <v>587</v>
      </c>
      <c r="M17" s="32" t="s">
        <v>589</v>
      </c>
      <c r="N17" s="33">
        <v>65.2</v>
      </c>
      <c r="O17" s="34">
        <v>0.65</v>
      </c>
      <c r="P17" s="33">
        <v>42.38</v>
      </c>
      <c r="Q17" s="32" t="s">
        <v>73</v>
      </c>
      <c r="R17" s="32" t="s">
        <v>214</v>
      </c>
      <c r="S17" s="35" t="s">
        <v>580</v>
      </c>
    </row>
    <row r="18" spans="1:25" s="35" customFormat="1" x14ac:dyDescent="0.25">
      <c r="A18" s="32" t="s">
        <v>60</v>
      </c>
      <c r="B18" s="32" t="s">
        <v>160</v>
      </c>
      <c r="C18" s="32">
        <v>17554531</v>
      </c>
      <c r="D18" s="32" t="s">
        <v>227</v>
      </c>
      <c r="E18" s="32" t="s">
        <v>228</v>
      </c>
      <c r="F18" s="32" t="s">
        <v>137</v>
      </c>
      <c r="G18" s="32" t="s">
        <v>113</v>
      </c>
      <c r="H18" s="32" t="s">
        <v>212</v>
      </c>
      <c r="I18" s="32" t="s">
        <v>230</v>
      </c>
      <c r="J18" s="32" t="s">
        <v>230</v>
      </c>
      <c r="K18" s="32">
        <f>DATEDIF(I18,J18,"M")</f>
        <v>0</v>
      </c>
      <c r="L18" s="32" t="s">
        <v>587</v>
      </c>
      <c r="M18" s="32" t="s">
        <v>589</v>
      </c>
      <c r="N18" s="33">
        <v>1.83</v>
      </c>
      <c r="O18" s="34">
        <v>0.65</v>
      </c>
      <c r="P18" s="33">
        <v>1.19</v>
      </c>
      <c r="Q18" s="32" t="s">
        <v>73</v>
      </c>
      <c r="R18" s="32" t="s">
        <v>214</v>
      </c>
      <c r="S18" s="35" t="s">
        <v>580</v>
      </c>
    </row>
    <row r="19" spans="1:25" s="35" customFormat="1" x14ac:dyDescent="0.25">
      <c r="A19" s="32" t="s">
        <v>60</v>
      </c>
      <c r="B19" s="32" t="s">
        <v>160</v>
      </c>
      <c r="C19" s="32">
        <v>17554531</v>
      </c>
      <c r="D19" s="32" t="s">
        <v>206</v>
      </c>
      <c r="E19" s="32" t="s">
        <v>207</v>
      </c>
      <c r="F19" s="32" t="s">
        <v>79</v>
      </c>
      <c r="G19" s="32" t="s">
        <v>209</v>
      </c>
      <c r="H19" s="32" t="s">
        <v>105</v>
      </c>
      <c r="I19" s="32" t="s">
        <v>84</v>
      </c>
      <c r="J19" s="32" t="s">
        <v>158</v>
      </c>
      <c r="K19" s="32">
        <f>DATEDIF(I19,J19,"M")</f>
        <v>1</v>
      </c>
      <c r="L19" s="32" t="s">
        <v>587</v>
      </c>
      <c r="M19" s="32" t="s">
        <v>589</v>
      </c>
      <c r="N19" s="33">
        <v>53.12</v>
      </c>
      <c r="O19" s="34">
        <v>1.05</v>
      </c>
      <c r="P19" s="33">
        <v>55.78</v>
      </c>
      <c r="Q19" s="32" t="s">
        <v>73</v>
      </c>
      <c r="R19" s="32" t="s">
        <v>210</v>
      </c>
      <c r="S19" s="35" t="s">
        <v>574</v>
      </c>
    </row>
    <row r="20" spans="1:25" s="35" customFormat="1" x14ac:dyDescent="0.25">
      <c r="A20" s="32" t="s">
        <v>60</v>
      </c>
      <c r="B20" s="32" t="s">
        <v>160</v>
      </c>
      <c r="C20" s="32">
        <v>17554531</v>
      </c>
      <c r="D20" s="32" t="s">
        <v>305</v>
      </c>
      <c r="E20" s="32" t="s">
        <v>306</v>
      </c>
      <c r="F20" s="32" t="s">
        <v>79</v>
      </c>
      <c r="G20" s="32" t="s">
        <v>67</v>
      </c>
      <c r="H20" s="32" t="s">
        <v>82</v>
      </c>
      <c r="I20" s="32" t="s">
        <v>308</v>
      </c>
      <c r="J20" s="32" t="s">
        <v>252</v>
      </c>
      <c r="K20" s="32">
        <f>DATEDIF(I20,J20,"M")</f>
        <v>1</v>
      </c>
      <c r="L20" s="32" t="s">
        <v>587</v>
      </c>
      <c r="M20" s="32" t="s">
        <v>589</v>
      </c>
      <c r="N20" s="33">
        <v>59.75</v>
      </c>
      <c r="O20" s="34">
        <v>0.95</v>
      </c>
      <c r="P20" s="33">
        <v>56.76</v>
      </c>
      <c r="Q20" s="32" t="s">
        <v>73</v>
      </c>
      <c r="R20" s="32" t="s">
        <v>86</v>
      </c>
      <c r="S20" s="35" t="s">
        <v>578</v>
      </c>
    </row>
    <row r="21" spans="1:25" s="35" customFormat="1" x14ac:dyDescent="0.25">
      <c r="A21" s="32" t="s">
        <v>60</v>
      </c>
      <c r="B21" s="32" t="s">
        <v>160</v>
      </c>
      <c r="C21" s="32">
        <v>17554531</v>
      </c>
      <c r="D21" s="32" t="s">
        <v>206</v>
      </c>
      <c r="E21" s="32" t="s">
        <v>211</v>
      </c>
      <c r="F21" s="32" t="s">
        <v>79</v>
      </c>
      <c r="G21" s="32" t="s">
        <v>209</v>
      </c>
      <c r="H21" s="32" t="s">
        <v>212</v>
      </c>
      <c r="I21" s="32" t="s">
        <v>84</v>
      </c>
      <c r="J21" s="32" t="s">
        <v>158</v>
      </c>
      <c r="K21" s="32">
        <f>DATEDIF(I21,J21,"M")</f>
        <v>1</v>
      </c>
      <c r="L21" s="32" t="s">
        <v>587</v>
      </c>
      <c r="M21" s="32" t="s">
        <v>589</v>
      </c>
      <c r="N21" s="33">
        <v>7.26</v>
      </c>
      <c r="O21" s="34">
        <v>0.6</v>
      </c>
      <c r="P21" s="33">
        <v>4.3600000000000003</v>
      </c>
      <c r="Q21" s="32" t="s">
        <v>73</v>
      </c>
      <c r="R21" s="32" t="s">
        <v>214</v>
      </c>
      <c r="S21" s="35" t="s">
        <v>579</v>
      </c>
    </row>
    <row r="22" spans="1:25" s="35" customFormat="1" x14ac:dyDescent="0.25">
      <c r="A22" s="32" t="s">
        <v>60</v>
      </c>
      <c r="B22" s="32" t="s">
        <v>160</v>
      </c>
      <c r="C22" s="32">
        <v>17554531</v>
      </c>
      <c r="D22" s="32" t="s">
        <v>206</v>
      </c>
      <c r="E22" s="32" t="s">
        <v>211</v>
      </c>
      <c r="F22" s="32" t="s">
        <v>79</v>
      </c>
      <c r="G22" s="32" t="s">
        <v>209</v>
      </c>
      <c r="H22" s="32" t="s">
        <v>212</v>
      </c>
      <c r="I22" s="32" t="s">
        <v>84</v>
      </c>
      <c r="J22" s="32" t="s">
        <v>158</v>
      </c>
      <c r="K22" s="32">
        <f>DATEDIF(I22,J22,"M")</f>
        <v>1</v>
      </c>
      <c r="L22" s="32" t="s">
        <v>587</v>
      </c>
      <c r="M22" s="32" t="s">
        <v>589</v>
      </c>
      <c r="N22" s="33">
        <v>6.83</v>
      </c>
      <c r="O22" s="34">
        <v>0.6</v>
      </c>
      <c r="P22" s="33">
        <v>4.0999999999999996</v>
      </c>
      <c r="Q22" s="32" t="s">
        <v>73</v>
      </c>
      <c r="R22" s="32" t="s">
        <v>214</v>
      </c>
      <c r="S22" s="35" t="s">
        <v>579</v>
      </c>
    </row>
    <row r="23" spans="1:25" s="35" customFormat="1" x14ac:dyDescent="0.25">
      <c r="A23" s="32" t="s">
        <v>60</v>
      </c>
      <c r="B23" s="32" t="s">
        <v>160</v>
      </c>
      <c r="C23" s="32">
        <v>17554531</v>
      </c>
      <c r="D23" s="32" t="s">
        <v>206</v>
      </c>
      <c r="E23" s="32" t="s">
        <v>211</v>
      </c>
      <c r="F23" s="32" t="s">
        <v>79</v>
      </c>
      <c r="G23" s="32" t="s">
        <v>209</v>
      </c>
      <c r="H23" s="32" t="s">
        <v>212</v>
      </c>
      <c r="I23" s="32" t="s">
        <v>84</v>
      </c>
      <c r="J23" s="32" t="s">
        <v>158</v>
      </c>
      <c r="K23" s="32">
        <f>DATEDIF(I23,J23,"M")</f>
        <v>1</v>
      </c>
      <c r="L23" s="32" t="s">
        <v>587</v>
      </c>
      <c r="M23" s="32" t="s">
        <v>589</v>
      </c>
      <c r="N23" s="33">
        <v>4.88</v>
      </c>
      <c r="O23" s="34">
        <v>0.6</v>
      </c>
      <c r="P23" s="33">
        <v>2.93</v>
      </c>
      <c r="Q23" s="32" t="s">
        <v>73</v>
      </c>
      <c r="R23" s="32" t="s">
        <v>214</v>
      </c>
      <c r="S23" s="35" t="s">
        <v>579</v>
      </c>
    </row>
    <row r="24" spans="1:25" s="35" customFormat="1" x14ac:dyDescent="0.25">
      <c r="A24" s="32" t="s">
        <v>60</v>
      </c>
      <c r="B24" s="32" t="s">
        <v>160</v>
      </c>
      <c r="C24" s="32">
        <v>17554531</v>
      </c>
      <c r="D24" s="32" t="s">
        <v>206</v>
      </c>
      <c r="E24" s="32" t="s">
        <v>211</v>
      </c>
      <c r="F24" s="32" t="s">
        <v>79</v>
      </c>
      <c r="G24" s="32" t="s">
        <v>209</v>
      </c>
      <c r="H24" s="32" t="s">
        <v>212</v>
      </c>
      <c r="I24" s="32" t="s">
        <v>84</v>
      </c>
      <c r="J24" s="32" t="s">
        <v>158</v>
      </c>
      <c r="K24" s="32">
        <f>DATEDIF(I24,J24,"M")</f>
        <v>1</v>
      </c>
      <c r="L24" s="32" t="s">
        <v>587</v>
      </c>
      <c r="M24" s="32" t="s">
        <v>589</v>
      </c>
      <c r="N24" s="33">
        <v>1.63</v>
      </c>
      <c r="O24" s="34">
        <v>0.6</v>
      </c>
      <c r="P24" s="33">
        <v>0.98</v>
      </c>
      <c r="Q24" s="32" t="s">
        <v>73</v>
      </c>
      <c r="R24" s="32" t="s">
        <v>214</v>
      </c>
      <c r="S24" s="35" t="s">
        <v>579</v>
      </c>
    </row>
    <row r="25" spans="1:25" s="35" customFormat="1" x14ac:dyDescent="0.25">
      <c r="A25" s="32" t="s">
        <v>127</v>
      </c>
      <c r="B25" s="32" t="s">
        <v>160</v>
      </c>
      <c r="C25" s="32">
        <v>17554531</v>
      </c>
      <c r="D25" s="32" t="s">
        <v>248</v>
      </c>
      <c r="E25" s="32" t="s">
        <v>249</v>
      </c>
      <c r="F25" s="32" t="s">
        <v>137</v>
      </c>
      <c r="G25" s="32" t="s">
        <v>138</v>
      </c>
      <c r="H25" s="32" t="s">
        <v>251</v>
      </c>
      <c r="I25" s="32" t="s">
        <v>252</v>
      </c>
      <c r="J25" s="32" t="s">
        <v>253</v>
      </c>
      <c r="K25" s="32">
        <f>DATEDIF(I25,J25,"M")</f>
        <v>1</v>
      </c>
      <c r="L25" s="32" t="s">
        <v>587</v>
      </c>
      <c r="M25" s="32" t="s">
        <v>589</v>
      </c>
      <c r="N25" s="33">
        <v>-22.92</v>
      </c>
      <c r="O25" s="34">
        <v>0.57999999999999996</v>
      </c>
      <c r="P25" s="33">
        <v>-13.29</v>
      </c>
      <c r="Q25" s="32" t="s">
        <v>73</v>
      </c>
      <c r="R25" s="32" t="s">
        <v>254</v>
      </c>
      <c r="S25" s="35" t="s">
        <v>576</v>
      </c>
    </row>
    <row r="26" spans="1:25" s="35" customFormat="1" x14ac:dyDescent="0.25">
      <c r="A26" s="32" t="s">
        <v>60</v>
      </c>
      <c r="B26" s="32" t="s">
        <v>160</v>
      </c>
      <c r="C26" s="32">
        <v>17554531</v>
      </c>
      <c r="D26" s="32" t="s">
        <v>161</v>
      </c>
      <c r="E26" s="32" t="s">
        <v>162</v>
      </c>
      <c r="F26" s="32" t="s">
        <v>79</v>
      </c>
      <c r="G26" s="32" t="s">
        <v>67</v>
      </c>
      <c r="H26" s="32" t="s">
        <v>105</v>
      </c>
      <c r="I26" s="32" t="s">
        <v>164</v>
      </c>
      <c r="J26" s="32" t="s">
        <v>158</v>
      </c>
      <c r="K26" s="32">
        <f>DATEDIF(I26,J26,"M")</f>
        <v>2</v>
      </c>
      <c r="L26" s="32" t="s">
        <v>587</v>
      </c>
      <c r="M26" s="32" t="s">
        <v>589</v>
      </c>
      <c r="N26" s="33">
        <v>43.41</v>
      </c>
      <c r="O26" s="34">
        <v>0.95</v>
      </c>
      <c r="P26" s="33">
        <v>41.24</v>
      </c>
      <c r="Q26" s="32" t="s">
        <v>73</v>
      </c>
      <c r="R26" s="32" t="s">
        <v>106</v>
      </c>
      <c r="S26" s="35" t="s">
        <v>575</v>
      </c>
    </row>
    <row r="27" spans="1:25" s="35" customFormat="1" x14ac:dyDescent="0.25">
      <c r="A27" s="32" t="s">
        <v>60</v>
      </c>
      <c r="B27" s="32" t="s">
        <v>160</v>
      </c>
      <c r="C27" s="32">
        <v>17554531</v>
      </c>
      <c r="D27" s="32" t="s">
        <v>187</v>
      </c>
      <c r="E27" s="32" t="s">
        <v>287</v>
      </c>
      <c r="F27" s="32" t="s">
        <v>79</v>
      </c>
      <c r="G27" s="32" t="s">
        <v>67</v>
      </c>
      <c r="H27" s="32" t="s">
        <v>105</v>
      </c>
      <c r="I27" s="32" t="s">
        <v>130</v>
      </c>
      <c r="J27" s="32" t="s">
        <v>189</v>
      </c>
      <c r="K27" s="32">
        <f>DATEDIF(I27,J27,"M")</f>
        <v>2</v>
      </c>
      <c r="L27" s="32" t="s">
        <v>587</v>
      </c>
      <c r="M27" s="32" t="s">
        <v>589</v>
      </c>
      <c r="N27" s="33">
        <v>30.42</v>
      </c>
      <c r="O27" s="34">
        <v>0.95</v>
      </c>
      <c r="P27" s="33">
        <v>28.9</v>
      </c>
      <c r="Q27" s="32" t="s">
        <v>73</v>
      </c>
      <c r="R27" s="32" t="s">
        <v>106</v>
      </c>
      <c r="S27" s="35" t="s">
        <v>575</v>
      </c>
    </row>
    <row r="28" spans="1:25" s="35" customFormat="1" x14ac:dyDescent="0.25">
      <c r="A28" s="32" t="s">
        <v>60</v>
      </c>
      <c r="B28" s="32" t="s">
        <v>160</v>
      </c>
      <c r="C28" s="32">
        <v>17554531</v>
      </c>
      <c r="D28" s="32" t="s">
        <v>239</v>
      </c>
      <c r="E28" s="32" t="s">
        <v>240</v>
      </c>
      <c r="F28" s="32" t="s">
        <v>79</v>
      </c>
      <c r="G28" s="32" t="s">
        <v>113</v>
      </c>
      <c r="H28" s="32" t="s">
        <v>105</v>
      </c>
      <c r="I28" s="32" t="s">
        <v>164</v>
      </c>
      <c r="J28" s="32" t="s">
        <v>158</v>
      </c>
      <c r="K28" s="32">
        <f>DATEDIF(I28,J28,"M")</f>
        <v>2</v>
      </c>
      <c r="L28" s="32" t="s">
        <v>587</v>
      </c>
      <c r="M28" s="32" t="s">
        <v>589</v>
      </c>
      <c r="N28" s="33">
        <v>45.62</v>
      </c>
      <c r="O28" s="34">
        <v>1.05</v>
      </c>
      <c r="P28" s="33">
        <v>47.9</v>
      </c>
      <c r="Q28" s="32" t="s">
        <v>73</v>
      </c>
      <c r="R28" s="32" t="s">
        <v>106</v>
      </c>
      <c r="S28" s="35" t="s">
        <v>574</v>
      </c>
    </row>
    <row r="29" spans="1:25" s="35" customFormat="1" x14ac:dyDescent="0.25">
      <c r="A29" s="32" t="s">
        <v>60</v>
      </c>
      <c r="B29" s="32" t="s">
        <v>160</v>
      </c>
      <c r="C29" s="32">
        <v>17554531</v>
      </c>
      <c r="D29" s="32" t="s">
        <v>187</v>
      </c>
      <c r="E29" s="32" t="s">
        <v>284</v>
      </c>
      <c r="F29" s="32" t="s">
        <v>79</v>
      </c>
      <c r="G29" s="32" t="s">
        <v>67</v>
      </c>
      <c r="H29" s="32" t="s">
        <v>285</v>
      </c>
      <c r="I29" s="32" t="s">
        <v>130</v>
      </c>
      <c r="J29" s="32" t="s">
        <v>189</v>
      </c>
      <c r="K29" s="32">
        <f>DATEDIF(I29,J29,"M")</f>
        <v>2</v>
      </c>
      <c r="L29" s="32" t="s">
        <v>587</v>
      </c>
      <c r="M29" s="32" t="s">
        <v>589</v>
      </c>
      <c r="N29" s="33">
        <v>21.68</v>
      </c>
      <c r="O29" s="34">
        <v>0.57999999999999996</v>
      </c>
      <c r="P29" s="33">
        <v>12.57</v>
      </c>
      <c r="Q29" s="32" t="s">
        <v>73</v>
      </c>
      <c r="R29" s="32" t="s">
        <v>286</v>
      </c>
      <c r="S29" s="35" t="s">
        <v>576</v>
      </c>
    </row>
    <row r="30" spans="1:25" s="35" customFormat="1" x14ac:dyDescent="0.25">
      <c r="A30" s="32" t="s">
        <v>60</v>
      </c>
      <c r="B30" s="32" t="s">
        <v>160</v>
      </c>
      <c r="C30" s="32">
        <v>17554531</v>
      </c>
      <c r="D30" s="32" t="s">
        <v>161</v>
      </c>
      <c r="E30" s="32" t="s">
        <v>334</v>
      </c>
      <c r="F30" s="32" t="s">
        <v>79</v>
      </c>
      <c r="G30" s="32" t="s">
        <v>67</v>
      </c>
      <c r="H30" s="32" t="s">
        <v>285</v>
      </c>
      <c r="I30" s="32" t="s">
        <v>164</v>
      </c>
      <c r="J30" s="32" t="s">
        <v>158</v>
      </c>
      <c r="K30" s="32">
        <f>DATEDIF(I30,J30,"M")</f>
        <v>2</v>
      </c>
      <c r="L30" s="32" t="s">
        <v>587</v>
      </c>
      <c r="M30" s="32" t="s">
        <v>589</v>
      </c>
      <c r="N30" s="33">
        <v>21.68</v>
      </c>
      <c r="O30" s="34">
        <v>0.57999999999999996</v>
      </c>
      <c r="P30" s="33">
        <v>12.57</v>
      </c>
      <c r="Q30" s="32" t="s">
        <v>73</v>
      </c>
      <c r="R30" s="32" t="s">
        <v>286</v>
      </c>
      <c r="S30" s="35" t="s">
        <v>576</v>
      </c>
    </row>
    <row r="31" spans="1:25" s="35" customFormat="1" x14ac:dyDescent="0.25">
      <c r="A31" s="32" t="s">
        <v>60</v>
      </c>
      <c r="B31" s="32" t="s">
        <v>160</v>
      </c>
      <c r="C31" s="32">
        <v>17554531</v>
      </c>
      <c r="D31" s="32" t="s">
        <v>332</v>
      </c>
      <c r="E31" s="32" t="s">
        <v>333</v>
      </c>
      <c r="F31" s="32" t="s">
        <v>79</v>
      </c>
      <c r="G31" s="32" t="s">
        <v>113</v>
      </c>
      <c r="H31" s="32" t="s">
        <v>251</v>
      </c>
      <c r="I31" s="32" t="s">
        <v>219</v>
      </c>
      <c r="J31" s="32" t="s">
        <v>69</v>
      </c>
      <c r="K31" s="32">
        <f>DATEDIF(I31,J31,"M")</f>
        <v>2</v>
      </c>
      <c r="L31" s="32" t="s">
        <v>587</v>
      </c>
      <c r="M31" s="32" t="s">
        <v>589</v>
      </c>
      <c r="N31" s="33">
        <v>69.17</v>
      </c>
      <c r="O31" s="34">
        <v>0.57999999999999996</v>
      </c>
      <c r="P31" s="33">
        <v>40.119999999999997</v>
      </c>
      <c r="Q31" s="32" t="s">
        <v>73</v>
      </c>
      <c r="R31" s="32" t="s">
        <v>254</v>
      </c>
      <c r="S31" s="35" t="s">
        <v>576</v>
      </c>
    </row>
    <row r="32" spans="1:25" s="39" customFormat="1" x14ac:dyDescent="0.25">
      <c r="A32" s="32" t="s">
        <v>60</v>
      </c>
      <c r="B32" s="32" t="s">
        <v>160</v>
      </c>
      <c r="C32" s="32">
        <v>17554531</v>
      </c>
      <c r="D32" s="32" t="s">
        <v>161</v>
      </c>
      <c r="E32" s="32" t="s">
        <v>165</v>
      </c>
      <c r="F32" s="32" t="s">
        <v>79</v>
      </c>
      <c r="G32" s="32" t="s">
        <v>67</v>
      </c>
      <c r="H32" s="32" t="s">
        <v>82</v>
      </c>
      <c r="I32" s="32" t="s">
        <v>164</v>
      </c>
      <c r="J32" s="32" t="s">
        <v>158</v>
      </c>
      <c r="K32" s="32">
        <f>DATEDIF(I32,J32,"M")</f>
        <v>2</v>
      </c>
      <c r="L32" s="32" t="s">
        <v>587</v>
      </c>
      <c r="M32" s="32" t="s">
        <v>589</v>
      </c>
      <c r="N32" s="33">
        <v>31.91</v>
      </c>
      <c r="O32" s="34">
        <v>0.95</v>
      </c>
      <c r="P32" s="33">
        <v>30.31</v>
      </c>
      <c r="Q32" s="32" t="s">
        <v>73</v>
      </c>
      <c r="R32" s="32" t="s">
        <v>86</v>
      </c>
      <c r="S32" s="35" t="s">
        <v>578</v>
      </c>
      <c r="T32" s="35"/>
      <c r="U32" s="35"/>
      <c r="V32" s="35"/>
      <c r="W32" s="35"/>
      <c r="X32" s="35"/>
      <c r="Y32" s="35"/>
    </row>
    <row r="33" spans="1:25" s="39" customFormat="1" x14ac:dyDescent="0.25">
      <c r="A33" s="32" t="s">
        <v>60</v>
      </c>
      <c r="B33" s="32" t="s">
        <v>160</v>
      </c>
      <c r="C33" s="32">
        <v>17554531</v>
      </c>
      <c r="D33" s="32" t="s">
        <v>187</v>
      </c>
      <c r="E33" s="32" t="s">
        <v>188</v>
      </c>
      <c r="F33" s="32" t="s">
        <v>79</v>
      </c>
      <c r="G33" s="32" t="s">
        <v>67</v>
      </c>
      <c r="H33" s="32" t="s">
        <v>82</v>
      </c>
      <c r="I33" s="32" t="s">
        <v>130</v>
      </c>
      <c r="J33" s="32" t="s">
        <v>189</v>
      </c>
      <c r="K33" s="32">
        <f>DATEDIF(I33,J33,"M")</f>
        <v>2</v>
      </c>
      <c r="L33" s="32" t="s">
        <v>587</v>
      </c>
      <c r="M33" s="32" t="s">
        <v>589</v>
      </c>
      <c r="N33" s="33">
        <v>49.75</v>
      </c>
      <c r="O33" s="34">
        <v>0.95</v>
      </c>
      <c r="P33" s="33">
        <v>47.26</v>
      </c>
      <c r="Q33" s="32" t="s">
        <v>73</v>
      </c>
      <c r="R33" s="32" t="s">
        <v>86</v>
      </c>
      <c r="S33" s="35" t="s">
        <v>578</v>
      </c>
      <c r="T33" s="35"/>
      <c r="U33" s="35"/>
      <c r="V33" s="35"/>
      <c r="W33" s="35"/>
      <c r="X33" s="35"/>
      <c r="Y33" s="35"/>
    </row>
    <row r="34" spans="1:25" s="39" customFormat="1" x14ac:dyDescent="0.25">
      <c r="A34" s="32" t="s">
        <v>60</v>
      </c>
      <c r="B34" s="32" t="s">
        <v>160</v>
      </c>
      <c r="C34" s="32">
        <v>17554531</v>
      </c>
      <c r="D34" s="32" t="s">
        <v>243</v>
      </c>
      <c r="E34" s="32" t="s">
        <v>244</v>
      </c>
      <c r="F34" s="32" t="s">
        <v>79</v>
      </c>
      <c r="G34" s="32" t="s">
        <v>67</v>
      </c>
      <c r="H34" s="32" t="s">
        <v>82</v>
      </c>
      <c r="I34" s="32" t="s">
        <v>164</v>
      </c>
      <c r="J34" s="32" t="s">
        <v>158</v>
      </c>
      <c r="K34" s="32">
        <f>DATEDIF(I34,J34,"M")</f>
        <v>2</v>
      </c>
      <c r="L34" s="32" t="s">
        <v>587</v>
      </c>
      <c r="M34" s="32" t="s">
        <v>589</v>
      </c>
      <c r="N34" s="33">
        <v>95.41</v>
      </c>
      <c r="O34" s="34">
        <v>0.95</v>
      </c>
      <c r="P34" s="33">
        <v>90.64</v>
      </c>
      <c r="Q34" s="32" t="s">
        <v>73</v>
      </c>
      <c r="R34" s="32" t="s">
        <v>86</v>
      </c>
      <c r="S34" s="35" t="s">
        <v>578</v>
      </c>
      <c r="T34" s="35"/>
      <c r="U34" s="35"/>
      <c r="V34" s="35"/>
      <c r="W34" s="35"/>
      <c r="X34" s="35"/>
      <c r="Y34" s="35"/>
    </row>
    <row r="35" spans="1:25" s="39" customFormat="1" x14ac:dyDescent="0.25">
      <c r="A35" s="32" t="s">
        <v>60</v>
      </c>
      <c r="B35" s="32" t="s">
        <v>160</v>
      </c>
      <c r="C35" s="32">
        <v>17554531</v>
      </c>
      <c r="D35" s="32" t="s">
        <v>239</v>
      </c>
      <c r="E35" s="32" t="s">
        <v>241</v>
      </c>
      <c r="F35" s="32" t="s">
        <v>79</v>
      </c>
      <c r="G35" s="32" t="s">
        <v>113</v>
      </c>
      <c r="H35" s="32" t="s">
        <v>82</v>
      </c>
      <c r="I35" s="32" t="s">
        <v>164</v>
      </c>
      <c r="J35" s="32" t="s">
        <v>158</v>
      </c>
      <c r="K35" s="32">
        <f>DATEDIF(I35,J35,"M")</f>
        <v>2</v>
      </c>
      <c r="L35" s="32" t="s">
        <v>587</v>
      </c>
      <c r="M35" s="32" t="s">
        <v>589</v>
      </c>
      <c r="N35" s="33">
        <v>53.12</v>
      </c>
      <c r="O35" s="34">
        <v>1.05</v>
      </c>
      <c r="P35" s="33">
        <v>55.78</v>
      </c>
      <c r="Q35" s="32" t="s">
        <v>73</v>
      </c>
      <c r="R35" s="32" t="s">
        <v>86</v>
      </c>
      <c r="S35" s="35" t="s">
        <v>574</v>
      </c>
      <c r="T35" s="35"/>
      <c r="U35" s="35"/>
      <c r="V35" s="35"/>
      <c r="W35" s="35"/>
      <c r="X35" s="35"/>
      <c r="Y35" s="35"/>
    </row>
    <row r="36" spans="1:25" s="39" customFormat="1" x14ac:dyDescent="0.25">
      <c r="A36" s="32" t="s">
        <v>60</v>
      </c>
      <c r="B36" s="32" t="s">
        <v>160</v>
      </c>
      <c r="C36" s="32">
        <v>17554531</v>
      </c>
      <c r="D36" s="32" t="s">
        <v>239</v>
      </c>
      <c r="E36" s="32" t="s">
        <v>242</v>
      </c>
      <c r="F36" s="32" t="s">
        <v>79</v>
      </c>
      <c r="G36" s="32" t="s">
        <v>113</v>
      </c>
      <c r="H36" s="32" t="s">
        <v>212</v>
      </c>
      <c r="I36" s="32" t="s">
        <v>164</v>
      </c>
      <c r="J36" s="32" t="s">
        <v>158</v>
      </c>
      <c r="K36" s="32">
        <f>DATEDIF(I36,J36,"M")</f>
        <v>2</v>
      </c>
      <c r="L36" s="32" t="s">
        <v>587</v>
      </c>
      <c r="M36" s="32" t="s">
        <v>589</v>
      </c>
      <c r="N36" s="33">
        <v>41.1</v>
      </c>
      <c r="O36" s="34">
        <v>0.65</v>
      </c>
      <c r="P36" s="33">
        <v>26.72</v>
      </c>
      <c r="Q36" s="32" t="s">
        <v>73</v>
      </c>
      <c r="R36" s="32" t="s">
        <v>214</v>
      </c>
      <c r="S36" s="35" t="s">
        <v>580</v>
      </c>
      <c r="T36" s="35"/>
      <c r="U36" s="35"/>
      <c r="V36" s="35"/>
      <c r="W36" s="35"/>
      <c r="X36" s="35"/>
      <c r="Y36" s="35"/>
    </row>
    <row r="37" spans="1:25" s="39" customFormat="1" x14ac:dyDescent="0.25">
      <c r="A37" s="32" t="s">
        <v>60</v>
      </c>
      <c r="B37" s="32" t="s">
        <v>160</v>
      </c>
      <c r="C37" s="32">
        <v>17554531</v>
      </c>
      <c r="D37" s="32" t="s">
        <v>239</v>
      </c>
      <c r="E37" s="32" t="s">
        <v>242</v>
      </c>
      <c r="F37" s="32" t="s">
        <v>79</v>
      </c>
      <c r="G37" s="32" t="s">
        <v>113</v>
      </c>
      <c r="H37" s="32" t="s">
        <v>212</v>
      </c>
      <c r="I37" s="32" t="s">
        <v>164</v>
      </c>
      <c r="J37" s="32" t="s">
        <v>158</v>
      </c>
      <c r="K37" s="32">
        <f>DATEDIF(I37,J37,"M")</f>
        <v>2</v>
      </c>
      <c r="L37" s="32" t="s">
        <v>587</v>
      </c>
      <c r="M37" s="32" t="s">
        <v>589</v>
      </c>
      <c r="N37" s="33">
        <v>43.33</v>
      </c>
      <c r="O37" s="34">
        <v>0.65</v>
      </c>
      <c r="P37" s="33">
        <v>28.16</v>
      </c>
      <c r="Q37" s="32" t="s">
        <v>73</v>
      </c>
      <c r="R37" s="32" t="s">
        <v>214</v>
      </c>
      <c r="S37" s="35" t="s">
        <v>580</v>
      </c>
      <c r="T37" s="35"/>
      <c r="U37" s="35"/>
      <c r="V37" s="35"/>
      <c r="W37" s="35"/>
      <c r="X37" s="35"/>
      <c r="Y37" s="35"/>
    </row>
    <row r="38" spans="1:25" s="39" customFormat="1" x14ac:dyDescent="0.25">
      <c r="A38" s="32" t="s">
        <v>60</v>
      </c>
      <c r="B38" s="32" t="s">
        <v>160</v>
      </c>
      <c r="C38" s="32">
        <v>17554531</v>
      </c>
      <c r="D38" s="32" t="s">
        <v>239</v>
      </c>
      <c r="E38" s="32" t="s">
        <v>242</v>
      </c>
      <c r="F38" s="32" t="s">
        <v>79</v>
      </c>
      <c r="G38" s="32" t="s">
        <v>113</v>
      </c>
      <c r="H38" s="32" t="s">
        <v>212</v>
      </c>
      <c r="I38" s="32" t="s">
        <v>164</v>
      </c>
      <c r="J38" s="32" t="s">
        <v>158</v>
      </c>
      <c r="K38" s="32">
        <f>DATEDIF(I38,J38,"M")</f>
        <v>2</v>
      </c>
      <c r="L38" s="32" t="s">
        <v>587</v>
      </c>
      <c r="M38" s="32" t="s">
        <v>589</v>
      </c>
      <c r="N38" s="33">
        <v>22.7</v>
      </c>
      <c r="O38" s="34">
        <v>0.65</v>
      </c>
      <c r="P38" s="33">
        <v>14.76</v>
      </c>
      <c r="Q38" s="32" t="s">
        <v>73</v>
      </c>
      <c r="R38" s="32" t="s">
        <v>214</v>
      </c>
      <c r="S38" s="35" t="s">
        <v>580</v>
      </c>
      <c r="T38" s="35"/>
      <c r="U38" s="35"/>
      <c r="V38" s="35"/>
      <c r="W38" s="35"/>
      <c r="X38" s="35"/>
      <c r="Y38" s="35"/>
    </row>
    <row r="39" spans="1:25" s="39" customFormat="1" x14ac:dyDescent="0.25">
      <c r="A39" s="32" t="s">
        <v>60</v>
      </c>
      <c r="B39" s="32" t="s">
        <v>160</v>
      </c>
      <c r="C39" s="32">
        <v>17554531</v>
      </c>
      <c r="D39" s="32" t="s">
        <v>239</v>
      </c>
      <c r="E39" s="32" t="s">
        <v>242</v>
      </c>
      <c r="F39" s="32" t="s">
        <v>79</v>
      </c>
      <c r="G39" s="32" t="s">
        <v>113</v>
      </c>
      <c r="H39" s="32" t="s">
        <v>212</v>
      </c>
      <c r="I39" s="32" t="s">
        <v>164</v>
      </c>
      <c r="J39" s="32" t="s">
        <v>158</v>
      </c>
      <c r="K39" s="32">
        <f>DATEDIF(I39,J39,"M")</f>
        <v>2</v>
      </c>
      <c r="L39" s="32" t="s">
        <v>587</v>
      </c>
      <c r="M39" s="32" t="s">
        <v>589</v>
      </c>
      <c r="N39" s="33">
        <v>1.04</v>
      </c>
      <c r="O39" s="34">
        <v>0.65</v>
      </c>
      <c r="P39" s="33">
        <v>0.68</v>
      </c>
      <c r="Q39" s="32" t="s">
        <v>73</v>
      </c>
      <c r="R39" s="32" t="s">
        <v>214</v>
      </c>
      <c r="S39" s="35" t="s">
        <v>580</v>
      </c>
      <c r="T39" s="35"/>
      <c r="U39" s="35"/>
      <c r="V39" s="35"/>
      <c r="W39" s="35"/>
      <c r="X39" s="35"/>
      <c r="Y39" s="35"/>
    </row>
    <row r="40" spans="1:25" s="40" customFormat="1" x14ac:dyDescent="0.25">
      <c r="A40" s="25" t="s">
        <v>60</v>
      </c>
      <c r="B40" s="25" t="s">
        <v>224</v>
      </c>
      <c r="C40" s="25">
        <v>17425766</v>
      </c>
      <c r="D40" s="25" t="s">
        <v>225</v>
      </c>
      <c r="E40" s="25" t="s">
        <v>226</v>
      </c>
      <c r="F40" s="25" t="s">
        <v>137</v>
      </c>
      <c r="G40" s="25" t="s">
        <v>113</v>
      </c>
      <c r="H40" s="25" t="s">
        <v>143</v>
      </c>
      <c r="I40" s="25" t="s">
        <v>158</v>
      </c>
      <c r="J40" s="25" t="s">
        <v>158</v>
      </c>
      <c r="K40" s="25">
        <f>DATEDIF(I40,J40,"M")</f>
        <v>0</v>
      </c>
      <c r="L40" s="25" t="s">
        <v>587</v>
      </c>
      <c r="M40" s="25" t="s">
        <v>588</v>
      </c>
      <c r="N40" s="26">
        <v>22</v>
      </c>
      <c r="O40" s="27">
        <v>0.65</v>
      </c>
      <c r="P40" s="26">
        <v>14.3</v>
      </c>
      <c r="Q40" s="25" t="s">
        <v>73</v>
      </c>
      <c r="R40" s="25" t="s">
        <v>145</v>
      </c>
      <c r="S40" s="24" t="s">
        <v>580</v>
      </c>
      <c r="T40" s="24"/>
      <c r="U40" s="24"/>
      <c r="V40" s="24"/>
      <c r="W40" s="24"/>
      <c r="X40" s="24"/>
      <c r="Y40" s="24"/>
    </row>
    <row r="41" spans="1:25" s="40" customFormat="1" x14ac:dyDescent="0.25">
      <c r="A41" s="25" t="s">
        <v>60</v>
      </c>
      <c r="B41" s="25" t="s">
        <v>224</v>
      </c>
      <c r="C41" s="25">
        <v>17425766</v>
      </c>
      <c r="D41" s="25" t="s">
        <v>225</v>
      </c>
      <c r="E41" s="25" t="s">
        <v>226</v>
      </c>
      <c r="F41" s="25" t="s">
        <v>137</v>
      </c>
      <c r="G41" s="25" t="s">
        <v>113</v>
      </c>
      <c r="H41" s="25" t="s">
        <v>143</v>
      </c>
      <c r="I41" s="25" t="s">
        <v>158</v>
      </c>
      <c r="J41" s="25" t="s">
        <v>158</v>
      </c>
      <c r="K41" s="25">
        <f>DATEDIF(I41,J41,"M")</f>
        <v>0</v>
      </c>
      <c r="L41" s="25" t="s">
        <v>587</v>
      </c>
      <c r="M41" s="25" t="s">
        <v>588</v>
      </c>
      <c r="N41" s="26">
        <v>10.25</v>
      </c>
      <c r="O41" s="27">
        <v>0.65</v>
      </c>
      <c r="P41" s="26">
        <v>6.66</v>
      </c>
      <c r="Q41" s="25" t="s">
        <v>73</v>
      </c>
      <c r="R41" s="25" t="s">
        <v>145</v>
      </c>
      <c r="S41" s="24" t="s">
        <v>580</v>
      </c>
      <c r="T41" s="24"/>
      <c r="U41" s="24"/>
      <c r="V41" s="24"/>
      <c r="W41" s="24"/>
      <c r="X41" s="24"/>
      <c r="Y41" s="24"/>
    </row>
    <row r="42" spans="1:25" s="40" customFormat="1" x14ac:dyDescent="0.25">
      <c r="A42" s="25" t="s">
        <v>60</v>
      </c>
      <c r="B42" s="25" t="s">
        <v>224</v>
      </c>
      <c r="C42" s="25">
        <v>17425766</v>
      </c>
      <c r="D42" s="25" t="s">
        <v>225</v>
      </c>
      <c r="E42" s="25" t="s">
        <v>226</v>
      </c>
      <c r="F42" s="25" t="s">
        <v>137</v>
      </c>
      <c r="G42" s="25" t="s">
        <v>113</v>
      </c>
      <c r="H42" s="25" t="s">
        <v>143</v>
      </c>
      <c r="I42" s="25" t="s">
        <v>158</v>
      </c>
      <c r="J42" s="25" t="s">
        <v>158</v>
      </c>
      <c r="K42" s="25">
        <f>DATEDIF(I42,J42,"M")</f>
        <v>0</v>
      </c>
      <c r="L42" s="25" t="s">
        <v>587</v>
      </c>
      <c r="M42" s="25" t="s">
        <v>588</v>
      </c>
      <c r="N42" s="26">
        <v>15.83</v>
      </c>
      <c r="O42" s="27">
        <v>0.65</v>
      </c>
      <c r="P42" s="26">
        <v>10.29</v>
      </c>
      <c r="Q42" s="25" t="s">
        <v>73</v>
      </c>
      <c r="R42" s="25" t="s">
        <v>145</v>
      </c>
      <c r="S42" s="24" t="s">
        <v>580</v>
      </c>
      <c r="T42" s="24"/>
      <c r="U42" s="24"/>
      <c r="V42" s="24"/>
      <c r="W42" s="24"/>
      <c r="X42" s="24"/>
      <c r="Y42" s="24"/>
    </row>
    <row r="43" spans="1:25" s="40" customFormat="1" x14ac:dyDescent="0.25">
      <c r="A43" s="25" t="s">
        <v>60</v>
      </c>
      <c r="B43" s="25" t="s">
        <v>224</v>
      </c>
      <c r="C43" s="25">
        <v>17425766</v>
      </c>
      <c r="D43" s="25" t="s">
        <v>225</v>
      </c>
      <c r="E43" s="25" t="s">
        <v>226</v>
      </c>
      <c r="F43" s="25" t="s">
        <v>137</v>
      </c>
      <c r="G43" s="25" t="s">
        <v>113</v>
      </c>
      <c r="H43" s="25" t="s">
        <v>143</v>
      </c>
      <c r="I43" s="25" t="s">
        <v>158</v>
      </c>
      <c r="J43" s="25" t="s">
        <v>158</v>
      </c>
      <c r="K43" s="25">
        <f>DATEDIF(I43,J43,"M")</f>
        <v>0</v>
      </c>
      <c r="L43" s="25" t="s">
        <v>587</v>
      </c>
      <c r="M43" s="25" t="s">
        <v>588</v>
      </c>
      <c r="N43" s="26">
        <v>3.3</v>
      </c>
      <c r="O43" s="27">
        <v>0.65</v>
      </c>
      <c r="P43" s="26">
        <v>2.15</v>
      </c>
      <c r="Q43" s="25" t="s">
        <v>73</v>
      </c>
      <c r="R43" s="25" t="s">
        <v>145</v>
      </c>
      <c r="S43" s="24" t="s">
        <v>580</v>
      </c>
      <c r="T43" s="24"/>
      <c r="U43" s="24"/>
      <c r="V43" s="24"/>
      <c r="W43" s="24"/>
      <c r="X43" s="24"/>
      <c r="Y43" s="24"/>
    </row>
    <row r="44" spans="1:25" s="40" customFormat="1" x14ac:dyDescent="0.25">
      <c r="A44" s="25" t="s">
        <v>60</v>
      </c>
      <c r="B44" s="25" t="s">
        <v>181</v>
      </c>
      <c r="C44" s="25">
        <v>7387433</v>
      </c>
      <c r="D44" s="25" t="s">
        <v>182</v>
      </c>
      <c r="E44" s="25" t="s">
        <v>183</v>
      </c>
      <c r="F44" s="25" t="s">
        <v>79</v>
      </c>
      <c r="G44" s="25" t="s">
        <v>67</v>
      </c>
      <c r="H44" s="25" t="s">
        <v>152</v>
      </c>
      <c r="I44" s="25" t="s">
        <v>83</v>
      </c>
      <c r="J44" s="25" t="s">
        <v>158</v>
      </c>
      <c r="K44" s="25">
        <f>DATEDIF(I44,J44,"M")</f>
        <v>10</v>
      </c>
      <c r="L44" s="25" t="s">
        <v>587</v>
      </c>
      <c r="M44" s="25" t="s">
        <v>588</v>
      </c>
      <c r="N44" s="26">
        <v>29.02</v>
      </c>
      <c r="O44" s="27">
        <v>0.91</v>
      </c>
      <c r="P44" s="26">
        <v>26.41</v>
      </c>
      <c r="Q44" s="25" t="s">
        <v>73</v>
      </c>
      <c r="R44" s="25" t="s">
        <v>154</v>
      </c>
      <c r="S44" s="24" t="s">
        <v>573</v>
      </c>
      <c r="T44" s="24"/>
      <c r="U44" s="24"/>
      <c r="V44" s="24"/>
      <c r="W44" s="24"/>
      <c r="X44" s="24"/>
      <c r="Y44" s="24"/>
    </row>
    <row r="45" spans="1:25" s="40" customFormat="1" x14ac:dyDescent="0.25">
      <c r="A45" s="25" t="s">
        <v>60</v>
      </c>
      <c r="B45" s="25" t="s">
        <v>181</v>
      </c>
      <c r="C45" s="25">
        <v>7387433</v>
      </c>
      <c r="D45" s="25" t="s">
        <v>182</v>
      </c>
      <c r="E45" s="25" t="s">
        <v>184</v>
      </c>
      <c r="F45" s="25" t="s">
        <v>79</v>
      </c>
      <c r="G45" s="25" t="s">
        <v>67</v>
      </c>
      <c r="H45" s="25" t="s">
        <v>185</v>
      </c>
      <c r="I45" s="25" t="s">
        <v>83</v>
      </c>
      <c r="J45" s="25" t="s">
        <v>158</v>
      </c>
      <c r="K45" s="25">
        <f>DATEDIF(I45,J45,"M")</f>
        <v>10</v>
      </c>
      <c r="L45" s="25" t="s">
        <v>587</v>
      </c>
      <c r="M45" s="25" t="s">
        <v>588</v>
      </c>
      <c r="N45" s="26">
        <v>32.67</v>
      </c>
      <c r="O45" s="27">
        <v>0.91</v>
      </c>
      <c r="P45" s="26">
        <v>29.73</v>
      </c>
      <c r="Q45" s="25" t="s">
        <v>73</v>
      </c>
      <c r="R45" s="25" t="s">
        <v>186</v>
      </c>
      <c r="S45" s="24" t="s">
        <v>573</v>
      </c>
      <c r="T45" s="24"/>
      <c r="U45" s="24"/>
      <c r="V45" s="24"/>
      <c r="W45" s="24"/>
      <c r="X45" s="24"/>
      <c r="Y45" s="24"/>
    </row>
    <row r="46" spans="1:25" s="40" customFormat="1" x14ac:dyDescent="0.25">
      <c r="A46" s="25" t="s">
        <v>60</v>
      </c>
      <c r="B46" s="25" t="s">
        <v>265</v>
      </c>
      <c r="C46" s="25">
        <v>17195620</v>
      </c>
      <c r="D46" s="25" t="s">
        <v>266</v>
      </c>
      <c r="E46" s="25" t="s">
        <v>267</v>
      </c>
      <c r="F46" s="25" t="s">
        <v>65</v>
      </c>
      <c r="G46" s="25" t="s">
        <v>67</v>
      </c>
      <c r="H46" s="25" t="s">
        <v>68</v>
      </c>
      <c r="I46" s="25" t="s">
        <v>269</v>
      </c>
      <c r="J46" s="25" t="s">
        <v>158</v>
      </c>
      <c r="K46" s="25">
        <f>DATEDIF(I46,J46,"M")</f>
        <v>22</v>
      </c>
      <c r="L46" s="25" t="s">
        <v>587</v>
      </c>
      <c r="M46" s="25" t="s">
        <v>588</v>
      </c>
      <c r="N46" s="26">
        <v>55.26</v>
      </c>
      <c r="O46" s="27">
        <v>3.5000000000000003E-2</v>
      </c>
      <c r="P46" s="26">
        <v>1.93</v>
      </c>
      <c r="Q46" s="25" t="s">
        <v>73</v>
      </c>
      <c r="R46" s="25" t="s">
        <v>74</v>
      </c>
      <c r="S46" s="24" t="s">
        <v>68</v>
      </c>
      <c r="T46" s="24"/>
      <c r="U46" s="24"/>
      <c r="V46" s="24"/>
      <c r="W46" s="24"/>
      <c r="X46" s="24"/>
      <c r="Y46" s="24"/>
    </row>
    <row r="47" spans="1:25" x14ac:dyDescent="0.25">
      <c r="A47" s="25" t="s">
        <v>60</v>
      </c>
      <c r="B47" s="25" t="s">
        <v>265</v>
      </c>
      <c r="C47" s="25">
        <v>17195620</v>
      </c>
      <c r="D47" s="25" t="s">
        <v>288</v>
      </c>
      <c r="E47" s="25" t="s">
        <v>289</v>
      </c>
      <c r="F47" s="25" t="s">
        <v>65</v>
      </c>
      <c r="G47" s="25" t="s">
        <v>67</v>
      </c>
      <c r="H47" s="25" t="s">
        <v>68</v>
      </c>
      <c r="I47" s="25" t="s">
        <v>291</v>
      </c>
      <c r="J47" s="25" t="s">
        <v>93</v>
      </c>
      <c r="K47" s="25">
        <f>DATEDIF(I47,J47,"M")</f>
        <v>22</v>
      </c>
      <c r="L47" s="25" t="s">
        <v>587</v>
      </c>
      <c r="M47" s="25" t="s">
        <v>588</v>
      </c>
      <c r="N47" s="26">
        <v>27.63</v>
      </c>
      <c r="O47" s="27">
        <v>3.5000000000000003E-2</v>
      </c>
      <c r="P47" s="26">
        <v>0.97</v>
      </c>
      <c r="Q47" s="25" t="s">
        <v>73</v>
      </c>
      <c r="R47" s="25" t="s">
        <v>74</v>
      </c>
      <c r="S47" s="24" t="s">
        <v>68</v>
      </c>
    </row>
    <row r="48" spans="1:25" s="31" customFormat="1" x14ac:dyDescent="0.25">
      <c r="A48" s="25" t="s">
        <v>60</v>
      </c>
      <c r="B48" s="25" t="s">
        <v>216</v>
      </c>
      <c r="C48" s="25">
        <v>20003537</v>
      </c>
      <c r="D48" s="25" t="s">
        <v>217</v>
      </c>
      <c r="E48" s="25" t="s">
        <v>218</v>
      </c>
      <c r="F48" s="25" t="s">
        <v>79</v>
      </c>
      <c r="G48" s="25" t="s">
        <v>220</v>
      </c>
      <c r="H48" s="25" t="s">
        <v>212</v>
      </c>
      <c r="I48" s="25" t="s">
        <v>164</v>
      </c>
      <c r="J48" s="25" t="s">
        <v>158</v>
      </c>
      <c r="K48" s="25">
        <f>DATEDIF(I48,J48,"M")</f>
        <v>2</v>
      </c>
      <c r="L48" s="25" t="s">
        <v>587</v>
      </c>
      <c r="M48" s="25" t="s">
        <v>588</v>
      </c>
      <c r="N48" s="26">
        <v>47.4</v>
      </c>
      <c r="O48" s="27">
        <v>0.6</v>
      </c>
      <c r="P48" s="26">
        <v>28.44</v>
      </c>
      <c r="Q48" s="25" t="s">
        <v>73</v>
      </c>
      <c r="R48" s="25" t="s">
        <v>214</v>
      </c>
      <c r="S48" s="24" t="s">
        <v>579</v>
      </c>
      <c r="T48" s="24"/>
      <c r="U48" s="24"/>
      <c r="V48" s="24"/>
      <c r="W48" s="24"/>
      <c r="X48" s="24"/>
      <c r="Y48" s="24"/>
    </row>
    <row r="49" spans="1:25" s="31" customFormat="1" x14ac:dyDescent="0.25">
      <c r="A49" s="25" t="s">
        <v>60</v>
      </c>
      <c r="B49" s="25" t="s">
        <v>216</v>
      </c>
      <c r="C49" s="25">
        <v>20003537</v>
      </c>
      <c r="D49" s="25" t="s">
        <v>217</v>
      </c>
      <c r="E49" s="25" t="s">
        <v>218</v>
      </c>
      <c r="F49" s="25" t="s">
        <v>79</v>
      </c>
      <c r="G49" s="25" t="s">
        <v>220</v>
      </c>
      <c r="H49" s="25" t="s">
        <v>212</v>
      </c>
      <c r="I49" s="25" t="s">
        <v>164</v>
      </c>
      <c r="J49" s="25" t="s">
        <v>158</v>
      </c>
      <c r="K49" s="25">
        <f>DATEDIF(I49,J49,"M")</f>
        <v>2</v>
      </c>
      <c r="L49" s="25" t="s">
        <v>587</v>
      </c>
      <c r="M49" s="25" t="s">
        <v>588</v>
      </c>
      <c r="N49" s="26">
        <v>10.31</v>
      </c>
      <c r="O49" s="27">
        <v>0.6</v>
      </c>
      <c r="P49" s="26">
        <v>6.19</v>
      </c>
      <c r="Q49" s="25" t="s">
        <v>73</v>
      </c>
      <c r="R49" s="25" t="s">
        <v>214</v>
      </c>
      <c r="S49" s="24" t="s">
        <v>579</v>
      </c>
      <c r="T49" s="24"/>
      <c r="U49" s="24"/>
      <c r="V49" s="24"/>
      <c r="W49" s="24"/>
      <c r="X49" s="24"/>
      <c r="Y49" s="24"/>
    </row>
    <row r="50" spans="1:25" s="31" customFormat="1" x14ac:dyDescent="0.25">
      <c r="A50" s="25" t="s">
        <v>60</v>
      </c>
      <c r="B50" s="25" t="s">
        <v>216</v>
      </c>
      <c r="C50" s="25">
        <v>20003537</v>
      </c>
      <c r="D50" s="25" t="s">
        <v>221</v>
      </c>
      <c r="E50" s="25" t="s">
        <v>222</v>
      </c>
      <c r="F50" s="25" t="s">
        <v>79</v>
      </c>
      <c r="G50" s="25" t="s">
        <v>220</v>
      </c>
      <c r="H50" s="25" t="s">
        <v>212</v>
      </c>
      <c r="I50" s="25" t="s">
        <v>164</v>
      </c>
      <c r="J50" s="25" t="s">
        <v>158</v>
      </c>
      <c r="K50" s="25">
        <f>DATEDIF(I50,J50,"M")</f>
        <v>2</v>
      </c>
      <c r="L50" s="25" t="s">
        <v>587</v>
      </c>
      <c r="M50" s="25" t="s">
        <v>588</v>
      </c>
      <c r="N50" s="26">
        <v>47.4</v>
      </c>
      <c r="O50" s="27">
        <v>0.6</v>
      </c>
      <c r="P50" s="26">
        <v>28.44</v>
      </c>
      <c r="Q50" s="25" t="s">
        <v>73</v>
      </c>
      <c r="R50" s="25" t="s">
        <v>214</v>
      </c>
      <c r="S50" s="24" t="s">
        <v>579</v>
      </c>
      <c r="T50" s="24"/>
      <c r="U50" s="24"/>
      <c r="V50" s="24"/>
      <c r="W50" s="24"/>
      <c r="X50" s="24"/>
      <c r="Y50" s="24"/>
    </row>
    <row r="51" spans="1:25" s="31" customFormat="1" x14ac:dyDescent="0.25">
      <c r="A51" s="25" t="s">
        <v>60</v>
      </c>
      <c r="B51" s="25" t="s">
        <v>216</v>
      </c>
      <c r="C51" s="25">
        <v>20003537</v>
      </c>
      <c r="D51" s="25" t="s">
        <v>221</v>
      </c>
      <c r="E51" s="25" t="s">
        <v>222</v>
      </c>
      <c r="F51" s="25" t="s">
        <v>79</v>
      </c>
      <c r="G51" s="25" t="s">
        <v>220</v>
      </c>
      <c r="H51" s="25" t="s">
        <v>212</v>
      </c>
      <c r="I51" s="25" t="s">
        <v>164</v>
      </c>
      <c r="J51" s="25" t="s">
        <v>158</v>
      </c>
      <c r="K51" s="25">
        <f>DATEDIF(I51,J51,"M")</f>
        <v>2</v>
      </c>
      <c r="L51" s="25" t="s">
        <v>587</v>
      </c>
      <c r="M51" s="25" t="s">
        <v>588</v>
      </c>
      <c r="N51" s="26">
        <v>10.31</v>
      </c>
      <c r="O51" s="27">
        <v>0.6</v>
      </c>
      <c r="P51" s="26">
        <v>6.19</v>
      </c>
      <c r="Q51" s="25" t="s">
        <v>73</v>
      </c>
      <c r="R51" s="25" t="s">
        <v>214</v>
      </c>
      <c r="S51" s="24" t="s">
        <v>579</v>
      </c>
      <c r="T51" s="24"/>
      <c r="U51" s="24"/>
      <c r="V51" s="24"/>
      <c r="W51" s="24"/>
      <c r="X51" s="24"/>
      <c r="Y51" s="24"/>
    </row>
    <row r="52" spans="1:25" x14ac:dyDescent="0.25">
      <c r="A52" s="25" t="s">
        <v>60</v>
      </c>
      <c r="B52" s="25" t="s">
        <v>216</v>
      </c>
      <c r="C52" s="25">
        <v>20003537</v>
      </c>
      <c r="D52" s="25" t="s">
        <v>309</v>
      </c>
      <c r="E52" s="25" t="s">
        <v>310</v>
      </c>
      <c r="F52" s="25" t="s">
        <v>79</v>
      </c>
      <c r="G52" s="25" t="s">
        <v>312</v>
      </c>
      <c r="H52" s="25" t="s">
        <v>212</v>
      </c>
      <c r="I52" s="25" t="s">
        <v>83</v>
      </c>
      <c r="J52" s="25" t="s">
        <v>158</v>
      </c>
      <c r="K52" s="25">
        <f>DATEDIF(I52,J52,"M")</f>
        <v>10</v>
      </c>
      <c r="L52" s="25" t="s">
        <v>587</v>
      </c>
      <c r="M52" s="25" t="s">
        <v>588</v>
      </c>
      <c r="N52" s="26">
        <v>34.25</v>
      </c>
      <c r="O52" s="27">
        <v>0.625</v>
      </c>
      <c r="P52" s="26">
        <v>21.41</v>
      </c>
      <c r="Q52" s="25" t="s">
        <v>73</v>
      </c>
      <c r="R52" s="25" t="s">
        <v>214</v>
      </c>
      <c r="S52" s="24" t="s">
        <v>143</v>
      </c>
    </row>
    <row r="53" spans="1:25" x14ac:dyDescent="0.25">
      <c r="A53" s="25" t="s">
        <v>60</v>
      </c>
      <c r="B53" s="25" t="s">
        <v>216</v>
      </c>
      <c r="C53" s="25">
        <v>20003537</v>
      </c>
      <c r="D53" s="25" t="s">
        <v>309</v>
      </c>
      <c r="E53" s="25" t="s">
        <v>310</v>
      </c>
      <c r="F53" s="25" t="s">
        <v>79</v>
      </c>
      <c r="G53" s="25" t="s">
        <v>312</v>
      </c>
      <c r="H53" s="25" t="s">
        <v>212</v>
      </c>
      <c r="I53" s="25" t="s">
        <v>83</v>
      </c>
      <c r="J53" s="25" t="s">
        <v>158</v>
      </c>
      <c r="K53" s="25">
        <f>DATEDIF(I53,J53,"M")</f>
        <v>10</v>
      </c>
      <c r="L53" s="25" t="s">
        <v>587</v>
      </c>
      <c r="M53" s="25" t="s">
        <v>588</v>
      </c>
      <c r="N53" s="26">
        <v>22.7</v>
      </c>
      <c r="O53" s="27">
        <v>0.625</v>
      </c>
      <c r="P53" s="26">
        <v>14.19</v>
      </c>
      <c r="Q53" s="25" t="s">
        <v>73</v>
      </c>
      <c r="R53" s="25" t="s">
        <v>214</v>
      </c>
      <c r="S53" s="24" t="s">
        <v>143</v>
      </c>
    </row>
    <row r="54" spans="1:25" x14ac:dyDescent="0.25">
      <c r="A54" s="25" t="s">
        <v>60</v>
      </c>
      <c r="B54" s="25" t="s">
        <v>216</v>
      </c>
      <c r="C54" s="25">
        <v>20003537</v>
      </c>
      <c r="D54" s="25" t="s">
        <v>300</v>
      </c>
      <c r="E54" s="25" t="s">
        <v>301</v>
      </c>
      <c r="F54" s="25" t="s">
        <v>79</v>
      </c>
      <c r="G54" s="25" t="s">
        <v>81</v>
      </c>
      <c r="H54" s="25" t="s">
        <v>212</v>
      </c>
      <c r="I54" s="25" t="s">
        <v>303</v>
      </c>
      <c r="J54" s="25" t="s">
        <v>158</v>
      </c>
      <c r="K54" s="25">
        <f>DATEDIF(I54,J54,"M")</f>
        <v>11</v>
      </c>
      <c r="L54" s="25" t="s">
        <v>587</v>
      </c>
      <c r="M54" s="25" t="s">
        <v>588</v>
      </c>
      <c r="N54" s="26">
        <v>104.26</v>
      </c>
      <c r="O54" s="27">
        <v>0.625</v>
      </c>
      <c r="P54" s="26">
        <v>65.16</v>
      </c>
      <c r="Q54" s="25" t="s">
        <v>73</v>
      </c>
      <c r="R54" s="25" t="s">
        <v>214</v>
      </c>
      <c r="S54" s="24" t="s">
        <v>143</v>
      </c>
    </row>
    <row r="55" spans="1:25" x14ac:dyDescent="0.25">
      <c r="A55" s="25" t="s">
        <v>60</v>
      </c>
      <c r="B55" s="25" t="s">
        <v>216</v>
      </c>
      <c r="C55" s="25">
        <v>20003537</v>
      </c>
      <c r="D55" s="25" t="s">
        <v>300</v>
      </c>
      <c r="E55" s="25" t="s">
        <v>301</v>
      </c>
      <c r="F55" s="25" t="s">
        <v>79</v>
      </c>
      <c r="G55" s="25" t="s">
        <v>81</v>
      </c>
      <c r="H55" s="25" t="s">
        <v>212</v>
      </c>
      <c r="I55" s="25" t="s">
        <v>303</v>
      </c>
      <c r="J55" s="25" t="s">
        <v>158</v>
      </c>
      <c r="K55" s="25">
        <f>DATEDIF(I55,J55,"M")</f>
        <v>11</v>
      </c>
      <c r="L55" s="25" t="s">
        <v>587</v>
      </c>
      <c r="M55" s="25" t="s">
        <v>588</v>
      </c>
      <c r="N55" s="26">
        <v>22.7</v>
      </c>
      <c r="O55" s="27">
        <v>0.625</v>
      </c>
      <c r="P55" s="26">
        <v>14.19</v>
      </c>
      <c r="Q55" s="25" t="s">
        <v>73</v>
      </c>
      <c r="R55" s="25" t="s">
        <v>214</v>
      </c>
      <c r="S55" s="24" t="s">
        <v>143</v>
      </c>
    </row>
    <row r="56" spans="1:25" x14ac:dyDescent="0.25">
      <c r="A56" s="36" t="s">
        <v>60</v>
      </c>
      <c r="B56" s="36" t="s">
        <v>458</v>
      </c>
      <c r="C56" s="36" t="s">
        <v>592</v>
      </c>
      <c r="D56" s="36" t="s">
        <v>459</v>
      </c>
      <c r="E56" s="36" t="s">
        <v>460</v>
      </c>
      <c r="F56" s="36" t="s">
        <v>137</v>
      </c>
      <c r="G56" s="36" t="s">
        <v>462</v>
      </c>
      <c r="H56" s="36" t="s">
        <v>143</v>
      </c>
      <c r="I56" s="36" t="s">
        <v>153</v>
      </c>
      <c r="J56" s="36" t="s">
        <v>153</v>
      </c>
      <c r="K56" s="32">
        <f>DATEDIF(I56,J56,"M")</f>
        <v>0</v>
      </c>
      <c r="L56" s="36" t="s">
        <v>585</v>
      </c>
      <c r="M56" s="36" t="s">
        <v>586</v>
      </c>
      <c r="N56" s="37">
        <v>8.4</v>
      </c>
      <c r="O56" s="38">
        <v>0.65</v>
      </c>
      <c r="P56" s="37">
        <v>5.46</v>
      </c>
      <c r="Q56" s="36" t="s">
        <v>73</v>
      </c>
      <c r="R56" s="36" t="s">
        <v>145</v>
      </c>
      <c r="S56" s="39" t="s">
        <v>580</v>
      </c>
      <c r="T56" s="39"/>
      <c r="U56" s="39"/>
      <c r="V56" s="39"/>
      <c r="W56" s="39"/>
      <c r="X56" s="39"/>
      <c r="Y56" s="39"/>
    </row>
    <row r="57" spans="1:25" x14ac:dyDescent="0.25">
      <c r="A57" s="36" t="s">
        <v>60</v>
      </c>
      <c r="B57" s="36" t="s">
        <v>458</v>
      </c>
      <c r="C57" s="36" t="s">
        <v>592</v>
      </c>
      <c r="D57" s="36" t="s">
        <v>459</v>
      </c>
      <c r="E57" s="36" t="s">
        <v>460</v>
      </c>
      <c r="F57" s="36" t="s">
        <v>137</v>
      </c>
      <c r="G57" s="36" t="s">
        <v>462</v>
      </c>
      <c r="H57" s="36" t="s">
        <v>143</v>
      </c>
      <c r="I57" s="36" t="s">
        <v>153</v>
      </c>
      <c r="J57" s="36" t="s">
        <v>153</v>
      </c>
      <c r="K57" s="32">
        <f>DATEDIF(I57,J57,"M")</f>
        <v>0</v>
      </c>
      <c r="L57" s="36" t="s">
        <v>585</v>
      </c>
      <c r="M57" s="36" t="s">
        <v>586</v>
      </c>
      <c r="N57" s="37">
        <v>18.66</v>
      </c>
      <c r="O57" s="38">
        <v>0.65</v>
      </c>
      <c r="P57" s="37">
        <v>12.13</v>
      </c>
      <c r="Q57" s="36" t="s">
        <v>73</v>
      </c>
      <c r="R57" s="36" t="s">
        <v>145</v>
      </c>
      <c r="S57" s="39" t="s">
        <v>580</v>
      </c>
      <c r="T57" s="39"/>
      <c r="U57" s="39"/>
      <c r="V57" s="39"/>
      <c r="W57" s="39"/>
      <c r="X57" s="39"/>
      <c r="Y57" s="39"/>
    </row>
    <row r="58" spans="1:25" x14ac:dyDescent="0.25">
      <c r="A58" s="36" t="s">
        <v>60</v>
      </c>
      <c r="B58" s="36" t="s">
        <v>458</v>
      </c>
      <c r="C58" s="36" t="s">
        <v>592</v>
      </c>
      <c r="D58" s="36" t="s">
        <v>459</v>
      </c>
      <c r="E58" s="36" t="s">
        <v>460</v>
      </c>
      <c r="F58" s="36" t="s">
        <v>137</v>
      </c>
      <c r="G58" s="36" t="s">
        <v>462</v>
      </c>
      <c r="H58" s="36" t="s">
        <v>143</v>
      </c>
      <c r="I58" s="36" t="s">
        <v>153</v>
      </c>
      <c r="J58" s="36" t="s">
        <v>153</v>
      </c>
      <c r="K58" s="32">
        <f>DATEDIF(I58,J58,"M")</f>
        <v>0</v>
      </c>
      <c r="L58" s="36" t="s">
        <v>585</v>
      </c>
      <c r="M58" s="36" t="s">
        <v>586</v>
      </c>
      <c r="N58" s="37">
        <v>33</v>
      </c>
      <c r="O58" s="38">
        <v>0.65</v>
      </c>
      <c r="P58" s="37">
        <v>21.45</v>
      </c>
      <c r="Q58" s="36" t="s">
        <v>73</v>
      </c>
      <c r="R58" s="36" t="s">
        <v>145</v>
      </c>
      <c r="S58" s="39" t="s">
        <v>580</v>
      </c>
      <c r="T58" s="39"/>
      <c r="U58" s="39"/>
      <c r="V58" s="39"/>
      <c r="W58" s="39"/>
      <c r="X58" s="39"/>
      <c r="Y58" s="39"/>
    </row>
    <row r="59" spans="1:25" x14ac:dyDescent="0.25">
      <c r="A59" s="25" t="s">
        <v>60</v>
      </c>
      <c r="B59" s="25" t="s">
        <v>191</v>
      </c>
      <c r="C59" s="25" t="s">
        <v>569</v>
      </c>
      <c r="D59" s="25" t="s">
        <v>192</v>
      </c>
      <c r="E59" s="25" t="s">
        <v>193</v>
      </c>
      <c r="F59" s="25" t="s">
        <v>79</v>
      </c>
      <c r="G59" s="25" t="s">
        <v>113</v>
      </c>
      <c r="H59" s="25" t="s">
        <v>105</v>
      </c>
      <c r="I59" s="25" t="s">
        <v>195</v>
      </c>
      <c r="J59" s="25" t="s">
        <v>158</v>
      </c>
      <c r="K59" s="25">
        <f>DATEDIF(I59,J59,"M")</f>
        <v>9</v>
      </c>
      <c r="L59" s="25" t="s">
        <v>587</v>
      </c>
      <c r="M59" s="25" t="s">
        <v>588</v>
      </c>
      <c r="N59" s="26">
        <v>48.45</v>
      </c>
      <c r="O59" s="27">
        <v>1</v>
      </c>
      <c r="P59" s="26">
        <v>48.45</v>
      </c>
      <c r="Q59" s="25" t="s">
        <v>73</v>
      </c>
      <c r="R59" s="25" t="s">
        <v>106</v>
      </c>
      <c r="S59" s="24" t="s">
        <v>570</v>
      </c>
    </row>
    <row r="60" spans="1:25" x14ac:dyDescent="0.25">
      <c r="A60" s="25" t="s">
        <v>60</v>
      </c>
      <c r="B60" s="25" t="s">
        <v>191</v>
      </c>
      <c r="C60" s="25">
        <v>17528908</v>
      </c>
      <c r="D60" s="25" t="s">
        <v>393</v>
      </c>
      <c r="E60" s="25" t="s">
        <v>394</v>
      </c>
      <c r="F60" s="25" t="s">
        <v>65</v>
      </c>
      <c r="G60" s="25" t="s">
        <v>113</v>
      </c>
      <c r="H60" s="25" t="s">
        <v>105</v>
      </c>
      <c r="I60" s="25" t="s">
        <v>396</v>
      </c>
      <c r="J60" s="25" t="s">
        <v>158</v>
      </c>
      <c r="K60" s="25">
        <f>DATEDIF(I60,J60,"M")</f>
        <v>13</v>
      </c>
      <c r="L60" s="25" t="s">
        <v>587</v>
      </c>
      <c r="M60" s="25" t="s">
        <v>588</v>
      </c>
      <c r="N60" s="26">
        <v>24.83</v>
      </c>
      <c r="O60" s="27">
        <v>0.08</v>
      </c>
      <c r="P60" s="26">
        <v>1.99</v>
      </c>
      <c r="Q60" s="25" t="s">
        <v>73</v>
      </c>
      <c r="R60" s="25" t="s">
        <v>106</v>
      </c>
      <c r="S60" s="24" t="s">
        <v>570</v>
      </c>
    </row>
    <row r="61" spans="1:25" x14ac:dyDescent="0.25">
      <c r="A61" s="25" t="s">
        <v>60</v>
      </c>
      <c r="B61" s="25" t="s">
        <v>191</v>
      </c>
      <c r="C61" s="25">
        <v>17528908</v>
      </c>
      <c r="D61" s="25" t="s">
        <v>393</v>
      </c>
      <c r="E61" s="25" t="s">
        <v>397</v>
      </c>
      <c r="F61" s="25" t="s">
        <v>65</v>
      </c>
      <c r="G61" s="25" t="s">
        <v>113</v>
      </c>
      <c r="H61" s="25" t="s">
        <v>82</v>
      </c>
      <c r="I61" s="25" t="s">
        <v>396</v>
      </c>
      <c r="J61" s="25" t="s">
        <v>158</v>
      </c>
      <c r="K61" s="25">
        <f>DATEDIF(I61,J61,"M")</f>
        <v>13</v>
      </c>
      <c r="L61" s="25" t="s">
        <v>587</v>
      </c>
      <c r="M61" s="25" t="s">
        <v>588</v>
      </c>
      <c r="N61" s="26">
        <v>26.04</v>
      </c>
      <c r="O61" s="27">
        <v>0.08</v>
      </c>
      <c r="P61" s="26">
        <v>2.08</v>
      </c>
      <c r="Q61" s="25" t="s">
        <v>73</v>
      </c>
      <c r="R61" s="25" t="s">
        <v>86</v>
      </c>
      <c r="S61" s="24" t="s">
        <v>570</v>
      </c>
    </row>
    <row r="62" spans="1:25" x14ac:dyDescent="0.25">
      <c r="A62" s="25" t="s">
        <v>60</v>
      </c>
      <c r="B62" s="25" t="s">
        <v>191</v>
      </c>
      <c r="C62" s="25">
        <v>17528908</v>
      </c>
      <c r="D62" s="25" t="s">
        <v>272</v>
      </c>
      <c r="E62" s="25" t="s">
        <v>273</v>
      </c>
      <c r="F62" s="25" t="s">
        <v>65</v>
      </c>
      <c r="G62" s="25" t="s">
        <v>113</v>
      </c>
      <c r="H62" s="25" t="s">
        <v>105</v>
      </c>
      <c r="I62" s="25" t="s">
        <v>275</v>
      </c>
      <c r="J62" s="25" t="s">
        <v>158</v>
      </c>
      <c r="K62" s="25">
        <f>DATEDIF(I62,J62,"M")</f>
        <v>17</v>
      </c>
      <c r="L62" s="25" t="s">
        <v>587</v>
      </c>
      <c r="M62" s="25" t="s">
        <v>588</v>
      </c>
      <c r="N62" s="26">
        <v>41.7</v>
      </c>
      <c r="O62" s="27">
        <v>0.08</v>
      </c>
      <c r="P62" s="26">
        <v>3.34</v>
      </c>
      <c r="Q62" s="25" t="s">
        <v>73</v>
      </c>
      <c r="R62" s="25" t="s">
        <v>106</v>
      </c>
      <c r="S62" s="24" t="s">
        <v>570</v>
      </c>
    </row>
    <row r="63" spans="1:25" x14ac:dyDescent="0.25">
      <c r="A63" s="25" t="s">
        <v>60</v>
      </c>
      <c r="B63" s="25" t="s">
        <v>96</v>
      </c>
      <c r="C63" s="25">
        <v>9213293</v>
      </c>
      <c r="D63" s="25" t="s">
        <v>135</v>
      </c>
      <c r="E63" s="25" t="s">
        <v>136</v>
      </c>
      <c r="F63" s="25" t="s">
        <v>137</v>
      </c>
      <c r="G63" s="25" t="s">
        <v>138</v>
      </c>
      <c r="H63" s="25" t="s">
        <v>105</v>
      </c>
      <c r="I63" s="25" t="s">
        <v>125</v>
      </c>
      <c r="J63" s="25" t="s">
        <v>125</v>
      </c>
      <c r="K63" s="25">
        <f>DATEDIF(I63,J63,"M")</f>
        <v>0</v>
      </c>
      <c r="L63" s="25" t="s">
        <v>587</v>
      </c>
      <c r="M63" s="25" t="s">
        <v>588</v>
      </c>
      <c r="N63" s="26">
        <v>35.869999999999997</v>
      </c>
      <c r="O63" s="27">
        <v>1.05</v>
      </c>
      <c r="P63" s="26">
        <v>37.659999999999997</v>
      </c>
      <c r="Q63" s="25" t="s">
        <v>73</v>
      </c>
      <c r="R63" s="25" t="s">
        <v>106</v>
      </c>
      <c r="S63" s="24" t="s">
        <v>574</v>
      </c>
    </row>
    <row r="64" spans="1:25" x14ac:dyDescent="0.25">
      <c r="A64" s="25" t="s">
        <v>60</v>
      </c>
      <c r="B64" s="25" t="s">
        <v>96</v>
      </c>
      <c r="C64" s="25">
        <v>9213293</v>
      </c>
      <c r="D64" s="25" t="s">
        <v>245</v>
      </c>
      <c r="E64" s="25" t="s">
        <v>246</v>
      </c>
      <c r="F64" s="25" t="s">
        <v>137</v>
      </c>
      <c r="G64" s="25" t="s">
        <v>81</v>
      </c>
      <c r="H64" s="25" t="s">
        <v>143</v>
      </c>
      <c r="I64" s="25" t="s">
        <v>158</v>
      </c>
      <c r="J64" s="25" t="s">
        <v>158</v>
      </c>
      <c r="K64" s="25">
        <f>DATEDIF(I64,J64,"M")</f>
        <v>0</v>
      </c>
      <c r="L64" s="25" t="s">
        <v>587</v>
      </c>
      <c r="M64" s="25" t="s">
        <v>588</v>
      </c>
      <c r="N64" s="26">
        <v>44.67</v>
      </c>
      <c r="O64" s="27">
        <v>0.65</v>
      </c>
      <c r="P64" s="26">
        <v>29.04</v>
      </c>
      <c r="Q64" s="25" t="s">
        <v>73</v>
      </c>
      <c r="R64" s="25" t="s">
        <v>145</v>
      </c>
      <c r="S64" s="24" t="s">
        <v>580</v>
      </c>
    </row>
    <row r="65" spans="1:19" x14ac:dyDescent="0.25">
      <c r="A65" s="25" t="s">
        <v>60</v>
      </c>
      <c r="B65" s="25" t="s">
        <v>96</v>
      </c>
      <c r="C65" s="25">
        <v>9213293</v>
      </c>
      <c r="D65" s="25" t="s">
        <v>245</v>
      </c>
      <c r="E65" s="25" t="s">
        <v>246</v>
      </c>
      <c r="F65" s="25" t="s">
        <v>137</v>
      </c>
      <c r="G65" s="25" t="s">
        <v>81</v>
      </c>
      <c r="H65" s="25" t="s">
        <v>143</v>
      </c>
      <c r="I65" s="25" t="s">
        <v>158</v>
      </c>
      <c r="J65" s="25" t="s">
        <v>158</v>
      </c>
      <c r="K65" s="25">
        <f>DATEDIF(I65,J65,"M")</f>
        <v>0</v>
      </c>
      <c r="L65" s="25" t="s">
        <v>587</v>
      </c>
      <c r="M65" s="25" t="s">
        <v>588</v>
      </c>
      <c r="N65" s="26">
        <v>15.83</v>
      </c>
      <c r="O65" s="27">
        <v>0.65</v>
      </c>
      <c r="P65" s="26">
        <v>10.29</v>
      </c>
      <c r="Q65" s="25" t="s">
        <v>73</v>
      </c>
      <c r="R65" s="25" t="s">
        <v>145</v>
      </c>
      <c r="S65" s="24" t="s">
        <v>580</v>
      </c>
    </row>
    <row r="66" spans="1:19" x14ac:dyDescent="0.25">
      <c r="A66" s="25" t="s">
        <v>60</v>
      </c>
      <c r="B66" s="25" t="s">
        <v>96</v>
      </c>
      <c r="C66" s="25">
        <v>9213293</v>
      </c>
      <c r="D66" s="25" t="s">
        <v>454</v>
      </c>
      <c r="E66" s="25" t="s">
        <v>455</v>
      </c>
      <c r="F66" s="25" t="s">
        <v>137</v>
      </c>
      <c r="G66" s="25" t="s">
        <v>81</v>
      </c>
      <c r="H66" s="25" t="s">
        <v>143</v>
      </c>
      <c r="I66" s="25" t="s">
        <v>153</v>
      </c>
      <c r="J66" s="25" t="s">
        <v>153</v>
      </c>
      <c r="K66" s="25">
        <f>DATEDIF(I66,J66,"M")</f>
        <v>0</v>
      </c>
      <c r="L66" s="25" t="s">
        <v>587</v>
      </c>
      <c r="M66" s="25" t="s">
        <v>588</v>
      </c>
      <c r="N66" s="26">
        <v>45.51</v>
      </c>
      <c r="O66" s="27">
        <v>0.65</v>
      </c>
      <c r="P66" s="26">
        <v>29.58</v>
      </c>
      <c r="Q66" s="25" t="s">
        <v>73</v>
      </c>
      <c r="R66" s="25" t="s">
        <v>145</v>
      </c>
      <c r="S66" s="24" t="s">
        <v>580</v>
      </c>
    </row>
    <row r="67" spans="1:19" x14ac:dyDescent="0.25">
      <c r="A67" s="25" t="s">
        <v>60</v>
      </c>
      <c r="B67" s="25" t="s">
        <v>96</v>
      </c>
      <c r="C67" s="25">
        <v>9213293</v>
      </c>
      <c r="D67" s="25" t="s">
        <v>463</v>
      </c>
      <c r="E67" s="25" t="s">
        <v>464</v>
      </c>
      <c r="F67" s="25" t="s">
        <v>137</v>
      </c>
      <c r="G67" s="25" t="s">
        <v>81</v>
      </c>
      <c r="H67" s="25" t="s">
        <v>143</v>
      </c>
      <c r="I67" s="25" t="s">
        <v>365</v>
      </c>
      <c r="J67" s="25" t="s">
        <v>365</v>
      </c>
      <c r="K67" s="25">
        <f>DATEDIF(I67,J67,"M")</f>
        <v>0</v>
      </c>
      <c r="L67" s="25" t="s">
        <v>587</v>
      </c>
      <c r="M67" s="25" t="s">
        <v>588</v>
      </c>
      <c r="N67" s="26">
        <v>44.66</v>
      </c>
      <c r="O67" s="27">
        <v>0.65</v>
      </c>
      <c r="P67" s="26">
        <v>29.03</v>
      </c>
      <c r="Q67" s="25" t="s">
        <v>73</v>
      </c>
      <c r="R67" s="25" t="s">
        <v>145</v>
      </c>
      <c r="S67" s="24" t="s">
        <v>580</v>
      </c>
    </row>
    <row r="68" spans="1:19" x14ac:dyDescent="0.25">
      <c r="A68" s="25" t="s">
        <v>60</v>
      </c>
      <c r="B68" s="25" t="s">
        <v>96</v>
      </c>
      <c r="C68" s="25">
        <v>9213293</v>
      </c>
      <c r="D68" s="25" t="s">
        <v>430</v>
      </c>
      <c r="E68" s="25" t="s">
        <v>431</v>
      </c>
      <c r="F68" s="25" t="s">
        <v>79</v>
      </c>
      <c r="G68" s="25" t="s">
        <v>81</v>
      </c>
      <c r="H68" s="25" t="s">
        <v>105</v>
      </c>
      <c r="I68" s="25" t="s">
        <v>432</v>
      </c>
      <c r="J68" s="25" t="s">
        <v>247</v>
      </c>
      <c r="K68" s="25">
        <f>DATEDIF(I68,J68,"M")</f>
        <v>1</v>
      </c>
      <c r="L68" s="25" t="s">
        <v>587</v>
      </c>
      <c r="M68" s="25" t="s">
        <v>588</v>
      </c>
      <c r="N68" s="26">
        <v>27.8</v>
      </c>
      <c r="O68" s="27">
        <v>1.05</v>
      </c>
      <c r="P68" s="26">
        <v>29.19</v>
      </c>
      <c r="Q68" s="25" t="s">
        <v>73</v>
      </c>
      <c r="R68" s="25" t="s">
        <v>106</v>
      </c>
      <c r="S68" s="24" t="s">
        <v>574</v>
      </c>
    </row>
    <row r="69" spans="1:19" x14ac:dyDescent="0.25">
      <c r="A69" s="25" t="s">
        <v>60</v>
      </c>
      <c r="B69" s="25" t="s">
        <v>96</v>
      </c>
      <c r="C69" s="25">
        <v>9213293</v>
      </c>
      <c r="D69" s="25" t="s">
        <v>435</v>
      </c>
      <c r="E69" s="25" t="s">
        <v>436</v>
      </c>
      <c r="F69" s="25" t="s">
        <v>79</v>
      </c>
      <c r="G69" s="25" t="s">
        <v>81</v>
      </c>
      <c r="H69" s="25" t="s">
        <v>105</v>
      </c>
      <c r="I69" s="25" t="s">
        <v>437</v>
      </c>
      <c r="J69" s="25" t="s">
        <v>365</v>
      </c>
      <c r="K69" s="25">
        <f>DATEDIF(I69,J69,"M")</f>
        <v>1</v>
      </c>
      <c r="L69" s="25" t="s">
        <v>587</v>
      </c>
      <c r="M69" s="25" t="s">
        <v>588</v>
      </c>
      <c r="N69" s="26">
        <v>13.5</v>
      </c>
      <c r="O69" s="27">
        <v>1.05</v>
      </c>
      <c r="P69" s="26">
        <v>14.18</v>
      </c>
      <c r="Q69" s="25" t="s">
        <v>73</v>
      </c>
      <c r="R69" s="25" t="s">
        <v>106</v>
      </c>
      <c r="S69" s="24" t="s">
        <v>574</v>
      </c>
    </row>
    <row r="70" spans="1:19" x14ac:dyDescent="0.25">
      <c r="A70" s="25" t="s">
        <v>60</v>
      </c>
      <c r="B70" s="25" t="s">
        <v>96</v>
      </c>
      <c r="C70" s="25">
        <v>9213293</v>
      </c>
      <c r="D70" s="25" t="s">
        <v>438</v>
      </c>
      <c r="E70" s="25" t="s">
        <v>439</v>
      </c>
      <c r="F70" s="25" t="s">
        <v>79</v>
      </c>
      <c r="G70" s="25" t="s">
        <v>123</v>
      </c>
      <c r="H70" s="25" t="s">
        <v>82</v>
      </c>
      <c r="I70" s="25" t="s">
        <v>84</v>
      </c>
      <c r="J70" s="25" t="s">
        <v>158</v>
      </c>
      <c r="K70" s="25">
        <f>DATEDIF(I70,J70,"M")</f>
        <v>1</v>
      </c>
      <c r="L70" s="25" t="s">
        <v>587</v>
      </c>
      <c r="M70" s="25" t="s">
        <v>588</v>
      </c>
      <c r="N70" s="26">
        <v>25.36</v>
      </c>
      <c r="O70" s="27">
        <v>1</v>
      </c>
      <c r="P70" s="26">
        <v>25.36</v>
      </c>
      <c r="Q70" s="25" t="s">
        <v>73</v>
      </c>
      <c r="R70" s="25" t="s">
        <v>86</v>
      </c>
      <c r="S70" s="24" t="s">
        <v>570</v>
      </c>
    </row>
    <row r="71" spans="1:19" x14ac:dyDescent="0.25">
      <c r="A71" s="25" t="s">
        <v>60</v>
      </c>
      <c r="B71" s="25" t="s">
        <v>96</v>
      </c>
      <c r="C71" s="25">
        <v>9213293</v>
      </c>
      <c r="D71" s="25" t="s">
        <v>430</v>
      </c>
      <c r="E71" s="25" t="s">
        <v>433</v>
      </c>
      <c r="F71" s="25" t="s">
        <v>79</v>
      </c>
      <c r="G71" s="25" t="s">
        <v>81</v>
      </c>
      <c r="H71" s="25" t="s">
        <v>82</v>
      </c>
      <c r="I71" s="25" t="s">
        <v>432</v>
      </c>
      <c r="J71" s="25" t="s">
        <v>247</v>
      </c>
      <c r="K71" s="25">
        <f>DATEDIF(I71,J71,"M")</f>
        <v>1</v>
      </c>
      <c r="L71" s="25" t="s">
        <v>587</v>
      </c>
      <c r="M71" s="25" t="s">
        <v>588</v>
      </c>
      <c r="N71" s="26">
        <v>28.27</v>
      </c>
      <c r="O71" s="27">
        <v>1.05</v>
      </c>
      <c r="P71" s="26">
        <v>29.68</v>
      </c>
      <c r="Q71" s="25" t="s">
        <v>73</v>
      </c>
      <c r="R71" s="25" t="s">
        <v>86</v>
      </c>
      <c r="S71" s="24" t="s">
        <v>574</v>
      </c>
    </row>
    <row r="72" spans="1:19" x14ac:dyDescent="0.25">
      <c r="A72" s="25" t="s">
        <v>60</v>
      </c>
      <c r="B72" s="25" t="s">
        <v>96</v>
      </c>
      <c r="C72" s="25">
        <v>9213293</v>
      </c>
      <c r="D72" s="25" t="s">
        <v>438</v>
      </c>
      <c r="E72" s="25" t="s">
        <v>440</v>
      </c>
      <c r="F72" s="25" t="s">
        <v>79</v>
      </c>
      <c r="G72" s="25" t="s">
        <v>123</v>
      </c>
      <c r="H72" s="25" t="s">
        <v>143</v>
      </c>
      <c r="I72" s="25" t="s">
        <v>84</v>
      </c>
      <c r="J72" s="25" t="s">
        <v>158</v>
      </c>
      <c r="K72" s="25">
        <f>DATEDIF(I72,J72,"M")</f>
        <v>1</v>
      </c>
      <c r="L72" s="25" t="s">
        <v>587</v>
      </c>
      <c r="M72" s="25" t="s">
        <v>588</v>
      </c>
      <c r="N72" s="26">
        <v>1.22</v>
      </c>
      <c r="O72" s="27">
        <v>0.6</v>
      </c>
      <c r="P72" s="26">
        <v>0.73</v>
      </c>
      <c r="Q72" s="25" t="s">
        <v>73</v>
      </c>
      <c r="R72" s="25" t="s">
        <v>145</v>
      </c>
      <c r="S72" s="24" t="s">
        <v>579</v>
      </c>
    </row>
    <row r="73" spans="1:19" x14ac:dyDescent="0.25">
      <c r="A73" s="25" t="s">
        <v>60</v>
      </c>
      <c r="B73" s="25" t="s">
        <v>96</v>
      </c>
      <c r="C73" s="25">
        <v>9213293</v>
      </c>
      <c r="D73" s="25" t="s">
        <v>438</v>
      </c>
      <c r="E73" s="25" t="s">
        <v>440</v>
      </c>
      <c r="F73" s="25" t="s">
        <v>79</v>
      </c>
      <c r="G73" s="25" t="s">
        <v>123</v>
      </c>
      <c r="H73" s="25" t="s">
        <v>143</v>
      </c>
      <c r="I73" s="25" t="s">
        <v>84</v>
      </c>
      <c r="J73" s="25" t="s">
        <v>158</v>
      </c>
      <c r="K73" s="25">
        <f>DATEDIF(I73,J73,"M")</f>
        <v>1</v>
      </c>
      <c r="L73" s="25" t="s">
        <v>587</v>
      </c>
      <c r="M73" s="25" t="s">
        <v>588</v>
      </c>
      <c r="N73" s="26">
        <v>11.83</v>
      </c>
      <c r="O73" s="27">
        <v>0.6</v>
      </c>
      <c r="P73" s="26">
        <v>7.1</v>
      </c>
      <c r="Q73" s="25" t="s">
        <v>73</v>
      </c>
      <c r="R73" s="25" t="s">
        <v>145</v>
      </c>
      <c r="S73" s="24" t="s">
        <v>579</v>
      </c>
    </row>
    <row r="74" spans="1:19" x14ac:dyDescent="0.25">
      <c r="A74" s="25" t="s">
        <v>60</v>
      </c>
      <c r="B74" s="25" t="s">
        <v>96</v>
      </c>
      <c r="C74" s="25">
        <v>9213293</v>
      </c>
      <c r="D74" s="25" t="s">
        <v>438</v>
      </c>
      <c r="E74" s="25" t="s">
        <v>440</v>
      </c>
      <c r="F74" s="25" t="s">
        <v>79</v>
      </c>
      <c r="G74" s="25" t="s">
        <v>123</v>
      </c>
      <c r="H74" s="25" t="s">
        <v>143</v>
      </c>
      <c r="I74" s="25" t="s">
        <v>84</v>
      </c>
      <c r="J74" s="25" t="s">
        <v>158</v>
      </c>
      <c r="K74" s="25">
        <f>DATEDIF(I74,J74,"M")</f>
        <v>1</v>
      </c>
      <c r="L74" s="25" t="s">
        <v>587</v>
      </c>
      <c r="M74" s="25" t="s">
        <v>588</v>
      </c>
      <c r="N74" s="26">
        <v>6.85</v>
      </c>
      <c r="O74" s="27">
        <v>0.6</v>
      </c>
      <c r="P74" s="26">
        <v>4.1100000000000003</v>
      </c>
      <c r="Q74" s="25" t="s">
        <v>73</v>
      </c>
      <c r="R74" s="25" t="s">
        <v>145</v>
      </c>
      <c r="S74" s="24" t="s">
        <v>579</v>
      </c>
    </row>
    <row r="75" spans="1:19" x14ac:dyDescent="0.25">
      <c r="A75" s="25" t="s">
        <v>60</v>
      </c>
      <c r="B75" s="25" t="s">
        <v>96</v>
      </c>
      <c r="C75" s="25">
        <v>9213293</v>
      </c>
      <c r="D75" s="25" t="s">
        <v>438</v>
      </c>
      <c r="E75" s="25" t="s">
        <v>440</v>
      </c>
      <c r="F75" s="25" t="s">
        <v>79</v>
      </c>
      <c r="G75" s="25" t="s">
        <v>123</v>
      </c>
      <c r="H75" s="25" t="s">
        <v>143</v>
      </c>
      <c r="I75" s="25" t="s">
        <v>84</v>
      </c>
      <c r="J75" s="25" t="s">
        <v>158</v>
      </c>
      <c r="K75" s="25">
        <f>DATEDIF(I75,J75,"M")</f>
        <v>1</v>
      </c>
      <c r="L75" s="25" t="s">
        <v>587</v>
      </c>
      <c r="M75" s="25" t="s">
        <v>588</v>
      </c>
      <c r="N75" s="26">
        <v>4.41</v>
      </c>
      <c r="O75" s="27">
        <v>0.6</v>
      </c>
      <c r="P75" s="26">
        <v>2.65</v>
      </c>
      <c r="Q75" s="25" t="s">
        <v>73</v>
      </c>
      <c r="R75" s="25" t="s">
        <v>145</v>
      </c>
      <c r="S75" s="24" t="s">
        <v>579</v>
      </c>
    </row>
    <row r="76" spans="1:19" x14ac:dyDescent="0.25">
      <c r="A76" s="25" t="s">
        <v>60</v>
      </c>
      <c r="B76" s="25" t="s">
        <v>96</v>
      </c>
      <c r="C76" s="25">
        <v>9213293</v>
      </c>
      <c r="D76" s="25" t="s">
        <v>438</v>
      </c>
      <c r="E76" s="25" t="s">
        <v>440</v>
      </c>
      <c r="F76" s="25" t="s">
        <v>79</v>
      </c>
      <c r="G76" s="25" t="s">
        <v>123</v>
      </c>
      <c r="H76" s="25" t="s">
        <v>143</v>
      </c>
      <c r="I76" s="25" t="s">
        <v>84</v>
      </c>
      <c r="J76" s="25" t="s">
        <v>158</v>
      </c>
      <c r="K76" s="25">
        <f>DATEDIF(I76,J76,"M")</f>
        <v>1</v>
      </c>
      <c r="L76" s="25" t="s">
        <v>587</v>
      </c>
      <c r="M76" s="25" t="s">
        <v>588</v>
      </c>
      <c r="N76" s="26">
        <v>6.13</v>
      </c>
      <c r="O76" s="27">
        <v>0.6</v>
      </c>
      <c r="P76" s="26">
        <v>3.68</v>
      </c>
      <c r="Q76" s="25" t="s">
        <v>73</v>
      </c>
      <c r="R76" s="25" t="s">
        <v>145</v>
      </c>
      <c r="S76" s="24" t="s">
        <v>579</v>
      </c>
    </row>
    <row r="77" spans="1:19" x14ac:dyDescent="0.25">
      <c r="A77" s="25" t="s">
        <v>60</v>
      </c>
      <c r="B77" s="25" t="s">
        <v>96</v>
      </c>
      <c r="C77" s="25">
        <v>9213293</v>
      </c>
      <c r="D77" s="25" t="s">
        <v>438</v>
      </c>
      <c r="E77" s="25" t="s">
        <v>440</v>
      </c>
      <c r="F77" s="25" t="s">
        <v>79</v>
      </c>
      <c r="G77" s="25" t="s">
        <v>123</v>
      </c>
      <c r="H77" s="25" t="s">
        <v>143</v>
      </c>
      <c r="I77" s="25" t="s">
        <v>84</v>
      </c>
      <c r="J77" s="25" t="s">
        <v>158</v>
      </c>
      <c r="K77" s="25">
        <f>DATEDIF(I77,J77,"M")</f>
        <v>1</v>
      </c>
      <c r="L77" s="25" t="s">
        <v>587</v>
      </c>
      <c r="M77" s="25" t="s">
        <v>588</v>
      </c>
      <c r="N77" s="26">
        <v>16.670000000000002</v>
      </c>
      <c r="O77" s="27">
        <v>0.6</v>
      </c>
      <c r="P77" s="26">
        <v>10</v>
      </c>
      <c r="Q77" s="25" t="s">
        <v>73</v>
      </c>
      <c r="R77" s="25" t="s">
        <v>145</v>
      </c>
      <c r="S77" s="24" t="s">
        <v>579</v>
      </c>
    </row>
    <row r="78" spans="1:19" x14ac:dyDescent="0.25">
      <c r="A78" s="25" t="s">
        <v>60</v>
      </c>
      <c r="B78" s="25" t="s">
        <v>96</v>
      </c>
      <c r="C78" s="25">
        <v>9213293</v>
      </c>
      <c r="D78" s="25" t="s">
        <v>140</v>
      </c>
      <c r="E78" s="25" t="s">
        <v>141</v>
      </c>
      <c r="F78" s="25" t="s">
        <v>79</v>
      </c>
      <c r="G78" s="25" t="s">
        <v>81</v>
      </c>
      <c r="H78" s="25" t="s">
        <v>143</v>
      </c>
      <c r="I78" s="25" t="s">
        <v>142</v>
      </c>
      <c r="J78" s="25" t="s">
        <v>125</v>
      </c>
      <c r="K78" s="25">
        <f>DATEDIF(I78,J78,"M")</f>
        <v>1</v>
      </c>
      <c r="L78" s="25" t="s">
        <v>587</v>
      </c>
      <c r="M78" s="25" t="s">
        <v>588</v>
      </c>
      <c r="N78" s="26">
        <v>36.33</v>
      </c>
      <c r="O78" s="27">
        <v>0.65</v>
      </c>
      <c r="P78" s="26">
        <v>23.61</v>
      </c>
      <c r="Q78" s="25" t="s">
        <v>73</v>
      </c>
      <c r="R78" s="25" t="s">
        <v>145</v>
      </c>
      <c r="S78" s="24" t="s">
        <v>580</v>
      </c>
    </row>
    <row r="79" spans="1:19" x14ac:dyDescent="0.25">
      <c r="A79" s="25" t="s">
        <v>60</v>
      </c>
      <c r="B79" s="25" t="s">
        <v>96</v>
      </c>
      <c r="C79" s="25">
        <v>9213293</v>
      </c>
      <c r="D79" s="25" t="s">
        <v>146</v>
      </c>
      <c r="E79" s="25" t="s">
        <v>147</v>
      </c>
      <c r="F79" s="25" t="s">
        <v>79</v>
      </c>
      <c r="G79" s="25" t="s">
        <v>81</v>
      </c>
      <c r="H79" s="25" t="s">
        <v>143</v>
      </c>
      <c r="I79" s="25" t="s">
        <v>142</v>
      </c>
      <c r="J79" s="25" t="s">
        <v>125</v>
      </c>
      <c r="K79" s="25">
        <f>DATEDIF(I79,J79,"M")</f>
        <v>1</v>
      </c>
      <c r="L79" s="25" t="s">
        <v>587</v>
      </c>
      <c r="M79" s="25" t="s">
        <v>588</v>
      </c>
      <c r="N79" s="26">
        <v>32</v>
      </c>
      <c r="O79" s="27">
        <v>0.65</v>
      </c>
      <c r="P79" s="26">
        <v>20.8</v>
      </c>
      <c r="Q79" s="25" t="s">
        <v>73</v>
      </c>
      <c r="R79" s="25" t="s">
        <v>145</v>
      </c>
      <c r="S79" s="24" t="s">
        <v>580</v>
      </c>
    </row>
    <row r="80" spans="1:19" x14ac:dyDescent="0.25">
      <c r="A80" s="25" t="s">
        <v>60</v>
      </c>
      <c r="B80" s="25" t="s">
        <v>96</v>
      </c>
      <c r="C80" s="25">
        <v>9213293</v>
      </c>
      <c r="D80" s="25" t="s">
        <v>146</v>
      </c>
      <c r="E80" s="25" t="s">
        <v>147</v>
      </c>
      <c r="F80" s="25" t="s">
        <v>79</v>
      </c>
      <c r="G80" s="25" t="s">
        <v>81</v>
      </c>
      <c r="H80" s="25" t="s">
        <v>143</v>
      </c>
      <c r="I80" s="25" t="s">
        <v>142</v>
      </c>
      <c r="J80" s="25" t="s">
        <v>125</v>
      </c>
      <c r="K80" s="25">
        <f>DATEDIF(I80,J80,"M")</f>
        <v>1</v>
      </c>
      <c r="L80" s="25" t="s">
        <v>587</v>
      </c>
      <c r="M80" s="25" t="s">
        <v>588</v>
      </c>
      <c r="N80" s="26">
        <v>11.04</v>
      </c>
      <c r="O80" s="27">
        <v>0.65</v>
      </c>
      <c r="P80" s="26">
        <v>7.18</v>
      </c>
      <c r="Q80" s="25" t="s">
        <v>73</v>
      </c>
      <c r="R80" s="25" t="s">
        <v>145</v>
      </c>
      <c r="S80" s="24" t="s">
        <v>580</v>
      </c>
    </row>
    <row r="81" spans="1:19" x14ac:dyDescent="0.25">
      <c r="A81" s="25" t="s">
        <v>60</v>
      </c>
      <c r="B81" s="25" t="s">
        <v>96</v>
      </c>
      <c r="C81" s="25">
        <v>9213293</v>
      </c>
      <c r="D81" s="25" t="s">
        <v>155</v>
      </c>
      <c r="E81" s="25" t="s">
        <v>156</v>
      </c>
      <c r="F81" s="25" t="s">
        <v>79</v>
      </c>
      <c r="G81" s="25" t="s">
        <v>81</v>
      </c>
      <c r="H81" s="25" t="s">
        <v>143</v>
      </c>
      <c r="I81" s="25" t="s">
        <v>84</v>
      </c>
      <c r="J81" s="25" t="s">
        <v>158</v>
      </c>
      <c r="K81" s="25">
        <f>DATEDIF(I81,J81,"M")</f>
        <v>1</v>
      </c>
      <c r="L81" s="25" t="s">
        <v>587</v>
      </c>
      <c r="M81" s="25" t="s">
        <v>588</v>
      </c>
      <c r="N81" s="26">
        <v>33.83</v>
      </c>
      <c r="O81" s="27">
        <v>0.65</v>
      </c>
      <c r="P81" s="26">
        <v>21.99</v>
      </c>
      <c r="Q81" s="25" t="s">
        <v>73</v>
      </c>
      <c r="R81" s="25" t="s">
        <v>145</v>
      </c>
      <c r="S81" s="24" t="s">
        <v>580</v>
      </c>
    </row>
    <row r="82" spans="1:19" x14ac:dyDescent="0.25">
      <c r="A82" s="25" t="s">
        <v>60</v>
      </c>
      <c r="B82" s="25" t="s">
        <v>96</v>
      </c>
      <c r="C82" s="25">
        <v>9213293</v>
      </c>
      <c r="D82" s="25" t="s">
        <v>155</v>
      </c>
      <c r="E82" s="25" t="s">
        <v>156</v>
      </c>
      <c r="F82" s="25" t="s">
        <v>79</v>
      </c>
      <c r="G82" s="25" t="s">
        <v>81</v>
      </c>
      <c r="H82" s="25" t="s">
        <v>143</v>
      </c>
      <c r="I82" s="25" t="s">
        <v>84</v>
      </c>
      <c r="J82" s="25" t="s">
        <v>158</v>
      </c>
      <c r="K82" s="25">
        <f>DATEDIF(I82,J82,"M")</f>
        <v>1</v>
      </c>
      <c r="L82" s="25" t="s">
        <v>587</v>
      </c>
      <c r="M82" s="25" t="s">
        <v>588</v>
      </c>
      <c r="N82" s="26">
        <v>11.88</v>
      </c>
      <c r="O82" s="27">
        <v>0.65</v>
      </c>
      <c r="P82" s="26">
        <v>7.72</v>
      </c>
      <c r="Q82" s="25" t="s">
        <v>73</v>
      </c>
      <c r="R82" s="25" t="s">
        <v>145</v>
      </c>
      <c r="S82" s="24" t="s">
        <v>580</v>
      </c>
    </row>
    <row r="83" spans="1:19" x14ac:dyDescent="0.25">
      <c r="A83" s="25" t="s">
        <v>60</v>
      </c>
      <c r="B83" s="25" t="s">
        <v>96</v>
      </c>
      <c r="C83" s="25">
        <v>9213293</v>
      </c>
      <c r="D83" s="25" t="s">
        <v>430</v>
      </c>
      <c r="E83" s="25" t="s">
        <v>434</v>
      </c>
      <c r="F83" s="25" t="s">
        <v>79</v>
      </c>
      <c r="G83" s="25" t="s">
        <v>81</v>
      </c>
      <c r="H83" s="25" t="s">
        <v>143</v>
      </c>
      <c r="I83" s="25" t="s">
        <v>432</v>
      </c>
      <c r="J83" s="25" t="s">
        <v>247</v>
      </c>
      <c r="K83" s="25">
        <f>DATEDIF(I83,J83,"M")</f>
        <v>1</v>
      </c>
      <c r="L83" s="25" t="s">
        <v>587</v>
      </c>
      <c r="M83" s="25" t="s">
        <v>588</v>
      </c>
      <c r="N83" s="26">
        <v>22.08</v>
      </c>
      <c r="O83" s="27">
        <v>0.65</v>
      </c>
      <c r="P83" s="26">
        <v>14.35</v>
      </c>
      <c r="Q83" s="25" t="s">
        <v>73</v>
      </c>
      <c r="R83" s="25" t="s">
        <v>145</v>
      </c>
      <c r="S83" s="24" t="s">
        <v>580</v>
      </c>
    </row>
    <row r="84" spans="1:19" x14ac:dyDescent="0.25">
      <c r="A84" s="25" t="s">
        <v>60</v>
      </c>
      <c r="B84" s="25" t="s">
        <v>96</v>
      </c>
      <c r="C84" s="25">
        <v>9213293</v>
      </c>
      <c r="D84" s="25" t="s">
        <v>430</v>
      </c>
      <c r="E84" s="25" t="s">
        <v>434</v>
      </c>
      <c r="F84" s="25" t="s">
        <v>79</v>
      </c>
      <c r="G84" s="25" t="s">
        <v>81</v>
      </c>
      <c r="H84" s="25" t="s">
        <v>143</v>
      </c>
      <c r="I84" s="25" t="s">
        <v>432</v>
      </c>
      <c r="J84" s="25" t="s">
        <v>247</v>
      </c>
      <c r="K84" s="25">
        <f>DATEDIF(I84,J84,"M")</f>
        <v>1</v>
      </c>
      <c r="L84" s="25" t="s">
        <v>587</v>
      </c>
      <c r="M84" s="25" t="s">
        <v>588</v>
      </c>
      <c r="N84" s="26">
        <v>34</v>
      </c>
      <c r="O84" s="27">
        <v>0.65</v>
      </c>
      <c r="P84" s="26">
        <v>22.1</v>
      </c>
      <c r="Q84" s="25" t="s">
        <v>73</v>
      </c>
      <c r="R84" s="25" t="s">
        <v>145</v>
      </c>
      <c r="S84" s="24" t="s">
        <v>580</v>
      </c>
    </row>
    <row r="85" spans="1:19" x14ac:dyDescent="0.25">
      <c r="A85" s="25" t="s">
        <v>60</v>
      </c>
      <c r="B85" s="25" t="s">
        <v>96</v>
      </c>
      <c r="C85" s="25">
        <v>9213293</v>
      </c>
      <c r="D85" s="25" t="s">
        <v>430</v>
      </c>
      <c r="E85" s="25" t="s">
        <v>434</v>
      </c>
      <c r="F85" s="25" t="s">
        <v>79</v>
      </c>
      <c r="G85" s="25" t="s">
        <v>81</v>
      </c>
      <c r="H85" s="25" t="s">
        <v>143</v>
      </c>
      <c r="I85" s="25" t="s">
        <v>432</v>
      </c>
      <c r="J85" s="25" t="s">
        <v>247</v>
      </c>
      <c r="K85" s="25">
        <f>DATEDIF(I85,J85,"M")</f>
        <v>1</v>
      </c>
      <c r="L85" s="25" t="s">
        <v>587</v>
      </c>
      <c r="M85" s="25" t="s">
        <v>588</v>
      </c>
      <c r="N85" s="26">
        <v>15.8</v>
      </c>
      <c r="O85" s="27">
        <v>0.65</v>
      </c>
      <c r="P85" s="26">
        <v>10.27</v>
      </c>
      <c r="Q85" s="25" t="s">
        <v>73</v>
      </c>
      <c r="R85" s="25" t="s">
        <v>145</v>
      </c>
      <c r="S85" s="24" t="s">
        <v>580</v>
      </c>
    </row>
    <row r="86" spans="1:19" x14ac:dyDescent="0.25">
      <c r="A86" s="25" t="s">
        <v>127</v>
      </c>
      <c r="B86" s="25" t="s">
        <v>96</v>
      </c>
      <c r="C86" s="25">
        <v>9213293</v>
      </c>
      <c r="D86" s="25" t="s">
        <v>128</v>
      </c>
      <c r="E86" s="25" t="s">
        <v>129</v>
      </c>
      <c r="F86" s="25" t="s">
        <v>79</v>
      </c>
      <c r="G86" s="25" t="s">
        <v>81</v>
      </c>
      <c r="H86" s="25" t="s">
        <v>105</v>
      </c>
      <c r="I86" s="25" t="s">
        <v>131</v>
      </c>
      <c r="J86" s="25" t="s">
        <v>132</v>
      </c>
      <c r="K86" s="25">
        <f>DATEDIF(I86,J86,"M")</f>
        <v>2</v>
      </c>
      <c r="L86" s="25" t="s">
        <v>587</v>
      </c>
      <c r="M86" s="25" t="s">
        <v>588</v>
      </c>
      <c r="N86" s="26">
        <v>-55.6</v>
      </c>
      <c r="O86" s="27">
        <v>1.05</v>
      </c>
      <c r="P86" s="26">
        <v>-58.38</v>
      </c>
      <c r="Q86" s="25" t="s">
        <v>73</v>
      </c>
      <c r="R86" s="25" t="s">
        <v>106</v>
      </c>
      <c r="S86" s="24" t="s">
        <v>574</v>
      </c>
    </row>
    <row r="87" spans="1:19" x14ac:dyDescent="0.25">
      <c r="A87" s="25" t="s">
        <v>60</v>
      </c>
      <c r="B87" s="25" t="s">
        <v>96</v>
      </c>
      <c r="C87" s="25">
        <v>9213293</v>
      </c>
      <c r="D87" s="25" t="s">
        <v>428</v>
      </c>
      <c r="E87" s="25" t="s">
        <v>429</v>
      </c>
      <c r="F87" s="25" t="s">
        <v>79</v>
      </c>
      <c r="G87" s="25" t="s">
        <v>220</v>
      </c>
      <c r="H87" s="25" t="s">
        <v>212</v>
      </c>
      <c r="I87" s="25" t="s">
        <v>426</v>
      </c>
      <c r="J87" s="25" t="s">
        <v>365</v>
      </c>
      <c r="K87" s="25">
        <f>DATEDIF(I87,J87,"M")</f>
        <v>2</v>
      </c>
      <c r="L87" s="25" t="s">
        <v>587</v>
      </c>
      <c r="M87" s="25" t="s">
        <v>588</v>
      </c>
      <c r="N87" s="26">
        <v>28.4</v>
      </c>
      <c r="O87" s="27">
        <v>0.6</v>
      </c>
      <c r="P87" s="26">
        <v>17.04</v>
      </c>
      <c r="Q87" s="25" t="s">
        <v>73</v>
      </c>
      <c r="R87" s="25" t="s">
        <v>214</v>
      </c>
      <c r="S87" s="24" t="s">
        <v>579</v>
      </c>
    </row>
    <row r="88" spans="1:19" x14ac:dyDescent="0.25">
      <c r="A88" s="25" t="s">
        <v>60</v>
      </c>
      <c r="B88" s="25" t="s">
        <v>96</v>
      </c>
      <c r="C88" s="25">
        <v>9213293</v>
      </c>
      <c r="D88" s="25" t="s">
        <v>419</v>
      </c>
      <c r="E88" s="25" t="s">
        <v>420</v>
      </c>
      <c r="F88" s="25" t="s">
        <v>79</v>
      </c>
      <c r="G88" s="25" t="s">
        <v>123</v>
      </c>
      <c r="H88" s="25" t="s">
        <v>105</v>
      </c>
      <c r="I88" s="25" t="s">
        <v>422</v>
      </c>
      <c r="J88" s="25" t="s">
        <v>423</v>
      </c>
      <c r="K88" s="25">
        <f>DATEDIF(I88,J88,"M")</f>
        <v>3</v>
      </c>
      <c r="L88" s="25" t="s">
        <v>587</v>
      </c>
      <c r="M88" s="25" t="s">
        <v>588</v>
      </c>
      <c r="N88" s="26">
        <v>28.39</v>
      </c>
      <c r="O88" s="27">
        <v>1</v>
      </c>
      <c r="P88" s="26">
        <v>28.39</v>
      </c>
      <c r="Q88" s="25" t="s">
        <v>73</v>
      </c>
      <c r="R88" s="25" t="s">
        <v>106</v>
      </c>
      <c r="S88" s="24" t="s">
        <v>570</v>
      </c>
    </row>
    <row r="89" spans="1:19" x14ac:dyDescent="0.25">
      <c r="A89" s="25" t="s">
        <v>127</v>
      </c>
      <c r="B89" s="25" t="s">
        <v>96</v>
      </c>
      <c r="C89" s="25">
        <v>9213293</v>
      </c>
      <c r="D89" s="25" t="s">
        <v>128</v>
      </c>
      <c r="E89" s="25" t="s">
        <v>133</v>
      </c>
      <c r="F89" s="25" t="s">
        <v>79</v>
      </c>
      <c r="G89" s="25" t="s">
        <v>81</v>
      </c>
      <c r="H89" s="25" t="s">
        <v>82</v>
      </c>
      <c r="I89" s="25" t="s">
        <v>130</v>
      </c>
      <c r="J89" s="25" t="s">
        <v>134</v>
      </c>
      <c r="K89" s="25">
        <f>DATEDIF(I89,J89,"M")</f>
        <v>3</v>
      </c>
      <c r="L89" s="25" t="s">
        <v>587</v>
      </c>
      <c r="M89" s="25" t="s">
        <v>588</v>
      </c>
      <c r="N89" s="26">
        <v>-56.53</v>
      </c>
      <c r="O89" s="27">
        <v>1.05</v>
      </c>
      <c r="P89" s="26">
        <v>-59.36</v>
      </c>
      <c r="Q89" s="25" t="s">
        <v>73</v>
      </c>
      <c r="R89" s="25" t="s">
        <v>86</v>
      </c>
      <c r="S89" s="24" t="s">
        <v>574</v>
      </c>
    </row>
    <row r="90" spans="1:19" x14ac:dyDescent="0.25">
      <c r="A90" s="25" t="s">
        <v>60</v>
      </c>
      <c r="B90" s="25" t="s">
        <v>96</v>
      </c>
      <c r="C90" s="25">
        <v>9213293</v>
      </c>
      <c r="D90" s="25" t="s">
        <v>97</v>
      </c>
      <c r="E90" s="25" t="s">
        <v>104</v>
      </c>
      <c r="F90" s="25" t="s">
        <v>79</v>
      </c>
      <c r="G90" s="25" t="s">
        <v>99</v>
      </c>
      <c r="H90" s="25" t="s">
        <v>105</v>
      </c>
      <c r="I90" s="25" t="s">
        <v>91</v>
      </c>
      <c r="J90" s="25" t="s">
        <v>69</v>
      </c>
      <c r="K90" s="25">
        <f>DATEDIF(I90,J90,"M")</f>
        <v>4</v>
      </c>
      <c r="L90" s="25" t="s">
        <v>587</v>
      </c>
      <c r="M90" s="25" t="s">
        <v>588</v>
      </c>
      <c r="N90" s="26">
        <v>15.21</v>
      </c>
      <c r="O90" s="27">
        <v>1.05</v>
      </c>
      <c r="P90" s="26">
        <v>15.97</v>
      </c>
      <c r="Q90" s="25" t="s">
        <v>73</v>
      </c>
      <c r="R90" s="25" t="s">
        <v>106</v>
      </c>
      <c r="S90" s="24" t="s">
        <v>574</v>
      </c>
    </row>
    <row r="91" spans="1:19" x14ac:dyDescent="0.25">
      <c r="A91" s="25" t="s">
        <v>60</v>
      </c>
      <c r="B91" s="25" t="s">
        <v>96</v>
      </c>
      <c r="C91" s="25">
        <v>9213293</v>
      </c>
      <c r="D91" s="25" t="s">
        <v>97</v>
      </c>
      <c r="E91" s="25" t="s">
        <v>101</v>
      </c>
      <c r="F91" s="25" t="s">
        <v>79</v>
      </c>
      <c r="G91" s="25" t="s">
        <v>99</v>
      </c>
      <c r="H91" s="25" t="s">
        <v>102</v>
      </c>
      <c r="I91" s="25" t="s">
        <v>91</v>
      </c>
      <c r="J91" s="25" t="s">
        <v>69</v>
      </c>
      <c r="K91" s="25">
        <f>DATEDIF(I91,J91,"M")</f>
        <v>4</v>
      </c>
      <c r="L91" s="25" t="s">
        <v>587</v>
      </c>
      <c r="M91" s="25" t="s">
        <v>588</v>
      </c>
      <c r="N91" s="26">
        <v>43.33</v>
      </c>
      <c r="O91" s="27">
        <v>0.57999999999999996</v>
      </c>
      <c r="P91" s="26">
        <v>25.13</v>
      </c>
      <c r="Q91" s="25" t="s">
        <v>73</v>
      </c>
      <c r="R91" s="25" t="s">
        <v>103</v>
      </c>
      <c r="S91" s="24" t="s">
        <v>576</v>
      </c>
    </row>
    <row r="92" spans="1:19" x14ac:dyDescent="0.25">
      <c r="A92" s="25" t="s">
        <v>60</v>
      </c>
      <c r="B92" s="25" t="s">
        <v>96</v>
      </c>
      <c r="C92" s="25">
        <v>9213293</v>
      </c>
      <c r="D92" s="25" t="s">
        <v>97</v>
      </c>
      <c r="E92" s="25" t="s">
        <v>98</v>
      </c>
      <c r="F92" s="25" t="s">
        <v>79</v>
      </c>
      <c r="G92" s="25" t="s">
        <v>99</v>
      </c>
      <c r="H92" s="25" t="s">
        <v>82</v>
      </c>
      <c r="I92" s="25" t="s">
        <v>91</v>
      </c>
      <c r="J92" s="25" t="s">
        <v>69</v>
      </c>
      <c r="K92" s="25">
        <f>DATEDIF(I92,J92,"M")</f>
        <v>4</v>
      </c>
      <c r="L92" s="25" t="s">
        <v>587</v>
      </c>
      <c r="M92" s="25" t="s">
        <v>588</v>
      </c>
      <c r="N92" s="26">
        <v>17.71</v>
      </c>
      <c r="O92" s="27">
        <v>1.05</v>
      </c>
      <c r="P92" s="26">
        <v>18.600000000000001</v>
      </c>
      <c r="Q92" s="25" t="s">
        <v>73</v>
      </c>
      <c r="R92" s="25" t="s">
        <v>86</v>
      </c>
      <c r="S92" s="24" t="s">
        <v>574</v>
      </c>
    </row>
    <row r="93" spans="1:19" x14ac:dyDescent="0.25">
      <c r="A93" s="25" t="s">
        <v>60</v>
      </c>
      <c r="B93" s="25" t="s">
        <v>96</v>
      </c>
      <c r="C93" s="25">
        <v>9213293</v>
      </c>
      <c r="D93" s="25" t="s">
        <v>415</v>
      </c>
      <c r="E93" s="25" t="s">
        <v>416</v>
      </c>
      <c r="F93" s="25" t="s">
        <v>79</v>
      </c>
      <c r="G93" s="25" t="s">
        <v>81</v>
      </c>
      <c r="H93" s="25" t="s">
        <v>212</v>
      </c>
      <c r="I93" s="25" t="s">
        <v>417</v>
      </c>
      <c r="J93" s="25" t="s">
        <v>247</v>
      </c>
      <c r="K93" s="25">
        <f>DATEDIF(I93,J93,"M")</f>
        <v>5</v>
      </c>
      <c r="L93" s="25" t="s">
        <v>587</v>
      </c>
      <c r="M93" s="25" t="s">
        <v>588</v>
      </c>
      <c r="N93" s="26">
        <v>101.9</v>
      </c>
      <c r="O93" s="27">
        <v>0.65</v>
      </c>
      <c r="P93" s="26">
        <v>66.239999999999995</v>
      </c>
      <c r="Q93" s="25" t="s">
        <v>73</v>
      </c>
      <c r="R93" s="25" t="s">
        <v>214</v>
      </c>
      <c r="S93" s="24" t="s">
        <v>580</v>
      </c>
    </row>
    <row r="94" spans="1:19" x14ac:dyDescent="0.25">
      <c r="A94" s="25" t="s">
        <v>60</v>
      </c>
      <c r="B94" s="25" t="s">
        <v>295</v>
      </c>
      <c r="C94" s="25">
        <v>8307933</v>
      </c>
      <c r="D94" s="25" t="s">
        <v>296</v>
      </c>
      <c r="E94" s="25" t="s">
        <v>297</v>
      </c>
      <c r="F94" s="25" t="s">
        <v>65</v>
      </c>
      <c r="G94" s="25" t="s">
        <v>81</v>
      </c>
      <c r="H94" s="25" t="s">
        <v>281</v>
      </c>
      <c r="I94" s="25" t="s">
        <v>299</v>
      </c>
      <c r="J94" s="25" t="s">
        <v>158</v>
      </c>
      <c r="K94" s="25">
        <f>DATEDIF(I94,J94,"M")</f>
        <v>15</v>
      </c>
      <c r="L94" s="25" t="s">
        <v>587</v>
      </c>
      <c r="M94" s="25" t="s">
        <v>588</v>
      </c>
      <c r="N94" s="26">
        <v>156.47999999999999</v>
      </c>
      <c r="O94" s="27">
        <v>3.7499999999999999E-2</v>
      </c>
      <c r="P94" s="26">
        <v>5.87</v>
      </c>
      <c r="Q94" s="25" t="s">
        <v>73</v>
      </c>
      <c r="R94" s="25" t="s">
        <v>283</v>
      </c>
      <c r="S94" s="24" t="s">
        <v>577</v>
      </c>
    </row>
    <row r="95" spans="1:19" x14ac:dyDescent="0.25">
      <c r="A95" s="25" t="s">
        <v>60</v>
      </c>
      <c r="B95" s="25" t="s">
        <v>76</v>
      </c>
      <c r="C95" s="25">
        <v>18754354</v>
      </c>
      <c r="D95" s="25" t="s">
        <v>448</v>
      </c>
      <c r="E95" s="25" t="s">
        <v>449</v>
      </c>
      <c r="F95" s="25" t="s">
        <v>137</v>
      </c>
      <c r="G95" s="25" t="s">
        <v>123</v>
      </c>
      <c r="H95" s="25" t="s">
        <v>105</v>
      </c>
      <c r="I95" s="25" t="s">
        <v>451</v>
      </c>
      <c r="J95" s="25" t="s">
        <v>451</v>
      </c>
      <c r="K95" s="25">
        <f>DATEDIF(I95,J95,"M")</f>
        <v>0</v>
      </c>
      <c r="L95" s="25" t="s">
        <v>587</v>
      </c>
      <c r="M95" s="25" t="s">
        <v>588</v>
      </c>
      <c r="N95" s="26">
        <v>16.66</v>
      </c>
      <c r="O95" s="27">
        <v>1</v>
      </c>
      <c r="P95" s="26">
        <v>16.66</v>
      </c>
      <c r="Q95" s="25" t="s">
        <v>73</v>
      </c>
      <c r="R95" s="25" t="s">
        <v>106</v>
      </c>
      <c r="S95" s="24" t="s">
        <v>570</v>
      </c>
    </row>
    <row r="96" spans="1:19" x14ac:dyDescent="0.25">
      <c r="A96" s="25" t="s">
        <v>60</v>
      </c>
      <c r="B96" s="25" t="s">
        <v>76</v>
      </c>
      <c r="C96" s="25">
        <v>18754354</v>
      </c>
      <c r="D96" s="25" t="s">
        <v>448</v>
      </c>
      <c r="E96" s="25" t="s">
        <v>453</v>
      </c>
      <c r="F96" s="25" t="s">
        <v>137</v>
      </c>
      <c r="G96" s="25" t="s">
        <v>123</v>
      </c>
      <c r="H96" s="25" t="s">
        <v>82</v>
      </c>
      <c r="I96" s="25" t="s">
        <v>451</v>
      </c>
      <c r="J96" s="25" t="s">
        <v>451</v>
      </c>
      <c r="K96" s="25">
        <f>DATEDIF(I96,J96,"M")</f>
        <v>0</v>
      </c>
      <c r="L96" s="25" t="s">
        <v>587</v>
      </c>
      <c r="M96" s="25" t="s">
        <v>588</v>
      </c>
      <c r="N96" s="26">
        <v>39.020000000000003</v>
      </c>
      <c r="O96" s="27">
        <v>1</v>
      </c>
      <c r="P96" s="26">
        <v>39.020000000000003</v>
      </c>
      <c r="Q96" s="25" t="s">
        <v>73</v>
      </c>
      <c r="R96" s="25" t="s">
        <v>86</v>
      </c>
      <c r="S96" s="24" t="s">
        <v>570</v>
      </c>
    </row>
    <row r="97" spans="1:25" x14ac:dyDescent="0.25">
      <c r="A97" s="25" t="s">
        <v>127</v>
      </c>
      <c r="B97" s="25" t="s">
        <v>76</v>
      </c>
      <c r="C97" s="25">
        <v>18754354</v>
      </c>
      <c r="D97" s="25" t="s">
        <v>448</v>
      </c>
      <c r="E97" s="25" t="s">
        <v>449</v>
      </c>
      <c r="F97" s="25" t="s">
        <v>137</v>
      </c>
      <c r="G97" s="25" t="s">
        <v>123</v>
      </c>
      <c r="H97" s="25" t="s">
        <v>105</v>
      </c>
      <c r="I97" s="25" t="s">
        <v>451</v>
      </c>
      <c r="J97" s="25" t="s">
        <v>452</v>
      </c>
      <c r="K97" s="25">
        <f>DATEDIF(I97,J97,"M")</f>
        <v>1</v>
      </c>
      <c r="L97" s="25" t="s">
        <v>587</v>
      </c>
      <c r="M97" s="25" t="s">
        <v>588</v>
      </c>
      <c r="N97" s="26">
        <v>-16.66</v>
      </c>
      <c r="O97" s="27">
        <v>1</v>
      </c>
      <c r="P97" s="26">
        <v>-16.66</v>
      </c>
      <c r="Q97" s="25" t="s">
        <v>73</v>
      </c>
      <c r="R97" s="25" t="s">
        <v>106</v>
      </c>
      <c r="S97" s="24" t="s">
        <v>570</v>
      </c>
    </row>
    <row r="98" spans="1:25" x14ac:dyDescent="0.25">
      <c r="A98" s="25" t="s">
        <v>127</v>
      </c>
      <c r="B98" s="25" t="s">
        <v>76</v>
      </c>
      <c r="C98" s="25">
        <v>18754354</v>
      </c>
      <c r="D98" s="25" t="s">
        <v>448</v>
      </c>
      <c r="E98" s="25" t="s">
        <v>453</v>
      </c>
      <c r="F98" s="25" t="s">
        <v>137</v>
      </c>
      <c r="G98" s="25" t="s">
        <v>123</v>
      </c>
      <c r="H98" s="25" t="s">
        <v>82</v>
      </c>
      <c r="I98" s="25" t="s">
        <v>451</v>
      </c>
      <c r="J98" s="25" t="s">
        <v>452</v>
      </c>
      <c r="K98" s="25">
        <f>DATEDIF(I98,J98,"M")</f>
        <v>1</v>
      </c>
      <c r="L98" s="25" t="s">
        <v>587</v>
      </c>
      <c r="M98" s="25" t="s">
        <v>588</v>
      </c>
      <c r="N98" s="26">
        <v>-39.020000000000003</v>
      </c>
      <c r="O98" s="27">
        <v>1</v>
      </c>
      <c r="P98" s="26">
        <v>-39.020000000000003</v>
      </c>
      <c r="Q98" s="25" t="s">
        <v>73</v>
      </c>
      <c r="R98" s="25" t="s">
        <v>86</v>
      </c>
      <c r="S98" s="24" t="s">
        <v>570</v>
      </c>
    </row>
    <row r="99" spans="1:25" x14ac:dyDescent="0.25">
      <c r="A99" s="25" t="s">
        <v>60</v>
      </c>
      <c r="B99" s="25" t="s">
        <v>76</v>
      </c>
      <c r="C99" s="25">
        <v>18754354</v>
      </c>
      <c r="D99" s="25" t="s">
        <v>327</v>
      </c>
      <c r="E99" s="25" t="s">
        <v>328</v>
      </c>
      <c r="F99" s="25" t="s">
        <v>79</v>
      </c>
      <c r="G99" s="25" t="s">
        <v>123</v>
      </c>
      <c r="H99" s="25" t="s">
        <v>82</v>
      </c>
      <c r="I99" s="25" t="s">
        <v>330</v>
      </c>
      <c r="J99" s="25" t="s">
        <v>331</v>
      </c>
      <c r="K99" s="25">
        <f>DATEDIF(I99,J99,"M")</f>
        <v>4</v>
      </c>
      <c r="L99" s="25" t="s">
        <v>587</v>
      </c>
      <c r="M99" s="25" t="s">
        <v>588</v>
      </c>
      <c r="N99" s="26">
        <v>32.020000000000003</v>
      </c>
      <c r="O99" s="27">
        <v>1</v>
      </c>
      <c r="P99" s="26">
        <v>32.020000000000003</v>
      </c>
      <c r="Q99" s="25" t="s">
        <v>73</v>
      </c>
      <c r="R99" s="25" t="s">
        <v>86</v>
      </c>
      <c r="S99" s="24" t="s">
        <v>570</v>
      </c>
    </row>
    <row r="100" spans="1:25" x14ac:dyDescent="0.25">
      <c r="A100" s="25" t="s">
        <v>60</v>
      </c>
      <c r="B100" s="25" t="s">
        <v>76</v>
      </c>
      <c r="C100" s="25">
        <v>18754354</v>
      </c>
      <c r="D100" s="25" t="s">
        <v>77</v>
      </c>
      <c r="E100" s="25" t="s">
        <v>107</v>
      </c>
      <c r="F100" s="25" t="s">
        <v>79</v>
      </c>
      <c r="G100" s="25" t="s">
        <v>81</v>
      </c>
      <c r="H100" s="25" t="s">
        <v>105</v>
      </c>
      <c r="I100" s="25" t="s">
        <v>83</v>
      </c>
      <c r="J100" s="25" t="s">
        <v>84</v>
      </c>
      <c r="K100" s="25">
        <f>DATEDIF(I100,J100,"M")</f>
        <v>9</v>
      </c>
      <c r="L100" s="25" t="s">
        <v>587</v>
      </c>
      <c r="M100" s="25" t="s">
        <v>588</v>
      </c>
      <c r="N100" s="26">
        <v>44.29</v>
      </c>
      <c r="O100" s="27">
        <v>1</v>
      </c>
      <c r="P100" s="26">
        <v>44.29</v>
      </c>
      <c r="Q100" s="25" t="s">
        <v>73</v>
      </c>
      <c r="R100" s="25" t="s">
        <v>106</v>
      </c>
      <c r="S100" s="24" t="s">
        <v>570</v>
      </c>
    </row>
    <row r="101" spans="1:25" x14ac:dyDescent="0.25">
      <c r="A101" s="25" t="s">
        <v>60</v>
      </c>
      <c r="B101" s="25" t="s">
        <v>76</v>
      </c>
      <c r="C101" s="25">
        <v>18754354</v>
      </c>
      <c r="D101" s="25" t="s">
        <v>77</v>
      </c>
      <c r="E101" s="25" t="s">
        <v>78</v>
      </c>
      <c r="F101" s="25" t="s">
        <v>79</v>
      </c>
      <c r="G101" s="25" t="s">
        <v>81</v>
      </c>
      <c r="H101" s="25" t="s">
        <v>82</v>
      </c>
      <c r="I101" s="25" t="s">
        <v>83</v>
      </c>
      <c r="J101" s="25" t="s">
        <v>84</v>
      </c>
      <c r="K101" s="25">
        <f>DATEDIF(I101,J101,"M")</f>
        <v>9</v>
      </c>
      <c r="L101" s="25" t="s">
        <v>587</v>
      </c>
      <c r="M101" s="25" t="s">
        <v>588</v>
      </c>
      <c r="N101" s="26">
        <v>43.96</v>
      </c>
      <c r="O101" s="27">
        <v>1</v>
      </c>
      <c r="P101" s="26">
        <v>43.96</v>
      </c>
      <c r="Q101" s="25" t="s">
        <v>73</v>
      </c>
      <c r="R101" s="25" t="s">
        <v>86</v>
      </c>
      <c r="S101" s="24" t="s">
        <v>570</v>
      </c>
    </row>
    <row r="102" spans="1:25" x14ac:dyDescent="0.25">
      <c r="A102" s="25" t="s">
        <v>60</v>
      </c>
      <c r="B102" s="25" t="s">
        <v>256</v>
      </c>
      <c r="C102" s="25">
        <v>21564088</v>
      </c>
      <c r="D102" s="25" t="s">
        <v>257</v>
      </c>
      <c r="E102" s="25" t="s">
        <v>263</v>
      </c>
      <c r="F102" s="25" t="s">
        <v>79</v>
      </c>
      <c r="G102" s="25" t="s">
        <v>260</v>
      </c>
      <c r="H102" s="25" t="s">
        <v>105</v>
      </c>
      <c r="I102" s="25" t="s">
        <v>261</v>
      </c>
      <c r="J102" s="25" t="s">
        <v>262</v>
      </c>
      <c r="K102" s="25">
        <f>DATEDIF(I102,J102,"M")</f>
        <v>2</v>
      </c>
      <c r="L102" s="25" t="s">
        <v>587</v>
      </c>
      <c r="M102" s="25" t="s">
        <v>588</v>
      </c>
      <c r="N102" s="26">
        <v>92.7</v>
      </c>
      <c r="O102" s="27">
        <v>1</v>
      </c>
      <c r="P102" s="26">
        <v>92.7</v>
      </c>
      <c r="Q102" s="25" t="s">
        <v>73</v>
      </c>
      <c r="R102" s="25" t="s">
        <v>106</v>
      </c>
      <c r="S102" s="24" t="s">
        <v>570</v>
      </c>
    </row>
    <row r="103" spans="1:25" x14ac:dyDescent="0.25">
      <c r="A103" s="25" t="s">
        <v>60</v>
      </c>
      <c r="B103" s="25" t="s">
        <v>256</v>
      </c>
      <c r="C103" s="25">
        <v>21564088</v>
      </c>
      <c r="D103" s="25" t="s">
        <v>257</v>
      </c>
      <c r="E103" s="25" t="s">
        <v>258</v>
      </c>
      <c r="F103" s="25" t="s">
        <v>79</v>
      </c>
      <c r="G103" s="25" t="s">
        <v>260</v>
      </c>
      <c r="H103" s="25" t="s">
        <v>82</v>
      </c>
      <c r="I103" s="25" t="s">
        <v>261</v>
      </c>
      <c r="J103" s="25" t="s">
        <v>262</v>
      </c>
      <c r="K103" s="25">
        <f>DATEDIF(I103,J103,"M")</f>
        <v>2</v>
      </c>
      <c r="L103" s="25" t="s">
        <v>587</v>
      </c>
      <c r="M103" s="25" t="s">
        <v>588</v>
      </c>
      <c r="N103" s="26">
        <v>96</v>
      </c>
      <c r="O103" s="27">
        <v>1</v>
      </c>
      <c r="P103" s="26">
        <v>96</v>
      </c>
      <c r="Q103" s="25" t="s">
        <v>73</v>
      </c>
      <c r="R103" s="25" t="s">
        <v>86</v>
      </c>
      <c r="S103" s="24" t="s">
        <v>570</v>
      </c>
    </row>
    <row r="104" spans="1:25" x14ac:dyDescent="0.25">
      <c r="A104" s="32" t="s">
        <v>60</v>
      </c>
      <c r="B104" s="32" t="s">
        <v>357</v>
      </c>
      <c r="C104" s="32">
        <v>19562245</v>
      </c>
      <c r="D104" s="32" t="s">
        <v>358</v>
      </c>
      <c r="E104" s="32" t="s">
        <v>359</v>
      </c>
      <c r="F104" s="32" t="s">
        <v>65</v>
      </c>
      <c r="G104" s="32" t="s">
        <v>113</v>
      </c>
      <c r="H104" s="32" t="s">
        <v>82</v>
      </c>
      <c r="I104" s="32" t="s">
        <v>203</v>
      </c>
      <c r="J104" s="32" t="s">
        <v>158</v>
      </c>
      <c r="K104" s="32">
        <f>DATEDIF(I104,J104,"M")</f>
        <v>26</v>
      </c>
      <c r="L104" s="32" t="s">
        <v>587</v>
      </c>
      <c r="M104" s="32" t="s">
        <v>588</v>
      </c>
      <c r="N104" s="33">
        <v>35.42</v>
      </c>
      <c r="O104" s="34">
        <v>7.4999999999999997E-2</v>
      </c>
      <c r="P104" s="33">
        <v>2.66</v>
      </c>
      <c r="Q104" s="32" t="s">
        <v>73</v>
      </c>
      <c r="R104" s="32" t="s">
        <v>86</v>
      </c>
      <c r="S104" s="35" t="s">
        <v>578</v>
      </c>
      <c r="T104" s="35"/>
      <c r="U104" s="35"/>
      <c r="V104" s="35"/>
      <c r="W104" s="35"/>
      <c r="X104" s="35"/>
      <c r="Y104" s="35"/>
    </row>
    <row r="105" spans="1:25" x14ac:dyDescent="0.25">
      <c r="A105" s="28" t="s">
        <v>60</v>
      </c>
      <c r="B105" s="28" t="s">
        <v>109</v>
      </c>
      <c r="C105" s="28">
        <v>14936854</v>
      </c>
      <c r="D105" s="28" t="s">
        <v>335</v>
      </c>
      <c r="E105" s="28" t="s">
        <v>336</v>
      </c>
      <c r="F105" s="28" t="s">
        <v>65</v>
      </c>
      <c r="G105" s="28" t="s">
        <v>113</v>
      </c>
      <c r="H105" s="28" t="s">
        <v>338</v>
      </c>
      <c r="I105" s="28" t="s">
        <v>339</v>
      </c>
      <c r="J105" s="28" t="s">
        <v>158</v>
      </c>
      <c r="K105" s="28">
        <f>DATEDIF(I105,J105,"M")</f>
        <v>18</v>
      </c>
      <c r="L105" s="25" t="s">
        <v>587</v>
      </c>
      <c r="M105" s="25" t="s">
        <v>588</v>
      </c>
      <c r="N105" s="29">
        <v>118.87</v>
      </c>
      <c r="O105" s="30">
        <v>0.04</v>
      </c>
      <c r="P105" s="29">
        <v>4.75</v>
      </c>
      <c r="Q105" s="28" t="s">
        <v>73</v>
      </c>
      <c r="R105" s="28" t="s">
        <v>341</v>
      </c>
      <c r="S105" s="31" t="s">
        <v>572</v>
      </c>
      <c r="T105" s="31"/>
      <c r="U105" s="31"/>
      <c r="V105" s="31"/>
      <c r="W105" s="31"/>
      <c r="X105" s="31"/>
      <c r="Y105" s="31"/>
    </row>
    <row r="106" spans="1:25" x14ac:dyDescent="0.25">
      <c r="A106" s="25" t="s">
        <v>60</v>
      </c>
      <c r="B106" s="25" t="s">
        <v>367</v>
      </c>
      <c r="C106" s="25">
        <v>13496370</v>
      </c>
      <c r="D106" s="25" t="s">
        <v>368</v>
      </c>
      <c r="E106" s="25" t="s">
        <v>369</v>
      </c>
      <c r="F106" s="25" t="s">
        <v>65</v>
      </c>
      <c r="G106" s="25" t="s">
        <v>67</v>
      </c>
      <c r="H106" s="25" t="s">
        <v>68</v>
      </c>
      <c r="I106" s="25" t="s">
        <v>371</v>
      </c>
      <c r="J106" s="25" t="s">
        <v>158</v>
      </c>
      <c r="K106" s="25">
        <f>DATEDIF(I106,J106,"M")</f>
        <v>25</v>
      </c>
      <c r="L106" s="25" t="s">
        <v>587</v>
      </c>
      <c r="M106" s="25" t="s">
        <v>588</v>
      </c>
      <c r="N106" s="26">
        <v>27.63</v>
      </c>
      <c r="O106" s="27">
        <v>3.5000000000000003E-2</v>
      </c>
      <c r="P106" s="26">
        <v>0.97</v>
      </c>
      <c r="Q106" s="25" t="s">
        <v>73</v>
      </c>
      <c r="R106" s="25" t="s">
        <v>74</v>
      </c>
      <c r="S106" s="24" t="s">
        <v>68</v>
      </c>
    </row>
    <row r="107" spans="1:25" x14ac:dyDescent="0.25">
      <c r="A107" s="25" t="s">
        <v>60</v>
      </c>
      <c r="B107" s="25" t="s">
        <v>367</v>
      </c>
      <c r="C107" s="25">
        <v>13496370</v>
      </c>
      <c r="D107" s="25" t="s">
        <v>372</v>
      </c>
      <c r="E107" s="25" t="s">
        <v>373</v>
      </c>
      <c r="F107" s="25" t="s">
        <v>65</v>
      </c>
      <c r="G107" s="25" t="s">
        <v>67</v>
      </c>
      <c r="H107" s="25" t="s">
        <v>68</v>
      </c>
      <c r="I107" s="25" t="s">
        <v>371</v>
      </c>
      <c r="J107" s="25" t="s">
        <v>158</v>
      </c>
      <c r="K107" s="25">
        <f>DATEDIF(I107,J107,"M")</f>
        <v>25</v>
      </c>
      <c r="L107" s="25" t="s">
        <v>587</v>
      </c>
      <c r="M107" s="25" t="s">
        <v>588</v>
      </c>
      <c r="N107" s="26">
        <v>22.42</v>
      </c>
      <c r="O107" s="27">
        <v>3.5000000000000003E-2</v>
      </c>
      <c r="P107" s="26">
        <v>0.78</v>
      </c>
      <c r="Q107" s="25" t="s">
        <v>73</v>
      </c>
      <c r="R107" s="25" t="s">
        <v>74</v>
      </c>
      <c r="S107" s="24" t="s">
        <v>68</v>
      </c>
    </row>
    <row r="108" spans="1:25" x14ac:dyDescent="0.25">
      <c r="A108" s="28" t="s">
        <v>60</v>
      </c>
      <c r="B108" s="28" t="s">
        <v>584</v>
      </c>
      <c r="C108" s="28">
        <v>20411454</v>
      </c>
      <c r="D108" s="28" t="s">
        <v>110</v>
      </c>
      <c r="E108" s="28" t="s">
        <v>111</v>
      </c>
      <c r="F108" s="28" t="s">
        <v>79</v>
      </c>
      <c r="G108" s="28" t="s">
        <v>113</v>
      </c>
      <c r="H108" s="28" t="s">
        <v>114</v>
      </c>
      <c r="I108" s="28" t="s">
        <v>115</v>
      </c>
      <c r="J108" s="28" t="s">
        <v>69</v>
      </c>
      <c r="K108" s="28">
        <f>DATEDIF(I108,J108,"M")</f>
        <v>5</v>
      </c>
      <c r="L108" s="25" t="s">
        <v>587</v>
      </c>
      <c r="M108" s="25" t="s">
        <v>588</v>
      </c>
      <c r="N108" s="29">
        <v>11.07</v>
      </c>
      <c r="O108" s="30">
        <v>0.08</v>
      </c>
      <c r="P108" s="29">
        <v>11.07</v>
      </c>
      <c r="Q108" s="28" t="s">
        <v>73</v>
      </c>
      <c r="R108" s="28" t="s">
        <v>117</v>
      </c>
      <c r="S108" s="31" t="s">
        <v>571</v>
      </c>
      <c r="T108" s="31"/>
      <c r="U108" s="31"/>
      <c r="V108" s="31"/>
      <c r="W108" s="31"/>
      <c r="X108" s="31"/>
      <c r="Y108" s="31"/>
    </row>
    <row r="109" spans="1:25" x14ac:dyDescent="0.25">
      <c r="A109" s="28" t="s">
        <v>60</v>
      </c>
      <c r="B109" s="28" t="s">
        <v>584</v>
      </c>
      <c r="C109" s="28">
        <v>20411454</v>
      </c>
      <c r="D109" s="28" t="s">
        <v>315</v>
      </c>
      <c r="E109" s="28" t="s">
        <v>316</v>
      </c>
      <c r="F109" s="28" t="s">
        <v>79</v>
      </c>
      <c r="G109" s="28" t="s">
        <v>113</v>
      </c>
      <c r="H109" s="28" t="s">
        <v>202</v>
      </c>
      <c r="I109" s="28" t="s">
        <v>195</v>
      </c>
      <c r="J109" s="28" t="s">
        <v>158</v>
      </c>
      <c r="K109" s="28">
        <f>DATEDIF(I109,J109,"M")</f>
        <v>9</v>
      </c>
      <c r="L109" s="25" t="s">
        <v>587</v>
      </c>
      <c r="M109" s="25" t="s">
        <v>588</v>
      </c>
      <c r="N109" s="29">
        <v>3.15</v>
      </c>
      <c r="O109" s="30">
        <v>0.02</v>
      </c>
      <c r="P109" s="29">
        <v>3.15</v>
      </c>
      <c r="Q109" s="28" t="s">
        <v>73</v>
      </c>
      <c r="R109" s="28" t="s">
        <v>205</v>
      </c>
      <c r="S109" s="31" t="s">
        <v>571</v>
      </c>
      <c r="T109" s="31"/>
      <c r="U109" s="31"/>
      <c r="V109" s="31"/>
      <c r="W109" s="31"/>
      <c r="X109" s="31"/>
      <c r="Y109" s="31"/>
    </row>
    <row r="110" spans="1:25" x14ac:dyDescent="0.25">
      <c r="A110" s="28" t="s">
        <v>60</v>
      </c>
      <c r="B110" s="28" t="s">
        <v>584</v>
      </c>
      <c r="C110" s="28">
        <v>20411454</v>
      </c>
      <c r="D110" s="28" t="s">
        <v>351</v>
      </c>
      <c r="E110" s="28" t="s">
        <v>352</v>
      </c>
      <c r="F110" s="28" t="s">
        <v>65</v>
      </c>
      <c r="G110" s="28" t="s">
        <v>113</v>
      </c>
      <c r="H110" s="28" t="s">
        <v>152</v>
      </c>
      <c r="I110" s="28" t="s">
        <v>354</v>
      </c>
      <c r="J110" s="28" t="s">
        <v>158</v>
      </c>
      <c r="K110" s="28">
        <f>DATEDIF(I110,J110,"M")</f>
        <v>27</v>
      </c>
      <c r="L110" s="25" t="s">
        <v>587</v>
      </c>
      <c r="M110" s="25" t="s">
        <v>588</v>
      </c>
      <c r="N110" s="29">
        <v>0.89</v>
      </c>
      <c r="O110" s="30">
        <v>1.4999999999999999E-2</v>
      </c>
      <c r="P110" s="29">
        <v>0.89</v>
      </c>
      <c r="Q110" s="28" t="s">
        <v>73</v>
      </c>
      <c r="R110" s="28" t="s">
        <v>154</v>
      </c>
      <c r="S110" s="31" t="s">
        <v>571</v>
      </c>
      <c r="T110" s="31"/>
      <c r="U110" s="31"/>
      <c r="V110" s="31"/>
      <c r="W110" s="31"/>
      <c r="X110" s="31"/>
      <c r="Y110" s="31"/>
    </row>
    <row r="111" spans="1:25" x14ac:dyDescent="0.25">
      <c r="A111" s="25" t="s">
        <v>60</v>
      </c>
      <c r="B111" s="25" t="s">
        <v>197</v>
      </c>
      <c r="C111" s="25">
        <v>1706194</v>
      </c>
      <c r="D111" s="25" t="s">
        <v>198</v>
      </c>
      <c r="E111" s="25" t="s">
        <v>199</v>
      </c>
      <c r="F111" s="25" t="s">
        <v>65</v>
      </c>
      <c r="G111" s="25" t="s">
        <v>201</v>
      </c>
      <c r="H111" s="25" t="s">
        <v>202</v>
      </c>
      <c r="I111" s="25" t="s">
        <v>203</v>
      </c>
      <c r="J111" s="25" t="s">
        <v>158</v>
      </c>
      <c r="K111" s="25">
        <f>DATEDIF(I111,J111,"M")</f>
        <v>26</v>
      </c>
      <c r="L111" s="25" t="s">
        <v>587</v>
      </c>
      <c r="M111" s="25" t="s">
        <v>588</v>
      </c>
      <c r="N111" s="26">
        <v>141.11000000000001</v>
      </c>
      <c r="O111" s="27">
        <v>0.24</v>
      </c>
      <c r="P111" s="26">
        <v>33.869999999999997</v>
      </c>
      <c r="Q111" s="25" t="s">
        <v>73</v>
      </c>
      <c r="R111" s="25" t="s">
        <v>205</v>
      </c>
      <c r="S111" s="24" t="s">
        <v>582</v>
      </c>
    </row>
    <row r="112" spans="1:25" x14ac:dyDescent="0.25">
      <c r="A112" s="32" t="s">
        <v>60</v>
      </c>
      <c r="B112" s="32" t="s">
        <v>403</v>
      </c>
      <c r="C112" s="32">
        <v>20220688</v>
      </c>
      <c r="D112" s="32" t="s">
        <v>404</v>
      </c>
      <c r="E112" s="32" t="s">
        <v>405</v>
      </c>
      <c r="F112" s="32" t="s">
        <v>79</v>
      </c>
      <c r="G112" s="32" t="s">
        <v>81</v>
      </c>
      <c r="H112" s="32" t="s">
        <v>105</v>
      </c>
      <c r="I112" s="32" t="s">
        <v>407</v>
      </c>
      <c r="J112" s="32" t="s">
        <v>408</v>
      </c>
      <c r="K112" s="32">
        <f>DATEDIF(I112,J112,"M")</f>
        <v>9</v>
      </c>
      <c r="L112" s="32" t="s">
        <v>587</v>
      </c>
      <c r="M112" s="32" t="s">
        <v>588</v>
      </c>
      <c r="N112" s="33">
        <v>33.75</v>
      </c>
      <c r="O112" s="34">
        <v>1</v>
      </c>
      <c r="P112" s="33">
        <v>33.75</v>
      </c>
      <c r="Q112" s="32" t="s">
        <v>73</v>
      </c>
      <c r="R112" s="32" t="s">
        <v>106</v>
      </c>
      <c r="S112" s="35" t="s">
        <v>570</v>
      </c>
      <c r="T112" s="35"/>
      <c r="U112" s="35"/>
      <c r="V112" s="35"/>
      <c r="W112" s="35"/>
      <c r="X112" s="35"/>
      <c r="Y112" s="35"/>
    </row>
    <row r="113" spans="1:25" x14ac:dyDescent="0.25">
      <c r="A113" s="32" t="s">
        <v>60</v>
      </c>
      <c r="B113" s="32" t="s">
        <v>403</v>
      </c>
      <c r="C113" s="32">
        <v>20220688</v>
      </c>
      <c r="D113" s="32" t="s">
        <v>404</v>
      </c>
      <c r="E113" s="32" t="s">
        <v>409</v>
      </c>
      <c r="F113" s="32" t="s">
        <v>79</v>
      </c>
      <c r="G113" s="32" t="s">
        <v>81</v>
      </c>
      <c r="H113" s="32" t="s">
        <v>82</v>
      </c>
      <c r="I113" s="32" t="s">
        <v>407</v>
      </c>
      <c r="J113" s="32" t="s">
        <v>408</v>
      </c>
      <c r="K113" s="32">
        <f>DATEDIF(I113,J113,"M")</f>
        <v>9</v>
      </c>
      <c r="L113" s="32" t="s">
        <v>587</v>
      </c>
      <c r="M113" s="32" t="s">
        <v>588</v>
      </c>
      <c r="N113" s="33">
        <v>34.17</v>
      </c>
      <c r="O113" s="34">
        <v>1</v>
      </c>
      <c r="P113" s="33">
        <v>34.17</v>
      </c>
      <c r="Q113" s="32" t="s">
        <v>73</v>
      </c>
      <c r="R113" s="32" t="s">
        <v>86</v>
      </c>
      <c r="S113" s="35" t="s">
        <v>570</v>
      </c>
      <c r="T113" s="35"/>
      <c r="U113" s="35"/>
      <c r="V113" s="35"/>
      <c r="W113" s="35"/>
      <c r="X113" s="35"/>
      <c r="Y113" s="35"/>
    </row>
    <row r="114" spans="1:25" x14ac:dyDescent="0.25">
      <c r="A114" s="25" t="s">
        <v>60</v>
      </c>
      <c r="B114" s="25" t="s">
        <v>343</v>
      </c>
      <c r="C114" s="25">
        <v>18794740</v>
      </c>
      <c r="D114" s="25" t="s">
        <v>344</v>
      </c>
      <c r="E114" s="25" t="s">
        <v>345</v>
      </c>
      <c r="F114" s="25" t="s">
        <v>65</v>
      </c>
      <c r="G114" s="25" t="s">
        <v>113</v>
      </c>
      <c r="H114" s="25" t="s">
        <v>202</v>
      </c>
      <c r="I114" s="25" t="s">
        <v>347</v>
      </c>
      <c r="J114" s="25" t="s">
        <v>158</v>
      </c>
      <c r="K114" s="25">
        <f>DATEDIF(I114,J114,"M")</f>
        <v>14</v>
      </c>
      <c r="L114" s="25" t="s">
        <v>587</v>
      </c>
      <c r="M114" s="25" t="s">
        <v>588</v>
      </c>
      <c r="N114" s="26">
        <v>125.73</v>
      </c>
      <c r="O114" s="27">
        <v>0.25</v>
      </c>
      <c r="P114" s="26">
        <v>31.43</v>
      </c>
      <c r="Q114" s="25" t="s">
        <v>73</v>
      </c>
      <c r="R114" s="25" t="s">
        <v>205</v>
      </c>
      <c r="S114" s="24" t="s">
        <v>583</v>
      </c>
    </row>
    <row r="115" spans="1:25" x14ac:dyDescent="0.25">
      <c r="A115" s="36" t="s">
        <v>60</v>
      </c>
      <c r="B115" s="36" t="s">
        <v>149</v>
      </c>
      <c r="C115" s="36" t="s">
        <v>590</v>
      </c>
      <c r="D115" s="36" t="s">
        <v>150</v>
      </c>
      <c r="E115" s="36" t="s">
        <v>151</v>
      </c>
      <c r="F115" s="36" t="s">
        <v>137</v>
      </c>
      <c r="G115" s="36" t="s">
        <v>113</v>
      </c>
      <c r="H115" s="36" t="s">
        <v>152</v>
      </c>
      <c r="I115" s="36" t="s">
        <v>153</v>
      </c>
      <c r="J115" s="36" t="s">
        <v>153</v>
      </c>
      <c r="K115" s="32">
        <f>DATEDIF(I115,J115,"M")</f>
        <v>0</v>
      </c>
      <c r="L115" s="36" t="s">
        <v>585</v>
      </c>
      <c r="M115" s="36" t="s">
        <v>586</v>
      </c>
      <c r="N115" s="37">
        <v>33.15</v>
      </c>
      <c r="O115" s="38">
        <v>1.05</v>
      </c>
      <c r="P115" s="37">
        <v>34.81</v>
      </c>
      <c r="Q115" s="36" t="s">
        <v>73</v>
      </c>
      <c r="R115" s="36" t="s">
        <v>154</v>
      </c>
      <c r="S115" s="39" t="s">
        <v>574</v>
      </c>
      <c r="T115" s="39"/>
      <c r="U115" s="39"/>
      <c r="V115" s="39"/>
      <c r="W115" s="39"/>
      <c r="X115" s="39"/>
      <c r="Y115" s="39"/>
    </row>
    <row r="116" spans="1:25" x14ac:dyDescent="0.25">
      <c r="A116" s="32" t="s">
        <v>60</v>
      </c>
      <c r="B116" s="32" t="s">
        <v>232</v>
      </c>
      <c r="C116" s="32">
        <v>19200754</v>
      </c>
      <c r="D116" s="32" t="s">
        <v>233</v>
      </c>
      <c r="E116" s="32" t="s">
        <v>234</v>
      </c>
      <c r="F116" s="32" t="s">
        <v>79</v>
      </c>
      <c r="G116" s="32" t="s">
        <v>81</v>
      </c>
      <c r="H116" s="32" t="s">
        <v>143</v>
      </c>
      <c r="I116" s="32" t="s">
        <v>236</v>
      </c>
      <c r="J116" s="32" t="s">
        <v>158</v>
      </c>
      <c r="K116" s="32">
        <f>DATEDIF(I116,J116,"M")</f>
        <v>3</v>
      </c>
      <c r="L116" s="32" t="s">
        <v>587</v>
      </c>
      <c r="M116" s="32" t="s">
        <v>589</v>
      </c>
      <c r="N116" s="33">
        <v>9.24</v>
      </c>
      <c r="O116" s="34">
        <v>0.65</v>
      </c>
      <c r="P116" s="33">
        <v>6.01</v>
      </c>
      <c r="Q116" s="32" t="s">
        <v>73</v>
      </c>
      <c r="R116" s="32" t="s">
        <v>145</v>
      </c>
      <c r="S116" s="35" t="s">
        <v>580</v>
      </c>
      <c r="T116" s="35"/>
      <c r="U116" s="35"/>
      <c r="V116" s="35"/>
      <c r="W116" s="35"/>
      <c r="X116" s="35"/>
      <c r="Y116" s="35"/>
    </row>
    <row r="117" spans="1:25" x14ac:dyDescent="0.25">
      <c r="A117" s="32" t="s">
        <v>60</v>
      </c>
      <c r="B117" s="32" t="s">
        <v>232</v>
      </c>
      <c r="C117" s="32">
        <v>19200754</v>
      </c>
      <c r="D117" s="32" t="s">
        <v>233</v>
      </c>
      <c r="E117" s="32" t="s">
        <v>234</v>
      </c>
      <c r="F117" s="32" t="s">
        <v>79</v>
      </c>
      <c r="G117" s="32" t="s">
        <v>81</v>
      </c>
      <c r="H117" s="32" t="s">
        <v>143</v>
      </c>
      <c r="I117" s="32" t="s">
        <v>236</v>
      </c>
      <c r="J117" s="32" t="s">
        <v>158</v>
      </c>
      <c r="K117" s="32">
        <f>DATEDIF(I117,J117,"M")</f>
        <v>3</v>
      </c>
      <c r="L117" s="32" t="s">
        <v>587</v>
      </c>
      <c r="M117" s="32" t="s">
        <v>589</v>
      </c>
      <c r="N117" s="33">
        <v>22.34</v>
      </c>
      <c r="O117" s="34">
        <v>0.65</v>
      </c>
      <c r="P117" s="33">
        <v>14.52</v>
      </c>
      <c r="Q117" s="32" t="s">
        <v>73</v>
      </c>
      <c r="R117" s="32" t="s">
        <v>145</v>
      </c>
      <c r="S117" s="35" t="s">
        <v>580</v>
      </c>
      <c r="T117" s="35"/>
      <c r="U117" s="35"/>
      <c r="V117" s="35"/>
      <c r="W117" s="35"/>
      <c r="X117" s="35"/>
      <c r="Y117" s="35"/>
    </row>
    <row r="118" spans="1:25" x14ac:dyDescent="0.25">
      <c r="A118" s="32" t="s">
        <v>60</v>
      </c>
      <c r="B118" s="32" t="s">
        <v>232</v>
      </c>
      <c r="C118" s="32">
        <v>19200754</v>
      </c>
      <c r="D118" s="32" t="s">
        <v>233</v>
      </c>
      <c r="E118" s="32" t="s">
        <v>234</v>
      </c>
      <c r="F118" s="32" t="s">
        <v>79</v>
      </c>
      <c r="G118" s="32" t="s">
        <v>81</v>
      </c>
      <c r="H118" s="32" t="s">
        <v>143</v>
      </c>
      <c r="I118" s="32" t="s">
        <v>236</v>
      </c>
      <c r="J118" s="32" t="s">
        <v>158</v>
      </c>
      <c r="K118" s="32">
        <f>DATEDIF(I118,J118,"M")</f>
        <v>3</v>
      </c>
      <c r="L118" s="32" t="s">
        <v>587</v>
      </c>
      <c r="M118" s="32" t="s">
        <v>589</v>
      </c>
      <c r="N118" s="33">
        <v>21.52</v>
      </c>
      <c r="O118" s="34">
        <v>0.65</v>
      </c>
      <c r="P118" s="33">
        <v>13.99</v>
      </c>
      <c r="Q118" s="32" t="s">
        <v>73</v>
      </c>
      <c r="R118" s="32" t="s">
        <v>145</v>
      </c>
      <c r="S118" s="35" t="s">
        <v>580</v>
      </c>
      <c r="T118" s="35"/>
      <c r="U118" s="35"/>
      <c r="V118" s="35"/>
      <c r="W118" s="35"/>
      <c r="X118" s="35"/>
      <c r="Y118" s="35"/>
    </row>
    <row r="119" spans="1:25" x14ac:dyDescent="0.25">
      <c r="A119" s="32" t="s">
        <v>60</v>
      </c>
      <c r="B119" s="32" t="s">
        <v>232</v>
      </c>
      <c r="C119" s="32">
        <v>19200754</v>
      </c>
      <c r="D119" s="32" t="s">
        <v>233</v>
      </c>
      <c r="E119" s="32" t="s">
        <v>234</v>
      </c>
      <c r="F119" s="32" t="s">
        <v>79</v>
      </c>
      <c r="G119" s="32" t="s">
        <v>81</v>
      </c>
      <c r="H119" s="32" t="s">
        <v>143</v>
      </c>
      <c r="I119" s="32" t="s">
        <v>236</v>
      </c>
      <c r="J119" s="32" t="s">
        <v>158</v>
      </c>
      <c r="K119" s="32">
        <f>DATEDIF(I119,J119,"M")</f>
        <v>3</v>
      </c>
      <c r="L119" s="32" t="s">
        <v>587</v>
      </c>
      <c r="M119" s="32" t="s">
        <v>589</v>
      </c>
      <c r="N119" s="33">
        <v>11.87</v>
      </c>
      <c r="O119" s="34">
        <v>0.65</v>
      </c>
      <c r="P119" s="33">
        <v>7.72</v>
      </c>
      <c r="Q119" s="32" t="s">
        <v>73</v>
      </c>
      <c r="R119" s="32" t="s">
        <v>145</v>
      </c>
      <c r="S119" s="35" t="s">
        <v>580</v>
      </c>
      <c r="T119" s="35"/>
      <c r="U119" s="35"/>
      <c r="V119" s="35"/>
      <c r="W119" s="35"/>
      <c r="X119" s="35"/>
      <c r="Y119" s="35"/>
    </row>
    <row r="120" spans="1:25" x14ac:dyDescent="0.25">
      <c r="A120" s="25" t="s">
        <v>60</v>
      </c>
      <c r="B120" s="25" t="s">
        <v>167</v>
      </c>
      <c r="C120" s="25">
        <v>5442438</v>
      </c>
      <c r="D120" s="25" t="s">
        <v>237</v>
      </c>
      <c r="E120" s="25" t="s">
        <v>238</v>
      </c>
      <c r="F120" s="25" t="s">
        <v>79</v>
      </c>
      <c r="G120" s="25" t="s">
        <v>67</v>
      </c>
      <c r="H120" s="25" t="s">
        <v>105</v>
      </c>
      <c r="I120" s="25" t="s">
        <v>164</v>
      </c>
      <c r="J120" s="25" t="s">
        <v>158</v>
      </c>
      <c r="K120" s="25">
        <f>DATEDIF(I120,J120,"M")</f>
        <v>2</v>
      </c>
      <c r="L120" s="25" t="s">
        <v>587</v>
      </c>
      <c r="M120" s="25" t="s">
        <v>588</v>
      </c>
      <c r="N120" s="26">
        <v>60.83</v>
      </c>
      <c r="O120" s="27">
        <v>0.95</v>
      </c>
      <c r="P120" s="26">
        <v>57.79</v>
      </c>
      <c r="Q120" s="25" t="s">
        <v>73</v>
      </c>
      <c r="R120" s="25" t="s">
        <v>106</v>
      </c>
      <c r="S120" s="24" t="s">
        <v>575</v>
      </c>
    </row>
    <row r="121" spans="1:25" x14ac:dyDescent="0.25">
      <c r="A121" s="25" t="s">
        <v>60</v>
      </c>
      <c r="B121" s="25" t="s">
        <v>167</v>
      </c>
      <c r="C121" s="25">
        <v>5442438</v>
      </c>
      <c r="D121" s="25" t="s">
        <v>424</v>
      </c>
      <c r="E121" s="25" t="s">
        <v>425</v>
      </c>
      <c r="F121" s="25" t="s">
        <v>79</v>
      </c>
      <c r="G121" s="25" t="s">
        <v>67</v>
      </c>
      <c r="H121" s="25" t="s">
        <v>105</v>
      </c>
      <c r="I121" s="25" t="s">
        <v>219</v>
      </c>
      <c r="J121" s="25" t="s">
        <v>69</v>
      </c>
      <c r="K121" s="25">
        <f>DATEDIF(I121,J121,"M")</f>
        <v>2</v>
      </c>
      <c r="L121" s="25" t="s">
        <v>587</v>
      </c>
      <c r="M121" s="25" t="s">
        <v>588</v>
      </c>
      <c r="N121" s="26">
        <v>60.83</v>
      </c>
      <c r="O121" s="27">
        <v>0.95</v>
      </c>
      <c r="P121" s="26">
        <v>57.79</v>
      </c>
      <c r="Q121" s="25" t="s">
        <v>73</v>
      </c>
      <c r="R121" s="25" t="s">
        <v>106</v>
      </c>
      <c r="S121" s="24" t="s">
        <v>575</v>
      </c>
    </row>
    <row r="122" spans="1:25" x14ac:dyDescent="0.25">
      <c r="A122" s="25" t="s">
        <v>60</v>
      </c>
      <c r="B122" s="25" t="s">
        <v>167</v>
      </c>
      <c r="C122" s="25">
        <v>5442438</v>
      </c>
      <c r="D122" s="25" t="s">
        <v>424</v>
      </c>
      <c r="E122" s="25" t="s">
        <v>427</v>
      </c>
      <c r="F122" s="25" t="s">
        <v>79</v>
      </c>
      <c r="G122" s="25" t="s">
        <v>67</v>
      </c>
      <c r="H122" s="25" t="s">
        <v>82</v>
      </c>
      <c r="I122" s="25" t="s">
        <v>219</v>
      </c>
      <c r="J122" s="25" t="s">
        <v>69</v>
      </c>
      <c r="K122" s="25">
        <f>DATEDIF(I122,J122,"M")</f>
        <v>2</v>
      </c>
      <c r="L122" s="25" t="s">
        <v>587</v>
      </c>
      <c r="M122" s="25" t="s">
        <v>588</v>
      </c>
      <c r="N122" s="26">
        <v>61.87</v>
      </c>
      <c r="O122" s="27">
        <v>0.95</v>
      </c>
      <c r="P122" s="26">
        <v>58.78</v>
      </c>
      <c r="Q122" s="25" t="s">
        <v>73</v>
      </c>
      <c r="R122" s="25" t="s">
        <v>86</v>
      </c>
      <c r="S122" s="24" t="s">
        <v>578</v>
      </c>
    </row>
    <row r="123" spans="1:25" x14ac:dyDescent="0.25">
      <c r="A123" s="25" t="s">
        <v>60</v>
      </c>
      <c r="B123" s="25" t="s">
        <v>167</v>
      </c>
      <c r="C123" s="25">
        <v>5442438</v>
      </c>
      <c r="D123" s="25" t="s">
        <v>410</v>
      </c>
      <c r="E123" s="25" t="s">
        <v>411</v>
      </c>
      <c r="F123" s="25" t="s">
        <v>79</v>
      </c>
      <c r="G123" s="25" t="s">
        <v>67</v>
      </c>
      <c r="H123" s="25" t="s">
        <v>105</v>
      </c>
      <c r="I123" s="25" t="s">
        <v>413</v>
      </c>
      <c r="J123" s="25" t="s">
        <v>365</v>
      </c>
      <c r="K123" s="25">
        <f>DATEDIF(I123,J123,"M")</f>
        <v>6</v>
      </c>
      <c r="L123" s="25" t="s">
        <v>587</v>
      </c>
      <c r="M123" s="25" t="s">
        <v>588</v>
      </c>
      <c r="N123" s="26">
        <v>97.33</v>
      </c>
      <c r="O123" s="27">
        <v>0.95</v>
      </c>
      <c r="P123" s="26">
        <v>92.46</v>
      </c>
      <c r="Q123" s="25" t="s">
        <v>73</v>
      </c>
      <c r="R123" s="25" t="s">
        <v>106</v>
      </c>
      <c r="S123" s="24" t="s">
        <v>575</v>
      </c>
    </row>
    <row r="124" spans="1:25" x14ac:dyDescent="0.25">
      <c r="A124" s="25" t="s">
        <v>60</v>
      </c>
      <c r="B124" s="25" t="s">
        <v>167</v>
      </c>
      <c r="C124" s="25">
        <v>5442438</v>
      </c>
      <c r="D124" s="25" t="s">
        <v>410</v>
      </c>
      <c r="E124" s="25" t="s">
        <v>414</v>
      </c>
      <c r="F124" s="25" t="s">
        <v>79</v>
      </c>
      <c r="G124" s="25" t="s">
        <v>67</v>
      </c>
      <c r="H124" s="25" t="s">
        <v>82</v>
      </c>
      <c r="I124" s="25" t="s">
        <v>413</v>
      </c>
      <c r="J124" s="25" t="s">
        <v>365</v>
      </c>
      <c r="K124" s="25">
        <f>DATEDIF(I124,J124,"M")</f>
        <v>6</v>
      </c>
      <c r="L124" s="25" t="s">
        <v>587</v>
      </c>
      <c r="M124" s="25" t="s">
        <v>588</v>
      </c>
      <c r="N124" s="26">
        <v>99</v>
      </c>
      <c r="O124" s="27">
        <v>0.95</v>
      </c>
      <c r="P124" s="26">
        <v>94.05</v>
      </c>
      <c r="Q124" s="25" t="s">
        <v>73</v>
      </c>
      <c r="R124" s="25" t="s">
        <v>86</v>
      </c>
      <c r="S124" s="24" t="s">
        <v>578</v>
      </c>
    </row>
    <row r="125" spans="1:25" x14ac:dyDescent="0.25">
      <c r="A125" s="25" t="s">
        <v>60</v>
      </c>
      <c r="B125" s="25" t="s">
        <v>167</v>
      </c>
      <c r="C125" s="25">
        <v>5442438</v>
      </c>
      <c r="D125" s="25" t="s">
        <v>168</v>
      </c>
      <c r="E125" s="25" t="s">
        <v>169</v>
      </c>
      <c r="F125" s="25" t="s">
        <v>79</v>
      </c>
      <c r="G125" s="25" t="s">
        <v>67</v>
      </c>
      <c r="H125" s="25" t="s">
        <v>105</v>
      </c>
      <c r="I125" s="25" t="s">
        <v>171</v>
      </c>
      <c r="J125" s="25" t="s">
        <v>172</v>
      </c>
      <c r="K125" s="25">
        <f>DATEDIF(I125,J125,"M")</f>
        <v>10</v>
      </c>
      <c r="L125" s="25" t="s">
        <v>587</v>
      </c>
      <c r="M125" s="25" t="s">
        <v>588</v>
      </c>
      <c r="N125" s="26">
        <v>65.12</v>
      </c>
      <c r="O125" s="27">
        <v>0.91</v>
      </c>
      <c r="P125" s="26">
        <v>59.26</v>
      </c>
      <c r="Q125" s="25" t="s">
        <v>73</v>
      </c>
      <c r="R125" s="25" t="s">
        <v>106</v>
      </c>
      <c r="S125" s="24" t="s">
        <v>573</v>
      </c>
    </row>
    <row r="126" spans="1:25" x14ac:dyDescent="0.25">
      <c r="A126" s="25" t="s">
        <v>60</v>
      </c>
      <c r="B126" s="25" t="s">
        <v>167</v>
      </c>
      <c r="C126" s="25">
        <v>5442438</v>
      </c>
      <c r="D126" s="25" t="s">
        <v>168</v>
      </c>
      <c r="E126" s="25" t="s">
        <v>174</v>
      </c>
      <c r="F126" s="25" t="s">
        <v>79</v>
      </c>
      <c r="G126" s="25" t="s">
        <v>67</v>
      </c>
      <c r="H126" s="25" t="s">
        <v>82</v>
      </c>
      <c r="I126" s="25" t="s">
        <v>171</v>
      </c>
      <c r="J126" s="25" t="s">
        <v>175</v>
      </c>
      <c r="K126" s="25">
        <f>DATEDIF(I126,J126,"M")</f>
        <v>11</v>
      </c>
      <c r="L126" s="25" t="s">
        <v>587</v>
      </c>
      <c r="M126" s="25" t="s">
        <v>588</v>
      </c>
      <c r="N126" s="26">
        <v>68.37</v>
      </c>
      <c r="O126" s="27">
        <v>0.91</v>
      </c>
      <c r="P126" s="26">
        <v>62.22</v>
      </c>
      <c r="Q126" s="25" t="s">
        <v>73</v>
      </c>
      <c r="R126" s="25" t="s">
        <v>86</v>
      </c>
      <c r="S126" s="24" t="s">
        <v>573</v>
      </c>
    </row>
    <row r="127" spans="1:25" x14ac:dyDescent="0.25">
      <c r="A127" s="25" t="s">
        <v>60</v>
      </c>
      <c r="B127" s="25" t="s">
        <v>167</v>
      </c>
      <c r="C127" s="25">
        <v>5442438</v>
      </c>
      <c r="D127" s="25" t="s">
        <v>168</v>
      </c>
      <c r="E127" s="25" t="s">
        <v>271</v>
      </c>
      <c r="F127" s="25" t="s">
        <v>79</v>
      </c>
      <c r="G127" s="25" t="s">
        <v>67</v>
      </c>
      <c r="H127" s="25" t="s">
        <v>212</v>
      </c>
      <c r="I127" s="25" t="s">
        <v>171</v>
      </c>
      <c r="J127" s="25" t="s">
        <v>175</v>
      </c>
      <c r="K127" s="25">
        <f>DATEDIF(I127,J127,"M")</f>
        <v>11</v>
      </c>
      <c r="L127" s="25" t="s">
        <v>587</v>
      </c>
      <c r="M127" s="25" t="s">
        <v>588</v>
      </c>
      <c r="N127" s="26">
        <v>21.3</v>
      </c>
      <c r="O127" s="27">
        <v>0.57999999999999996</v>
      </c>
      <c r="P127" s="26">
        <v>12.35</v>
      </c>
      <c r="Q127" s="25" t="s">
        <v>73</v>
      </c>
      <c r="R127" s="25" t="s">
        <v>214</v>
      </c>
      <c r="S127" s="24" t="s">
        <v>576</v>
      </c>
    </row>
    <row r="128" spans="1:25" x14ac:dyDescent="0.25">
      <c r="A128" s="25" t="s">
        <v>60</v>
      </c>
      <c r="B128" s="25" t="s">
        <v>167</v>
      </c>
      <c r="C128" s="25">
        <v>5442438</v>
      </c>
      <c r="D128" s="25" t="s">
        <v>168</v>
      </c>
      <c r="E128" s="25" t="s">
        <v>271</v>
      </c>
      <c r="F128" s="25" t="s">
        <v>79</v>
      </c>
      <c r="G128" s="25" t="s">
        <v>67</v>
      </c>
      <c r="H128" s="25" t="s">
        <v>212</v>
      </c>
      <c r="I128" s="25" t="s">
        <v>171</v>
      </c>
      <c r="J128" s="25" t="s">
        <v>175</v>
      </c>
      <c r="K128" s="25">
        <f>DATEDIF(I128,J128,"M")</f>
        <v>11</v>
      </c>
      <c r="L128" s="25" t="s">
        <v>587</v>
      </c>
      <c r="M128" s="25" t="s">
        <v>588</v>
      </c>
      <c r="N128" s="26">
        <v>34.1</v>
      </c>
      <c r="O128" s="27">
        <v>0.57999999999999996</v>
      </c>
      <c r="P128" s="26">
        <v>19.78</v>
      </c>
      <c r="Q128" s="25" t="s">
        <v>73</v>
      </c>
      <c r="R128" s="25" t="s">
        <v>214</v>
      </c>
      <c r="S128" s="24" t="s">
        <v>576</v>
      </c>
    </row>
    <row r="129" spans="1:25" x14ac:dyDescent="0.25">
      <c r="A129" s="25" t="s">
        <v>60</v>
      </c>
      <c r="B129" s="25" t="s">
        <v>167</v>
      </c>
      <c r="C129" s="25">
        <v>5442438</v>
      </c>
      <c r="D129" s="25" t="s">
        <v>168</v>
      </c>
      <c r="E129" s="25" t="s">
        <v>271</v>
      </c>
      <c r="F129" s="25" t="s">
        <v>79</v>
      </c>
      <c r="G129" s="25" t="s">
        <v>67</v>
      </c>
      <c r="H129" s="25" t="s">
        <v>212</v>
      </c>
      <c r="I129" s="25" t="s">
        <v>171</v>
      </c>
      <c r="J129" s="25" t="s">
        <v>175</v>
      </c>
      <c r="K129" s="25">
        <f>DATEDIF(I129,J129,"M")</f>
        <v>11</v>
      </c>
      <c r="L129" s="25" t="s">
        <v>587</v>
      </c>
      <c r="M129" s="25" t="s">
        <v>588</v>
      </c>
      <c r="N129" s="26">
        <v>20.62</v>
      </c>
      <c r="O129" s="27">
        <v>0.57999999999999996</v>
      </c>
      <c r="P129" s="26">
        <v>11.96</v>
      </c>
      <c r="Q129" s="25" t="s">
        <v>73</v>
      </c>
      <c r="R129" s="25" t="s">
        <v>214</v>
      </c>
      <c r="S129" s="24" t="s">
        <v>576</v>
      </c>
    </row>
    <row r="130" spans="1:25" x14ac:dyDescent="0.25">
      <c r="A130" s="25" t="s">
        <v>60</v>
      </c>
      <c r="B130" s="25" t="s">
        <v>119</v>
      </c>
      <c r="C130" s="25">
        <v>8977234</v>
      </c>
      <c r="D130" s="25" t="s">
        <v>120</v>
      </c>
      <c r="E130" s="25" t="s">
        <v>121</v>
      </c>
      <c r="F130" s="25" t="s">
        <v>79</v>
      </c>
      <c r="G130" s="25" t="s">
        <v>123</v>
      </c>
      <c r="H130" s="25" t="s">
        <v>105</v>
      </c>
      <c r="I130" s="25" t="s">
        <v>124</v>
      </c>
      <c r="J130" s="25" t="s">
        <v>125</v>
      </c>
      <c r="K130" s="25">
        <f>DATEDIF(I130,J130,"M")</f>
        <v>11</v>
      </c>
      <c r="L130" s="25" t="s">
        <v>587</v>
      </c>
      <c r="M130" s="25" t="s">
        <v>588</v>
      </c>
      <c r="N130" s="26">
        <v>31.38</v>
      </c>
      <c r="O130" s="27">
        <v>0.95</v>
      </c>
      <c r="P130" s="26">
        <v>29.81</v>
      </c>
      <c r="Q130" s="25" t="s">
        <v>73</v>
      </c>
      <c r="R130" s="25" t="s">
        <v>106</v>
      </c>
      <c r="S130" s="24" t="s">
        <v>575</v>
      </c>
    </row>
    <row r="131" spans="1:25" x14ac:dyDescent="0.25">
      <c r="A131" s="25" t="s">
        <v>60</v>
      </c>
      <c r="B131" s="25" t="s">
        <v>119</v>
      </c>
      <c r="C131" s="25">
        <v>8977234</v>
      </c>
      <c r="D131" s="25" t="s">
        <v>120</v>
      </c>
      <c r="E131" s="25" t="s">
        <v>139</v>
      </c>
      <c r="F131" s="25" t="s">
        <v>79</v>
      </c>
      <c r="G131" s="25" t="s">
        <v>123</v>
      </c>
      <c r="H131" s="25" t="s">
        <v>82</v>
      </c>
      <c r="I131" s="25" t="s">
        <v>124</v>
      </c>
      <c r="J131" s="25" t="s">
        <v>125</v>
      </c>
      <c r="K131" s="25">
        <f>DATEDIF(I131,J131,"M")</f>
        <v>11</v>
      </c>
      <c r="L131" s="25" t="s">
        <v>587</v>
      </c>
      <c r="M131" s="25" t="s">
        <v>588</v>
      </c>
      <c r="N131" s="26">
        <v>31.13</v>
      </c>
      <c r="O131" s="27">
        <v>0.95</v>
      </c>
      <c r="P131" s="26">
        <v>29.57</v>
      </c>
      <c r="Q131" s="25" t="s">
        <v>73</v>
      </c>
      <c r="R131" s="25" t="s">
        <v>86</v>
      </c>
      <c r="S131" s="24" t="s">
        <v>578</v>
      </c>
    </row>
    <row r="132" spans="1:25" x14ac:dyDescent="0.25">
      <c r="A132" s="25" t="s">
        <v>60</v>
      </c>
      <c r="B132" s="25" t="s">
        <v>119</v>
      </c>
      <c r="C132" s="25">
        <v>8977234</v>
      </c>
      <c r="D132" s="25" t="s">
        <v>379</v>
      </c>
      <c r="E132" s="25" t="s">
        <v>380</v>
      </c>
      <c r="F132" s="25" t="s">
        <v>65</v>
      </c>
      <c r="G132" s="25" t="s">
        <v>123</v>
      </c>
      <c r="H132" s="25" t="s">
        <v>143</v>
      </c>
      <c r="I132" s="25" t="s">
        <v>382</v>
      </c>
      <c r="J132" s="25" t="s">
        <v>247</v>
      </c>
      <c r="K132" s="25">
        <f>DATEDIF(I132,J132,"M")</f>
        <v>16</v>
      </c>
      <c r="L132" s="25" t="s">
        <v>587</v>
      </c>
      <c r="M132" s="25" t="s">
        <v>588</v>
      </c>
      <c r="N132" s="26">
        <v>0.97</v>
      </c>
      <c r="O132" s="27">
        <v>0.12</v>
      </c>
      <c r="P132" s="26">
        <v>0.12</v>
      </c>
      <c r="Q132" s="25" t="s">
        <v>73</v>
      </c>
      <c r="R132" s="25" t="s">
        <v>145</v>
      </c>
      <c r="S132" s="24" t="s">
        <v>576</v>
      </c>
    </row>
    <row r="133" spans="1:25" x14ac:dyDescent="0.25">
      <c r="A133" s="25" t="s">
        <v>60</v>
      </c>
      <c r="B133" s="25" t="s">
        <v>119</v>
      </c>
      <c r="C133" s="25">
        <v>8977234</v>
      </c>
      <c r="D133" s="25" t="s">
        <v>379</v>
      </c>
      <c r="E133" s="25" t="s">
        <v>380</v>
      </c>
      <c r="F133" s="25" t="s">
        <v>65</v>
      </c>
      <c r="G133" s="25" t="s">
        <v>123</v>
      </c>
      <c r="H133" s="25" t="s">
        <v>143</v>
      </c>
      <c r="I133" s="25" t="s">
        <v>382</v>
      </c>
      <c r="J133" s="25" t="s">
        <v>247</v>
      </c>
      <c r="K133" s="25">
        <f>DATEDIF(I133,J133,"M")</f>
        <v>16</v>
      </c>
      <c r="L133" s="25" t="s">
        <v>587</v>
      </c>
      <c r="M133" s="25" t="s">
        <v>588</v>
      </c>
      <c r="N133" s="26">
        <v>8.8000000000000007</v>
      </c>
      <c r="O133" s="27">
        <v>0.12</v>
      </c>
      <c r="P133" s="26">
        <v>1.06</v>
      </c>
      <c r="Q133" s="25" t="s">
        <v>73</v>
      </c>
      <c r="R133" s="25" t="s">
        <v>145</v>
      </c>
      <c r="S133" s="24" t="s">
        <v>576</v>
      </c>
    </row>
    <row r="134" spans="1:25" x14ac:dyDescent="0.25">
      <c r="A134" s="25" t="s">
        <v>60</v>
      </c>
      <c r="B134" s="25" t="s">
        <v>119</v>
      </c>
      <c r="C134" s="25">
        <v>8977234</v>
      </c>
      <c r="D134" s="25" t="s">
        <v>379</v>
      </c>
      <c r="E134" s="25" t="s">
        <v>380</v>
      </c>
      <c r="F134" s="25" t="s">
        <v>65</v>
      </c>
      <c r="G134" s="25" t="s">
        <v>123</v>
      </c>
      <c r="H134" s="25" t="s">
        <v>143</v>
      </c>
      <c r="I134" s="25" t="s">
        <v>382</v>
      </c>
      <c r="J134" s="25" t="s">
        <v>247</v>
      </c>
      <c r="K134" s="25">
        <f>DATEDIF(I134,J134,"M")</f>
        <v>16</v>
      </c>
      <c r="L134" s="25" t="s">
        <v>587</v>
      </c>
      <c r="M134" s="25" t="s">
        <v>588</v>
      </c>
      <c r="N134" s="26">
        <v>24.55</v>
      </c>
      <c r="O134" s="27">
        <v>0.12</v>
      </c>
      <c r="P134" s="26">
        <v>2.95</v>
      </c>
      <c r="Q134" s="25" t="s">
        <v>73</v>
      </c>
      <c r="R134" s="25" t="s">
        <v>145</v>
      </c>
      <c r="S134" s="24" t="s">
        <v>576</v>
      </c>
    </row>
    <row r="135" spans="1:25" x14ac:dyDescent="0.25">
      <c r="A135" s="25" t="s">
        <v>60</v>
      </c>
      <c r="B135" s="25" t="s">
        <v>119</v>
      </c>
      <c r="C135" s="25">
        <v>8977234</v>
      </c>
      <c r="D135" s="25" t="s">
        <v>379</v>
      </c>
      <c r="E135" s="25" t="s">
        <v>380</v>
      </c>
      <c r="F135" s="25" t="s">
        <v>65</v>
      </c>
      <c r="G135" s="25" t="s">
        <v>123</v>
      </c>
      <c r="H135" s="25" t="s">
        <v>143</v>
      </c>
      <c r="I135" s="25" t="s">
        <v>382</v>
      </c>
      <c r="J135" s="25" t="s">
        <v>247</v>
      </c>
      <c r="K135" s="25">
        <f>DATEDIF(I135,J135,"M")</f>
        <v>16</v>
      </c>
      <c r="L135" s="25" t="s">
        <v>587</v>
      </c>
      <c r="M135" s="25" t="s">
        <v>588</v>
      </c>
      <c r="N135" s="26">
        <v>15</v>
      </c>
      <c r="O135" s="27">
        <v>0.12</v>
      </c>
      <c r="P135" s="26">
        <v>1.8</v>
      </c>
      <c r="Q135" s="25" t="s">
        <v>73</v>
      </c>
      <c r="R135" s="25" t="s">
        <v>145</v>
      </c>
      <c r="S135" s="24" t="s">
        <v>576</v>
      </c>
    </row>
    <row r="136" spans="1:25" x14ac:dyDescent="0.25">
      <c r="A136" s="36" t="s">
        <v>60</v>
      </c>
      <c r="B136" s="36" t="s">
        <v>320</v>
      </c>
      <c r="C136" s="36" t="s">
        <v>591</v>
      </c>
      <c r="D136" s="36" t="s">
        <v>441</v>
      </c>
      <c r="E136" s="36" t="s">
        <v>442</v>
      </c>
      <c r="F136" s="36" t="s">
        <v>137</v>
      </c>
      <c r="G136" s="36" t="s">
        <v>81</v>
      </c>
      <c r="H136" s="36" t="s">
        <v>82</v>
      </c>
      <c r="I136" s="36" t="s">
        <v>423</v>
      </c>
      <c r="J136" s="36" t="s">
        <v>423</v>
      </c>
      <c r="K136" s="32">
        <f>DATEDIF(I136,J136,"M")</f>
        <v>0</v>
      </c>
      <c r="L136" s="36" t="s">
        <v>585</v>
      </c>
      <c r="M136" s="36" t="s">
        <v>586</v>
      </c>
      <c r="N136" s="37">
        <v>17.28</v>
      </c>
      <c r="O136" s="38">
        <v>1.05</v>
      </c>
      <c r="P136" s="37">
        <v>18.14</v>
      </c>
      <c r="Q136" s="36" t="s">
        <v>73</v>
      </c>
      <c r="R136" s="36" t="s">
        <v>86</v>
      </c>
      <c r="S136" s="39" t="s">
        <v>574</v>
      </c>
      <c r="T136" s="39"/>
      <c r="U136" s="39"/>
      <c r="V136" s="39"/>
      <c r="W136" s="39"/>
      <c r="X136" s="39"/>
      <c r="Y136" s="39"/>
    </row>
    <row r="137" spans="1:25" x14ac:dyDescent="0.25">
      <c r="A137" s="36" t="s">
        <v>60</v>
      </c>
      <c r="B137" s="36" t="s">
        <v>320</v>
      </c>
      <c r="C137" s="36" t="s">
        <v>591</v>
      </c>
      <c r="D137" s="36" t="s">
        <v>441</v>
      </c>
      <c r="E137" s="36" t="s">
        <v>447</v>
      </c>
      <c r="F137" s="36" t="s">
        <v>137</v>
      </c>
      <c r="G137" s="36" t="s">
        <v>81</v>
      </c>
      <c r="H137" s="36" t="s">
        <v>143</v>
      </c>
      <c r="I137" s="36" t="s">
        <v>423</v>
      </c>
      <c r="J137" s="36" t="s">
        <v>423</v>
      </c>
      <c r="K137" s="32">
        <f>DATEDIF(I137,J137,"M")</f>
        <v>0</v>
      </c>
      <c r="L137" s="36" t="s">
        <v>585</v>
      </c>
      <c r="M137" s="36" t="s">
        <v>586</v>
      </c>
      <c r="N137" s="37">
        <v>7.92</v>
      </c>
      <c r="O137" s="38">
        <v>0.65</v>
      </c>
      <c r="P137" s="37">
        <v>5.15</v>
      </c>
      <c r="Q137" s="36" t="s">
        <v>73</v>
      </c>
      <c r="R137" s="36" t="s">
        <v>145</v>
      </c>
      <c r="S137" s="39" t="s">
        <v>580</v>
      </c>
      <c r="T137" s="39"/>
      <c r="U137" s="39"/>
      <c r="V137" s="39"/>
      <c r="W137" s="39"/>
      <c r="X137" s="39"/>
      <c r="Y137" s="39"/>
    </row>
    <row r="138" spans="1:25" x14ac:dyDescent="0.25">
      <c r="A138" s="36" t="s">
        <v>60</v>
      </c>
      <c r="B138" s="36" t="s">
        <v>320</v>
      </c>
      <c r="C138" s="36" t="s">
        <v>591</v>
      </c>
      <c r="D138" s="36" t="s">
        <v>441</v>
      </c>
      <c r="E138" s="36" t="s">
        <v>447</v>
      </c>
      <c r="F138" s="36" t="s">
        <v>137</v>
      </c>
      <c r="G138" s="36" t="s">
        <v>81</v>
      </c>
      <c r="H138" s="36" t="s">
        <v>143</v>
      </c>
      <c r="I138" s="36" t="s">
        <v>423</v>
      </c>
      <c r="J138" s="36" t="s">
        <v>423</v>
      </c>
      <c r="K138" s="32">
        <f>DATEDIF(I138,J138,"M")</f>
        <v>0</v>
      </c>
      <c r="L138" s="36" t="s">
        <v>585</v>
      </c>
      <c r="M138" s="36" t="s">
        <v>586</v>
      </c>
      <c r="N138" s="37">
        <v>9.24</v>
      </c>
      <c r="O138" s="38">
        <v>0.65</v>
      </c>
      <c r="P138" s="37">
        <v>6.01</v>
      </c>
      <c r="Q138" s="36" t="s">
        <v>73</v>
      </c>
      <c r="R138" s="36" t="s">
        <v>145</v>
      </c>
      <c r="S138" s="39" t="s">
        <v>580</v>
      </c>
      <c r="T138" s="39"/>
      <c r="U138" s="39"/>
      <c r="V138" s="39"/>
      <c r="W138" s="39"/>
      <c r="X138" s="39"/>
      <c r="Y138" s="39"/>
    </row>
    <row r="139" spans="1:25" x14ac:dyDescent="0.25">
      <c r="A139" s="36" t="s">
        <v>60</v>
      </c>
      <c r="B139" s="36" t="s">
        <v>320</v>
      </c>
      <c r="C139" s="36" t="s">
        <v>591</v>
      </c>
      <c r="D139" s="36" t="s">
        <v>441</v>
      </c>
      <c r="E139" s="36" t="s">
        <v>447</v>
      </c>
      <c r="F139" s="36" t="s">
        <v>137</v>
      </c>
      <c r="G139" s="36" t="s">
        <v>81</v>
      </c>
      <c r="H139" s="36" t="s">
        <v>143</v>
      </c>
      <c r="I139" s="36" t="s">
        <v>423</v>
      </c>
      <c r="J139" s="36" t="s">
        <v>423</v>
      </c>
      <c r="K139" s="32">
        <f>DATEDIF(I139,J139,"M")</f>
        <v>0</v>
      </c>
      <c r="L139" s="36" t="s">
        <v>585</v>
      </c>
      <c r="M139" s="36" t="s">
        <v>586</v>
      </c>
      <c r="N139" s="37">
        <v>33.5</v>
      </c>
      <c r="O139" s="38">
        <v>0.65</v>
      </c>
      <c r="P139" s="37">
        <v>21.78</v>
      </c>
      <c r="Q139" s="36" t="s">
        <v>73</v>
      </c>
      <c r="R139" s="36" t="s">
        <v>145</v>
      </c>
      <c r="S139" s="39" t="s">
        <v>580</v>
      </c>
      <c r="T139" s="39"/>
      <c r="U139" s="39"/>
      <c r="V139" s="39"/>
      <c r="W139" s="39"/>
      <c r="X139" s="39"/>
      <c r="Y139" s="39"/>
    </row>
    <row r="140" spans="1:25" x14ac:dyDescent="0.25">
      <c r="A140" s="36" t="s">
        <v>60</v>
      </c>
      <c r="B140" s="36" t="s">
        <v>320</v>
      </c>
      <c r="C140" s="36" t="s">
        <v>591</v>
      </c>
      <c r="D140" s="36" t="s">
        <v>441</v>
      </c>
      <c r="E140" s="36" t="s">
        <v>444</v>
      </c>
      <c r="F140" s="36" t="s">
        <v>137</v>
      </c>
      <c r="G140" s="36" t="s">
        <v>81</v>
      </c>
      <c r="H140" s="36" t="s">
        <v>445</v>
      </c>
      <c r="I140" s="36" t="s">
        <v>423</v>
      </c>
      <c r="J140" s="36" t="s">
        <v>423</v>
      </c>
      <c r="K140" s="32">
        <f>DATEDIF(I140,J140,"M")</f>
        <v>0</v>
      </c>
      <c r="L140" s="36" t="s">
        <v>585</v>
      </c>
      <c r="M140" s="36" t="s">
        <v>586</v>
      </c>
      <c r="N140" s="37">
        <v>28.63</v>
      </c>
      <c r="O140" s="38">
        <v>0.65</v>
      </c>
      <c r="P140" s="37">
        <v>18.61</v>
      </c>
      <c r="Q140" s="36" t="s">
        <v>73</v>
      </c>
      <c r="R140" s="36" t="s">
        <v>446</v>
      </c>
      <c r="S140" s="39" t="s">
        <v>580</v>
      </c>
      <c r="T140" s="39"/>
      <c r="U140" s="39"/>
      <c r="V140" s="39"/>
      <c r="W140" s="39"/>
      <c r="X140" s="39"/>
      <c r="Y140" s="39"/>
    </row>
    <row r="141" spans="1:25" x14ac:dyDescent="0.25">
      <c r="A141" s="36" t="s">
        <v>60</v>
      </c>
      <c r="B141" s="36" t="s">
        <v>320</v>
      </c>
      <c r="C141" s="36" t="s">
        <v>591</v>
      </c>
      <c r="D141" s="36" t="s">
        <v>441</v>
      </c>
      <c r="E141" s="36" t="s">
        <v>444</v>
      </c>
      <c r="F141" s="36" t="s">
        <v>137</v>
      </c>
      <c r="G141" s="36" t="s">
        <v>81</v>
      </c>
      <c r="H141" s="36" t="s">
        <v>445</v>
      </c>
      <c r="I141" s="36" t="s">
        <v>423</v>
      </c>
      <c r="J141" s="36" t="s">
        <v>423</v>
      </c>
      <c r="K141" s="32">
        <f>DATEDIF(I141,J141,"M")</f>
        <v>0</v>
      </c>
      <c r="L141" s="36" t="s">
        <v>585</v>
      </c>
      <c r="M141" s="36" t="s">
        <v>586</v>
      </c>
      <c r="N141" s="37">
        <v>1.96</v>
      </c>
      <c r="O141" s="38">
        <v>0.65</v>
      </c>
      <c r="P141" s="37">
        <v>1.27</v>
      </c>
      <c r="Q141" s="36" t="s">
        <v>73</v>
      </c>
      <c r="R141" s="36" t="s">
        <v>446</v>
      </c>
      <c r="S141" s="39" t="s">
        <v>580</v>
      </c>
      <c r="T141" s="39"/>
      <c r="U141" s="39"/>
      <c r="V141" s="39"/>
      <c r="W141" s="39"/>
      <c r="X141" s="39"/>
      <c r="Y141" s="39"/>
    </row>
    <row r="142" spans="1:25" x14ac:dyDescent="0.25">
      <c r="A142" s="36" t="s">
        <v>60</v>
      </c>
      <c r="B142" s="36" t="s">
        <v>320</v>
      </c>
      <c r="C142" s="36" t="s">
        <v>591</v>
      </c>
      <c r="D142" s="36" t="s">
        <v>441</v>
      </c>
      <c r="E142" s="36" t="s">
        <v>444</v>
      </c>
      <c r="F142" s="36" t="s">
        <v>137</v>
      </c>
      <c r="G142" s="36" t="s">
        <v>81</v>
      </c>
      <c r="H142" s="36" t="s">
        <v>445</v>
      </c>
      <c r="I142" s="36" t="s">
        <v>423</v>
      </c>
      <c r="J142" s="36" t="s">
        <v>423</v>
      </c>
      <c r="K142" s="32">
        <f>DATEDIF(I142,J142,"M")</f>
        <v>0</v>
      </c>
      <c r="L142" s="36" t="s">
        <v>585</v>
      </c>
      <c r="M142" s="36" t="s">
        <v>586</v>
      </c>
      <c r="N142" s="37">
        <v>0.82</v>
      </c>
      <c r="O142" s="38">
        <v>0.65</v>
      </c>
      <c r="P142" s="37">
        <v>0.53</v>
      </c>
      <c r="Q142" s="36" t="s">
        <v>73</v>
      </c>
      <c r="R142" s="36" t="s">
        <v>446</v>
      </c>
      <c r="S142" s="39" t="s">
        <v>580</v>
      </c>
      <c r="T142" s="39"/>
      <c r="U142" s="39"/>
      <c r="V142" s="39"/>
      <c r="W142" s="39"/>
      <c r="X142" s="39"/>
      <c r="Y142" s="39"/>
    </row>
    <row r="143" spans="1:25" x14ac:dyDescent="0.25">
      <c r="A143" s="32" t="s">
        <v>127</v>
      </c>
      <c r="B143" s="32" t="s">
        <v>320</v>
      </c>
      <c r="C143" s="32">
        <v>19645587</v>
      </c>
      <c r="D143" s="32" t="s">
        <v>321</v>
      </c>
      <c r="E143" s="32" t="s">
        <v>322</v>
      </c>
      <c r="F143" s="32" t="s">
        <v>79</v>
      </c>
      <c r="G143" s="32" t="s">
        <v>123</v>
      </c>
      <c r="H143" s="32" t="s">
        <v>324</v>
      </c>
      <c r="I143" s="32" t="s">
        <v>83</v>
      </c>
      <c r="J143" s="32" t="s">
        <v>153</v>
      </c>
      <c r="K143" s="32">
        <f>DATEDIF(I143,J143,"M")</f>
        <v>12</v>
      </c>
      <c r="L143" s="32" t="s">
        <v>587</v>
      </c>
      <c r="M143" s="32" t="s">
        <v>588</v>
      </c>
      <c r="N143" s="33">
        <v>-201.17</v>
      </c>
      <c r="O143" s="34">
        <v>0.56999999999999995</v>
      </c>
      <c r="P143" s="33">
        <v>-114.67</v>
      </c>
      <c r="Q143" s="32" t="s">
        <v>325</v>
      </c>
      <c r="R143" s="32" t="s">
        <v>326</v>
      </c>
      <c r="S143" s="35" t="s">
        <v>577</v>
      </c>
      <c r="T143" s="35"/>
      <c r="U143" s="35"/>
      <c r="V143" s="35"/>
      <c r="W143" s="35"/>
      <c r="X143" s="35"/>
      <c r="Y143" s="35"/>
    </row>
    <row r="144" spans="1:25" x14ac:dyDescent="0.25">
      <c r="A144" s="32" t="s">
        <v>60</v>
      </c>
      <c r="B144" s="32" t="s">
        <v>88</v>
      </c>
      <c r="C144" s="32">
        <v>16202925</v>
      </c>
      <c r="D144" s="32" t="s">
        <v>89</v>
      </c>
      <c r="E144" s="32" t="s">
        <v>90</v>
      </c>
      <c r="F144" s="32" t="s">
        <v>79</v>
      </c>
      <c r="G144" s="32" t="s">
        <v>67</v>
      </c>
      <c r="H144" s="32" t="s">
        <v>68</v>
      </c>
      <c r="I144" s="32" t="s">
        <v>92</v>
      </c>
      <c r="J144" s="32" t="s">
        <v>93</v>
      </c>
      <c r="K144" s="32">
        <f>DATEDIF(I144,J144,"M")</f>
        <v>3</v>
      </c>
      <c r="L144" s="32" t="s">
        <v>587</v>
      </c>
      <c r="M144" s="32" t="s">
        <v>589</v>
      </c>
      <c r="N144" s="33">
        <v>27.63</v>
      </c>
      <c r="O144" s="34">
        <v>0.57999999999999996</v>
      </c>
      <c r="P144" s="33">
        <v>16.03</v>
      </c>
      <c r="Q144" s="32" t="s">
        <v>73</v>
      </c>
      <c r="R144" s="32" t="s">
        <v>74</v>
      </c>
      <c r="S144" s="35" t="s">
        <v>576</v>
      </c>
      <c r="T144" s="35"/>
      <c r="U144" s="35"/>
      <c r="V144" s="35"/>
      <c r="W144" s="35"/>
      <c r="X144" s="35"/>
      <c r="Y144" s="35"/>
    </row>
    <row r="145" spans="1:25" x14ac:dyDescent="0.25">
      <c r="A145" s="32" t="s">
        <v>127</v>
      </c>
      <c r="B145" s="32" t="s">
        <v>88</v>
      </c>
      <c r="C145" s="32">
        <v>16202925</v>
      </c>
      <c r="D145" s="32" t="s">
        <v>89</v>
      </c>
      <c r="E145" s="32" t="s">
        <v>90</v>
      </c>
      <c r="F145" s="32" t="s">
        <v>79</v>
      </c>
      <c r="G145" s="32" t="s">
        <v>67</v>
      </c>
      <c r="H145" s="32" t="s">
        <v>68</v>
      </c>
      <c r="I145" s="32" t="s">
        <v>92</v>
      </c>
      <c r="J145" s="32" t="s">
        <v>418</v>
      </c>
      <c r="K145" s="32">
        <f>DATEDIF(I145,J145,"M")</f>
        <v>4</v>
      </c>
      <c r="L145" s="32" t="s">
        <v>587</v>
      </c>
      <c r="M145" s="32" t="s">
        <v>589</v>
      </c>
      <c r="N145" s="33">
        <v>-27.63</v>
      </c>
      <c r="O145" s="34">
        <v>0.57999999999999996</v>
      </c>
      <c r="P145" s="33">
        <v>-16.03</v>
      </c>
      <c r="Q145" s="32" t="s">
        <v>73</v>
      </c>
      <c r="R145" s="32" t="s">
        <v>74</v>
      </c>
      <c r="S145" s="35" t="s">
        <v>576</v>
      </c>
      <c r="T145" s="35"/>
      <c r="U145" s="35"/>
      <c r="V145" s="35"/>
      <c r="W145" s="35"/>
      <c r="X145" s="35"/>
      <c r="Y145" s="35"/>
    </row>
    <row r="146" spans="1:25" x14ac:dyDescent="0.25">
      <c r="P146" s="26"/>
    </row>
  </sheetData>
  <sortState xmlns:xlrd2="http://schemas.microsoft.com/office/spreadsheetml/2017/richdata2" ref="A2:Y145">
    <sortCondition ref="B2:B14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C8BA0-2DBB-443F-AA33-35E251E27F9B}">
  <dimension ref="A1:K65"/>
  <sheetViews>
    <sheetView workbookViewId="0">
      <selection activeCell="E51" sqref="E51"/>
    </sheetView>
  </sheetViews>
  <sheetFormatPr defaultRowHeight="15" x14ac:dyDescent="0.25"/>
  <cols>
    <col min="1" max="1" width="23.5703125" bestFit="1" customWidth="1"/>
    <col min="2" max="2" width="20.42578125" bestFit="1" customWidth="1"/>
    <col min="3" max="3" width="26.42578125" bestFit="1" customWidth="1"/>
    <col min="4" max="4" width="23.85546875" bestFit="1" customWidth="1"/>
    <col min="5" max="5" width="23.85546875" customWidth="1"/>
    <col min="6" max="6" width="16.42578125" bestFit="1" customWidth="1"/>
    <col min="7" max="7" width="16.28515625" bestFit="1" customWidth="1"/>
    <col min="8" max="8" width="20.85546875" bestFit="1" customWidth="1"/>
    <col min="9" max="9" width="15.7109375" bestFit="1" customWidth="1"/>
    <col min="10" max="10" width="36.85546875" bestFit="1" customWidth="1"/>
  </cols>
  <sheetData>
    <row r="1" spans="1:11" x14ac:dyDescent="0.25">
      <c r="A1" s="13" t="s">
        <v>465</v>
      </c>
      <c r="B1" s="13" t="s">
        <v>466</v>
      </c>
      <c r="C1" s="13" t="s">
        <v>467</v>
      </c>
      <c r="D1" s="13" t="s">
        <v>468</v>
      </c>
      <c r="E1" s="13"/>
      <c r="F1" s="13" t="s">
        <v>469</v>
      </c>
      <c r="G1" s="13" t="s">
        <v>470</v>
      </c>
      <c r="H1" s="13" t="s">
        <v>471</v>
      </c>
    </row>
    <row r="2" spans="1:11" x14ac:dyDescent="0.25">
      <c r="A2" s="9" t="s">
        <v>3</v>
      </c>
      <c r="B2" s="9" t="s">
        <v>5</v>
      </c>
      <c r="C2" s="9" t="s">
        <v>489</v>
      </c>
      <c r="D2" s="9" t="s">
        <v>490</v>
      </c>
      <c r="E2" s="9">
        <v>9079571</v>
      </c>
      <c r="F2" s="11">
        <v>50</v>
      </c>
      <c r="G2" s="9" t="s">
        <v>461</v>
      </c>
      <c r="H2" s="9" t="s">
        <v>491</v>
      </c>
      <c r="I2" s="9" t="s">
        <v>567</v>
      </c>
      <c r="J2" t="str">
        <f>CONCATENATE(I2, "  ", "-", " ",H2)</f>
        <v>Aetna Med Supp  - Bonus for CLI7422682</v>
      </c>
      <c r="K2" t="str">
        <f>CONCATENATE("-",F2)</f>
        <v>-50</v>
      </c>
    </row>
    <row r="3" spans="1:11" x14ac:dyDescent="0.25">
      <c r="A3" s="9" t="s">
        <v>3</v>
      </c>
      <c r="B3" s="9" t="s">
        <v>5</v>
      </c>
      <c r="C3" s="9" t="s">
        <v>489</v>
      </c>
      <c r="D3" s="9" t="s">
        <v>490</v>
      </c>
      <c r="E3" s="9">
        <v>9079571</v>
      </c>
      <c r="F3" s="11">
        <v>50</v>
      </c>
      <c r="G3" s="9" t="s">
        <v>461</v>
      </c>
      <c r="H3" s="9" t="s">
        <v>559</v>
      </c>
      <c r="I3" s="9" t="s">
        <v>567</v>
      </c>
      <c r="J3" t="str">
        <f t="shared" ref="J3:J65" si="0">CONCATENATE(I3, "  ", "-", " ",H3)</f>
        <v>Aetna Med Supp  - Bonus for CLI7432411</v>
      </c>
      <c r="K3" t="str">
        <f t="shared" ref="K3:K65" si="1">CONCATENATE("-",F3)</f>
        <v>-50</v>
      </c>
    </row>
    <row r="4" spans="1:11" x14ac:dyDescent="0.25">
      <c r="A4" s="10" t="s">
        <v>3</v>
      </c>
      <c r="B4" s="10" t="s">
        <v>5</v>
      </c>
      <c r="C4" s="10" t="s">
        <v>489</v>
      </c>
      <c r="D4" s="10" t="s">
        <v>490</v>
      </c>
      <c r="E4" s="10">
        <v>9079571</v>
      </c>
      <c r="F4" s="12">
        <v>50</v>
      </c>
      <c r="G4" s="10" t="s">
        <v>461</v>
      </c>
      <c r="H4" s="10" t="s">
        <v>560</v>
      </c>
      <c r="I4" s="9" t="s">
        <v>567</v>
      </c>
      <c r="J4" t="str">
        <f t="shared" si="0"/>
        <v>Aetna Med Supp  - Bonus for CLI7432412</v>
      </c>
      <c r="K4" t="str">
        <f t="shared" si="1"/>
        <v>-50</v>
      </c>
    </row>
    <row r="5" spans="1:11" x14ac:dyDescent="0.25">
      <c r="A5" s="9" t="s">
        <v>3</v>
      </c>
      <c r="B5" s="9" t="s">
        <v>5</v>
      </c>
      <c r="C5" s="9" t="s">
        <v>489</v>
      </c>
      <c r="D5" s="9" t="s">
        <v>490</v>
      </c>
      <c r="E5" s="9">
        <v>9079571</v>
      </c>
      <c r="F5" s="11">
        <v>50</v>
      </c>
      <c r="G5" s="9" t="s">
        <v>461</v>
      </c>
      <c r="H5" s="9" t="s">
        <v>561</v>
      </c>
      <c r="I5" s="9" t="s">
        <v>567</v>
      </c>
      <c r="J5" t="str">
        <f t="shared" si="0"/>
        <v>Aetna Med Supp  - Bonus for CLI7432505</v>
      </c>
      <c r="K5" t="str">
        <f t="shared" si="1"/>
        <v>-50</v>
      </c>
    </row>
    <row r="6" spans="1:11" x14ac:dyDescent="0.25">
      <c r="A6" s="9" t="s">
        <v>3</v>
      </c>
      <c r="B6" s="9" t="s">
        <v>5</v>
      </c>
      <c r="C6" s="9" t="s">
        <v>489</v>
      </c>
      <c r="D6" s="9" t="s">
        <v>490</v>
      </c>
      <c r="E6" s="9">
        <v>9079571</v>
      </c>
      <c r="F6" s="11">
        <v>50</v>
      </c>
      <c r="G6" s="9" t="s">
        <v>461</v>
      </c>
      <c r="H6" s="9" t="s">
        <v>563</v>
      </c>
      <c r="I6" s="9" t="s">
        <v>567</v>
      </c>
      <c r="J6" t="str">
        <f t="shared" si="0"/>
        <v>Aetna Med Supp  - Bonus for CLI7432530</v>
      </c>
      <c r="K6" t="str">
        <f t="shared" si="1"/>
        <v>-50</v>
      </c>
    </row>
    <row r="7" spans="1:11" x14ac:dyDescent="0.25">
      <c r="A7" s="10" t="s">
        <v>3</v>
      </c>
      <c r="B7" s="10" t="s">
        <v>5</v>
      </c>
      <c r="C7" s="10" t="s">
        <v>486</v>
      </c>
      <c r="D7" s="10" t="s">
        <v>487</v>
      </c>
      <c r="E7" s="10">
        <v>7146581</v>
      </c>
      <c r="F7" s="12">
        <v>50</v>
      </c>
      <c r="G7" s="10" t="s">
        <v>461</v>
      </c>
      <c r="H7" s="10" t="s">
        <v>488</v>
      </c>
      <c r="I7" s="9" t="s">
        <v>567</v>
      </c>
      <c r="J7" t="str">
        <f t="shared" si="0"/>
        <v>Aetna Med Supp  - Bonus for CLI7421845</v>
      </c>
      <c r="K7" t="str">
        <f t="shared" si="1"/>
        <v>-50</v>
      </c>
    </row>
    <row r="8" spans="1:11" x14ac:dyDescent="0.25">
      <c r="A8" s="9" t="s">
        <v>3</v>
      </c>
      <c r="B8" s="9" t="s">
        <v>5</v>
      </c>
      <c r="C8" s="9" t="s">
        <v>539</v>
      </c>
      <c r="D8" s="9" t="s">
        <v>540</v>
      </c>
      <c r="E8" s="9">
        <v>21104854</v>
      </c>
      <c r="F8" s="11">
        <v>50</v>
      </c>
      <c r="G8" s="9" t="s">
        <v>461</v>
      </c>
      <c r="H8" s="9" t="s">
        <v>541</v>
      </c>
      <c r="I8" s="9" t="s">
        <v>567</v>
      </c>
      <c r="J8" t="str">
        <f t="shared" si="0"/>
        <v>Aetna Med Supp  - Bonus for CLI7423713</v>
      </c>
      <c r="K8" t="str">
        <f t="shared" si="1"/>
        <v>-50</v>
      </c>
    </row>
    <row r="9" spans="1:11" x14ac:dyDescent="0.25">
      <c r="A9" s="10" t="s">
        <v>3</v>
      </c>
      <c r="B9" s="10" t="s">
        <v>5</v>
      </c>
      <c r="C9" s="10" t="s">
        <v>539</v>
      </c>
      <c r="D9" s="10" t="s">
        <v>540</v>
      </c>
      <c r="E9" s="10">
        <v>21104854</v>
      </c>
      <c r="F9" s="12">
        <v>50</v>
      </c>
      <c r="G9" s="10" t="s">
        <v>461</v>
      </c>
      <c r="H9" s="10" t="s">
        <v>548</v>
      </c>
      <c r="I9" s="9" t="s">
        <v>567</v>
      </c>
      <c r="J9" t="str">
        <f t="shared" si="0"/>
        <v>Aetna Med Supp  - Bonus for CLI7426668</v>
      </c>
      <c r="K9" t="str">
        <f t="shared" si="1"/>
        <v>-50</v>
      </c>
    </row>
    <row r="10" spans="1:11" x14ac:dyDescent="0.25">
      <c r="A10" s="9" t="s">
        <v>3</v>
      </c>
      <c r="B10" s="9" t="s">
        <v>5</v>
      </c>
      <c r="C10" s="9" t="s">
        <v>472</v>
      </c>
      <c r="D10" s="9" t="s">
        <v>473</v>
      </c>
      <c r="E10" s="9">
        <v>17554531</v>
      </c>
      <c r="F10" s="11">
        <v>1</v>
      </c>
      <c r="G10" s="9" t="s">
        <v>461</v>
      </c>
      <c r="H10" s="9" t="s">
        <v>474</v>
      </c>
      <c r="I10" s="9" t="s">
        <v>567</v>
      </c>
      <c r="J10" t="str">
        <f t="shared" si="0"/>
        <v>Aetna Med Supp  - Bonus for AHC6755030</v>
      </c>
      <c r="K10" t="str">
        <f t="shared" si="1"/>
        <v>-1</v>
      </c>
    </row>
    <row r="11" spans="1:11" x14ac:dyDescent="0.25">
      <c r="A11" s="10" t="s">
        <v>3</v>
      </c>
      <c r="B11" s="10" t="s">
        <v>5</v>
      </c>
      <c r="C11" s="10" t="s">
        <v>472</v>
      </c>
      <c r="D11" s="10" t="s">
        <v>473</v>
      </c>
      <c r="E11" s="10">
        <v>17554531</v>
      </c>
      <c r="F11" s="12">
        <v>50</v>
      </c>
      <c r="G11" s="10" t="s">
        <v>461</v>
      </c>
      <c r="H11" s="10" t="s">
        <v>475</v>
      </c>
      <c r="I11" s="9" t="s">
        <v>567</v>
      </c>
      <c r="J11" t="str">
        <f t="shared" si="0"/>
        <v>Aetna Med Supp  - Bonus for CLI7420843</v>
      </c>
      <c r="K11" t="str">
        <f t="shared" si="1"/>
        <v>-50</v>
      </c>
    </row>
    <row r="12" spans="1:11" x14ac:dyDescent="0.25">
      <c r="A12" s="9" t="s">
        <v>3</v>
      </c>
      <c r="B12" s="9" t="s">
        <v>5</v>
      </c>
      <c r="C12" s="9" t="s">
        <v>472</v>
      </c>
      <c r="D12" s="9" t="s">
        <v>473</v>
      </c>
      <c r="E12" s="9">
        <v>17554531</v>
      </c>
      <c r="F12" s="11">
        <v>50</v>
      </c>
      <c r="G12" s="9" t="s">
        <v>461</v>
      </c>
      <c r="H12" s="9" t="s">
        <v>481</v>
      </c>
      <c r="I12" s="9" t="s">
        <v>567</v>
      </c>
      <c r="J12" t="str">
        <f t="shared" si="0"/>
        <v>Aetna Med Supp  - Bonus for CLI7421405</v>
      </c>
      <c r="K12" t="str">
        <f t="shared" si="1"/>
        <v>-50</v>
      </c>
    </row>
    <row r="13" spans="1:11" x14ac:dyDescent="0.25">
      <c r="A13" s="10" t="s">
        <v>3</v>
      </c>
      <c r="B13" s="10" t="s">
        <v>5</v>
      </c>
      <c r="C13" s="10" t="s">
        <v>472</v>
      </c>
      <c r="D13" s="10" t="s">
        <v>473</v>
      </c>
      <c r="E13" s="10">
        <v>17554531</v>
      </c>
      <c r="F13" s="12">
        <v>50</v>
      </c>
      <c r="G13" s="10" t="s">
        <v>461</v>
      </c>
      <c r="H13" s="10" t="s">
        <v>482</v>
      </c>
      <c r="I13" s="9" t="s">
        <v>567</v>
      </c>
      <c r="J13" t="str">
        <f t="shared" si="0"/>
        <v>Aetna Med Supp  - Bonus for CLI7421406</v>
      </c>
      <c r="K13" t="str">
        <f t="shared" si="1"/>
        <v>-50</v>
      </c>
    </row>
    <row r="14" spans="1:11" x14ac:dyDescent="0.25">
      <c r="A14" s="10" t="s">
        <v>3</v>
      </c>
      <c r="B14" s="10" t="s">
        <v>5</v>
      </c>
      <c r="C14" s="10" t="s">
        <v>472</v>
      </c>
      <c r="D14" s="10" t="s">
        <v>473</v>
      </c>
      <c r="E14" s="10">
        <v>17554531</v>
      </c>
      <c r="F14" s="12">
        <v>100</v>
      </c>
      <c r="G14" s="10" t="s">
        <v>461</v>
      </c>
      <c r="H14" s="10" t="s">
        <v>506</v>
      </c>
      <c r="I14" s="9" t="s">
        <v>567</v>
      </c>
      <c r="J14" t="str">
        <f t="shared" si="0"/>
        <v>Aetna Med Supp  - Bonus for CLI7428982</v>
      </c>
      <c r="K14" t="str">
        <f t="shared" si="1"/>
        <v>-100</v>
      </c>
    </row>
    <row r="15" spans="1:11" x14ac:dyDescent="0.25">
      <c r="A15" s="10" t="s">
        <v>3</v>
      </c>
      <c r="B15" s="10" t="s">
        <v>5</v>
      </c>
      <c r="C15" s="10" t="s">
        <v>472</v>
      </c>
      <c r="D15" s="10" t="s">
        <v>473</v>
      </c>
      <c r="E15" s="10">
        <v>17554531</v>
      </c>
      <c r="F15" s="12">
        <v>50</v>
      </c>
      <c r="G15" s="10" t="s">
        <v>461</v>
      </c>
      <c r="H15" s="10" t="s">
        <v>518</v>
      </c>
      <c r="I15" s="9" t="s">
        <v>567</v>
      </c>
      <c r="J15" t="str">
        <f t="shared" si="0"/>
        <v>Aetna Med Supp  - Bonus for CLI7430392</v>
      </c>
      <c r="K15" t="str">
        <f t="shared" si="1"/>
        <v>-50</v>
      </c>
    </row>
    <row r="16" spans="1:11" x14ac:dyDescent="0.25">
      <c r="A16" s="10" t="s">
        <v>3</v>
      </c>
      <c r="B16" s="10" t="s">
        <v>5</v>
      </c>
      <c r="C16" s="10" t="s">
        <v>472</v>
      </c>
      <c r="D16" s="10" t="s">
        <v>473</v>
      </c>
      <c r="E16" s="10">
        <v>17554531</v>
      </c>
      <c r="F16" s="12">
        <v>50</v>
      </c>
      <c r="G16" s="10" t="s">
        <v>461</v>
      </c>
      <c r="H16" s="10" t="s">
        <v>532</v>
      </c>
      <c r="I16" s="9" t="s">
        <v>567</v>
      </c>
      <c r="J16" t="str">
        <f t="shared" si="0"/>
        <v>Aetna Med Supp  - Bonus for CLI7420842</v>
      </c>
      <c r="K16" t="str">
        <f t="shared" si="1"/>
        <v>-50</v>
      </c>
    </row>
    <row r="17" spans="1:11" x14ac:dyDescent="0.25">
      <c r="A17" s="9" t="s">
        <v>3</v>
      </c>
      <c r="B17" s="9" t="s">
        <v>5</v>
      </c>
      <c r="C17" s="9" t="s">
        <v>472</v>
      </c>
      <c r="D17" s="9" t="s">
        <v>473</v>
      </c>
      <c r="E17" s="9">
        <v>17554531</v>
      </c>
      <c r="F17" s="11">
        <v>50</v>
      </c>
      <c r="G17" s="9" t="s">
        <v>461</v>
      </c>
      <c r="H17" s="9" t="s">
        <v>535</v>
      </c>
      <c r="I17" s="9" t="s">
        <v>567</v>
      </c>
      <c r="J17" t="str">
        <f t="shared" si="0"/>
        <v>Aetna Med Supp  - Bonus for CLI7421407</v>
      </c>
      <c r="K17" t="str">
        <f t="shared" si="1"/>
        <v>-50</v>
      </c>
    </row>
    <row r="18" spans="1:11" x14ac:dyDescent="0.25">
      <c r="A18" s="10" t="s">
        <v>3</v>
      </c>
      <c r="B18" s="10" t="s">
        <v>5</v>
      </c>
      <c r="C18" s="10" t="s">
        <v>472</v>
      </c>
      <c r="D18" s="10" t="s">
        <v>473</v>
      </c>
      <c r="E18" s="10">
        <v>17554531</v>
      </c>
      <c r="F18" s="12">
        <v>50</v>
      </c>
      <c r="G18" s="10" t="s">
        <v>461</v>
      </c>
      <c r="H18" s="10" t="s">
        <v>564</v>
      </c>
      <c r="I18" s="9" t="s">
        <v>567</v>
      </c>
      <c r="J18" t="str">
        <f t="shared" si="0"/>
        <v>Aetna Med Supp  - Bonus for CLI7433195</v>
      </c>
      <c r="K18" t="str">
        <f t="shared" si="1"/>
        <v>-50</v>
      </c>
    </row>
    <row r="19" spans="1:11" x14ac:dyDescent="0.25">
      <c r="A19" s="9" t="s">
        <v>3</v>
      </c>
      <c r="B19" s="9" t="s">
        <v>5</v>
      </c>
      <c r="C19" s="9" t="s">
        <v>472</v>
      </c>
      <c r="D19" s="9" t="s">
        <v>473</v>
      </c>
      <c r="E19" s="9">
        <v>17554531</v>
      </c>
      <c r="F19" s="11">
        <v>50</v>
      </c>
      <c r="G19" s="9" t="s">
        <v>461</v>
      </c>
      <c r="H19" s="9" t="s">
        <v>565</v>
      </c>
      <c r="I19" s="9" t="s">
        <v>567</v>
      </c>
      <c r="J19" t="str">
        <f t="shared" si="0"/>
        <v>Aetna Med Supp  - Bonus for CLI7433196</v>
      </c>
      <c r="K19" t="str">
        <f t="shared" si="1"/>
        <v>-50</v>
      </c>
    </row>
    <row r="20" spans="1:11" x14ac:dyDescent="0.25">
      <c r="A20" s="10" t="s">
        <v>3</v>
      </c>
      <c r="B20" s="10" t="s">
        <v>5</v>
      </c>
      <c r="C20" s="10" t="s">
        <v>492</v>
      </c>
      <c r="D20" s="10" t="s">
        <v>493</v>
      </c>
      <c r="E20" s="10">
        <v>17425766</v>
      </c>
      <c r="F20" s="12">
        <v>50</v>
      </c>
      <c r="G20" s="10" t="s">
        <v>461</v>
      </c>
      <c r="H20" s="10" t="s">
        <v>494</v>
      </c>
      <c r="I20" s="9" t="s">
        <v>567</v>
      </c>
      <c r="J20" t="str">
        <f t="shared" si="0"/>
        <v>Aetna Med Supp  - Bonus for CLI7422713</v>
      </c>
      <c r="K20" t="str">
        <f t="shared" si="1"/>
        <v>-50</v>
      </c>
    </row>
    <row r="21" spans="1:11" x14ac:dyDescent="0.25">
      <c r="A21" s="10" t="s">
        <v>3</v>
      </c>
      <c r="B21" s="10" t="s">
        <v>5</v>
      </c>
      <c r="C21" s="10" t="s">
        <v>492</v>
      </c>
      <c r="D21" s="10" t="s">
        <v>493</v>
      </c>
      <c r="E21" s="10">
        <v>17425766</v>
      </c>
      <c r="F21" s="12">
        <v>50</v>
      </c>
      <c r="G21" s="10" t="s">
        <v>461</v>
      </c>
      <c r="H21" s="10" t="s">
        <v>502</v>
      </c>
      <c r="I21" s="9" t="s">
        <v>567</v>
      </c>
      <c r="J21" t="str">
        <f t="shared" si="0"/>
        <v>Aetna Med Supp  - Bonus for CLI7426742</v>
      </c>
      <c r="K21" t="str">
        <f t="shared" si="1"/>
        <v>-50</v>
      </c>
    </row>
    <row r="22" spans="1:11" x14ac:dyDescent="0.25">
      <c r="A22" s="9" t="s">
        <v>3</v>
      </c>
      <c r="B22" s="9" t="s">
        <v>5</v>
      </c>
      <c r="C22" s="9" t="s">
        <v>492</v>
      </c>
      <c r="D22" s="9" t="s">
        <v>493</v>
      </c>
      <c r="E22" s="9">
        <v>17425766</v>
      </c>
      <c r="F22" s="11">
        <v>50</v>
      </c>
      <c r="G22" s="9" t="s">
        <v>461</v>
      </c>
      <c r="H22" s="9" t="s">
        <v>553</v>
      </c>
      <c r="I22" s="9" t="s">
        <v>567</v>
      </c>
      <c r="J22" t="str">
        <f t="shared" si="0"/>
        <v>Aetna Med Supp  - Bonus for CLI7430026</v>
      </c>
      <c r="K22" t="str">
        <f t="shared" si="1"/>
        <v>-50</v>
      </c>
    </row>
    <row r="23" spans="1:11" x14ac:dyDescent="0.25">
      <c r="A23" s="9" t="s">
        <v>3</v>
      </c>
      <c r="B23" s="9" t="s">
        <v>5</v>
      </c>
      <c r="C23" s="9" t="s">
        <v>492</v>
      </c>
      <c r="D23" s="9" t="s">
        <v>493</v>
      </c>
      <c r="E23" s="9">
        <v>17425766</v>
      </c>
      <c r="F23" s="11">
        <v>50</v>
      </c>
      <c r="G23" s="9" t="s">
        <v>461</v>
      </c>
      <c r="H23" s="9" t="s">
        <v>555</v>
      </c>
      <c r="I23" s="9" t="s">
        <v>567</v>
      </c>
      <c r="J23" t="str">
        <f t="shared" si="0"/>
        <v>Aetna Med Supp  - Bonus for CLI7430980</v>
      </c>
      <c r="K23" t="str">
        <f t="shared" si="1"/>
        <v>-50</v>
      </c>
    </row>
    <row r="24" spans="1:11" x14ac:dyDescent="0.25">
      <c r="A24" s="10" t="s">
        <v>3</v>
      </c>
      <c r="B24" s="10" t="s">
        <v>5</v>
      </c>
      <c r="C24" s="10" t="s">
        <v>492</v>
      </c>
      <c r="D24" s="10" t="s">
        <v>493</v>
      </c>
      <c r="E24" s="10">
        <v>17425766</v>
      </c>
      <c r="F24" s="12">
        <v>50</v>
      </c>
      <c r="G24" s="10" t="s">
        <v>461</v>
      </c>
      <c r="H24" s="10" t="s">
        <v>566</v>
      </c>
      <c r="I24" s="9" t="s">
        <v>567</v>
      </c>
      <c r="J24" t="str">
        <f t="shared" si="0"/>
        <v>Aetna Med Supp  - Bonus for CLI7433738</v>
      </c>
      <c r="K24" t="str">
        <f t="shared" si="1"/>
        <v>-50</v>
      </c>
    </row>
    <row r="25" spans="1:11" x14ac:dyDescent="0.25">
      <c r="A25" s="9" t="s">
        <v>3</v>
      </c>
      <c r="B25" s="9" t="s">
        <v>5</v>
      </c>
      <c r="C25" s="9" t="s">
        <v>495</v>
      </c>
      <c r="D25" s="9" t="s">
        <v>496</v>
      </c>
      <c r="E25" s="9">
        <v>20003537</v>
      </c>
      <c r="F25" s="11">
        <v>50</v>
      </c>
      <c r="G25" s="9" t="s">
        <v>461</v>
      </c>
      <c r="H25" s="9" t="s">
        <v>497</v>
      </c>
      <c r="I25" s="9" t="s">
        <v>567</v>
      </c>
      <c r="J25" t="str">
        <f t="shared" si="0"/>
        <v>Aetna Med Supp  - Bonus for CLI7422828</v>
      </c>
      <c r="K25" t="str">
        <f t="shared" si="1"/>
        <v>-50</v>
      </c>
    </row>
    <row r="26" spans="1:11" x14ac:dyDescent="0.25">
      <c r="A26" s="10" t="s">
        <v>3</v>
      </c>
      <c r="B26" s="10" t="s">
        <v>5</v>
      </c>
      <c r="C26" s="10" t="s">
        <v>520</v>
      </c>
      <c r="D26" s="10" t="s">
        <v>521</v>
      </c>
      <c r="E26" s="10">
        <v>19681796</v>
      </c>
      <c r="F26" s="12">
        <v>50</v>
      </c>
      <c r="G26" s="10" t="s">
        <v>461</v>
      </c>
      <c r="H26" s="10" t="s">
        <v>522</v>
      </c>
      <c r="I26" s="9" t="s">
        <v>567</v>
      </c>
      <c r="J26" t="str">
        <f t="shared" si="0"/>
        <v>Aetna Med Supp  - Bonus for CLI7431471</v>
      </c>
      <c r="K26" t="str">
        <f t="shared" si="1"/>
        <v>-50</v>
      </c>
    </row>
    <row r="27" spans="1:11" x14ac:dyDescent="0.25">
      <c r="A27" s="9" t="s">
        <v>3</v>
      </c>
      <c r="B27" s="9" t="s">
        <v>5</v>
      </c>
      <c r="C27" s="9" t="s">
        <v>523</v>
      </c>
      <c r="D27" s="9" t="s">
        <v>524</v>
      </c>
      <c r="E27" s="9">
        <v>17528908</v>
      </c>
      <c r="F27" s="11">
        <v>50</v>
      </c>
      <c r="G27" s="9" t="s">
        <v>461</v>
      </c>
      <c r="H27" s="9" t="s">
        <v>525</v>
      </c>
      <c r="I27" s="9" t="s">
        <v>567</v>
      </c>
      <c r="J27" t="str">
        <f t="shared" si="0"/>
        <v>Aetna Med Supp  - Bonus for CLI7431687</v>
      </c>
      <c r="K27" t="str">
        <f t="shared" si="1"/>
        <v>-50</v>
      </c>
    </row>
    <row r="28" spans="1:11" x14ac:dyDescent="0.25">
      <c r="A28" s="9" t="s">
        <v>3</v>
      </c>
      <c r="B28" s="9" t="s">
        <v>5</v>
      </c>
      <c r="C28" s="9" t="s">
        <v>523</v>
      </c>
      <c r="D28" s="9" t="s">
        <v>524</v>
      </c>
      <c r="E28" s="9">
        <v>17528908</v>
      </c>
      <c r="F28" s="11">
        <v>50</v>
      </c>
      <c r="G28" s="9" t="s">
        <v>461</v>
      </c>
      <c r="H28" s="9" t="s">
        <v>557</v>
      </c>
      <c r="I28" s="9" t="s">
        <v>567</v>
      </c>
      <c r="J28" t="str">
        <f t="shared" si="0"/>
        <v>Aetna Med Supp  - Bonus for CLI7431686</v>
      </c>
      <c r="K28" t="str">
        <f t="shared" si="1"/>
        <v>-50</v>
      </c>
    </row>
    <row r="29" spans="1:11" x14ac:dyDescent="0.25">
      <c r="A29" s="9" t="s">
        <v>3</v>
      </c>
      <c r="B29" s="9" t="s">
        <v>5</v>
      </c>
      <c r="C29" s="9" t="s">
        <v>476</v>
      </c>
      <c r="D29" s="9" t="s">
        <v>477</v>
      </c>
      <c r="E29" s="9">
        <v>9213293</v>
      </c>
      <c r="F29" s="11">
        <v>50</v>
      </c>
      <c r="G29" s="9" t="s">
        <v>461</v>
      </c>
      <c r="H29" s="9" t="s">
        <v>478</v>
      </c>
      <c r="I29" s="9" t="s">
        <v>567</v>
      </c>
      <c r="J29" t="str">
        <f t="shared" si="0"/>
        <v>Aetna Med Supp  - Bonus for CLI7420930</v>
      </c>
      <c r="K29" t="str">
        <f t="shared" si="1"/>
        <v>-50</v>
      </c>
    </row>
    <row r="30" spans="1:11" x14ac:dyDescent="0.25">
      <c r="A30" s="9" t="s">
        <v>3</v>
      </c>
      <c r="B30" s="9" t="s">
        <v>5</v>
      </c>
      <c r="C30" s="9" t="s">
        <v>476</v>
      </c>
      <c r="D30" s="9" t="s">
        <v>477</v>
      </c>
      <c r="E30" s="9">
        <v>9213293</v>
      </c>
      <c r="F30" s="11">
        <v>50</v>
      </c>
      <c r="G30" s="9" t="s">
        <v>461</v>
      </c>
      <c r="H30" s="9" t="s">
        <v>483</v>
      </c>
      <c r="I30" s="9" t="s">
        <v>567</v>
      </c>
      <c r="J30" t="str">
        <f t="shared" si="0"/>
        <v>Aetna Med Supp  - Bonus for CLI7421425</v>
      </c>
      <c r="K30" t="str">
        <f t="shared" si="1"/>
        <v>-50</v>
      </c>
    </row>
    <row r="31" spans="1:11" x14ac:dyDescent="0.25">
      <c r="A31" s="10" t="s">
        <v>3</v>
      </c>
      <c r="B31" s="10" t="s">
        <v>5</v>
      </c>
      <c r="C31" s="10" t="s">
        <v>476</v>
      </c>
      <c r="D31" s="10" t="s">
        <v>477</v>
      </c>
      <c r="E31" s="10">
        <v>9213293</v>
      </c>
      <c r="F31" s="12">
        <v>50</v>
      </c>
      <c r="G31" s="10" t="s">
        <v>461</v>
      </c>
      <c r="H31" s="10" t="s">
        <v>484</v>
      </c>
      <c r="I31" s="9" t="s">
        <v>567</v>
      </c>
      <c r="J31" t="str">
        <f t="shared" si="0"/>
        <v>Aetna Med Supp  - Bonus for CLI7421433</v>
      </c>
      <c r="K31" t="str">
        <f t="shared" si="1"/>
        <v>-50</v>
      </c>
    </row>
    <row r="32" spans="1:11" x14ac:dyDescent="0.25">
      <c r="A32" s="9" t="s">
        <v>3</v>
      </c>
      <c r="B32" s="9" t="s">
        <v>5</v>
      </c>
      <c r="C32" s="9" t="s">
        <v>476</v>
      </c>
      <c r="D32" s="9" t="s">
        <v>477</v>
      </c>
      <c r="E32" s="9">
        <v>9213293</v>
      </c>
      <c r="F32" s="11">
        <v>50</v>
      </c>
      <c r="G32" s="9" t="s">
        <v>461</v>
      </c>
      <c r="H32" s="9" t="s">
        <v>485</v>
      </c>
      <c r="I32" s="9" t="s">
        <v>567</v>
      </c>
      <c r="J32" t="str">
        <f t="shared" si="0"/>
        <v>Aetna Med Supp  - Bonus for CLI7421676</v>
      </c>
      <c r="K32" t="str">
        <f t="shared" si="1"/>
        <v>-50</v>
      </c>
    </row>
    <row r="33" spans="1:11" x14ac:dyDescent="0.25">
      <c r="A33" s="10" t="s">
        <v>3</v>
      </c>
      <c r="B33" s="10" t="s">
        <v>5</v>
      </c>
      <c r="C33" s="10" t="s">
        <v>476</v>
      </c>
      <c r="D33" s="10" t="s">
        <v>477</v>
      </c>
      <c r="E33" s="10">
        <v>9213293</v>
      </c>
      <c r="F33" s="12">
        <v>50</v>
      </c>
      <c r="G33" s="10" t="s">
        <v>461</v>
      </c>
      <c r="H33" s="10" t="s">
        <v>498</v>
      </c>
      <c r="I33" s="9" t="s">
        <v>567</v>
      </c>
      <c r="J33" t="str">
        <f t="shared" si="0"/>
        <v>Aetna Med Supp  - Bonus for CLI7423989</v>
      </c>
      <c r="K33" t="str">
        <f t="shared" si="1"/>
        <v>-50</v>
      </c>
    </row>
    <row r="34" spans="1:11" x14ac:dyDescent="0.25">
      <c r="A34" s="9" t="s">
        <v>3</v>
      </c>
      <c r="B34" s="9" t="s">
        <v>5</v>
      </c>
      <c r="C34" s="9" t="s">
        <v>476</v>
      </c>
      <c r="D34" s="9" t="s">
        <v>477</v>
      </c>
      <c r="E34" s="9">
        <v>9213293</v>
      </c>
      <c r="F34" s="11">
        <v>50</v>
      </c>
      <c r="G34" s="9" t="s">
        <v>461</v>
      </c>
      <c r="H34" s="9" t="s">
        <v>499</v>
      </c>
      <c r="I34" s="9" t="s">
        <v>567</v>
      </c>
      <c r="J34" t="str">
        <f t="shared" si="0"/>
        <v>Aetna Med Supp  - Bonus for CLI7424746</v>
      </c>
      <c r="K34" t="str">
        <f t="shared" si="1"/>
        <v>-50</v>
      </c>
    </row>
    <row r="35" spans="1:11" x14ac:dyDescent="0.25">
      <c r="A35" s="10" t="s">
        <v>3</v>
      </c>
      <c r="B35" s="10" t="s">
        <v>5</v>
      </c>
      <c r="C35" s="10" t="s">
        <v>476</v>
      </c>
      <c r="D35" s="10" t="s">
        <v>477</v>
      </c>
      <c r="E35" s="10">
        <v>9213293</v>
      </c>
      <c r="F35" s="12">
        <v>50</v>
      </c>
      <c r="G35" s="10" t="s">
        <v>461</v>
      </c>
      <c r="H35" s="10" t="s">
        <v>500</v>
      </c>
      <c r="I35" s="9" t="s">
        <v>567</v>
      </c>
      <c r="J35" t="str">
        <f t="shared" si="0"/>
        <v>Aetna Med Supp  - Bonus for CLI7424848</v>
      </c>
      <c r="K35" t="str">
        <f t="shared" si="1"/>
        <v>-50</v>
      </c>
    </row>
    <row r="36" spans="1:11" x14ac:dyDescent="0.25">
      <c r="A36" s="9" t="s">
        <v>3</v>
      </c>
      <c r="B36" s="9" t="s">
        <v>5</v>
      </c>
      <c r="C36" s="9" t="s">
        <v>476</v>
      </c>
      <c r="D36" s="9" t="s">
        <v>477</v>
      </c>
      <c r="E36" s="9">
        <v>9213293</v>
      </c>
      <c r="F36" s="11">
        <v>50</v>
      </c>
      <c r="G36" s="9" t="s">
        <v>461</v>
      </c>
      <c r="H36" s="9" t="s">
        <v>501</v>
      </c>
      <c r="I36" s="9" t="s">
        <v>567</v>
      </c>
      <c r="J36" t="str">
        <f t="shared" si="0"/>
        <v>Aetna Med Supp  - Bonus for CLI7425591</v>
      </c>
      <c r="K36" t="str">
        <f t="shared" si="1"/>
        <v>-50</v>
      </c>
    </row>
    <row r="37" spans="1:11" x14ac:dyDescent="0.25">
      <c r="A37" s="9" t="s">
        <v>3</v>
      </c>
      <c r="B37" s="9" t="s">
        <v>5</v>
      </c>
      <c r="C37" s="9" t="s">
        <v>476</v>
      </c>
      <c r="D37" s="9" t="s">
        <v>477</v>
      </c>
      <c r="E37" s="9">
        <v>9213293</v>
      </c>
      <c r="F37" s="11">
        <v>50</v>
      </c>
      <c r="G37" s="9" t="s">
        <v>461</v>
      </c>
      <c r="H37" s="9" t="s">
        <v>517</v>
      </c>
      <c r="I37" s="9" t="s">
        <v>567</v>
      </c>
      <c r="J37" t="str">
        <f t="shared" si="0"/>
        <v>Aetna Med Supp  - Bonus for CLI7430196</v>
      </c>
      <c r="K37" t="str">
        <f t="shared" si="1"/>
        <v>-50</v>
      </c>
    </row>
    <row r="38" spans="1:11" x14ac:dyDescent="0.25">
      <c r="A38" s="9" t="s">
        <v>3</v>
      </c>
      <c r="B38" s="9" t="s">
        <v>5</v>
      </c>
      <c r="C38" s="9" t="s">
        <v>476</v>
      </c>
      <c r="D38" s="9" t="s">
        <v>477</v>
      </c>
      <c r="E38" s="9">
        <v>9213293</v>
      </c>
      <c r="F38" s="11">
        <v>50</v>
      </c>
      <c r="G38" s="9" t="s">
        <v>461</v>
      </c>
      <c r="H38" s="9" t="s">
        <v>519</v>
      </c>
      <c r="I38" s="9" t="s">
        <v>567</v>
      </c>
      <c r="J38" t="str">
        <f t="shared" si="0"/>
        <v>Aetna Med Supp  - Bonus for CLI7431406</v>
      </c>
      <c r="K38" t="str">
        <f t="shared" si="1"/>
        <v>-50</v>
      </c>
    </row>
    <row r="39" spans="1:11" x14ac:dyDescent="0.25">
      <c r="A39" s="9" t="s">
        <v>3</v>
      </c>
      <c r="B39" s="9" t="s">
        <v>5</v>
      </c>
      <c r="C39" s="9" t="s">
        <v>476</v>
      </c>
      <c r="D39" s="9" t="s">
        <v>477</v>
      </c>
      <c r="E39" s="9">
        <v>9213293</v>
      </c>
      <c r="F39" s="11">
        <v>50</v>
      </c>
      <c r="G39" s="9" t="s">
        <v>461</v>
      </c>
      <c r="H39" s="9" t="s">
        <v>529</v>
      </c>
      <c r="I39" s="9" t="s">
        <v>567</v>
      </c>
      <c r="J39" t="str">
        <f t="shared" si="0"/>
        <v>Aetna Med Supp  - Bonus for CLI7432525</v>
      </c>
      <c r="K39" t="str">
        <f t="shared" si="1"/>
        <v>-50</v>
      </c>
    </row>
    <row r="40" spans="1:11" x14ac:dyDescent="0.25">
      <c r="A40" s="9" t="s">
        <v>3</v>
      </c>
      <c r="B40" s="9" t="s">
        <v>5</v>
      </c>
      <c r="C40" s="9" t="s">
        <v>476</v>
      </c>
      <c r="D40" s="9" t="s">
        <v>477</v>
      </c>
      <c r="E40" s="9">
        <v>9213293</v>
      </c>
      <c r="F40" s="11">
        <v>50</v>
      </c>
      <c r="G40" s="9" t="s">
        <v>461</v>
      </c>
      <c r="H40" s="9" t="s">
        <v>533</v>
      </c>
      <c r="I40" s="9" t="s">
        <v>567</v>
      </c>
      <c r="J40" t="str">
        <f t="shared" si="0"/>
        <v>Aetna Med Supp  - Bonus for CLI7420929</v>
      </c>
      <c r="K40" t="str">
        <f t="shared" si="1"/>
        <v>-50</v>
      </c>
    </row>
    <row r="41" spans="1:11" x14ac:dyDescent="0.25">
      <c r="A41" s="10" t="s">
        <v>3</v>
      </c>
      <c r="B41" s="10" t="s">
        <v>5</v>
      </c>
      <c r="C41" s="10" t="s">
        <v>476</v>
      </c>
      <c r="D41" s="10" t="s">
        <v>477</v>
      </c>
      <c r="E41" s="10">
        <v>9213293</v>
      </c>
      <c r="F41" s="12">
        <v>50</v>
      </c>
      <c r="G41" s="10" t="s">
        <v>461</v>
      </c>
      <c r="H41" s="10" t="s">
        <v>538</v>
      </c>
      <c r="I41" s="9" t="s">
        <v>567</v>
      </c>
      <c r="J41" t="str">
        <f t="shared" si="0"/>
        <v>Aetna Med Supp  - Bonus for CLI7422766</v>
      </c>
      <c r="K41" t="str">
        <f t="shared" si="1"/>
        <v>-50</v>
      </c>
    </row>
    <row r="42" spans="1:11" x14ac:dyDescent="0.25">
      <c r="A42" s="9" t="s">
        <v>3</v>
      </c>
      <c r="B42" s="9" t="s">
        <v>5</v>
      </c>
      <c r="C42" s="9" t="s">
        <v>476</v>
      </c>
      <c r="D42" s="9" t="s">
        <v>477</v>
      </c>
      <c r="E42" s="9">
        <v>9213293</v>
      </c>
      <c r="F42" s="11">
        <v>50</v>
      </c>
      <c r="G42" s="9" t="s">
        <v>461</v>
      </c>
      <c r="H42" s="9" t="s">
        <v>543</v>
      </c>
      <c r="I42" s="9" t="s">
        <v>567</v>
      </c>
      <c r="J42" t="str">
        <f t="shared" si="0"/>
        <v>Aetna Med Supp  - Bonus for CLI7424742</v>
      </c>
      <c r="K42" t="str">
        <f t="shared" si="1"/>
        <v>-50</v>
      </c>
    </row>
    <row r="43" spans="1:11" x14ac:dyDescent="0.25">
      <c r="A43" s="10" t="s">
        <v>3</v>
      </c>
      <c r="B43" s="10" t="s">
        <v>5</v>
      </c>
      <c r="C43" s="10" t="s">
        <v>476</v>
      </c>
      <c r="D43" s="10" t="s">
        <v>477</v>
      </c>
      <c r="E43" s="10">
        <v>9213293</v>
      </c>
      <c r="F43" s="12">
        <v>50</v>
      </c>
      <c r="G43" s="10" t="s">
        <v>461</v>
      </c>
      <c r="H43" s="10" t="s">
        <v>556</v>
      </c>
      <c r="I43" s="9" t="s">
        <v>567</v>
      </c>
      <c r="J43" t="str">
        <f t="shared" si="0"/>
        <v>Aetna Med Supp  - Bonus for CLI7431408</v>
      </c>
      <c r="K43" t="str">
        <f t="shared" si="1"/>
        <v>-50</v>
      </c>
    </row>
    <row r="44" spans="1:11" x14ac:dyDescent="0.25">
      <c r="A44" s="10" t="s">
        <v>3</v>
      </c>
      <c r="B44" s="10" t="s">
        <v>5</v>
      </c>
      <c r="C44" s="10" t="s">
        <v>476</v>
      </c>
      <c r="D44" s="10" t="s">
        <v>477</v>
      </c>
      <c r="E44" s="10">
        <v>9213293</v>
      </c>
      <c r="F44" s="12">
        <v>50</v>
      </c>
      <c r="G44" s="10" t="s">
        <v>461</v>
      </c>
      <c r="H44" s="10" t="s">
        <v>562</v>
      </c>
      <c r="I44" s="9" t="s">
        <v>567</v>
      </c>
      <c r="J44" t="str">
        <f t="shared" si="0"/>
        <v>Aetna Med Supp  - Bonus for CLI7432526</v>
      </c>
      <c r="K44" t="str">
        <f t="shared" si="1"/>
        <v>-50</v>
      </c>
    </row>
    <row r="45" spans="1:11" x14ac:dyDescent="0.25">
      <c r="A45" s="10" t="s">
        <v>3</v>
      </c>
      <c r="B45" s="10" t="s">
        <v>5</v>
      </c>
      <c r="C45" s="10" t="s">
        <v>526</v>
      </c>
      <c r="D45" s="10" t="s">
        <v>527</v>
      </c>
      <c r="E45" s="10">
        <v>18754354</v>
      </c>
      <c r="F45" s="12">
        <v>50</v>
      </c>
      <c r="G45" s="10" t="s">
        <v>461</v>
      </c>
      <c r="H45" s="10" t="s">
        <v>528</v>
      </c>
      <c r="I45" s="9" t="s">
        <v>567</v>
      </c>
      <c r="J45" t="str">
        <f t="shared" si="0"/>
        <v>Aetna Med Supp  - Bonus for CLI7431825</v>
      </c>
      <c r="K45" t="str">
        <f t="shared" si="1"/>
        <v>-50</v>
      </c>
    </row>
    <row r="46" spans="1:11" x14ac:dyDescent="0.25">
      <c r="A46" s="10" t="s">
        <v>3</v>
      </c>
      <c r="B46" s="10" t="s">
        <v>5</v>
      </c>
      <c r="C46" s="10" t="s">
        <v>526</v>
      </c>
      <c r="D46" s="10" t="s">
        <v>527</v>
      </c>
      <c r="E46" s="10">
        <v>18754354</v>
      </c>
      <c r="F46" s="12">
        <v>50</v>
      </c>
      <c r="G46" s="10" t="s">
        <v>461</v>
      </c>
      <c r="H46" s="10" t="s">
        <v>530</v>
      </c>
      <c r="I46" s="9" t="s">
        <v>567</v>
      </c>
      <c r="J46" t="str">
        <f t="shared" si="0"/>
        <v>Aetna Med Supp  - Bonus for CLI7432651</v>
      </c>
      <c r="K46" t="str">
        <f t="shared" si="1"/>
        <v>-50</v>
      </c>
    </row>
    <row r="47" spans="1:11" x14ac:dyDescent="0.25">
      <c r="A47" s="10" t="s">
        <v>3</v>
      </c>
      <c r="B47" s="10" t="s">
        <v>5</v>
      </c>
      <c r="C47" s="10" t="s">
        <v>526</v>
      </c>
      <c r="D47" s="10" t="s">
        <v>527</v>
      </c>
      <c r="E47" s="10">
        <v>18754354</v>
      </c>
      <c r="F47" s="12">
        <v>50</v>
      </c>
      <c r="G47" s="10" t="s">
        <v>461</v>
      </c>
      <c r="H47" s="10" t="s">
        <v>534</v>
      </c>
      <c r="I47" s="9" t="s">
        <v>567</v>
      </c>
      <c r="J47" t="str">
        <f t="shared" si="0"/>
        <v>Aetna Med Supp  - Bonus for CLI7421388</v>
      </c>
      <c r="K47" t="str">
        <f t="shared" si="1"/>
        <v>-50</v>
      </c>
    </row>
    <row r="48" spans="1:11" x14ac:dyDescent="0.25">
      <c r="A48" s="10" t="s">
        <v>3</v>
      </c>
      <c r="B48" s="10" t="s">
        <v>5</v>
      </c>
      <c r="C48" s="10" t="s">
        <v>526</v>
      </c>
      <c r="D48" s="10" t="s">
        <v>527</v>
      </c>
      <c r="E48" s="10">
        <v>18754354</v>
      </c>
      <c r="F48" s="12">
        <v>50</v>
      </c>
      <c r="G48" s="10" t="s">
        <v>461</v>
      </c>
      <c r="H48" s="10" t="s">
        <v>536</v>
      </c>
      <c r="I48" s="9" t="s">
        <v>567</v>
      </c>
      <c r="J48" t="str">
        <f t="shared" si="0"/>
        <v>Aetna Med Supp  - Bonus for CLI7421921</v>
      </c>
      <c r="K48" t="str">
        <f t="shared" si="1"/>
        <v>-50</v>
      </c>
    </row>
    <row r="49" spans="1:11" x14ac:dyDescent="0.25">
      <c r="A49" s="9" t="s">
        <v>3</v>
      </c>
      <c r="B49" s="9" t="s">
        <v>5</v>
      </c>
      <c r="C49" s="9" t="s">
        <v>526</v>
      </c>
      <c r="D49" s="9" t="s">
        <v>527</v>
      </c>
      <c r="E49" s="9">
        <v>18754354</v>
      </c>
      <c r="F49" s="11">
        <v>50</v>
      </c>
      <c r="G49" s="9" t="s">
        <v>461</v>
      </c>
      <c r="H49" s="9" t="s">
        <v>537</v>
      </c>
      <c r="I49" s="9" t="s">
        <v>567</v>
      </c>
      <c r="J49" t="str">
        <f t="shared" si="0"/>
        <v>Aetna Med Supp  - Bonus for CLI7421922</v>
      </c>
      <c r="K49" t="str">
        <f t="shared" si="1"/>
        <v>-50</v>
      </c>
    </row>
    <row r="50" spans="1:11" x14ac:dyDescent="0.25">
      <c r="A50" s="9" t="s">
        <v>3</v>
      </c>
      <c r="B50" s="9" t="s">
        <v>5</v>
      </c>
      <c r="C50" s="9" t="s">
        <v>526</v>
      </c>
      <c r="D50" s="9" t="s">
        <v>527</v>
      </c>
      <c r="E50" s="9">
        <v>18754354</v>
      </c>
      <c r="F50" s="11">
        <v>50</v>
      </c>
      <c r="G50" s="9" t="s">
        <v>461</v>
      </c>
      <c r="H50" s="9" t="s">
        <v>551</v>
      </c>
      <c r="I50" s="9" t="s">
        <v>567</v>
      </c>
      <c r="J50" t="str">
        <f t="shared" si="0"/>
        <v>Aetna Med Supp  - Bonus for CLI7429882</v>
      </c>
      <c r="K50" t="str">
        <f t="shared" si="1"/>
        <v>-50</v>
      </c>
    </row>
    <row r="51" spans="1:11" x14ac:dyDescent="0.25">
      <c r="A51" s="10" t="s">
        <v>3</v>
      </c>
      <c r="B51" s="10" t="s">
        <v>5</v>
      </c>
      <c r="C51" s="10" t="s">
        <v>526</v>
      </c>
      <c r="D51" s="10" t="s">
        <v>527</v>
      </c>
      <c r="E51" s="10">
        <v>18754354</v>
      </c>
      <c r="F51" s="12">
        <v>50</v>
      </c>
      <c r="G51" s="10" t="s">
        <v>461</v>
      </c>
      <c r="H51" s="10" t="s">
        <v>552</v>
      </c>
      <c r="I51" s="9" t="s">
        <v>567</v>
      </c>
      <c r="J51" t="str">
        <f t="shared" si="0"/>
        <v>Aetna Med Supp  - Bonus for CLI7429883</v>
      </c>
      <c r="K51" t="str">
        <f t="shared" si="1"/>
        <v>-50</v>
      </c>
    </row>
    <row r="52" spans="1:11" x14ac:dyDescent="0.25">
      <c r="A52" s="10" t="s">
        <v>3</v>
      </c>
      <c r="B52" s="10" t="s">
        <v>5</v>
      </c>
      <c r="C52" s="10" t="s">
        <v>526</v>
      </c>
      <c r="D52" s="10" t="s">
        <v>527</v>
      </c>
      <c r="E52" s="10">
        <v>18754354</v>
      </c>
      <c r="F52" s="12">
        <v>50</v>
      </c>
      <c r="G52" s="10" t="s">
        <v>461</v>
      </c>
      <c r="H52" s="10" t="s">
        <v>558</v>
      </c>
      <c r="I52" s="9" t="s">
        <v>567</v>
      </c>
      <c r="J52" t="str">
        <f t="shared" si="0"/>
        <v>Aetna Med Supp  - Bonus for CLI7431824</v>
      </c>
      <c r="K52" t="str">
        <f t="shared" si="1"/>
        <v>-50</v>
      </c>
    </row>
    <row r="53" spans="1:11" x14ac:dyDescent="0.25">
      <c r="A53" s="9" t="s">
        <v>3</v>
      </c>
      <c r="B53" s="9" t="s">
        <v>5</v>
      </c>
      <c r="C53" s="9" t="s">
        <v>545</v>
      </c>
      <c r="D53" s="9" t="s">
        <v>546</v>
      </c>
      <c r="E53" s="9">
        <v>19279958</v>
      </c>
      <c r="F53" s="11">
        <v>50</v>
      </c>
      <c r="G53" s="9" t="s">
        <v>461</v>
      </c>
      <c r="H53" s="9" t="s">
        <v>547</v>
      </c>
      <c r="I53" s="9" t="s">
        <v>567</v>
      </c>
      <c r="J53" t="str">
        <f t="shared" si="0"/>
        <v>Aetna Med Supp  - Bonus for CLI7426109</v>
      </c>
      <c r="K53" t="str">
        <f t="shared" si="1"/>
        <v>-50</v>
      </c>
    </row>
    <row r="54" spans="1:11" s="20" customFormat="1" x14ac:dyDescent="0.25">
      <c r="A54" s="18" t="s">
        <v>3</v>
      </c>
      <c r="B54" s="18" t="s">
        <v>5</v>
      </c>
      <c r="C54" s="18" t="s">
        <v>479</v>
      </c>
      <c r="D54" s="18" t="s">
        <v>568</v>
      </c>
      <c r="E54" s="18">
        <v>19491313</v>
      </c>
      <c r="F54" s="19">
        <v>50</v>
      </c>
      <c r="G54" s="18" t="s">
        <v>461</v>
      </c>
      <c r="H54" s="18" t="s">
        <v>480</v>
      </c>
      <c r="I54" s="9" t="s">
        <v>567</v>
      </c>
      <c r="J54" t="str">
        <f>CONCATENATE(I54,"  ","-"," ",H54," ","For"," ",D54)</f>
        <v>Aetna Med Supp  - Bonus for CLI7421237 For Jennifer Halsaver</v>
      </c>
      <c r="K54" t="str">
        <f t="shared" si="1"/>
        <v>-50</v>
      </c>
    </row>
    <row r="55" spans="1:11" s="20" customFormat="1" x14ac:dyDescent="0.25">
      <c r="A55" s="18" t="s">
        <v>3</v>
      </c>
      <c r="B55" s="18" t="s">
        <v>5</v>
      </c>
      <c r="C55" s="18" t="s">
        <v>479</v>
      </c>
      <c r="D55" s="18" t="s">
        <v>568</v>
      </c>
      <c r="E55" s="18">
        <v>19491313</v>
      </c>
      <c r="F55" s="19">
        <v>50</v>
      </c>
      <c r="G55" s="18" t="s">
        <v>461</v>
      </c>
      <c r="H55" s="18" t="s">
        <v>554</v>
      </c>
      <c r="I55" s="9" t="s">
        <v>567</v>
      </c>
      <c r="J55" t="str">
        <f t="shared" ref="J55:J56" si="2">CONCATENATE(I55,"  ","-"," ",H55," ","For"," ",D55)</f>
        <v>Aetna Med Supp  - Bonus for CLI7430929 For Jennifer Halsaver</v>
      </c>
      <c r="K55" t="str">
        <f t="shared" si="1"/>
        <v>-50</v>
      </c>
    </row>
    <row r="56" spans="1:11" s="20" customFormat="1" x14ac:dyDescent="0.25">
      <c r="A56" s="21" t="s">
        <v>3</v>
      </c>
      <c r="B56" s="21" t="s">
        <v>5</v>
      </c>
      <c r="C56" s="21" t="s">
        <v>507</v>
      </c>
      <c r="D56" s="21" t="s">
        <v>508</v>
      </c>
      <c r="E56" s="21">
        <v>16170994</v>
      </c>
      <c r="F56" s="22">
        <v>50</v>
      </c>
      <c r="G56" s="21" t="s">
        <v>461</v>
      </c>
      <c r="H56" s="21" t="s">
        <v>509</v>
      </c>
      <c r="I56" s="9" t="s">
        <v>567</v>
      </c>
      <c r="J56" t="str">
        <f t="shared" si="2"/>
        <v>Aetna Med Supp  - Bonus for CLI7429170 For Jill Shepard</v>
      </c>
      <c r="K56" t="str">
        <f t="shared" si="1"/>
        <v>-50</v>
      </c>
    </row>
    <row r="57" spans="1:11" x14ac:dyDescent="0.25">
      <c r="A57" s="9" t="s">
        <v>3</v>
      </c>
      <c r="B57" s="9" t="s">
        <v>5</v>
      </c>
      <c r="C57" s="9" t="s">
        <v>503</v>
      </c>
      <c r="D57" s="9" t="s">
        <v>504</v>
      </c>
      <c r="E57" s="9">
        <v>1706194</v>
      </c>
      <c r="F57" s="11">
        <v>50</v>
      </c>
      <c r="G57" s="9" t="s">
        <v>461</v>
      </c>
      <c r="H57" s="9" t="s">
        <v>505</v>
      </c>
      <c r="I57" s="9" t="s">
        <v>567</v>
      </c>
      <c r="J57" t="str">
        <f t="shared" si="0"/>
        <v>Aetna Med Supp  - Bonus for CLI7427283</v>
      </c>
      <c r="K57" t="str">
        <f t="shared" si="1"/>
        <v>-50</v>
      </c>
    </row>
    <row r="58" spans="1:11" x14ac:dyDescent="0.25">
      <c r="A58" s="9" t="s">
        <v>3</v>
      </c>
      <c r="B58" s="9" t="s">
        <v>5</v>
      </c>
      <c r="C58" s="9" t="s">
        <v>503</v>
      </c>
      <c r="D58" s="9" t="s">
        <v>504</v>
      </c>
      <c r="E58" s="9">
        <v>1706194</v>
      </c>
      <c r="F58" s="11">
        <v>50</v>
      </c>
      <c r="G58" s="9" t="s">
        <v>461</v>
      </c>
      <c r="H58" s="9" t="s">
        <v>531</v>
      </c>
      <c r="I58" s="9" t="s">
        <v>567</v>
      </c>
      <c r="J58" t="str">
        <f t="shared" si="0"/>
        <v>Aetna Med Supp  - Bonus for CLI7420765</v>
      </c>
      <c r="K58" t="str">
        <f t="shared" si="1"/>
        <v>-50</v>
      </c>
    </row>
    <row r="59" spans="1:11" x14ac:dyDescent="0.25">
      <c r="A59" s="10" t="s">
        <v>3</v>
      </c>
      <c r="B59" s="10" t="s">
        <v>5</v>
      </c>
      <c r="C59" s="10" t="s">
        <v>503</v>
      </c>
      <c r="D59" s="10" t="s">
        <v>504</v>
      </c>
      <c r="E59" s="10">
        <v>1706194</v>
      </c>
      <c r="F59" s="12">
        <v>50</v>
      </c>
      <c r="G59" s="10" t="s">
        <v>461</v>
      </c>
      <c r="H59" s="10" t="s">
        <v>544</v>
      </c>
      <c r="I59" s="9" t="s">
        <v>567</v>
      </c>
      <c r="J59" t="str">
        <f t="shared" si="0"/>
        <v>Aetna Med Supp  - Bonus for CLI7425527</v>
      </c>
      <c r="K59" t="str">
        <f t="shared" si="1"/>
        <v>-50</v>
      </c>
    </row>
    <row r="60" spans="1:11" x14ac:dyDescent="0.25">
      <c r="A60" s="10" t="s">
        <v>3</v>
      </c>
      <c r="B60" s="10" t="s">
        <v>5</v>
      </c>
      <c r="C60" s="10" t="s">
        <v>510</v>
      </c>
      <c r="D60" s="10" t="s">
        <v>511</v>
      </c>
      <c r="E60" s="10">
        <v>5442438</v>
      </c>
      <c r="F60" s="12">
        <v>50</v>
      </c>
      <c r="G60" s="10" t="s">
        <v>461</v>
      </c>
      <c r="H60" s="10" t="s">
        <v>512</v>
      </c>
      <c r="I60" s="9" t="s">
        <v>567</v>
      </c>
      <c r="J60" t="str">
        <f t="shared" si="0"/>
        <v>Aetna Med Supp  - Bonus for CLI7429433</v>
      </c>
      <c r="K60" t="str">
        <f t="shared" si="1"/>
        <v>-50</v>
      </c>
    </row>
    <row r="61" spans="1:11" x14ac:dyDescent="0.25">
      <c r="A61" s="10" t="s">
        <v>3</v>
      </c>
      <c r="B61" s="10" t="s">
        <v>5</v>
      </c>
      <c r="C61" s="10" t="s">
        <v>510</v>
      </c>
      <c r="D61" s="10" t="s">
        <v>511</v>
      </c>
      <c r="E61" s="10">
        <v>5442438</v>
      </c>
      <c r="F61" s="12">
        <v>50</v>
      </c>
      <c r="G61" s="10" t="s">
        <v>461</v>
      </c>
      <c r="H61" s="10" t="s">
        <v>542</v>
      </c>
      <c r="I61" s="9" t="s">
        <v>567</v>
      </c>
      <c r="J61" t="str">
        <f t="shared" si="0"/>
        <v>Aetna Med Supp  - Bonus for CLI7423996</v>
      </c>
      <c r="K61" t="str">
        <f t="shared" si="1"/>
        <v>-50</v>
      </c>
    </row>
    <row r="62" spans="1:11" x14ac:dyDescent="0.25">
      <c r="A62" s="9" t="s">
        <v>3</v>
      </c>
      <c r="B62" s="9" t="s">
        <v>5</v>
      </c>
      <c r="C62" s="9" t="s">
        <v>510</v>
      </c>
      <c r="D62" s="9" t="s">
        <v>511</v>
      </c>
      <c r="E62" s="9">
        <v>5442438</v>
      </c>
      <c r="F62" s="11">
        <v>50</v>
      </c>
      <c r="G62" s="9" t="s">
        <v>461</v>
      </c>
      <c r="H62" s="9" t="s">
        <v>549</v>
      </c>
      <c r="I62" s="9" t="s">
        <v>567</v>
      </c>
      <c r="J62" t="str">
        <f t="shared" si="0"/>
        <v>Aetna Med Supp  - Bonus for CLI7429431</v>
      </c>
      <c r="K62" t="str">
        <f t="shared" si="1"/>
        <v>-50</v>
      </c>
    </row>
    <row r="63" spans="1:11" x14ac:dyDescent="0.25">
      <c r="A63" s="10" t="s">
        <v>3</v>
      </c>
      <c r="B63" s="10" t="s">
        <v>5</v>
      </c>
      <c r="C63" s="10" t="s">
        <v>510</v>
      </c>
      <c r="D63" s="10" t="s">
        <v>511</v>
      </c>
      <c r="E63" s="10">
        <v>5442438</v>
      </c>
      <c r="F63" s="12">
        <v>50</v>
      </c>
      <c r="G63" s="10" t="s">
        <v>461</v>
      </c>
      <c r="H63" s="10" t="s">
        <v>550</v>
      </c>
      <c r="I63" s="9" t="s">
        <v>567</v>
      </c>
      <c r="J63" t="str">
        <f t="shared" si="0"/>
        <v>Aetna Med Supp  - Bonus for CLI7429432</v>
      </c>
      <c r="K63" t="str">
        <f t="shared" si="1"/>
        <v>-50</v>
      </c>
    </row>
    <row r="64" spans="1:11" x14ac:dyDescent="0.25">
      <c r="A64" s="9" t="s">
        <v>3</v>
      </c>
      <c r="B64" s="9" t="s">
        <v>5</v>
      </c>
      <c r="C64" s="9" t="s">
        <v>513</v>
      </c>
      <c r="D64" s="9" t="s">
        <v>514</v>
      </c>
      <c r="E64" s="9">
        <v>8977234</v>
      </c>
      <c r="F64" s="11">
        <v>50</v>
      </c>
      <c r="G64" s="9" t="s">
        <v>461</v>
      </c>
      <c r="H64" s="9" t="s">
        <v>515</v>
      </c>
      <c r="I64" s="9" t="s">
        <v>567</v>
      </c>
      <c r="J64" t="str">
        <f t="shared" si="0"/>
        <v>Aetna Med Supp  - Bonus for CLI7430117</v>
      </c>
      <c r="K64" t="str">
        <f t="shared" si="1"/>
        <v>-50</v>
      </c>
    </row>
    <row r="65" spans="1:11" x14ac:dyDescent="0.25">
      <c r="A65" s="10" t="s">
        <v>3</v>
      </c>
      <c r="B65" s="10" t="s">
        <v>5</v>
      </c>
      <c r="C65" s="10" t="s">
        <v>513</v>
      </c>
      <c r="D65" s="10" t="s">
        <v>514</v>
      </c>
      <c r="E65" s="10">
        <v>8977234</v>
      </c>
      <c r="F65" s="12">
        <v>50</v>
      </c>
      <c r="G65" s="10" t="s">
        <v>461</v>
      </c>
      <c r="H65" s="10" t="s">
        <v>516</v>
      </c>
      <c r="I65" s="9" t="s">
        <v>567</v>
      </c>
      <c r="J65" t="str">
        <f t="shared" si="0"/>
        <v>Aetna Med Supp  - Bonus for CLI7430118</v>
      </c>
      <c r="K65" t="str">
        <f t="shared" si="1"/>
        <v>-50</v>
      </c>
    </row>
  </sheetData>
  <sortState xmlns:xlrd2="http://schemas.microsoft.com/office/spreadsheetml/2017/richdata2" ref="A2:V65">
    <sortCondition ref="D2:D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Commission Summary</vt:lpstr>
      <vt:lpstr>Commission Details</vt:lpstr>
      <vt:lpstr>Sheet2</vt:lpstr>
      <vt:lpstr>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2025-10-30T14:53:06Z</dcterms:created>
  <dcterms:modified xsi:type="dcterms:W3CDTF">2025-11-05T18:57:35Z</dcterms:modified>
</cp:coreProperties>
</file>