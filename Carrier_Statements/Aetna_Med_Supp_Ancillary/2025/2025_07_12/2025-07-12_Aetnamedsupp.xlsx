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7-12-25\"/>
    </mc:Choice>
  </mc:AlternateContent>
  <xr:revisionPtr revIDLastSave="0" documentId="13_ncr:1_{718DB54F-B633-45C0-B112-C2BD0ABFB81F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mmission Summary" sheetId="1" r:id="rId1"/>
    <sheet name="Commission Details" sheetId="2" r:id="rId2"/>
    <sheet name="clean sheet" sheetId="3" r:id="rId3"/>
    <sheet name="Sheet2" sheetId="4" r:id="rId4"/>
  </sheets>
  <externalReferences>
    <externalReference r:id="rId5"/>
  </externalReferences>
  <definedNames>
    <definedName name="_xlnm._FilterDatabase" localSheetId="2" hidden="1">'clean sheet'!$A$1:$R$61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I40" i="3"/>
  <c r="I9" i="3"/>
  <c r="I26" i="3"/>
  <c r="I53" i="3"/>
  <c r="I27" i="3"/>
  <c r="I19" i="3"/>
  <c r="I33" i="3"/>
  <c r="I54" i="3"/>
  <c r="I34" i="3"/>
  <c r="I28" i="3"/>
  <c r="I29" i="3"/>
  <c r="I47" i="3"/>
  <c r="I22" i="3"/>
  <c r="I39" i="3"/>
  <c r="I20" i="3"/>
  <c r="I55" i="3"/>
  <c r="I44" i="3"/>
  <c r="I48" i="3"/>
  <c r="I23" i="3"/>
  <c r="I24" i="3"/>
  <c r="I11" i="3"/>
  <c r="I46" i="3"/>
  <c r="I32" i="3"/>
  <c r="I38" i="3"/>
  <c r="I7" i="3"/>
  <c r="I56" i="3"/>
  <c r="I61" i="3"/>
  <c r="I35" i="3"/>
  <c r="I36" i="3"/>
  <c r="I37" i="3"/>
  <c r="I12" i="3"/>
  <c r="I6" i="3"/>
  <c r="I4" i="3"/>
  <c r="I60" i="3"/>
  <c r="I16" i="3"/>
  <c r="I21" i="3"/>
  <c r="I14" i="3"/>
  <c r="I13" i="3"/>
  <c r="I15" i="3"/>
  <c r="I49" i="3"/>
  <c r="I57" i="3"/>
  <c r="I59" i="3"/>
  <c r="I5" i="3"/>
  <c r="I8" i="3"/>
  <c r="I10" i="3"/>
  <c r="I2" i="3"/>
  <c r="I3" i="3"/>
  <c r="I51" i="3"/>
  <c r="I45" i="3"/>
  <c r="I41" i="3"/>
  <c r="I18" i="3"/>
  <c r="I43" i="3"/>
  <c r="I31" i="3"/>
  <c r="I50" i="3"/>
  <c r="I30" i="3"/>
  <c r="I17" i="3"/>
  <c r="I58" i="3"/>
  <c r="I52" i="3"/>
  <c r="I42" i="3"/>
  <c r="B1" i="4" a="1"/>
  <c r="B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<sst xmlns="http://schemas.openxmlformats.org/spreadsheetml/2006/main" count="2076" uniqueCount="345">
  <si>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</si>
  <si>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</si>
  <si>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</si>
  <si>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</si>
  <si>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</si>
  <si>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</si>
  <si>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</si>
  <si>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07/12/2025</t>
  </si>
  <si>
    <t>Day of Week</t>
  </si>
  <si>
    <t>FRIDAY</t>
  </si>
  <si>
    <t>Aetna Health Ins Company(AHIC)</t>
  </si>
  <si>
    <t>$107.15</t>
  </si>
  <si>
    <t>CONTINENTAL LIFE INSURANCE CO(CLI)</t>
  </si>
  <si>
    <t>$968.81</t>
  </si>
  <si>
    <t>Total Commission Paid</t>
  </si>
  <si>
    <t>$1,075.96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</si>
  <si>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</si>
  <si>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</si>
  <si>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</si>
  <si>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</si>
  <si>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</si>
  <si>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</si>
  <si>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</si>
  <si>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</si>
  <si>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</si>
  <si>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</si>
  <si>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$166.78</t>
  </si>
  <si>
    <t>First Year Total:</t>
  </si>
  <si>
    <t>First Year Override:</t>
  </si>
  <si>
    <t>$70.06</t>
  </si>
  <si>
    <t>$786.15</t>
  </si>
  <si>
    <t>Renewal Total:</t>
  </si>
  <si>
    <t>Renewal Override:</t>
  </si>
  <si>
    <t>$37.09</t>
  </si>
  <si>
    <t>$15.88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</si>
  <si>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</si>
  <si>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</si>
  <si>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</si>
  <si>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</si>
  <si>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</si>
  <si>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</si>
  <si>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</si>
  <si>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</si>
  <si>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</si>
  <si>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</si>
  <si>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</si>
  <si>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</si>
  <si>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</si>
  <si>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</si>
  <si>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</si>
  <si>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</si>
  <si>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</si>
  <si>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</si>
  <si>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</si>
  <si>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</si>
  <si>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</si>
  <si>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</si>
  <si>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</si>
  <si>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</si>
  <si>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</si>
  <si>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</si>
  <si>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GNW5015801</t>
  </si>
  <si>
    <t>RONALD MAX</t>
  </si>
  <si>
    <t>ALBERT HARGIS</t>
  </si>
  <si>
    <t>CLI7335646</t>
  </si>
  <si>
    <t>First Year</t>
  </si>
  <si>
    <t>03/27/2025</t>
  </si>
  <si>
    <t>MD</t>
  </si>
  <si>
    <t>HIP Flex Hospital Admission Indemnity</t>
  </si>
  <si>
    <t>03/28/2025</t>
  </si>
  <si>
    <t>07/28/2025</t>
  </si>
  <si>
    <t>0.00</t>
  </si>
  <si>
    <t>60.00%</t>
  </si>
  <si>
    <t>000</t>
  </si>
  <si>
    <t>Quarterly</t>
  </si>
  <si>
    <t>HOSPITAL CONFINEMENT INDEMNITY</t>
  </si>
  <si>
    <t>GNW5002639</t>
  </si>
  <si>
    <t>MATTHEW DAUGHERTY</t>
  </si>
  <si>
    <t>HARIS ALI</t>
  </si>
  <si>
    <t>CLI7120769</t>
  </si>
  <si>
    <t>Renewal</t>
  </si>
  <si>
    <t>01/26/2024</t>
  </si>
  <si>
    <t>TX</t>
  </si>
  <si>
    <t>Cancer Insurance with Recurrence Benefit</t>
  </si>
  <si>
    <t>02/01/2024</t>
  </si>
  <si>
    <t>08/01/2025</t>
  </si>
  <si>
    <t>7.50%</t>
  </si>
  <si>
    <t>CHAS PLUS CANCER ONLY W/ RECUR</t>
  </si>
  <si>
    <t>CLI7120770</t>
  </si>
  <si>
    <t>Heart Attack or Stroke Insurance with Recurrence Benefit</t>
  </si>
  <si>
    <t xml:space="preserve">CHAS PLUS Heart/Strk w/ recuc </t>
  </si>
  <si>
    <t>Commission Override</t>
  </si>
  <si>
    <t>GNW0089770</t>
  </si>
  <si>
    <t>ADAM RICHTER</t>
  </si>
  <si>
    <t>SHAHZAD ABRO</t>
  </si>
  <si>
    <t>CLI7287025</t>
  </si>
  <si>
    <t>12/12/2024</t>
  </si>
  <si>
    <t>Dental Only 2000</t>
  </si>
  <si>
    <t>57.00%</t>
  </si>
  <si>
    <t>Monthly</t>
  </si>
  <si>
    <t xml:space="preserve">Dental Only 2000 MD           </t>
  </si>
  <si>
    <t>GNW6130644</t>
  </si>
  <si>
    <t>DEBORAH POWERS</t>
  </si>
  <si>
    <t>WILLIAM SCOTT</t>
  </si>
  <si>
    <t>AHC4100069</t>
  </si>
  <si>
    <t>06/02/2023</t>
  </si>
  <si>
    <t>PA</t>
  </si>
  <si>
    <t>Medicare Supplement Plan G</t>
  </si>
  <si>
    <t>07/01/2023</t>
  </si>
  <si>
    <t>07/01/2025</t>
  </si>
  <si>
    <t>2.00%</t>
  </si>
  <si>
    <t xml:space="preserve">Med Supp Plan G 2010          </t>
  </si>
  <si>
    <t>GNW5020131</t>
  </si>
  <si>
    <t>CHAD YALE</t>
  </si>
  <si>
    <t>MELODY HAGENY</t>
  </si>
  <si>
    <t>CLI7287967</t>
  </si>
  <si>
    <t>12/14/2024</t>
  </si>
  <si>
    <t>WI</t>
  </si>
  <si>
    <t>01/01/2025</t>
  </si>
  <si>
    <t>62.50%</t>
  </si>
  <si>
    <t>GNW5014631</t>
  </si>
  <si>
    <t>PAMELA DEATON</t>
  </si>
  <si>
    <t>KAREN SMITH</t>
  </si>
  <si>
    <t>AHC6741007</t>
  </si>
  <si>
    <t>11/15/2024</t>
  </si>
  <si>
    <t>IL</t>
  </si>
  <si>
    <t>25.00%</t>
  </si>
  <si>
    <t>GNW5021353</t>
  </si>
  <si>
    <t>JACOB YALE</t>
  </si>
  <si>
    <t>TYLER PIERCE</t>
  </si>
  <si>
    <t>CLI7303901</t>
  </si>
  <si>
    <t>01/24/2025</t>
  </si>
  <si>
    <t>GA</t>
  </si>
  <si>
    <t>02/01/2025</t>
  </si>
  <si>
    <t>100.00%</t>
  </si>
  <si>
    <t>ERIKA STALLINGS</t>
  </si>
  <si>
    <t>CLI7133384</t>
  </si>
  <si>
    <t>02/28/2024</t>
  </si>
  <si>
    <t>03/05/2024</t>
  </si>
  <si>
    <t>08/05/2025</t>
  </si>
  <si>
    <t>3.75%</t>
  </si>
  <si>
    <t>GNW5007016</t>
  </si>
  <si>
    <t>AIDAN BARBER</t>
  </si>
  <si>
    <t>MARTHA BRADLEY</t>
  </si>
  <si>
    <t>CLI7137280</t>
  </si>
  <si>
    <t>03/08/2024</t>
  </si>
  <si>
    <t>Dental Only 1000</t>
  </si>
  <si>
    <t>03/09/2024</t>
  </si>
  <si>
    <t>07/09/2025</t>
  </si>
  <si>
    <t xml:space="preserve">Dental Only 1000 MD           </t>
  </si>
  <si>
    <t>GNW0089678</t>
  </si>
  <si>
    <t>RYAN CALTAGIRONE</t>
  </si>
  <si>
    <t>WILLIAM HATFIELD</t>
  </si>
  <si>
    <t>CLI7274706</t>
  </si>
  <si>
    <t>11/25/2024</t>
  </si>
  <si>
    <t>IA</t>
  </si>
  <si>
    <t>GNW5012600</t>
  </si>
  <si>
    <t>JESSICA SANDIFER</t>
  </si>
  <si>
    <t>MAUDA MARTINEZ</t>
  </si>
  <si>
    <t>CLI7292242</t>
  </si>
  <si>
    <t>12/28/2024</t>
  </si>
  <si>
    <t>SHAWN KELLER</t>
  </si>
  <si>
    <t>CLI7057971</t>
  </si>
  <si>
    <t>09/19/2023</t>
  </si>
  <si>
    <t>10/01/2023</t>
  </si>
  <si>
    <t>3.50%</t>
  </si>
  <si>
    <t>KELLY LASKY</t>
  </si>
  <si>
    <t>CLI7074729</t>
  </si>
  <si>
    <t>10/25/2023</t>
  </si>
  <si>
    <t>11/01/2023</t>
  </si>
  <si>
    <t>GNW5016123</t>
  </si>
  <si>
    <t>WILLIAM SCHAEFFER</t>
  </si>
  <si>
    <t>DENISE JOHNSON</t>
  </si>
  <si>
    <t>CLI7220827</t>
  </si>
  <si>
    <t>08/27/2024</t>
  </si>
  <si>
    <t>WY</t>
  </si>
  <si>
    <t>DVH PLUS 5000</t>
  </si>
  <si>
    <t>09/01/2024</t>
  </si>
  <si>
    <t xml:space="preserve">DVH PLUS 5000 100 DEDUCTIBLE  </t>
  </si>
  <si>
    <t>ALISA CARTWRIGHT</t>
  </si>
  <si>
    <t>CLI7264367</t>
  </si>
  <si>
    <t>11/11/2024</t>
  </si>
  <si>
    <t>07/11/2025</t>
  </si>
  <si>
    <t>GNW5005221</t>
  </si>
  <si>
    <t>THOMAS KUCAN</t>
  </si>
  <si>
    <t>KAREN ASHELFORD</t>
  </si>
  <si>
    <t>CLI7180446</t>
  </si>
  <si>
    <t>06/10/2024</t>
  </si>
  <si>
    <t>06/15/2024</t>
  </si>
  <si>
    <t>07/15/2025</t>
  </si>
  <si>
    <t>12.00%</t>
  </si>
  <si>
    <t>APRIL CALDWELL</t>
  </si>
  <si>
    <t>CLI7391955</t>
  </si>
  <si>
    <t>Initial</t>
  </si>
  <si>
    <t>95.00%</t>
  </si>
  <si>
    <t>KATHERINE ESPARRA</t>
  </si>
  <si>
    <t>CLI7388176</t>
  </si>
  <si>
    <t>07/07/2025</t>
  </si>
  <si>
    <t>FL</t>
  </si>
  <si>
    <t>GNW5007313</t>
  </si>
  <si>
    <t>DEBORAH INSKIPT</t>
  </si>
  <si>
    <t>JEREMY KEENE</t>
  </si>
  <si>
    <t>CLI7391560</t>
  </si>
  <si>
    <t>WV</t>
  </si>
  <si>
    <t>105.00%</t>
  </si>
  <si>
    <t>STEVEN RADOSEVICH</t>
  </si>
  <si>
    <t>CLI7126492</t>
  </si>
  <si>
    <t>02/11/2024</t>
  </si>
  <si>
    <t>03/12/2024</t>
  </si>
  <si>
    <t>JENNIFER JAMISON</t>
  </si>
  <si>
    <t>CLI7048588</t>
  </si>
  <si>
    <t>08/24/2023</t>
  </si>
  <si>
    <t>09/01/2023</t>
  </si>
  <si>
    <t>06/01/2025</t>
  </si>
  <si>
    <t>ERIC ZIDAR</t>
  </si>
  <si>
    <t>CLI7196755</t>
  </si>
  <si>
    <t>07/11/2024</t>
  </si>
  <si>
    <t>GNW0089726</t>
  </si>
  <si>
    <t>KELLY CARRYER</t>
  </si>
  <si>
    <t>JANINE RAUBAUGH</t>
  </si>
  <si>
    <t>AHC6716851</t>
  </si>
  <si>
    <t>11/21/2023</t>
  </si>
  <si>
    <t>12/01/2023</t>
  </si>
  <si>
    <t>24.00%</t>
  </si>
  <si>
    <t xml:space="preserve">Med Supp Plan G 2010 Disabled </t>
  </si>
  <si>
    <t>CLI7388175</t>
  </si>
  <si>
    <t>GNW5019789</t>
  </si>
  <si>
    <t>ANDREA PETRUNGARO</t>
  </si>
  <si>
    <t>LISA CHERRY</t>
  </si>
  <si>
    <t>CLI4102044</t>
  </si>
  <si>
    <t>10/23/2024</t>
  </si>
  <si>
    <t>11/01/2024</t>
  </si>
  <si>
    <t>GNW5019378</t>
  </si>
  <si>
    <t>CHRIS TAUGNER</t>
  </si>
  <si>
    <t>HENRY MARTINELLI</t>
  </si>
  <si>
    <t>CLI7284767</t>
  </si>
  <si>
    <t>12/09/2024</t>
  </si>
  <si>
    <t>Heart Attack or Stroke Insurance</t>
  </si>
  <si>
    <t>12/11/2024</t>
  </si>
  <si>
    <t xml:space="preserve">CHAS PLUS Heart/Stroke        </t>
  </si>
  <si>
    <t>CLI7284766</t>
  </si>
  <si>
    <t>GNW5000567</t>
  </si>
  <si>
    <t>LAURIE CASTA</t>
  </si>
  <si>
    <t>EDITH BATIOJA</t>
  </si>
  <si>
    <t>CLI7034851</t>
  </si>
  <si>
    <t>07/21/2023</t>
  </si>
  <si>
    <t>07/24/2023</t>
  </si>
  <si>
    <t>06/24/2025</t>
  </si>
  <si>
    <t>MARIA LOURDES PEREZ</t>
  </si>
  <si>
    <t>CLI7373856</t>
  </si>
  <si>
    <t>06/10/2025</t>
  </si>
  <si>
    <t>07/10/2025</t>
  </si>
  <si>
    <t>ELLIS DANIELS</t>
  </si>
  <si>
    <t>CLI7325934</t>
  </si>
  <si>
    <t>03/10/2025</t>
  </si>
  <si>
    <t>ANTONIO BOSTON</t>
  </si>
  <si>
    <t>CLI7357396</t>
  </si>
  <si>
    <t>05/08/2025</t>
  </si>
  <si>
    <t>Cancer Insurance</t>
  </si>
  <si>
    <t>05/10/2025</t>
  </si>
  <si>
    <t xml:space="preserve">CHAS PLUS CANCER ONLY         </t>
  </si>
  <si>
    <t>KAMAL ABRO</t>
  </si>
  <si>
    <t>CLI7287007</t>
  </si>
  <si>
    <t>GNW6114443</t>
  </si>
  <si>
    <t>KIMBERLY DICKERSON</t>
  </si>
  <si>
    <t>JASWINDER KAUR</t>
  </si>
  <si>
    <t>CLI6991416</t>
  </si>
  <si>
    <t>04/10/2023</t>
  </si>
  <si>
    <t>JEANNE KING</t>
  </si>
  <si>
    <t>CLI7298955</t>
  </si>
  <si>
    <t>01/14/2025</t>
  </si>
  <si>
    <t>01/20/2025</t>
  </si>
  <si>
    <t>07/20/2025</t>
  </si>
  <si>
    <t>GNW5014846</t>
  </si>
  <si>
    <t>RICARDO SANTOS</t>
  </si>
  <si>
    <t>JOHN SMITH</t>
  </si>
  <si>
    <t>CLI7237542</t>
  </si>
  <si>
    <t>09/30/2024</t>
  </si>
  <si>
    <t>HIP Flex Daily Hospital Indemnity</t>
  </si>
  <si>
    <t>10/01/2024</t>
  </si>
  <si>
    <t xml:space="preserve">DAILY HOSPITAL INDEMNITY      </t>
  </si>
  <si>
    <t>SHERRY THOMAS</t>
  </si>
  <si>
    <t>AHC6736603</t>
  </si>
  <si>
    <t>09/20/2024</t>
  </si>
  <si>
    <t>Medicare Supplement Plan N</t>
  </si>
  <si>
    <t>30.00%</t>
  </si>
  <si>
    <t xml:space="preserve">Med Supp Plan N 2010          </t>
  </si>
  <si>
    <t>CLI7335645</t>
  </si>
  <si>
    <t>LYQA ABRO</t>
  </si>
  <si>
    <t>CLI7287038</t>
  </si>
  <si>
    <t>GNW5020386</t>
  </si>
  <si>
    <t>FRANK LISKOVEC</t>
  </si>
  <si>
    <t>MARGARET DOYLE</t>
  </si>
  <si>
    <t>CLI7254461</t>
  </si>
  <si>
    <t>10/28/2024</t>
  </si>
  <si>
    <t>Home Care Plus</t>
  </si>
  <si>
    <t xml:space="preserve">Home Care Plus                </t>
  </si>
  <si>
    <t>JACK EDDINGER</t>
  </si>
  <si>
    <t>CLI7205046</t>
  </si>
  <si>
    <t>07/25/2024</t>
  </si>
  <si>
    <t>07/26/2024</t>
  </si>
  <si>
    <t>06/26/2025</t>
  </si>
  <si>
    <t>NIYA OTIS</t>
  </si>
  <si>
    <t>CLI7046553</t>
  </si>
  <si>
    <t>08/18/2023</t>
  </si>
  <si>
    <t>CLI7357397</t>
  </si>
  <si>
    <t>MELISSA ROTUNNO</t>
  </si>
  <si>
    <t>CLI7123186</t>
  </si>
  <si>
    <t>Dental Only 1500</t>
  </si>
  <si>
    <t>02/10/2024</t>
  </si>
  <si>
    <t xml:space="preserve">Dental Only 1500 MD           </t>
  </si>
  <si>
    <t>CLI7335644</t>
  </si>
  <si>
    <t>WILLIAM KRATZER</t>
  </si>
  <si>
    <t>CLI7304885</t>
  </si>
  <si>
    <t>01/27/2025</t>
  </si>
  <si>
    <t>GNW5002731</t>
  </si>
  <si>
    <t>LANEECE WHITE</t>
  </si>
  <si>
    <t>ETENSHE WURGASSA</t>
  </si>
  <si>
    <t>CLI7088229</t>
  </si>
  <si>
    <t>11/16/2023</t>
  </si>
  <si>
    <t>CLI7264368</t>
  </si>
  <si>
    <t>91.00%</t>
  </si>
  <si>
    <t>CLI7391561</t>
  </si>
  <si>
    <t>Cancer and Heart Attack or Stroke 100%</t>
  </si>
  <si>
    <t>Dental, Vision, and Hearing Plus</t>
  </si>
  <si>
    <t>Hospital Indemnity-AL, AR, DE, GA, ID, IL, IN, KS, KY, etc.</t>
  </si>
  <si>
    <t>Cancer and Heart</t>
  </si>
  <si>
    <t>DVH PLUS 3000</t>
  </si>
  <si>
    <t>Aetna Senior OVR</t>
  </si>
  <si>
    <t>Hospital Indemnity Flex: AZ, CT, FL, IA, MA, MD, MI, ND, NH, SC, UT, VA, VT</t>
  </si>
  <si>
    <t>Medicare Supplement Plan N 30%</t>
  </si>
  <si>
    <t>Cancer and Heart Attack or Stroke Plus</t>
  </si>
  <si>
    <t>Cancer and Heart Attack or Stroke 105</t>
  </si>
  <si>
    <t>product</t>
  </si>
  <si>
    <t>Ricardo  Santos</t>
  </si>
  <si>
    <t>Ronald  Max</t>
  </si>
  <si>
    <t xml:space="preserve">Ryan Caltagirone </t>
  </si>
  <si>
    <t>Matthew Daughterty</t>
  </si>
  <si>
    <t>Christian Taugner</t>
  </si>
  <si>
    <t>Aidan  Barber</t>
  </si>
  <si>
    <t>Mainline Benefits</t>
  </si>
  <si>
    <t>paid to date</t>
  </si>
  <si>
    <t>paycode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</si>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</sst>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indexed="9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0" fontId="0" fillId="0" borderId="0" xfId="0" applyNumberFormat="1" applyAlignment="1">
      <alignment horizontal="left"/>
    </xf>
    <xf numFmtId="10" fontId="0" fillId="3" borderId="0" xfId="0" applyNumberFormat="1" applyFill="1" applyAlignment="1">
      <alignment horizontal="left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4" borderId="0" xfId="0" applyFill="1"/>
    <xf numFmtId="14" fontId="0" fillId="0" borderId="0" xfId="0" applyNumberFormat="1" applyAlignment="1">
      <alignment horizontal="left"/>
    </xf>
    <xf numFmtId="1" fontId="10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/>
    <xf numFmtId="14" fontId="0" fillId="4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t roster"/>
      <sheetName val="Sheet2"/>
    </sheetNames>
    <sheetDataSet>
      <sheetData sheetId="0" refreshError="1"/>
      <sheetData sheetId="1">
        <row r="2">
          <cell r="A2" t="str">
            <v>Adam Richter</v>
          </cell>
          <cell r="B2">
            <v>9079571</v>
          </cell>
        </row>
        <row r="3">
          <cell r="A3" t="str">
            <v>Aidan  Barber</v>
          </cell>
          <cell r="B3">
            <v>20769090</v>
          </cell>
        </row>
        <row r="4">
          <cell r="A4" t="str">
            <v>Alan Cousar</v>
          </cell>
          <cell r="B4">
            <v>9544903</v>
          </cell>
        </row>
        <row r="5">
          <cell r="A5" t="str">
            <v>Alison Luse</v>
          </cell>
          <cell r="B5">
            <v>9254978</v>
          </cell>
        </row>
        <row r="6">
          <cell r="A6" t="str">
            <v>Ami De Rama</v>
          </cell>
          <cell r="B6">
            <v>5859730</v>
          </cell>
        </row>
        <row r="7">
          <cell r="A7" t="str">
            <v>Anand Munkhbaatar</v>
          </cell>
          <cell r="B7" t="str">
            <v>NA</v>
          </cell>
        </row>
        <row r="8">
          <cell r="A8" t="str">
            <v>Andrea Petrungaro</v>
          </cell>
          <cell r="B8">
            <v>16912722</v>
          </cell>
        </row>
        <row r="9">
          <cell r="A9" t="str">
            <v>Andrew  Goodman</v>
          </cell>
          <cell r="B9">
            <v>593918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Anne Marie Kozacheck</v>
          </cell>
          <cell r="B11">
            <v>19278370</v>
          </cell>
        </row>
        <row r="12">
          <cell r="A12" t="str">
            <v>Anthony Hunsberger</v>
          </cell>
          <cell r="B12">
            <v>7146581</v>
          </cell>
        </row>
        <row r="13">
          <cell r="A13" t="str">
            <v>Antonia Nevaraz</v>
          </cell>
          <cell r="B13">
            <v>21646325</v>
          </cell>
        </row>
        <row r="14">
          <cell r="A14" t="str">
            <v>Arnold  Aloff</v>
          </cell>
          <cell r="B14">
            <v>3475518</v>
          </cell>
        </row>
        <row r="15">
          <cell r="A15" t="str">
            <v>Ashley Teipel</v>
          </cell>
          <cell r="B15">
            <v>20436925</v>
          </cell>
        </row>
        <row r="16">
          <cell r="A16" t="str">
            <v>Barry Brenner</v>
          </cell>
          <cell r="B16">
            <v>21348299</v>
          </cell>
        </row>
        <row r="17">
          <cell r="A17" t="str">
            <v>Barry Schumann</v>
          </cell>
          <cell r="B17">
            <v>19586992</v>
          </cell>
        </row>
        <row r="18">
          <cell r="A18" t="str">
            <v>Brian  Strohman</v>
          </cell>
          <cell r="B18">
            <v>21104854</v>
          </cell>
        </row>
        <row r="19">
          <cell r="A19" t="str">
            <v>Brian Raughter</v>
          </cell>
          <cell r="B19">
            <v>18406006</v>
          </cell>
        </row>
        <row r="20">
          <cell r="A20" t="str">
            <v>Brittany Oliver</v>
          </cell>
          <cell r="B20">
            <v>17554531</v>
          </cell>
        </row>
        <row r="21">
          <cell r="A21" t="str">
            <v>Carol Foley</v>
          </cell>
          <cell r="B21">
            <v>17425766</v>
          </cell>
        </row>
        <row r="22">
          <cell r="A22" t="str">
            <v>Carol Fritz</v>
          </cell>
          <cell r="B22">
            <v>19268643</v>
          </cell>
        </row>
        <row r="23">
          <cell r="A23" t="str">
            <v>Carolyn  Wilson Smith</v>
          </cell>
          <cell r="B23">
            <v>7387433</v>
          </cell>
        </row>
        <row r="24">
          <cell r="A24" t="str">
            <v>Cathy Lemon</v>
          </cell>
          <cell r="B24">
            <v>17195620</v>
          </cell>
        </row>
        <row r="25">
          <cell r="A25" t="str">
            <v>Chad Bender</v>
          </cell>
          <cell r="B25">
            <v>18598357</v>
          </cell>
        </row>
        <row r="26">
          <cell r="A26" t="str">
            <v>Chad Yale</v>
          </cell>
          <cell r="B26">
            <v>20003537</v>
          </cell>
        </row>
        <row r="27">
          <cell r="A27" t="str">
            <v>Cheryl Frazier</v>
          </cell>
          <cell r="B27">
            <v>8499606</v>
          </cell>
        </row>
        <row r="28">
          <cell r="A28" t="str">
            <v>Christian Taugner</v>
          </cell>
          <cell r="B28">
            <v>19681796</v>
          </cell>
        </row>
        <row r="29">
          <cell r="A29" t="str">
            <v>Christopher Brousseau</v>
          </cell>
          <cell r="B29">
            <v>21435997</v>
          </cell>
        </row>
        <row r="30">
          <cell r="A30" t="str">
            <v>Clarissa Powell</v>
          </cell>
          <cell r="B30">
            <v>17785596</v>
          </cell>
        </row>
        <row r="31">
          <cell r="A31" t="str">
            <v>Colleen Finnigan</v>
          </cell>
          <cell r="B31">
            <v>17437820</v>
          </cell>
        </row>
        <row r="32">
          <cell r="A32" t="str">
            <v>Colleen Jerger</v>
          </cell>
          <cell r="B32">
            <v>3333476</v>
          </cell>
        </row>
        <row r="33">
          <cell r="A33" t="str">
            <v>Connor  Green</v>
          </cell>
          <cell r="B33">
            <v>20811434</v>
          </cell>
        </row>
        <row r="34">
          <cell r="A34" t="str">
            <v>Cora Kuykendall</v>
          </cell>
          <cell r="B34">
            <v>22021577</v>
          </cell>
        </row>
        <row r="35">
          <cell r="A35" t="str">
            <v>Curtis Dodd</v>
          </cell>
          <cell r="B35">
            <v>10599300</v>
          </cell>
        </row>
        <row r="36">
          <cell r="A36" t="str">
            <v>Dale Walenga</v>
          </cell>
          <cell r="B36">
            <v>8325282</v>
          </cell>
        </row>
        <row r="37">
          <cell r="A37" t="str">
            <v>Danna Green</v>
          </cell>
          <cell r="B37">
            <v>16849453</v>
          </cell>
        </row>
        <row r="38">
          <cell r="A38" t="str">
            <v>Deborah Inskipt</v>
          </cell>
          <cell r="B38">
            <v>17528908</v>
          </cell>
        </row>
        <row r="39">
          <cell r="A39" t="str">
            <v>Deborah Powers</v>
          </cell>
          <cell r="B39">
            <v>19606009</v>
          </cell>
        </row>
        <row r="40">
          <cell r="A40" t="str">
            <v>Dennis Holyn</v>
          </cell>
          <cell r="B40">
            <v>7152559</v>
          </cell>
        </row>
        <row r="41">
          <cell r="A41" t="str">
            <v>Diana Zimmerman</v>
          </cell>
          <cell r="B41">
            <v>17640026</v>
          </cell>
        </row>
        <row r="42">
          <cell r="A42" t="str">
            <v>Dolores Dunbar</v>
          </cell>
          <cell r="B42">
            <v>17774994</v>
          </cell>
        </row>
        <row r="43">
          <cell r="A43" t="str">
            <v xml:space="preserve">Eliseo Tajanlangit </v>
          </cell>
          <cell r="B43">
            <v>18207434</v>
          </cell>
        </row>
        <row r="44">
          <cell r="A44" t="str">
            <v>Erica Solivan</v>
          </cell>
          <cell r="B44">
            <v>21605264</v>
          </cell>
        </row>
        <row r="45">
          <cell r="A45" t="str">
            <v>Esther "Estee" Herrera-Larsen</v>
          </cell>
          <cell r="B45">
            <v>17301495</v>
          </cell>
        </row>
        <row r="46">
          <cell r="A46" t="str">
            <v>Frank Liskovec</v>
          </cell>
          <cell r="B46">
            <v>8814784</v>
          </cell>
        </row>
        <row r="47">
          <cell r="A47" t="str">
            <v>Gary  Portugal</v>
          </cell>
          <cell r="B47">
            <v>9213293</v>
          </cell>
        </row>
        <row r="48">
          <cell r="A48" t="str">
            <v>Greg Teipel</v>
          </cell>
          <cell r="B48">
            <v>8307933</v>
          </cell>
        </row>
        <row r="49">
          <cell r="A49" t="str">
            <v>Gregg Arenson</v>
          </cell>
          <cell r="B49">
            <v>20776610</v>
          </cell>
        </row>
        <row r="50">
          <cell r="A50" t="str">
            <v>Gregory Hansford</v>
          </cell>
          <cell r="B50">
            <v>17094718</v>
          </cell>
        </row>
        <row r="51">
          <cell r="A51" t="str">
            <v>Heather Geske</v>
          </cell>
          <cell r="B51">
            <v>16865615</v>
          </cell>
        </row>
        <row r="52">
          <cell r="A52" t="str">
            <v>Heidi Berthelsen</v>
          </cell>
          <cell r="B52">
            <v>19617796</v>
          </cell>
        </row>
        <row r="53">
          <cell r="A53" t="str">
            <v>Ines Berg</v>
          </cell>
          <cell r="B53">
            <v>17117649</v>
          </cell>
        </row>
        <row r="54">
          <cell r="A54" t="str">
            <v>Jack  Jerger</v>
          </cell>
          <cell r="B54" t="str">
            <v>NA</v>
          </cell>
        </row>
        <row r="55">
          <cell r="A55" t="str">
            <v>Jacob Yale</v>
          </cell>
          <cell r="B55">
            <v>18754354</v>
          </cell>
        </row>
        <row r="56">
          <cell r="A56" t="str">
            <v>Jake Shulman</v>
          </cell>
          <cell r="B56">
            <v>18201929</v>
          </cell>
        </row>
        <row r="57">
          <cell r="A57" t="str">
            <v>Jalyne Vogel</v>
          </cell>
          <cell r="B57" t="str">
            <v>?</v>
          </cell>
        </row>
        <row r="58">
          <cell r="A58" t="str">
            <v>James Allen</v>
          </cell>
          <cell r="B58">
            <v>17143996</v>
          </cell>
        </row>
        <row r="59">
          <cell r="A59" t="str">
            <v>Jared Kinyua</v>
          </cell>
          <cell r="B59">
            <v>19279958</v>
          </cell>
        </row>
        <row r="60">
          <cell r="A60" t="str">
            <v>Jason Hoffmann</v>
          </cell>
          <cell r="B60">
            <v>15278437</v>
          </cell>
        </row>
        <row r="61">
          <cell r="A61" t="str">
            <v>Jason Roller</v>
          </cell>
          <cell r="B61">
            <v>16228684</v>
          </cell>
        </row>
        <row r="62">
          <cell r="A62" t="str">
            <v>Jeffrey Horn</v>
          </cell>
          <cell r="B62">
            <v>2158366</v>
          </cell>
        </row>
        <row r="63">
          <cell r="A63" t="str">
            <v>Jennifer  Halsaver</v>
          </cell>
          <cell r="B63">
            <v>21564088</v>
          </cell>
        </row>
        <row r="64">
          <cell r="A64" t="str">
            <v>Jennifer  Hunsberger</v>
          </cell>
          <cell r="B64" t="str">
            <v>?</v>
          </cell>
        </row>
        <row r="65">
          <cell r="A65" t="str">
            <v>Jessica Sandifer</v>
          </cell>
          <cell r="B65">
            <v>6115727</v>
          </cell>
        </row>
        <row r="66">
          <cell r="A66" t="str">
            <v>Joel Lee</v>
          </cell>
          <cell r="B66">
            <v>6634327</v>
          </cell>
        </row>
        <row r="67">
          <cell r="A67" t="str">
            <v>John  Karns</v>
          </cell>
          <cell r="B67">
            <v>21128342</v>
          </cell>
        </row>
        <row r="68">
          <cell r="A68" t="str">
            <v>John Kelly</v>
          </cell>
          <cell r="B68" t="str">
            <v>working on license</v>
          </cell>
        </row>
        <row r="69">
          <cell r="A69" t="str">
            <v>John Risely</v>
          </cell>
          <cell r="B69">
            <v>20551344</v>
          </cell>
        </row>
        <row r="70">
          <cell r="A70" t="str">
            <v>John Roken</v>
          </cell>
          <cell r="B70">
            <v>18781057</v>
          </cell>
        </row>
        <row r="71">
          <cell r="A71" t="str">
            <v>Jonathan Aloff</v>
          </cell>
          <cell r="B71">
            <v>16683808</v>
          </cell>
        </row>
        <row r="72">
          <cell r="A72" t="str">
            <v>Jose Torres</v>
          </cell>
          <cell r="B72">
            <v>20212926</v>
          </cell>
        </row>
        <row r="73">
          <cell r="A73" t="str">
            <v>Joseph Sexton</v>
          </cell>
          <cell r="B73">
            <v>21505953</v>
          </cell>
        </row>
        <row r="74">
          <cell r="A74" t="str">
            <v>Josiah  Luse</v>
          </cell>
          <cell r="B74">
            <v>20405298</v>
          </cell>
        </row>
        <row r="75">
          <cell r="A75" t="str">
            <v>Karen  Flowers</v>
          </cell>
        </row>
        <row r="76">
          <cell r="A76" t="str">
            <v>Kasandra Holland</v>
          </cell>
          <cell r="B76">
            <v>21284072</v>
          </cell>
        </row>
        <row r="77">
          <cell r="A77" t="str">
            <v>Katelan Wick</v>
          </cell>
          <cell r="B77">
            <v>19271047</v>
          </cell>
        </row>
        <row r="78">
          <cell r="A78" t="str">
            <v xml:space="preserve">Katelenn Caltagirone </v>
          </cell>
          <cell r="B78">
            <v>20436896</v>
          </cell>
        </row>
        <row r="79">
          <cell r="A79" t="str">
            <v>Kenneth Weitzman</v>
          </cell>
          <cell r="B79">
            <v>17516272</v>
          </cell>
        </row>
        <row r="80">
          <cell r="A80" t="str">
            <v>Kimberly Dickerson</v>
          </cell>
          <cell r="B80">
            <v>16243811</v>
          </cell>
        </row>
        <row r="81">
          <cell r="A81" t="str">
            <v>Kimberly Edwards</v>
          </cell>
          <cell r="B81">
            <v>21128256</v>
          </cell>
        </row>
        <row r="82">
          <cell r="A82" t="str">
            <v>Kimberly Foley</v>
          </cell>
          <cell r="B82">
            <v>21577652</v>
          </cell>
        </row>
        <row r="83">
          <cell r="A83" t="str">
            <v>Kirk Tigue</v>
          </cell>
          <cell r="B83">
            <v>21421111</v>
          </cell>
        </row>
        <row r="84">
          <cell r="A84" t="str">
            <v>KLAUS HERCHENRODER</v>
          </cell>
          <cell r="B84">
            <v>14936854</v>
          </cell>
        </row>
        <row r="85">
          <cell r="A85" t="str">
            <v>LaNeece White</v>
          </cell>
          <cell r="B85">
            <v>13496370</v>
          </cell>
        </row>
        <row r="86">
          <cell r="A86" t="str">
            <v>Latesha Rose</v>
          </cell>
          <cell r="B86">
            <v>21436172</v>
          </cell>
        </row>
        <row r="87">
          <cell r="A87" t="str">
            <v>Laurie Casta</v>
          </cell>
          <cell r="B87">
            <v>20697692</v>
          </cell>
        </row>
        <row r="88">
          <cell r="A88" t="str">
            <v>Leandrus Gaskins</v>
          </cell>
          <cell r="B88">
            <v>19642342</v>
          </cell>
        </row>
        <row r="89">
          <cell r="A89" t="str">
            <v>Lensie Gonzalez</v>
          </cell>
          <cell r="B89">
            <v>17859093</v>
          </cell>
        </row>
        <row r="90">
          <cell r="A90" t="str">
            <v>Linda  Wolfson</v>
          </cell>
          <cell r="B90" t="str">
            <v>NA</v>
          </cell>
        </row>
        <row r="91">
          <cell r="A91" t="str">
            <v>Lori Tunstall</v>
          </cell>
          <cell r="B91">
            <v>18134413</v>
          </cell>
        </row>
        <row r="92">
          <cell r="A92" t="str">
            <v>Luis Ybanez</v>
          </cell>
          <cell r="B92">
            <v>15735937</v>
          </cell>
        </row>
        <row r="93">
          <cell r="A93" t="str">
            <v>Maggie Smith</v>
          </cell>
          <cell r="B93">
            <v>20253958</v>
          </cell>
        </row>
        <row r="94">
          <cell r="A94" t="str">
            <v>Margaret Finnegan</v>
          </cell>
          <cell r="B94">
            <v>19861194</v>
          </cell>
        </row>
        <row r="95">
          <cell r="A95" t="str">
            <v>Marina Obrien</v>
          </cell>
          <cell r="B95">
            <v>16865242</v>
          </cell>
        </row>
        <row r="96">
          <cell r="A96" t="str">
            <v>Marissa Porraz</v>
          </cell>
          <cell r="B96" t="str">
            <v>?</v>
          </cell>
        </row>
        <row r="97">
          <cell r="A97" t="str">
            <v>Mark  Roccia</v>
          </cell>
          <cell r="B97">
            <v>21618313</v>
          </cell>
        </row>
        <row r="98">
          <cell r="A98" t="str">
            <v>Marsha  Sanderock</v>
          </cell>
          <cell r="B98">
            <v>20724564</v>
          </cell>
        </row>
        <row r="99">
          <cell r="A99" t="str">
            <v>Matthew Daughterty</v>
          </cell>
          <cell r="B99">
            <v>1706194</v>
          </cell>
        </row>
        <row r="100">
          <cell r="A100" t="str">
            <v>Matthew Wasserman</v>
          </cell>
          <cell r="B100">
            <v>21247158</v>
          </cell>
        </row>
        <row r="101">
          <cell r="A101" t="str">
            <v>Melissa  Tatro</v>
          </cell>
          <cell r="B101">
            <v>14177521</v>
          </cell>
        </row>
        <row r="102">
          <cell r="A102" t="str">
            <v>Michael Dunavant</v>
          </cell>
          <cell r="B102">
            <v>18828278</v>
          </cell>
        </row>
        <row r="103">
          <cell r="A103" t="str">
            <v>Michael Foley</v>
          </cell>
          <cell r="B103">
            <v>20995076</v>
          </cell>
        </row>
        <row r="104">
          <cell r="A104" t="str">
            <v>Michael Garnett</v>
          </cell>
          <cell r="B104">
            <v>21222981</v>
          </cell>
        </row>
        <row r="105">
          <cell r="A105" t="str">
            <v>Michael Lutz</v>
          </cell>
          <cell r="B105">
            <v>16751785</v>
          </cell>
        </row>
        <row r="106">
          <cell r="A106" t="str">
            <v>Michael Semprevivo</v>
          </cell>
          <cell r="B106">
            <v>6375605</v>
          </cell>
        </row>
        <row r="107">
          <cell r="A107" t="str">
            <v xml:space="preserve">Michael Wilston </v>
          </cell>
          <cell r="B107">
            <v>20178878</v>
          </cell>
        </row>
        <row r="108">
          <cell r="A108" t="str">
            <v>Michelle Hamel</v>
          </cell>
          <cell r="B108">
            <v>20591229</v>
          </cell>
        </row>
        <row r="109">
          <cell r="A109" t="str">
            <v>Michelle McCorkle</v>
          </cell>
          <cell r="B109">
            <v>18710070</v>
          </cell>
        </row>
        <row r="110">
          <cell r="A110" t="str">
            <v>Murray  Sterner</v>
          </cell>
          <cell r="B110">
            <v>16212649</v>
          </cell>
        </row>
        <row r="111">
          <cell r="A111" t="str">
            <v>Mya Fritchman</v>
          </cell>
          <cell r="B111" t="str">
            <v>?</v>
          </cell>
        </row>
        <row r="112">
          <cell r="A112" t="str">
            <v>Nasandelger Zana</v>
          </cell>
          <cell r="B112">
            <v>20220688</v>
          </cell>
        </row>
        <row r="113">
          <cell r="A113" t="str">
            <v>Nava Livne</v>
          </cell>
          <cell r="B113">
            <v>20552652</v>
          </cell>
        </row>
        <row r="114">
          <cell r="A114" t="str">
            <v>Noah Dionesotes</v>
          </cell>
          <cell r="B114">
            <v>21607778</v>
          </cell>
        </row>
        <row r="115">
          <cell r="A115" t="str">
            <v>Odeny  Fernandez</v>
          </cell>
          <cell r="B115">
            <v>18155813</v>
          </cell>
        </row>
        <row r="116">
          <cell r="A116" t="str">
            <v>Odmaa "Emma" Enkhtur</v>
          </cell>
          <cell r="B116">
            <v>20999157</v>
          </cell>
        </row>
        <row r="117">
          <cell r="A117" t="str">
            <v>Pamela Deaton</v>
          </cell>
          <cell r="B117">
            <v>8244481</v>
          </cell>
        </row>
        <row r="118">
          <cell r="A118" t="str">
            <v>Patricia  Long</v>
          </cell>
          <cell r="B118">
            <v>18794740</v>
          </cell>
        </row>
        <row r="119">
          <cell r="A119" t="str">
            <v>Patrick Byrne</v>
          </cell>
          <cell r="B119">
            <v>16615811</v>
          </cell>
        </row>
        <row r="120">
          <cell r="A120" t="str">
            <v>Patsamon Thanadabouth</v>
          </cell>
          <cell r="B120">
            <v>8405446</v>
          </cell>
        </row>
        <row r="121">
          <cell r="A121" t="str">
            <v>Paul Berk</v>
          </cell>
          <cell r="B121">
            <v>2048099</v>
          </cell>
        </row>
        <row r="122">
          <cell r="A122" t="str">
            <v>Paul Robinson</v>
          </cell>
          <cell r="B122">
            <v>16983460</v>
          </cell>
        </row>
        <row r="123">
          <cell r="A123" t="str">
            <v>Peggy Kolanko</v>
          </cell>
          <cell r="B123">
            <v>1250871</v>
          </cell>
        </row>
        <row r="124">
          <cell r="A124" t="str">
            <v>Peter Elvart</v>
          </cell>
          <cell r="B124">
            <v>6778759</v>
          </cell>
        </row>
        <row r="125">
          <cell r="A125" t="str">
            <v>Peter Richter</v>
          </cell>
          <cell r="B125">
            <v>16509456</v>
          </cell>
        </row>
        <row r="126">
          <cell r="A126" t="str">
            <v>Randy Tapper</v>
          </cell>
          <cell r="B126">
            <v>18935660</v>
          </cell>
        </row>
        <row r="127">
          <cell r="A127" t="str">
            <v>Ricardo  Santos</v>
          </cell>
          <cell r="B127">
            <v>19200754</v>
          </cell>
        </row>
        <row r="128">
          <cell r="A128" t="str">
            <v>Richard  Yale</v>
          </cell>
          <cell r="B128">
            <v>16633294</v>
          </cell>
        </row>
        <row r="129">
          <cell r="A129" t="str">
            <v>Richard Skarnulis</v>
          </cell>
          <cell r="B129">
            <v>13374569</v>
          </cell>
        </row>
        <row r="130">
          <cell r="A130" t="str">
            <v>Richard Wuensch</v>
          </cell>
          <cell r="B130">
            <v>19615078</v>
          </cell>
        </row>
        <row r="131">
          <cell r="A131" t="str">
            <v>Robert  Sievewright</v>
          </cell>
          <cell r="B131">
            <v>7307857</v>
          </cell>
        </row>
        <row r="132">
          <cell r="A132" t="str">
            <v>Robert Adcock</v>
          </cell>
          <cell r="B132">
            <v>20872981</v>
          </cell>
        </row>
        <row r="133">
          <cell r="A133" t="str">
            <v>Robert Shapiro</v>
          </cell>
          <cell r="B133">
            <v>7565575</v>
          </cell>
        </row>
        <row r="134">
          <cell r="A134" t="str">
            <v>Ronald  Max</v>
          </cell>
          <cell r="B134">
            <v>5442438</v>
          </cell>
        </row>
        <row r="135">
          <cell r="A135" t="str">
            <v xml:space="preserve">Ryan Caltagirone </v>
          </cell>
          <cell r="B135">
            <v>8977234</v>
          </cell>
        </row>
        <row r="136">
          <cell r="A136" t="str">
            <v>Ryan Stocker</v>
          </cell>
          <cell r="B136">
            <v>15950276</v>
          </cell>
        </row>
        <row r="137">
          <cell r="A137" t="str">
            <v>Saadia Abdul</v>
          </cell>
          <cell r="B137">
            <v>19396223</v>
          </cell>
        </row>
        <row r="138">
          <cell r="A138" t="str">
            <v>Sandra Sentman</v>
          </cell>
          <cell r="B138">
            <v>21475206</v>
          </cell>
        </row>
        <row r="139">
          <cell r="A139" t="str">
            <v>Scott Aguglia</v>
          </cell>
          <cell r="B139">
            <v>8971826</v>
          </cell>
        </row>
        <row r="140">
          <cell r="A140" t="str">
            <v>Scott Fine</v>
          </cell>
          <cell r="B140">
            <v>19106640</v>
          </cell>
        </row>
        <row r="141">
          <cell r="A141" t="str">
            <v>Shannon Stump</v>
          </cell>
          <cell r="B141">
            <v>18943687</v>
          </cell>
        </row>
        <row r="142">
          <cell r="A142" t="str">
            <v>Shawn Gastelo</v>
          </cell>
          <cell r="B142">
            <v>21122864</v>
          </cell>
        </row>
        <row r="143">
          <cell r="A143" t="str">
            <v>Stacey Portugal</v>
          </cell>
          <cell r="B143">
            <v>19645587</v>
          </cell>
        </row>
        <row r="144">
          <cell r="A144" t="str">
            <v>Stephanie Drapac</v>
          </cell>
          <cell r="B144">
            <v>17126004</v>
          </cell>
        </row>
        <row r="145">
          <cell r="A145" t="str">
            <v>Steven  Brandt</v>
          </cell>
          <cell r="B145">
            <v>19491313</v>
          </cell>
        </row>
        <row r="146">
          <cell r="A146" t="str">
            <v>Steven  Levin</v>
          </cell>
          <cell r="B146">
            <v>1592053</v>
          </cell>
        </row>
        <row r="147">
          <cell r="A147" t="str">
            <v>Steven Werner</v>
          </cell>
          <cell r="B147">
            <v>19481808</v>
          </cell>
        </row>
        <row r="148">
          <cell r="A148" t="str">
            <v>Taliah  Ferguson</v>
          </cell>
          <cell r="B148">
            <v>21561165</v>
          </cell>
        </row>
        <row r="149">
          <cell r="A149" t="str">
            <v>Teri Foster</v>
          </cell>
          <cell r="B149">
            <v>20098658</v>
          </cell>
        </row>
        <row r="150">
          <cell r="A150" t="str">
            <v>Thomas Bentley</v>
          </cell>
          <cell r="B150">
            <v>2118374</v>
          </cell>
        </row>
        <row r="151">
          <cell r="A151" t="str">
            <v>Thomas Ervolina</v>
          </cell>
          <cell r="B151">
            <v>8477730</v>
          </cell>
        </row>
        <row r="152">
          <cell r="A152" t="str">
            <v>Thomas Kucan</v>
          </cell>
          <cell r="B152">
            <v>16202925</v>
          </cell>
        </row>
        <row r="153">
          <cell r="A153" t="str">
            <v>Thomas Serio</v>
          </cell>
          <cell r="B153">
            <v>20490188</v>
          </cell>
        </row>
        <row r="154">
          <cell r="A154" t="str">
            <v>Timothy Hodgman</v>
          </cell>
          <cell r="B154">
            <v>18581063</v>
          </cell>
        </row>
        <row r="155">
          <cell r="A155" t="str">
            <v>Timothy Merced</v>
          </cell>
          <cell r="B155">
            <v>17418075</v>
          </cell>
        </row>
        <row r="156">
          <cell r="A156" t="str">
            <v>Timothy Powers</v>
          </cell>
          <cell r="B156">
            <v>17886092</v>
          </cell>
        </row>
        <row r="157">
          <cell r="A157" t="str">
            <v>Tom Pardue</v>
          </cell>
          <cell r="B157">
            <v>371819</v>
          </cell>
        </row>
        <row r="158">
          <cell r="A158" t="str">
            <v>Traci Barton</v>
          </cell>
          <cell r="B158">
            <v>20678727</v>
          </cell>
        </row>
        <row r="159">
          <cell r="A159" t="str">
            <v>Victor  Fuentes</v>
          </cell>
          <cell r="B159">
            <v>21283956</v>
          </cell>
        </row>
        <row r="160">
          <cell r="A160" t="str">
            <v>Wesley Ellis</v>
          </cell>
          <cell r="B160">
            <v>19396919</v>
          </cell>
        </row>
        <row r="161">
          <cell r="A161" t="str">
            <v>William  Geske</v>
          </cell>
          <cell r="B161">
            <v>21313588</v>
          </cell>
        </row>
        <row r="162">
          <cell r="A162" t="str">
            <v>William Schaeffer</v>
          </cell>
          <cell r="B162">
            <v>18010408</v>
          </cell>
        </row>
        <row r="163">
          <cell r="A163" t="str">
            <v>Zameer  Kotadia</v>
          </cell>
          <cell r="B163">
            <v>21101146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2"/>
  <sheetViews>
    <sheetView topLeftCell="G1" workbookViewId="0">
      <pane ySplit="2" topLeftCell="A30" activePane="bottomLeft" state="frozen"/>
      <selection pane="bottomLeft" sqref="A1:U62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-53</v>
      </c>
      <c r="N3" s="9" t="s">
        <v>71</v>
      </c>
      <c r="O3" s="9" t="s">
        <v>72</v>
      </c>
      <c r="P3" s="9" t="s">
        <v>73</v>
      </c>
      <c r="Q3" s="11">
        <v>-31.8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2">
        <v>-52.5</v>
      </c>
      <c r="N4" s="10" t="s">
        <v>71</v>
      </c>
      <c r="O4" s="10" t="s">
        <v>86</v>
      </c>
      <c r="P4" s="10" t="s">
        <v>73</v>
      </c>
      <c r="Q4" s="12">
        <v>-3.94</v>
      </c>
      <c r="R4" s="10" t="s">
        <v>74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19</v>
      </c>
      <c r="B5" s="9" t="s">
        <v>60</v>
      </c>
      <c r="C5" s="9" t="s">
        <v>76</v>
      </c>
      <c r="D5" s="9" t="s">
        <v>77</v>
      </c>
      <c r="E5" s="9" t="s">
        <v>78</v>
      </c>
      <c r="F5" s="9" t="s">
        <v>88</v>
      </c>
      <c r="G5" s="9" t="s">
        <v>80</v>
      </c>
      <c r="H5" s="9" t="s">
        <v>81</v>
      </c>
      <c r="I5" s="9" t="s">
        <v>82</v>
      </c>
      <c r="J5" s="9" t="s">
        <v>89</v>
      </c>
      <c r="K5" s="9" t="s">
        <v>84</v>
      </c>
      <c r="L5" s="9" t="s">
        <v>85</v>
      </c>
      <c r="M5" s="11">
        <v>-57.25</v>
      </c>
      <c r="N5" s="9" t="s">
        <v>71</v>
      </c>
      <c r="O5" s="9" t="s">
        <v>86</v>
      </c>
      <c r="P5" s="9" t="s">
        <v>73</v>
      </c>
      <c r="Q5" s="11">
        <v>-4.29</v>
      </c>
      <c r="R5" s="9" t="s">
        <v>74</v>
      </c>
      <c r="S5" s="9" t="s">
        <v>0</v>
      </c>
      <c r="T5" s="9" t="s">
        <v>0</v>
      </c>
      <c r="U5" s="9" t="s">
        <v>90</v>
      </c>
    </row>
    <row r="6" spans="1:21" x14ac:dyDescent="0.25">
      <c r="A6" s="10" t="s">
        <v>19</v>
      </c>
      <c r="B6" s="10" t="s">
        <v>91</v>
      </c>
      <c r="C6" s="10" t="s">
        <v>92</v>
      </c>
      <c r="D6" s="10" t="s">
        <v>93</v>
      </c>
      <c r="E6" s="10" t="s">
        <v>94</v>
      </c>
      <c r="F6" s="10" t="s">
        <v>95</v>
      </c>
      <c r="G6" s="10" t="s">
        <v>65</v>
      </c>
      <c r="H6" s="10" t="s">
        <v>96</v>
      </c>
      <c r="I6" s="10" t="s">
        <v>67</v>
      </c>
      <c r="J6" s="10" t="s">
        <v>97</v>
      </c>
      <c r="K6" s="10" t="s">
        <v>96</v>
      </c>
      <c r="L6" s="10" t="s">
        <v>7</v>
      </c>
      <c r="M6" s="12">
        <v>64.260000000000005</v>
      </c>
      <c r="N6" s="10" t="s">
        <v>71</v>
      </c>
      <c r="O6" s="10" t="s">
        <v>98</v>
      </c>
      <c r="P6" s="10" t="s">
        <v>73</v>
      </c>
      <c r="Q6" s="12">
        <v>36.630000000000003</v>
      </c>
      <c r="R6" s="10" t="s">
        <v>99</v>
      </c>
      <c r="S6" s="10" t="s">
        <v>0</v>
      </c>
      <c r="T6" s="10" t="s">
        <v>0</v>
      </c>
      <c r="U6" s="10" t="s">
        <v>100</v>
      </c>
    </row>
    <row r="7" spans="1:21" x14ac:dyDescent="0.25">
      <c r="A7" s="9" t="s">
        <v>18</v>
      </c>
      <c r="B7" s="9" t="s">
        <v>91</v>
      </c>
      <c r="C7" s="9" t="s">
        <v>101</v>
      </c>
      <c r="D7" s="9" t="s">
        <v>102</v>
      </c>
      <c r="E7" s="9" t="s">
        <v>103</v>
      </c>
      <c r="F7" s="9" t="s">
        <v>104</v>
      </c>
      <c r="G7" s="9" t="s">
        <v>80</v>
      </c>
      <c r="H7" s="9" t="s">
        <v>105</v>
      </c>
      <c r="I7" s="9" t="s">
        <v>106</v>
      </c>
      <c r="J7" s="9" t="s">
        <v>107</v>
      </c>
      <c r="K7" s="9" t="s">
        <v>108</v>
      </c>
      <c r="L7" s="9" t="s">
        <v>109</v>
      </c>
      <c r="M7" s="11">
        <v>142.69</v>
      </c>
      <c r="N7" s="9" t="s">
        <v>71</v>
      </c>
      <c r="O7" s="9" t="s">
        <v>110</v>
      </c>
      <c r="P7" s="9" t="s">
        <v>73</v>
      </c>
      <c r="Q7" s="11">
        <v>2.86</v>
      </c>
      <c r="R7" s="9" t="s">
        <v>99</v>
      </c>
      <c r="S7" s="9" t="s">
        <v>0</v>
      </c>
      <c r="T7" s="9" t="s">
        <v>0</v>
      </c>
      <c r="U7" s="9" t="s">
        <v>111</v>
      </c>
    </row>
    <row r="8" spans="1:21" x14ac:dyDescent="0.25">
      <c r="A8" s="10" t="s">
        <v>19</v>
      </c>
      <c r="B8" s="10" t="s">
        <v>91</v>
      </c>
      <c r="C8" s="10" t="s">
        <v>112</v>
      </c>
      <c r="D8" s="10" t="s">
        <v>113</v>
      </c>
      <c r="E8" s="10" t="s">
        <v>114</v>
      </c>
      <c r="F8" s="10" t="s">
        <v>115</v>
      </c>
      <c r="G8" s="10" t="s">
        <v>65</v>
      </c>
      <c r="H8" s="10" t="s">
        <v>116</v>
      </c>
      <c r="I8" s="10" t="s">
        <v>117</v>
      </c>
      <c r="J8" s="10" t="s">
        <v>68</v>
      </c>
      <c r="K8" s="10" t="s">
        <v>118</v>
      </c>
      <c r="L8" s="10" t="s">
        <v>109</v>
      </c>
      <c r="M8" s="12">
        <v>22.7</v>
      </c>
      <c r="N8" s="10" t="s">
        <v>71</v>
      </c>
      <c r="O8" s="10" t="s">
        <v>119</v>
      </c>
      <c r="P8" s="10" t="s">
        <v>73</v>
      </c>
      <c r="Q8" s="12">
        <v>14.19</v>
      </c>
      <c r="R8" s="10" t="s">
        <v>99</v>
      </c>
      <c r="S8" s="10" t="s">
        <v>0</v>
      </c>
      <c r="T8" s="10" t="s">
        <v>0</v>
      </c>
      <c r="U8" s="10" t="s">
        <v>75</v>
      </c>
    </row>
    <row r="9" spans="1:21" x14ac:dyDescent="0.25">
      <c r="A9" s="9" t="s">
        <v>19</v>
      </c>
      <c r="B9" s="9" t="s">
        <v>91</v>
      </c>
      <c r="C9" s="9" t="s">
        <v>112</v>
      </c>
      <c r="D9" s="9" t="s">
        <v>113</v>
      </c>
      <c r="E9" s="9" t="s">
        <v>114</v>
      </c>
      <c r="F9" s="9" t="s">
        <v>115</v>
      </c>
      <c r="G9" s="9" t="s">
        <v>65</v>
      </c>
      <c r="H9" s="9" t="s">
        <v>116</v>
      </c>
      <c r="I9" s="9" t="s">
        <v>117</v>
      </c>
      <c r="J9" s="9" t="s">
        <v>68</v>
      </c>
      <c r="K9" s="9" t="s">
        <v>118</v>
      </c>
      <c r="L9" s="9" t="s">
        <v>109</v>
      </c>
      <c r="M9" s="11">
        <v>86.93</v>
      </c>
      <c r="N9" s="9" t="s">
        <v>71</v>
      </c>
      <c r="O9" s="9" t="s">
        <v>119</v>
      </c>
      <c r="P9" s="9" t="s">
        <v>73</v>
      </c>
      <c r="Q9" s="11">
        <v>54.33</v>
      </c>
      <c r="R9" s="9" t="s">
        <v>99</v>
      </c>
      <c r="S9" s="9" t="s">
        <v>0</v>
      </c>
      <c r="T9" s="9" t="s">
        <v>0</v>
      </c>
      <c r="U9" s="9" t="s">
        <v>75</v>
      </c>
    </row>
    <row r="10" spans="1:21" x14ac:dyDescent="0.25">
      <c r="A10" s="10" t="s">
        <v>18</v>
      </c>
      <c r="B10" s="10" t="s">
        <v>91</v>
      </c>
      <c r="C10" s="10" t="s">
        <v>120</v>
      </c>
      <c r="D10" s="10" t="s">
        <v>121</v>
      </c>
      <c r="E10" s="10" t="s">
        <v>122</v>
      </c>
      <c r="F10" s="10" t="s">
        <v>123</v>
      </c>
      <c r="G10" s="10" t="s">
        <v>65</v>
      </c>
      <c r="H10" s="10" t="s">
        <v>124</v>
      </c>
      <c r="I10" s="10" t="s">
        <v>125</v>
      </c>
      <c r="J10" s="10" t="s">
        <v>107</v>
      </c>
      <c r="K10" s="10" t="s">
        <v>118</v>
      </c>
      <c r="L10" s="10" t="s">
        <v>109</v>
      </c>
      <c r="M10" s="12">
        <v>139.6</v>
      </c>
      <c r="N10" s="10" t="s">
        <v>71</v>
      </c>
      <c r="O10" s="10" t="s">
        <v>126</v>
      </c>
      <c r="P10" s="10" t="s">
        <v>73</v>
      </c>
      <c r="Q10" s="12">
        <v>34.9</v>
      </c>
      <c r="R10" s="10" t="s">
        <v>99</v>
      </c>
      <c r="S10" s="10" t="s">
        <v>0</v>
      </c>
      <c r="T10" s="10" t="s">
        <v>0</v>
      </c>
      <c r="U10" s="10" t="s">
        <v>111</v>
      </c>
    </row>
    <row r="11" spans="1:21" x14ac:dyDescent="0.25">
      <c r="A11" s="9" t="s">
        <v>19</v>
      </c>
      <c r="B11" s="9" t="s">
        <v>60</v>
      </c>
      <c r="C11" s="9" t="s">
        <v>127</v>
      </c>
      <c r="D11" s="9" t="s">
        <v>128</v>
      </c>
      <c r="E11" s="9" t="s">
        <v>129</v>
      </c>
      <c r="F11" s="9" t="s">
        <v>130</v>
      </c>
      <c r="G11" s="9" t="s">
        <v>65</v>
      </c>
      <c r="H11" s="9" t="s">
        <v>131</v>
      </c>
      <c r="I11" s="9" t="s">
        <v>132</v>
      </c>
      <c r="J11" s="9" t="s">
        <v>89</v>
      </c>
      <c r="K11" s="9" t="s">
        <v>133</v>
      </c>
      <c r="L11" s="9" t="s">
        <v>85</v>
      </c>
      <c r="M11" s="11">
        <v>-35.42</v>
      </c>
      <c r="N11" s="9" t="s">
        <v>71</v>
      </c>
      <c r="O11" s="9" t="s">
        <v>134</v>
      </c>
      <c r="P11" s="9" t="s">
        <v>73</v>
      </c>
      <c r="Q11" s="11">
        <v>-35.42</v>
      </c>
      <c r="R11" s="9" t="s">
        <v>74</v>
      </c>
      <c r="S11" s="9" t="s">
        <v>0</v>
      </c>
      <c r="T11" s="9" t="s">
        <v>0</v>
      </c>
      <c r="U11" s="9" t="s">
        <v>90</v>
      </c>
    </row>
    <row r="12" spans="1:21" x14ac:dyDescent="0.25">
      <c r="A12" s="10" t="s">
        <v>19</v>
      </c>
      <c r="B12" s="10" t="s">
        <v>60</v>
      </c>
      <c r="C12" s="10" t="s">
        <v>92</v>
      </c>
      <c r="D12" s="10" t="s">
        <v>93</v>
      </c>
      <c r="E12" s="10" t="s">
        <v>135</v>
      </c>
      <c r="F12" s="10" t="s">
        <v>136</v>
      </c>
      <c r="G12" s="10" t="s">
        <v>80</v>
      </c>
      <c r="H12" s="10" t="s">
        <v>137</v>
      </c>
      <c r="I12" s="10" t="s">
        <v>67</v>
      </c>
      <c r="J12" s="10" t="s">
        <v>97</v>
      </c>
      <c r="K12" s="10" t="s">
        <v>138</v>
      </c>
      <c r="L12" s="10" t="s">
        <v>139</v>
      </c>
      <c r="M12" s="12">
        <v>-27.63</v>
      </c>
      <c r="N12" s="10" t="s">
        <v>71</v>
      </c>
      <c r="O12" s="10" t="s">
        <v>140</v>
      </c>
      <c r="P12" s="10" t="s">
        <v>73</v>
      </c>
      <c r="Q12" s="12">
        <v>-1.04</v>
      </c>
      <c r="R12" s="10" t="s">
        <v>99</v>
      </c>
      <c r="S12" s="10" t="s">
        <v>0</v>
      </c>
      <c r="T12" s="10" t="s">
        <v>0</v>
      </c>
      <c r="U12" s="10" t="s">
        <v>100</v>
      </c>
    </row>
    <row r="13" spans="1:21" x14ac:dyDescent="0.25">
      <c r="A13" s="9" t="s">
        <v>19</v>
      </c>
      <c r="B13" s="9" t="s">
        <v>91</v>
      </c>
      <c r="C13" s="9" t="s">
        <v>141</v>
      </c>
      <c r="D13" s="9" t="s">
        <v>142</v>
      </c>
      <c r="E13" s="9" t="s">
        <v>143</v>
      </c>
      <c r="F13" s="9" t="s">
        <v>144</v>
      </c>
      <c r="G13" s="9" t="s">
        <v>80</v>
      </c>
      <c r="H13" s="9" t="s">
        <v>145</v>
      </c>
      <c r="I13" s="9" t="s">
        <v>67</v>
      </c>
      <c r="J13" s="9" t="s">
        <v>146</v>
      </c>
      <c r="K13" s="9" t="s">
        <v>147</v>
      </c>
      <c r="L13" s="9" t="s">
        <v>148</v>
      </c>
      <c r="M13" s="11">
        <v>25.31</v>
      </c>
      <c r="N13" s="9" t="s">
        <v>71</v>
      </c>
      <c r="O13" s="9" t="s">
        <v>140</v>
      </c>
      <c r="P13" s="9" t="s">
        <v>73</v>
      </c>
      <c r="Q13" s="11">
        <v>0.95</v>
      </c>
      <c r="R13" s="9" t="s">
        <v>99</v>
      </c>
      <c r="S13" s="9" t="s">
        <v>0</v>
      </c>
      <c r="T13" s="9" t="s">
        <v>0</v>
      </c>
      <c r="U13" s="9" t="s">
        <v>149</v>
      </c>
    </row>
    <row r="14" spans="1:21" x14ac:dyDescent="0.25">
      <c r="A14" s="10" t="s">
        <v>19</v>
      </c>
      <c r="B14" s="10" t="s">
        <v>91</v>
      </c>
      <c r="C14" s="10" t="s">
        <v>150</v>
      </c>
      <c r="D14" s="10" t="s">
        <v>151</v>
      </c>
      <c r="E14" s="10" t="s">
        <v>152</v>
      </c>
      <c r="F14" s="10" t="s">
        <v>153</v>
      </c>
      <c r="G14" s="10" t="s">
        <v>65</v>
      </c>
      <c r="H14" s="10" t="s">
        <v>154</v>
      </c>
      <c r="I14" s="10" t="s">
        <v>155</v>
      </c>
      <c r="J14" s="10" t="s">
        <v>89</v>
      </c>
      <c r="K14" s="10" t="s">
        <v>118</v>
      </c>
      <c r="L14" s="10" t="s">
        <v>109</v>
      </c>
      <c r="M14" s="12">
        <v>53.12</v>
      </c>
      <c r="N14" s="10" t="s">
        <v>71</v>
      </c>
      <c r="O14" s="10" t="s">
        <v>134</v>
      </c>
      <c r="P14" s="10" t="s">
        <v>73</v>
      </c>
      <c r="Q14" s="12">
        <v>53.12</v>
      </c>
      <c r="R14" s="10" t="s">
        <v>99</v>
      </c>
      <c r="S14" s="10" t="s">
        <v>0</v>
      </c>
      <c r="T14" s="10" t="s">
        <v>0</v>
      </c>
      <c r="U14" s="10" t="s">
        <v>90</v>
      </c>
    </row>
    <row r="15" spans="1:21" x14ac:dyDescent="0.25">
      <c r="A15" s="9" t="s">
        <v>19</v>
      </c>
      <c r="B15" s="9" t="s">
        <v>91</v>
      </c>
      <c r="C15" s="9" t="s">
        <v>156</v>
      </c>
      <c r="D15" s="9" t="s">
        <v>157</v>
      </c>
      <c r="E15" s="9" t="s">
        <v>158</v>
      </c>
      <c r="F15" s="9" t="s">
        <v>159</v>
      </c>
      <c r="G15" s="9" t="s">
        <v>65</v>
      </c>
      <c r="H15" s="9" t="s">
        <v>160</v>
      </c>
      <c r="I15" s="9" t="s">
        <v>67</v>
      </c>
      <c r="J15" s="9" t="s">
        <v>97</v>
      </c>
      <c r="K15" s="9" t="s">
        <v>118</v>
      </c>
      <c r="L15" s="9" t="s">
        <v>109</v>
      </c>
      <c r="M15" s="11">
        <v>104.59</v>
      </c>
      <c r="N15" s="9" t="s">
        <v>71</v>
      </c>
      <c r="O15" s="9" t="s">
        <v>98</v>
      </c>
      <c r="P15" s="9" t="s">
        <v>73</v>
      </c>
      <c r="Q15" s="11">
        <v>59.62</v>
      </c>
      <c r="R15" s="9" t="s">
        <v>99</v>
      </c>
      <c r="S15" s="9" t="s">
        <v>0</v>
      </c>
      <c r="T15" s="9" t="s">
        <v>0</v>
      </c>
      <c r="U15" s="9" t="s">
        <v>100</v>
      </c>
    </row>
    <row r="16" spans="1:21" x14ac:dyDescent="0.25">
      <c r="A16" s="10" t="s">
        <v>19</v>
      </c>
      <c r="B16" s="10" t="s">
        <v>91</v>
      </c>
      <c r="C16" s="10" t="s">
        <v>92</v>
      </c>
      <c r="D16" s="10" t="s">
        <v>93</v>
      </c>
      <c r="E16" s="10" t="s">
        <v>161</v>
      </c>
      <c r="F16" s="10" t="s">
        <v>162</v>
      </c>
      <c r="G16" s="10" t="s">
        <v>80</v>
      </c>
      <c r="H16" s="10" t="s">
        <v>163</v>
      </c>
      <c r="I16" s="10" t="s">
        <v>67</v>
      </c>
      <c r="J16" s="10" t="s">
        <v>97</v>
      </c>
      <c r="K16" s="10" t="s">
        <v>164</v>
      </c>
      <c r="L16" s="10" t="s">
        <v>109</v>
      </c>
      <c r="M16" s="12">
        <v>27.63</v>
      </c>
      <c r="N16" s="10" t="s">
        <v>71</v>
      </c>
      <c r="O16" s="10" t="s">
        <v>165</v>
      </c>
      <c r="P16" s="10" t="s">
        <v>73</v>
      </c>
      <c r="Q16" s="12">
        <v>0.97</v>
      </c>
      <c r="R16" s="10" t="s">
        <v>99</v>
      </c>
      <c r="S16" s="10" t="s">
        <v>0</v>
      </c>
      <c r="T16" s="10" t="s">
        <v>0</v>
      </c>
      <c r="U16" s="10" t="s">
        <v>100</v>
      </c>
    </row>
    <row r="17" spans="1:21" x14ac:dyDescent="0.25">
      <c r="A17" s="9" t="s">
        <v>19</v>
      </c>
      <c r="B17" s="9" t="s">
        <v>91</v>
      </c>
      <c r="C17" s="9" t="s">
        <v>92</v>
      </c>
      <c r="D17" s="9" t="s">
        <v>93</v>
      </c>
      <c r="E17" s="9" t="s">
        <v>166</v>
      </c>
      <c r="F17" s="9" t="s">
        <v>167</v>
      </c>
      <c r="G17" s="9" t="s">
        <v>80</v>
      </c>
      <c r="H17" s="9" t="s">
        <v>168</v>
      </c>
      <c r="I17" s="9" t="s">
        <v>67</v>
      </c>
      <c r="J17" s="9" t="s">
        <v>97</v>
      </c>
      <c r="K17" s="9" t="s">
        <v>169</v>
      </c>
      <c r="L17" s="9" t="s">
        <v>109</v>
      </c>
      <c r="M17" s="11">
        <v>32.130000000000003</v>
      </c>
      <c r="N17" s="9" t="s">
        <v>71</v>
      </c>
      <c r="O17" s="9" t="s">
        <v>165</v>
      </c>
      <c r="P17" s="9" t="s">
        <v>73</v>
      </c>
      <c r="Q17" s="11">
        <v>1.1200000000000001</v>
      </c>
      <c r="R17" s="9" t="s">
        <v>99</v>
      </c>
      <c r="S17" s="9" t="s">
        <v>0</v>
      </c>
      <c r="T17" s="9" t="s">
        <v>0</v>
      </c>
      <c r="U17" s="9" t="s">
        <v>100</v>
      </c>
    </row>
    <row r="18" spans="1:21" x14ac:dyDescent="0.25">
      <c r="A18" s="10" t="s">
        <v>19</v>
      </c>
      <c r="B18" s="10" t="s">
        <v>91</v>
      </c>
      <c r="C18" s="10" t="s">
        <v>170</v>
      </c>
      <c r="D18" s="10" t="s">
        <v>171</v>
      </c>
      <c r="E18" s="10" t="s">
        <v>172</v>
      </c>
      <c r="F18" s="10" t="s">
        <v>173</v>
      </c>
      <c r="G18" s="10" t="s">
        <v>65</v>
      </c>
      <c r="H18" s="10" t="s">
        <v>174</v>
      </c>
      <c r="I18" s="10" t="s">
        <v>175</v>
      </c>
      <c r="J18" s="10" t="s">
        <v>176</v>
      </c>
      <c r="K18" s="10" t="s">
        <v>177</v>
      </c>
      <c r="L18" s="10" t="s">
        <v>109</v>
      </c>
      <c r="M18" s="12">
        <v>59.19</v>
      </c>
      <c r="N18" s="10" t="s">
        <v>71</v>
      </c>
      <c r="O18" s="10" t="s">
        <v>98</v>
      </c>
      <c r="P18" s="10" t="s">
        <v>73</v>
      </c>
      <c r="Q18" s="12">
        <v>33.74</v>
      </c>
      <c r="R18" s="10" t="s">
        <v>99</v>
      </c>
      <c r="S18" s="10" t="s">
        <v>0</v>
      </c>
      <c r="T18" s="10" t="s">
        <v>0</v>
      </c>
      <c r="U18" s="10" t="s">
        <v>178</v>
      </c>
    </row>
    <row r="19" spans="1:21" x14ac:dyDescent="0.25">
      <c r="A19" s="9" t="s">
        <v>19</v>
      </c>
      <c r="B19" s="9" t="s">
        <v>91</v>
      </c>
      <c r="C19" s="9" t="s">
        <v>92</v>
      </c>
      <c r="D19" s="9" t="s">
        <v>93</v>
      </c>
      <c r="E19" s="9" t="s">
        <v>179</v>
      </c>
      <c r="F19" s="9" t="s">
        <v>180</v>
      </c>
      <c r="G19" s="9" t="s">
        <v>65</v>
      </c>
      <c r="H19" s="9" t="s">
        <v>181</v>
      </c>
      <c r="I19" s="9" t="s">
        <v>67</v>
      </c>
      <c r="J19" s="9" t="s">
        <v>97</v>
      </c>
      <c r="K19" s="9" t="s">
        <v>181</v>
      </c>
      <c r="L19" s="9" t="s">
        <v>182</v>
      </c>
      <c r="M19" s="11">
        <v>32.130000000000003</v>
      </c>
      <c r="N19" s="9" t="s">
        <v>71</v>
      </c>
      <c r="O19" s="9" t="s">
        <v>98</v>
      </c>
      <c r="P19" s="9" t="s">
        <v>73</v>
      </c>
      <c r="Q19" s="11">
        <v>18.309999999999999</v>
      </c>
      <c r="R19" s="9" t="s">
        <v>99</v>
      </c>
      <c r="S19" s="9" t="s">
        <v>0</v>
      </c>
      <c r="T19" s="9" t="s">
        <v>0</v>
      </c>
      <c r="U19" s="9" t="s">
        <v>100</v>
      </c>
    </row>
    <row r="20" spans="1:21" x14ac:dyDescent="0.25">
      <c r="A20" s="10" t="s">
        <v>19</v>
      </c>
      <c r="B20" s="10" t="s">
        <v>91</v>
      </c>
      <c r="C20" s="10" t="s">
        <v>183</v>
      </c>
      <c r="D20" s="10" t="s">
        <v>184</v>
      </c>
      <c r="E20" s="10" t="s">
        <v>185</v>
      </c>
      <c r="F20" s="10" t="s">
        <v>186</v>
      </c>
      <c r="G20" s="10" t="s">
        <v>80</v>
      </c>
      <c r="H20" s="10" t="s">
        <v>187</v>
      </c>
      <c r="I20" s="10" t="s">
        <v>67</v>
      </c>
      <c r="J20" s="10" t="s">
        <v>68</v>
      </c>
      <c r="K20" s="10" t="s">
        <v>188</v>
      </c>
      <c r="L20" s="10" t="s">
        <v>189</v>
      </c>
      <c r="M20" s="12">
        <v>38.67</v>
      </c>
      <c r="N20" s="10" t="s">
        <v>71</v>
      </c>
      <c r="O20" s="10" t="s">
        <v>190</v>
      </c>
      <c r="P20" s="10" t="s">
        <v>73</v>
      </c>
      <c r="Q20" s="12">
        <v>4.6399999999999997</v>
      </c>
      <c r="R20" s="10" t="s">
        <v>99</v>
      </c>
      <c r="S20" s="10" t="s">
        <v>0</v>
      </c>
      <c r="T20" s="10" t="s">
        <v>0</v>
      </c>
      <c r="U20" s="10" t="s">
        <v>75</v>
      </c>
    </row>
    <row r="21" spans="1:21" x14ac:dyDescent="0.25">
      <c r="A21" s="9" t="s">
        <v>19</v>
      </c>
      <c r="B21" s="9" t="s">
        <v>91</v>
      </c>
      <c r="C21" s="9" t="s">
        <v>183</v>
      </c>
      <c r="D21" s="9" t="s">
        <v>184</v>
      </c>
      <c r="E21" s="9" t="s">
        <v>185</v>
      </c>
      <c r="F21" s="9" t="s">
        <v>186</v>
      </c>
      <c r="G21" s="9" t="s">
        <v>80</v>
      </c>
      <c r="H21" s="9" t="s">
        <v>187</v>
      </c>
      <c r="I21" s="9" t="s">
        <v>67</v>
      </c>
      <c r="J21" s="9" t="s">
        <v>68</v>
      </c>
      <c r="K21" s="9" t="s">
        <v>188</v>
      </c>
      <c r="L21" s="9" t="s">
        <v>189</v>
      </c>
      <c r="M21" s="11">
        <v>20.62</v>
      </c>
      <c r="N21" s="9" t="s">
        <v>71</v>
      </c>
      <c r="O21" s="9" t="s">
        <v>190</v>
      </c>
      <c r="P21" s="9" t="s">
        <v>73</v>
      </c>
      <c r="Q21" s="11">
        <v>2.4700000000000002</v>
      </c>
      <c r="R21" s="9" t="s">
        <v>99</v>
      </c>
      <c r="S21" s="9" t="s">
        <v>0</v>
      </c>
      <c r="T21" s="9" t="s">
        <v>0</v>
      </c>
      <c r="U21" s="9" t="s">
        <v>75</v>
      </c>
    </row>
    <row r="22" spans="1:21" x14ac:dyDescent="0.25">
      <c r="A22" s="10" t="s">
        <v>19</v>
      </c>
      <c r="B22" s="10" t="s">
        <v>91</v>
      </c>
      <c r="C22" s="10" t="s">
        <v>92</v>
      </c>
      <c r="D22" s="10" t="s">
        <v>93</v>
      </c>
      <c r="E22" s="10" t="s">
        <v>191</v>
      </c>
      <c r="F22" s="10" t="s">
        <v>192</v>
      </c>
      <c r="G22" s="10" t="s">
        <v>193</v>
      </c>
      <c r="H22" s="10" t="s">
        <v>182</v>
      </c>
      <c r="I22" s="10" t="s">
        <v>67</v>
      </c>
      <c r="J22" s="10" t="s">
        <v>89</v>
      </c>
      <c r="K22" s="10" t="s">
        <v>182</v>
      </c>
      <c r="L22" s="10" t="s">
        <v>182</v>
      </c>
      <c r="M22" s="12">
        <v>46.15</v>
      </c>
      <c r="N22" s="10" t="s">
        <v>71</v>
      </c>
      <c r="O22" s="10" t="s">
        <v>194</v>
      </c>
      <c r="P22" s="10" t="s">
        <v>73</v>
      </c>
      <c r="Q22" s="12">
        <v>43.84</v>
      </c>
      <c r="R22" s="10" t="s">
        <v>99</v>
      </c>
      <c r="S22" s="10" t="s">
        <v>0</v>
      </c>
      <c r="T22" s="10" t="s">
        <v>0</v>
      </c>
      <c r="U22" s="10" t="s">
        <v>90</v>
      </c>
    </row>
    <row r="23" spans="1:21" x14ac:dyDescent="0.25">
      <c r="A23" s="9" t="s">
        <v>19</v>
      </c>
      <c r="B23" s="9" t="s">
        <v>91</v>
      </c>
      <c r="C23" s="9" t="s">
        <v>127</v>
      </c>
      <c r="D23" s="9" t="s">
        <v>128</v>
      </c>
      <c r="E23" s="9" t="s">
        <v>195</v>
      </c>
      <c r="F23" s="9" t="s">
        <v>196</v>
      </c>
      <c r="G23" s="9" t="s">
        <v>193</v>
      </c>
      <c r="H23" s="9" t="s">
        <v>197</v>
      </c>
      <c r="I23" s="9" t="s">
        <v>198</v>
      </c>
      <c r="J23" s="9" t="s">
        <v>89</v>
      </c>
      <c r="K23" s="9" t="s">
        <v>182</v>
      </c>
      <c r="L23" s="9" t="s">
        <v>182</v>
      </c>
      <c r="M23" s="11">
        <v>32.020000000000003</v>
      </c>
      <c r="N23" s="9" t="s">
        <v>71</v>
      </c>
      <c r="O23" s="9" t="s">
        <v>134</v>
      </c>
      <c r="P23" s="9" t="s">
        <v>73</v>
      </c>
      <c r="Q23" s="11">
        <v>32.020000000000003</v>
      </c>
      <c r="R23" s="9" t="s">
        <v>99</v>
      </c>
      <c r="S23" s="9" t="s">
        <v>0</v>
      </c>
      <c r="T23" s="9" t="s">
        <v>0</v>
      </c>
      <c r="U23" s="9" t="s">
        <v>90</v>
      </c>
    </row>
    <row r="24" spans="1:21" x14ac:dyDescent="0.25">
      <c r="A24" s="10" t="s">
        <v>19</v>
      </c>
      <c r="B24" s="10" t="s">
        <v>91</v>
      </c>
      <c r="C24" s="10" t="s">
        <v>199</v>
      </c>
      <c r="D24" s="10" t="s">
        <v>200</v>
      </c>
      <c r="E24" s="10" t="s">
        <v>201</v>
      </c>
      <c r="F24" s="10" t="s">
        <v>202</v>
      </c>
      <c r="G24" s="10" t="s">
        <v>193</v>
      </c>
      <c r="H24" s="10" t="s">
        <v>182</v>
      </c>
      <c r="I24" s="10" t="s">
        <v>203</v>
      </c>
      <c r="J24" s="10" t="s">
        <v>83</v>
      </c>
      <c r="K24" s="10" t="s">
        <v>7</v>
      </c>
      <c r="L24" s="10" t="s">
        <v>7</v>
      </c>
      <c r="M24" s="12">
        <v>27</v>
      </c>
      <c r="N24" s="10" t="s">
        <v>71</v>
      </c>
      <c r="O24" s="10" t="s">
        <v>204</v>
      </c>
      <c r="P24" s="10" t="s">
        <v>73</v>
      </c>
      <c r="Q24" s="12">
        <v>28.35</v>
      </c>
      <c r="R24" s="10" t="s">
        <v>99</v>
      </c>
      <c r="S24" s="10" t="s">
        <v>0</v>
      </c>
      <c r="T24" s="10" t="s">
        <v>0</v>
      </c>
      <c r="U24" s="10" t="s">
        <v>87</v>
      </c>
    </row>
    <row r="25" spans="1:21" x14ac:dyDescent="0.25">
      <c r="A25" s="9" t="s">
        <v>19</v>
      </c>
      <c r="B25" s="9" t="s">
        <v>91</v>
      </c>
      <c r="C25" s="9" t="s">
        <v>92</v>
      </c>
      <c r="D25" s="9" t="s">
        <v>93</v>
      </c>
      <c r="E25" s="9" t="s">
        <v>205</v>
      </c>
      <c r="F25" s="9" t="s">
        <v>206</v>
      </c>
      <c r="G25" s="9" t="s">
        <v>80</v>
      </c>
      <c r="H25" s="9" t="s">
        <v>207</v>
      </c>
      <c r="I25" s="9" t="s">
        <v>67</v>
      </c>
      <c r="J25" s="9" t="s">
        <v>97</v>
      </c>
      <c r="K25" s="9" t="s">
        <v>208</v>
      </c>
      <c r="L25" s="9" t="s">
        <v>7</v>
      </c>
      <c r="M25" s="11">
        <v>27.63</v>
      </c>
      <c r="N25" s="9" t="s">
        <v>71</v>
      </c>
      <c r="O25" s="9" t="s">
        <v>165</v>
      </c>
      <c r="P25" s="9" t="s">
        <v>73</v>
      </c>
      <c r="Q25" s="11">
        <v>0.97</v>
      </c>
      <c r="R25" s="9" t="s">
        <v>99</v>
      </c>
      <c r="S25" s="9" t="s">
        <v>0</v>
      </c>
      <c r="T25" s="9" t="s">
        <v>0</v>
      </c>
      <c r="U25" s="9" t="s">
        <v>100</v>
      </c>
    </row>
    <row r="26" spans="1:21" x14ac:dyDescent="0.25">
      <c r="A26" s="10" t="s">
        <v>19</v>
      </c>
      <c r="B26" s="10" t="s">
        <v>91</v>
      </c>
      <c r="C26" s="10" t="s">
        <v>92</v>
      </c>
      <c r="D26" s="10" t="s">
        <v>93</v>
      </c>
      <c r="E26" s="10" t="s">
        <v>209</v>
      </c>
      <c r="F26" s="10" t="s">
        <v>210</v>
      </c>
      <c r="G26" s="10" t="s">
        <v>80</v>
      </c>
      <c r="H26" s="10" t="s">
        <v>211</v>
      </c>
      <c r="I26" s="10" t="s">
        <v>67</v>
      </c>
      <c r="J26" s="10" t="s">
        <v>97</v>
      </c>
      <c r="K26" s="10" t="s">
        <v>212</v>
      </c>
      <c r="L26" s="10" t="s">
        <v>213</v>
      </c>
      <c r="M26" s="12">
        <v>27.63</v>
      </c>
      <c r="N26" s="10" t="s">
        <v>71</v>
      </c>
      <c r="O26" s="10" t="s">
        <v>165</v>
      </c>
      <c r="P26" s="10" t="s">
        <v>73</v>
      </c>
      <c r="Q26" s="12">
        <v>0.97</v>
      </c>
      <c r="R26" s="10" t="s">
        <v>99</v>
      </c>
      <c r="S26" s="10" t="s">
        <v>0</v>
      </c>
      <c r="T26" s="10" t="s">
        <v>0</v>
      </c>
      <c r="U26" s="10" t="s">
        <v>100</v>
      </c>
    </row>
    <row r="27" spans="1:21" x14ac:dyDescent="0.25">
      <c r="A27" s="9" t="s">
        <v>19</v>
      </c>
      <c r="B27" s="9" t="s">
        <v>91</v>
      </c>
      <c r="C27" s="9" t="s">
        <v>183</v>
      </c>
      <c r="D27" s="9" t="s">
        <v>184</v>
      </c>
      <c r="E27" s="9" t="s">
        <v>185</v>
      </c>
      <c r="F27" s="9" t="s">
        <v>186</v>
      </c>
      <c r="G27" s="9" t="s">
        <v>80</v>
      </c>
      <c r="H27" s="9" t="s">
        <v>187</v>
      </c>
      <c r="I27" s="9" t="s">
        <v>67</v>
      </c>
      <c r="J27" s="9" t="s">
        <v>68</v>
      </c>
      <c r="K27" s="9" t="s">
        <v>188</v>
      </c>
      <c r="L27" s="9" t="s">
        <v>189</v>
      </c>
      <c r="M27" s="11">
        <v>47.4</v>
      </c>
      <c r="N27" s="9" t="s">
        <v>71</v>
      </c>
      <c r="O27" s="9" t="s">
        <v>190</v>
      </c>
      <c r="P27" s="9" t="s">
        <v>73</v>
      </c>
      <c r="Q27" s="11">
        <v>5.69</v>
      </c>
      <c r="R27" s="9" t="s">
        <v>99</v>
      </c>
      <c r="S27" s="9" t="s">
        <v>0</v>
      </c>
      <c r="T27" s="9" t="s">
        <v>0</v>
      </c>
      <c r="U27" s="9" t="s">
        <v>75</v>
      </c>
    </row>
    <row r="28" spans="1:21" x14ac:dyDescent="0.25">
      <c r="A28" s="10" t="s">
        <v>19</v>
      </c>
      <c r="B28" s="10" t="s">
        <v>91</v>
      </c>
      <c r="C28" s="10" t="s">
        <v>92</v>
      </c>
      <c r="D28" s="10" t="s">
        <v>93</v>
      </c>
      <c r="E28" s="10" t="s">
        <v>214</v>
      </c>
      <c r="F28" s="10" t="s">
        <v>215</v>
      </c>
      <c r="G28" s="10" t="s">
        <v>80</v>
      </c>
      <c r="H28" s="10" t="s">
        <v>216</v>
      </c>
      <c r="I28" s="10" t="s">
        <v>67</v>
      </c>
      <c r="J28" s="10" t="s">
        <v>97</v>
      </c>
      <c r="K28" s="10" t="s">
        <v>216</v>
      </c>
      <c r="L28" s="10" t="s">
        <v>182</v>
      </c>
      <c r="M28" s="12">
        <v>27.63</v>
      </c>
      <c r="N28" s="10" t="s">
        <v>71</v>
      </c>
      <c r="O28" s="10" t="s">
        <v>140</v>
      </c>
      <c r="P28" s="10" t="s">
        <v>73</v>
      </c>
      <c r="Q28" s="12">
        <v>1.04</v>
      </c>
      <c r="R28" s="10" t="s">
        <v>99</v>
      </c>
      <c r="S28" s="10" t="s">
        <v>0</v>
      </c>
      <c r="T28" s="10" t="s">
        <v>0</v>
      </c>
      <c r="U28" s="10" t="s">
        <v>100</v>
      </c>
    </row>
    <row r="29" spans="1:21" x14ac:dyDescent="0.25">
      <c r="A29" s="9" t="s">
        <v>18</v>
      </c>
      <c r="B29" s="9" t="s">
        <v>91</v>
      </c>
      <c r="C29" s="9" t="s">
        <v>217</v>
      </c>
      <c r="D29" s="9" t="s">
        <v>218</v>
      </c>
      <c r="E29" s="9" t="s">
        <v>219</v>
      </c>
      <c r="F29" s="9" t="s">
        <v>220</v>
      </c>
      <c r="G29" s="9" t="s">
        <v>80</v>
      </c>
      <c r="H29" s="9" t="s">
        <v>221</v>
      </c>
      <c r="I29" s="9" t="s">
        <v>106</v>
      </c>
      <c r="J29" s="9" t="s">
        <v>107</v>
      </c>
      <c r="K29" s="9" t="s">
        <v>222</v>
      </c>
      <c r="L29" s="9" t="s">
        <v>109</v>
      </c>
      <c r="M29" s="11">
        <v>142.61000000000001</v>
      </c>
      <c r="N29" s="9" t="s">
        <v>71</v>
      </c>
      <c r="O29" s="9" t="s">
        <v>223</v>
      </c>
      <c r="P29" s="9" t="s">
        <v>73</v>
      </c>
      <c r="Q29" s="11">
        <v>34.229999999999997</v>
      </c>
      <c r="R29" s="9" t="s">
        <v>99</v>
      </c>
      <c r="S29" s="9" t="s">
        <v>0</v>
      </c>
      <c r="T29" s="9" t="s">
        <v>0</v>
      </c>
      <c r="U29" s="9" t="s">
        <v>224</v>
      </c>
    </row>
    <row r="30" spans="1:21" x14ac:dyDescent="0.25">
      <c r="A30" s="10" t="s">
        <v>19</v>
      </c>
      <c r="B30" s="10" t="s">
        <v>91</v>
      </c>
      <c r="C30" s="10" t="s">
        <v>127</v>
      </c>
      <c r="D30" s="10" t="s">
        <v>128</v>
      </c>
      <c r="E30" s="10" t="s">
        <v>195</v>
      </c>
      <c r="F30" s="10" t="s">
        <v>225</v>
      </c>
      <c r="G30" s="10" t="s">
        <v>193</v>
      </c>
      <c r="H30" s="10" t="s">
        <v>197</v>
      </c>
      <c r="I30" s="10" t="s">
        <v>198</v>
      </c>
      <c r="J30" s="10" t="s">
        <v>83</v>
      </c>
      <c r="K30" s="10" t="s">
        <v>182</v>
      </c>
      <c r="L30" s="10" t="s">
        <v>182</v>
      </c>
      <c r="M30" s="12">
        <v>33.869999999999997</v>
      </c>
      <c r="N30" s="10" t="s">
        <v>71</v>
      </c>
      <c r="O30" s="10" t="s">
        <v>134</v>
      </c>
      <c r="P30" s="10" t="s">
        <v>73</v>
      </c>
      <c r="Q30" s="12">
        <v>33.869999999999997</v>
      </c>
      <c r="R30" s="10" t="s">
        <v>99</v>
      </c>
      <c r="S30" s="10" t="s">
        <v>0</v>
      </c>
      <c r="T30" s="10" t="s">
        <v>0</v>
      </c>
      <c r="U30" s="10" t="s">
        <v>87</v>
      </c>
    </row>
    <row r="31" spans="1:21" x14ac:dyDescent="0.25">
      <c r="A31" s="9" t="s">
        <v>19</v>
      </c>
      <c r="B31" s="9" t="s">
        <v>91</v>
      </c>
      <c r="C31" s="9" t="s">
        <v>226</v>
      </c>
      <c r="D31" s="9" t="s">
        <v>227</v>
      </c>
      <c r="E31" s="9" t="s">
        <v>228</v>
      </c>
      <c r="F31" s="9" t="s">
        <v>229</v>
      </c>
      <c r="G31" s="9" t="s">
        <v>65</v>
      </c>
      <c r="H31" s="9" t="s">
        <v>230</v>
      </c>
      <c r="I31" s="9" t="s">
        <v>125</v>
      </c>
      <c r="J31" s="9" t="s">
        <v>83</v>
      </c>
      <c r="K31" s="9" t="s">
        <v>231</v>
      </c>
      <c r="L31" s="9" t="s">
        <v>109</v>
      </c>
      <c r="M31" s="11">
        <v>35.869999999999997</v>
      </c>
      <c r="N31" s="9" t="s">
        <v>71</v>
      </c>
      <c r="O31" s="9" t="s">
        <v>134</v>
      </c>
      <c r="P31" s="9" t="s">
        <v>73</v>
      </c>
      <c r="Q31" s="11">
        <v>35.869999999999997</v>
      </c>
      <c r="R31" s="9" t="s">
        <v>99</v>
      </c>
      <c r="S31" s="9" t="s">
        <v>0</v>
      </c>
      <c r="T31" s="9" t="s">
        <v>0</v>
      </c>
      <c r="U31" s="9" t="s">
        <v>87</v>
      </c>
    </row>
    <row r="32" spans="1:21" x14ac:dyDescent="0.25">
      <c r="A32" s="10" t="s">
        <v>19</v>
      </c>
      <c r="B32" s="10" t="s">
        <v>91</v>
      </c>
      <c r="C32" s="10" t="s">
        <v>232</v>
      </c>
      <c r="D32" s="10" t="s">
        <v>233</v>
      </c>
      <c r="E32" s="10" t="s">
        <v>234</v>
      </c>
      <c r="F32" s="10" t="s">
        <v>235</v>
      </c>
      <c r="G32" s="10" t="s">
        <v>65</v>
      </c>
      <c r="H32" s="10" t="s">
        <v>236</v>
      </c>
      <c r="I32" s="10" t="s">
        <v>117</v>
      </c>
      <c r="J32" s="10" t="s">
        <v>237</v>
      </c>
      <c r="K32" s="10" t="s">
        <v>238</v>
      </c>
      <c r="L32" s="10" t="s">
        <v>182</v>
      </c>
      <c r="M32" s="12">
        <v>47.91</v>
      </c>
      <c r="N32" s="10" t="s">
        <v>71</v>
      </c>
      <c r="O32" s="10" t="s">
        <v>134</v>
      </c>
      <c r="P32" s="10" t="s">
        <v>73</v>
      </c>
      <c r="Q32" s="12">
        <v>47.91</v>
      </c>
      <c r="R32" s="10" t="s">
        <v>99</v>
      </c>
      <c r="S32" s="10" t="s">
        <v>0</v>
      </c>
      <c r="T32" s="10" t="s">
        <v>0</v>
      </c>
      <c r="U32" s="10" t="s">
        <v>239</v>
      </c>
    </row>
    <row r="33" spans="1:21" x14ac:dyDescent="0.25">
      <c r="A33" s="9" t="s">
        <v>19</v>
      </c>
      <c r="B33" s="9" t="s">
        <v>91</v>
      </c>
      <c r="C33" s="9" t="s">
        <v>232</v>
      </c>
      <c r="D33" s="9" t="s">
        <v>233</v>
      </c>
      <c r="E33" s="9" t="s">
        <v>234</v>
      </c>
      <c r="F33" s="9" t="s">
        <v>240</v>
      </c>
      <c r="G33" s="9" t="s">
        <v>65</v>
      </c>
      <c r="H33" s="9" t="s">
        <v>236</v>
      </c>
      <c r="I33" s="9" t="s">
        <v>117</v>
      </c>
      <c r="J33" s="9" t="s">
        <v>83</v>
      </c>
      <c r="K33" s="9" t="s">
        <v>238</v>
      </c>
      <c r="L33" s="9" t="s">
        <v>182</v>
      </c>
      <c r="M33" s="11">
        <v>56.25</v>
      </c>
      <c r="N33" s="9" t="s">
        <v>71</v>
      </c>
      <c r="O33" s="9" t="s">
        <v>134</v>
      </c>
      <c r="P33" s="9" t="s">
        <v>73</v>
      </c>
      <c r="Q33" s="11">
        <v>56.25</v>
      </c>
      <c r="R33" s="9" t="s">
        <v>99</v>
      </c>
      <c r="S33" s="9" t="s">
        <v>0</v>
      </c>
      <c r="T33" s="9" t="s">
        <v>0</v>
      </c>
      <c r="U33" s="9" t="s">
        <v>87</v>
      </c>
    </row>
    <row r="34" spans="1:21" x14ac:dyDescent="0.25">
      <c r="A34" s="10" t="s">
        <v>19</v>
      </c>
      <c r="B34" s="10" t="s">
        <v>91</v>
      </c>
      <c r="C34" s="10" t="s">
        <v>241</v>
      </c>
      <c r="D34" s="10" t="s">
        <v>242</v>
      </c>
      <c r="E34" s="10" t="s">
        <v>243</v>
      </c>
      <c r="F34" s="10" t="s">
        <v>244</v>
      </c>
      <c r="G34" s="10" t="s">
        <v>80</v>
      </c>
      <c r="H34" s="10" t="s">
        <v>245</v>
      </c>
      <c r="I34" s="10" t="s">
        <v>67</v>
      </c>
      <c r="J34" s="10" t="s">
        <v>97</v>
      </c>
      <c r="K34" s="10" t="s">
        <v>246</v>
      </c>
      <c r="L34" s="10" t="s">
        <v>247</v>
      </c>
      <c r="M34" s="12">
        <v>32.130000000000003</v>
      </c>
      <c r="N34" s="10" t="s">
        <v>71</v>
      </c>
      <c r="O34" s="10" t="s">
        <v>165</v>
      </c>
      <c r="P34" s="10" t="s">
        <v>73</v>
      </c>
      <c r="Q34" s="12">
        <v>1.1200000000000001</v>
      </c>
      <c r="R34" s="10" t="s">
        <v>99</v>
      </c>
      <c r="S34" s="10" t="s">
        <v>0</v>
      </c>
      <c r="T34" s="10" t="s">
        <v>0</v>
      </c>
      <c r="U34" s="10" t="s">
        <v>100</v>
      </c>
    </row>
    <row r="35" spans="1:21" x14ac:dyDescent="0.25">
      <c r="A35" s="9" t="s">
        <v>19</v>
      </c>
      <c r="B35" s="9" t="s">
        <v>91</v>
      </c>
      <c r="C35" s="9" t="s">
        <v>92</v>
      </c>
      <c r="D35" s="9" t="s">
        <v>93</v>
      </c>
      <c r="E35" s="9" t="s">
        <v>248</v>
      </c>
      <c r="F35" s="9" t="s">
        <v>249</v>
      </c>
      <c r="G35" s="9" t="s">
        <v>65</v>
      </c>
      <c r="H35" s="9" t="s">
        <v>250</v>
      </c>
      <c r="I35" s="9" t="s">
        <v>67</v>
      </c>
      <c r="J35" s="9" t="s">
        <v>83</v>
      </c>
      <c r="K35" s="9" t="s">
        <v>250</v>
      </c>
      <c r="L35" s="9" t="s">
        <v>251</v>
      </c>
      <c r="M35" s="11">
        <v>36.5</v>
      </c>
      <c r="N35" s="9" t="s">
        <v>71</v>
      </c>
      <c r="O35" s="9" t="s">
        <v>194</v>
      </c>
      <c r="P35" s="9" t="s">
        <v>73</v>
      </c>
      <c r="Q35" s="11">
        <v>34.68</v>
      </c>
      <c r="R35" s="9" t="s">
        <v>99</v>
      </c>
      <c r="S35" s="9" t="s">
        <v>0</v>
      </c>
      <c r="T35" s="9" t="s">
        <v>0</v>
      </c>
      <c r="U35" s="9" t="s">
        <v>87</v>
      </c>
    </row>
    <row r="36" spans="1:21" x14ac:dyDescent="0.25">
      <c r="A36" s="10" t="s">
        <v>19</v>
      </c>
      <c r="B36" s="10" t="s">
        <v>91</v>
      </c>
      <c r="C36" s="10" t="s">
        <v>61</v>
      </c>
      <c r="D36" s="10" t="s">
        <v>62</v>
      </c>
      <c r="E36" s="10" t="s">
        <v>252</v>
      </c>
      <c r="F36" s="10" t="s">
        <v>253</v>
      </c>
      <c r="G36" s="10" t="s">
        <v>65</v>
      </c>
      <c r="H36" s="10" t="s">
        <v>254</v>
      </c>
      <c r="I36" s="10" t="s">
        <v>67</v>
      </c>
      <c r="J36" s="10" t="s">
        <v>83</v>
      </c>
      <c r="K36" s="10" t="s">
        <v>254</v>
      </c>
      <c r="L36" s="10" t="s">
        <v>251</v>
      </c>
      <c r="M36" s="12">
        <v>59.08</v>
      </c>
      <c r="N36" s="10" t="s">
        <v>71</v>
      </c>
      <c r="O36" s="10" t="s">
        <v>194</v>
      </c>
      <c r="P36" s="10" t="s">
        <v>73</v>
      </c>
      <c r="Q36" s="12">
        <v>56.13</v>
      </c>
      <c r="R36" s="10" t="s">
        <v>99</v>
      </c>
      <c r="S36" s="10" t="s">
        <v>0</v>
      </c>
      <c r="T36" s="10" t="s">
        <v>0</v>
      </c>
      <c r="U36" s="10" t="s">
        <v>87</v>
      </c>
    </row>
    <row r="37" spans="1:21" x14ac:dyDescent="0.25">
      <c r="A37" s="9" t="s">
        <v>19</v>
      </c>
      <c r="B37" s="9" t="s">
        <v>91</v>
      </c>
      <c r="C37" s="9" t="s">
        <v>61</v>
      </c>
      <c r="D37" s="9" t="s">
        <v>62</v>
      </c>
      <c r="E37" s="9" t="s">
        <v>255</v>
      </c>
      <c r="F37" s="9" t="s">
        <v>256</v>
      </c>
      <c r="G37" s="9" t="s">
        <v>65</v>
      </c>
      <c r="H37" s="9" t="s">
        <v>257</v>
      </c>
      <c r="I37" s="9" t="s">
        <v>67</v>
      </c>
      <c r="J37" s="9" t="s">
        <v>258</v>
      </c>
      <c r="K37" s="9" t="s">
        <v>259</v>
      </c>
      <c r="L37" s="9" t="s">
        <v>251</v>
      </c>
      <c r="M37" s="11">
        <v>111.58</v>
      </c>
      <c r="N37" s="9" t="s">
        <v>71</v>
      </c>
      <c r="O37" s="9" t="s">
        <v>194</v>
      </c>
      <c r="P37" s="9" t="s">
        <v>73</v>
      </c>
      <c r="Q37" s="11">
        <v>106</v>
      </c>
      <c r="R37" s="9" t="s">
        <v>99</v>
      </c>
      <c r="S37" s="9" t="s">
        <v>0</v>
      </c>
      <c r="T37" s="9" t="s">
        <v>0</v>
      </c>
      <c r="U37" s="9" t="s">
        <v>260</v>
      </c>
    </row>
    <row r="38" spans="1:21" x14ac:dyDescent="0.25">
      <c r="A38" s="10" t="s">
        <v>19</v>
      </c>
      <c r="B38" s="10" t="s">
        <v>60</v>
      </c>
      <c r="C38" s="10" t="s">
        <v>61</v>
      </c>
      <c r="D38" s="10" t="s">
        <v>62</v>
      </c>
      <c r="E38" s="10" t="s">
        <v>63</v>
      </c>
      <c r="F38" s="10" t="s">
        <v>64</v>
      </c>
      <c r="G38" s="10" t="s">
        <v>65</v>
      </c>
      <c r="H38" s="10" t="s">
        <v>66</v>
      </c>
      <c r="I38" s="10" t="s">
        <v>67</v>
      </c>
      <c r="J38" s="10" t="s">
        <v>68</v>
      </c>
      <c r="K38" s="10" t="s">
        <v>69</v>
      </c>
      <c r="L38" s="10" t="s">
        <v>70</v>
      </c>
      <c r="M38" s="12">
        <v>-33.130000000000003</v>
      </c>
      <c r="N38" s="10" t="s">
        <v>71</v>
      </c>
      <c r="O38" s="10" t="s">
        <v>72</v>
      </c>
      <c r="P38" s="10" t="s">
        <v>73</v>
      </c>
      <c r="Q38" s="12">
        <v>-19.88</v>
      </c>
      <c r="R38" s="10" t="s">
        <v>74</v>
      </c>
      <c r="S38" s="10" t="s">
        <v>0</v>
      </c>
      <c r="T38" s="10" t="s">
        <v>0</v>
      </c>
      <c r="U38" s="10" t="s">
        <v>75</v>
      </c>
    </row>
    <row r="39" spans="1:21" x14ac:dyDescent="0.25">
      <c r="A39" s="9" t="s">
        <v>19</v>
      </c>
      <c r="B39" s="9" t="s">
        <v>60</v>
      </c>
      <c r="C39" s="9" t="s">
        <v>61</v>
      </c>
      <c r="D39" s="9" t="s">
        <v>62</v>
      </c>
      <c r="E39" s="9" t="s">
        <v>63</v>
      </c>
      <c r="F39" s="9" t="s">
        <v>64</v>
      </c>
      <c r="G39" s="9" t="s">
        <v>65</v>
      </c>
      <c r="H39" s="9" t="s">
        <v>66</v>
      </c>
      <c r="I39" s="9" t="s">
        <v>67</v>
      </c>
      <c r="J39" s="9" t="s">
        <v>68</v>
      </c>
      <c r="K39" s="9" t="s">
        <v>69</v>
      </c>
      <c r="L39" s="9" t="s">
        <v>70</v>
      </c>
      <c r="M39" s="11">
        <v>-20.62</v>
      </c>
      <c r="N39" s="9" t="s">
        <v>71</v>
      </c>
      <c r="O39" s="9" t="s">
        <v>72</v>
      </c>
      <c r="P39" s="9" t="s">
        <v>73</v>
      </c>
      <c r="Q39" s="11">
        <v>-12.37</v>
      </c>
      <c r="R39" s="9" t="s">
        <v>74</v>
      </c>
      <c r="S39" s="9" t="s">
        <v>0</v>
      </c>
      <c r="T39" s="9" t="s">
        <v>0</v>
      </c>
      <c r="U39" s="9" t="s">
        <v>75</v>
      </c>
    </row>
    <row r="40" spans="1:21" x14ac:dyDescent="0.25">
      <c r="A40" s="10" t="s">
        <v>19</v>
      </c>
      <c r="B40" s="10" t="s">
        <v>91</v>
      </c>
      <c r="C40" s="10" t="s">
        <v>92</v>
      </c>
      <c r="D40" s="10" t="s">
        <v>93</v>
      </c>
      <c r="E40" s="10" t="s">
        <v>261</v>
      </c>
      <c r="F40" s="10" t="s">
        <v>262</v>
      </c>
      <c r="G40" s="10" t="s">
        <v>65</v>
      </c>
      <c r="H40" s="10" t="s">
        <v>96</v>
      </c>
      <c r="I40" s="10" t="s">
        <v>67</v>
      </c>
      <c r="J40" s="10" t="s">
        <v>97</v>
      </c>
      <c r="K40" s="10" t="s">
        <v>96</v>
      </c>
      <c r="L40" s="10" t="s">
        <v>7</v>
      </c>
      <c r="M40" s="12">
        <v>27.63</v>
      </c>
      <c r="N40" s="10" t="s">
        <v>71</v>
      </c>
      <c r="O40" s="10" t="s">
        <v>98</v>
      </c>
      <c r="P40" s="10" t="s">
        <v>73</v>
      </c>
      <c r="Q40" s="12">
        <v>15.75</v>
      </c>
      <c r="R40" s="10" t="s">
        <v>99</v>
      </c>
      <c r="S40" s="10" t="s">
        <v>0</v>
      </c>
      <c r="T40" s="10" t="s">
        <v>0</v>
      </c>
      <c r="U40" s="10" t="s">
        <v>100</v>
      </c>
    </row>
    <row r="41" spans="1:21" x14ac:dyDescent="0.25">
      <c r="A41" s="9" t="s">
        <v>19</v>
      </c>
      <c r="B41" s="9" t="s">
        <v>91</v>
      </c>
      <c r="C41" s="9" t="s">
        <v>263</v>
      </c>
      <c r="D41" s="9" t="s">
        <v>264</v>
      </c>
      <c r="E41" s="9" t="s">
        <v>265</v>
      </c>
      <c r="F41" s="9" t="s">
        <v>266</v>
      </c>
      <c r="G41" s="9" t="s">
        <v>80</v>
      </c>
      <c r="H41" s="9" t="s">
        <v>267</v>
      </c>
      <c r="I41" s="9" t="s">
        <v>67</v>
      </c>
      <c r="J41" s="9" t="s">
        <v>97</v>
      </c>
      <c r="K41" s="9" t="s">
        <v>267</v>
      </c>
      <c r="L41" s="9" t="s">
        <v>251</v>
      </c>
      <c r="M41" s="11">
        <v>32.130000000000003</v>
      </c>
      <c r="N41" s="9" t="s">
        <v>71</v>
      </c>
      <c r="O41" s="9" t="s">
        <v>165</v>
      </c>
      <c r="P41" s="9" t="s">
        <v>73</v>
      </c>
      <c r="Q41" s="11">
        <v>1.1200000000000001</v>
      </c>
      <c r="R41" s="9" t="s">
        <v>99</v>
      </c>
      <c r="S41" s="9" t="s">
        <v>0</v>
      </c>
      <c r="T41" s="9" t="s">
        <v>0</v>
      </c>
      <c r="U41" s="9" t="s">
        <v>100</v>
      </c>
    </row>
    <row r="42" spans="1:21" x14ac:dyDescent="0.25">
      <c r="A42" s="10" t="s">
        <v>19</v>
      </c>
      <c r="B42" s="10" t="s">
        <v>91</v>
      </c>
      <c r="C42" s="10" t="s">
        <v>183</v>
      </c>
      <c r="D42" s="10" t="s">
        <v>184</v>
      </c>
      <c r="E42" s="10" t="s">
        <v>268</v>
      </c>
      <c r="F42" s="10" t="s">
        <v>269</v>
      </c>
      <c r="G42" s="10" t="s">
        <v>65</v>
      </c>
      <c r="H42" s="10" t="s">
        <v>270</v>
      </c>
      <c r="I42" s="10" t="s">
        <v>67</v>
      </c>
      <c r="J42" s="10" t="s">
        <v>146</v>
      </c>
      <c r="K42" s="10" t="s">
        <v>271</v>
      </c>
      <c r="L42" s="10" t="s">
        <v>272</v>
      </c>
      <c r="M42" s="12">
        <v>56.91</v>
      </c>
      <c r="N42" s="10" t="s">
        <v>71</v>
      </c>
      <c r="O42" s="10" t="s">
        <v>98</v>
      </c>
      <c r="P42" s="10" t="s">
        <v>73</v>
      </c>
      <c r="Q42" s="12">
        <v>32.44</v>
      </c>
      <c r="R42" s="10" t="s">
        <v>99</v>
      </c>
      <c r="S42" s="10" t="s">
        <v>0</v>
      </c>
      <c r="T42" s="10" t="s">
        <v>0</v>
      </c>
      <c r="U42" s="10" t="s">
        <v>149</v>
      </c>
    </row>
    <row r="43" spans="1:21" x14ac:dyDescent="0.25">
      <c r="A43" s="9" t="s">
        <v>19</v>
      </c>
      <c r="B43" s="9" t="s">
        <v>91</v>
      </c>
      <c r="C43" s="9" t="s">
        <v>273</v>
      </c>
      <c r="D43" s="9" t="s">
        <v>274</v>
      </c>
      <c r="E43" s="9" t="s">
        <v>275</v>
      </c>
      <c r="F43" s="9" t="s">
        <v>276</v>
      </c>
      <c r="G43" s="9" t="s">
        <v>65</v>
      </c>
      <c r="H43" s="9" t="s">
        <v>277</v>
      </c>
      <c r="I43" s="9" t="s">
        <v>117</v>
      </c>
      <c r="J43" s="9" t="s">
        <v>278</v>
      </c>
      <c r="K43" s="9" t="s">
        <v>279</v>
      </c>
      <c r="L43" s="9" t="s">
        <v>109</v>
      </c>
      <c r="M43" s="11">
        <v>15.8</v>
      </c>
      <c r="N43" s="9" t="s">
        <v>71</v>
      </c>
      <c r="O43" s="9" t="s">
        <v>119</v>
      </c>
      <c r="P43" s="9" t="s">
        <v>73</v>
      </c>
      <c r="Q43" s="11">
        <v>9.8800000000000008</v>
      </c>
      <c r="R43" s="9" t="s">
        <v>99</v>
      </c>
      <c r="S43" s="9" t="s">
        <v>0</v>
      </c>
      <c r="T43" s="9" t="s">
        <v>0</v>
      </c>
      <c r="U43" s="9" t="s">
        <v>280</v>
      </c>
    </row>
    <row r="44" spans="1:21" x14ac:dyDescent="0.25">
      <c r="A44" s="10" t="s">
        <v>19</v>
      </c>
      <c r="B44" s="10" t="s">
        <v>91</v>
      </c>
      <c r="C44" s="10" t="s">
        <v>273</v>
      </c>
      <c r="D44" s="10" t="s">
        <v>274</v>
      </c>
      <c r="E44" s="10" t="s">
        <v>275</v>
      </c>
      <c r="F44" s="10" t="s">
        <v>276</v>
      </c>
      <c r="G44" s="10" t="s">
        <v>65</v>
      </c>
      <c r="H44" s="10" t="s">
        <v>277</v>
      </c>
      <c r="I44" s="10" t="s">
        <v>117</v>
      </c>
      <c r="J44" s="10" t="s">
        <v>278</v>
      </c>
      <c r="K44" s="10" t="s">
        <v>279</v>
      </c>
      <c r="L44" s="10" t="s">
        <v>109</v>
      </c>
      <c r="M44" s="12">
        <v>23.8</v>
      </c>
      <c r="N44" s="10" t="s">
        <v>71</v>
      </c>
      <c r="O44" s="10" t="s">
        <v>119</v>
      </c>
      <c r="P44" s="10" t="s">
        <v>73</v>
      </c>
      <c r="Q44" s="12">
        <v>14.88</v>
      </c>
      <c r="R44" s="10" t="s">
        <v>99</v>
      </c>
      <c r="S44" s="10" t="s">
        <v>0</v>
      </c>
      <c r="T44" s="10" t="s">
        <v>0</v>
      </c>
      <c r="U44" s="10" t="s">
        <v>280</v>
      </c>
    </row>
    <row r="45" spans="1:21" x14ac:dyDescent="0.25">
      <c r="A45" s="9" t="s">
        <v>19</v>
      </c>
      <c r="B45" s="9" t="s">
        <v>91</v>
      </c>
      <c r="C45" s="9" t="s">
        <v>273</v>
      </c>
      <c r="D45" s="9" t="s">
        <v>274</v>
      </c>
      <c r="E45" s="9" t="s">
        <v>275</v>
      </c>
      <c r="F45" s="9" t="s">
        <v>276</v>
      </c>
      <c r="G45" s="9" t="s">
        <v>65</v>
      </c>
      <c r="H45" s="9" t="s">
        <v>277</v>
      </c>
      <c r="I45" s="9" t="s">
        <v>117</v>
      </c>
      <c r="J45" s="9" t="s">
        <v>278</v>
      </c>
      <c r="K45" s="9" t="s">
        <v>279</v>
      </c>
      <c r="L45" s="9" t="s">
        <v>109</v>
      </c>
      <c r="M45" s="11">
        <v>11.04</v>
      </c>
      <c r="N45" s="9" t="s">
        <v>71</v>
      </c>
      <c r="O45" s="9" t="s">
        <v>119</v>
      </c>
      <c r="P45" s="9" t="s">
        <v>73</v>
      </c>
      <c r="Q45" s="11">
        <v>6.9</v>
      </c>
      <c r="R45" s="9" t="s">
        <v>99</v>
      </c>
      <c r="S45" s="9" t="s">
        <v>0</v>
      </c>
      <c r="T45" s="9" t="s">
        <v>0</v>
      </c>
      <c r="U45" s="9" t="s">
        <v>280</v>
      </c>
    </row>
    <row r="46" spans="1:21" x14ac:dyDescent="0.25">
      <c r="A46" s="10" t="s">
        <v>19</v>
      </c>
      <c r="B46" s="10" t="s">
        <v>91</v>
      </c>
      <c r="C46" s="10" t="s">
        <v>273</v>
      </c>
      <c r="D46" s="10" t="s">
        <v>274</v>
      </c>
      <c r="E46" s="10" t="s">
        <v>275</v>
      </c>
      <c r="F46" s="10" t="s">
        <v>276</v>
      </c>
      <c r="G46" s="10" t="s">
        <v>65</v>
      </c>
      <c r="H46" s="10" t="s">
        <v>277</v>
      </c>
      <c r="I46" s="10" t="s">
        <v>117</v>
      </c>
      <c r="J46" s="10" t="s">
        <v>278</v>
      </c>
      <c r="K46" s="10" t="s">
        <v>279</v>
      </c>
      <c r="L46" s="10" t="s">
        <v>109</v>
      </c>
      <c r="M46" s="12">
        <v>5.25</v>
      </c>
      <c r="N46" s="10" t="s">
        <v>71</v>
      </c>
      <c r="O46" s="10" t="s">
        <v>119</v>
      </c>
      <c r="P46" s="10" t="s">
        <v>73</v>
      </c>
      <c r="Q46" s="12">
        <v>3.28</v>
      </c>
      <c r="R46" s="10" t="s">
        <v>99</v>
      </c>
      <c r="S46" s="10" t="s">
        <v>0</v>
      </c>
      <c r="T46" s="10" t="s">
        <v>0</v>
      </c>
      <c r="U46" s="10" t="s">
        <v>280</v>
      </c>
    </row>
    <row r="47" spans="1:21" x14ac:dyDescent="0.25">
      <c r="A47" s="9" t="s">
        <v>19</v>
      </c>
      <c r="B47" s="9" t="s">
        <v>91</v>
      </c>
      <c r="C47" s="9" t="s">
        <v>273</v>
      </c>
      <c r="D47" s="9" t="s">
        <v>274</v>
      </c>
      <c r="E47" s="9" t="s">
        <v>275</v>
      </c>
      <c r="F47" s="9" t="s">
        <v>276</v>
      </c>
      <c r="G47" s="9" t="s">
        <v>65</v>
      </c>
      <c r="H47" s="9" t="s">
        <v>277</v>
      </c>
      <c r="I47" s="9" t="s">
        <v>117</v>
      </c>
      <c r="J47" s="9" t="s">
        <v>278</v>
      </c>
      <c r="K47" s="9" t="s">
        <v>279</v>
      </c>
      <c r="L47" s="9" t="s">
        <v>109</v>
      </c>
      <c r="M47" s="11">
        <v>12.77</v>
      </c>
      <c r="N47" s="9" t="s">
        <v>71</v>
      </c>
      <c r="O47" s="9" t="s">
        <v>119</v>
      </c>
      <c r="P47" s="9" t="s">
        <v>73</v>
      </c>
      <c r="Q47" s="11">
        <v>7.98</v>
      </c>
      <c r="R47" s="9" t="s">
        <v>99</v>
      </c>
      <c r="S47" s="9" t="s">
        <v>0</v>
      </c>
      <c r="T47" s="9" t="s">
        <v>0</v>
      </c>
      <c r="U47" s="9" t="s">
        <v>280</v>
      </c>
    </row>
    <row r="48" spans="1:21" x14ac:dyDescent="0.25">
      <c r="A48" s="10" t="s">
        <v>19</v>
      </c>
      <c r="B48" s="10" t="s">
        <v>91</v>
      </c>
      <c r="C48" s="10" t="s">
        <v>273</v>
      </c>
      <c r="D48" s="10" t="s">
        <v>274</v>
      </c>
      <c r="E48" s="10" t="s">
        <v>275</v>
      </c>
      <c r="F48" s="10" t="s">
        <v>276</v>
      </c>
      <c r="G48" s="10" t="s">
        <v>65</v>
      </c>
      <c r="H48" s="10" t="s">
        <v>277</v>
      </c>
      <c r="I48" s="10" t="s">
        <v>117</v>
      </c>
      <c r="J48" s="10" t="s">
        <v>278</v>
      </c>
      <c r="K48" s="10" t="s">
        <v>279</v>
      </c>
      <c r="L48" s="10" t="s">
        <v>109</v>
      </c>
      <c r="M48" s="12">
        <v>56.67</v>
      </c>
      <c r="N48" s="10" t="s">
        <v>71</v>
      </c>
      <c r="O48" s="10" t="s">
        <v>119</v>
      </c>
      <c r="P48" s="10" t="s">
        <v>73</v>
      </c>
      <c r="Q48" s="12">
        <v>35.42</v>
      </c>
      <c r="R48" s="10" t="s">
        <v>99</v>
      </c>
      <c r="S48" s="10" t="s">
        <v>0</v>
      </c>
      <c r="T48" s="10" t="s">
        <v>0</v>
      </c>
      <c r="U48" s="10" t="s">
        <v>280</v>
      </c>
    </row>
    <row r="49" spans="1:21" x14ac:dyDescent="0.25">
      <c r="A49" s="9" t="s">
        <v>18</v>
      </c>
      <c r="B49" s="9" t="s">
        <v>91</v>
      </c>
      <c r="C49" s="9" t="s">
        <v>170</v>
      </c>
      <c r="D49" s="9" t="s">
        <v>171</v>
      </c>
      <c r="E49" s="9" t="s">
        <v>281</v>
      </c>
      <c r="F49" s="9" t="s">
        <v>282</v>
      </c>
      <c r="G49" s="9" t="s">
        <v>65</v>
      </c>
      <c r="H49" s="9" t="s">
        <v>283</v>
      </c>
      <c r="I49" s="9" t="s">
        <v>67</v>
      </c>
      <c r="J49" s="9" t="s">
        <v>284</v>
      </c>
      <c r="K49" s="9" t="s">
        <v>279</v>
      </c>
      <c r="L49" s="9" t="s">
        <v>109</v>
      </c>
      <c r="M49" s="11">
        <v>117.2</v>
      </c>
      <c r="N49" s="9" t="s">
        <v>71</v>
      </c>
      <c r="O49" s="9" t="s">
        <v>285</v>
      </c>
      <c r="P49" s="9" t="s">
        <v>73</v>
      </c>
      <c r="Q49" s="11">
        <v>35.159999999999997</v>
      </c>
      <c r="R49" s="9" t="s">
        <v>99</v>
      </c>
      <c r="S49" s="9" t="s">
        <v>0</v>
      </c>
      <c r="T49" s="9" t="s">
        <v>0</v>
      </c>
      <c r="U49" s="9" t="s">
        <v>286</v>
      </c>
    </row>
    <row r="50" spans="1:21" x14ac:dyDescent="0.25">
      <c r="A50" s="10" t="s">
        <v>19</v>
      </c>
      <c r="B50" s="10" t="s">
        <v>60</v>
      </c>
      <c r="C50" s="10" t="s">
        <v>61</v>
      </c>
      <c r="D50" s="10" t="s">
        <v>62</v>
      </c>
      <c r="E50" s="10" t="s">
        <v>63</v>
      </c>
      <c r="F50" s="10" t="s">
        <v>287</v>
      </c>
      <c r="G50" s="10" t="s">
        <v>65</v>
      </c>
      <c r="H50" s="10" t="s">
        <v>66</v>
      </c>
      <c r="I50" s="10" t="s">
        <v>67</v>
      </c>
      <c r="J50" s="10" t="s">
        <v>89</v>
      </c>
      <c r="K50" s="10" t="s">
        <v>69</v>
      </c>
      <c r="L50" s="10" t="s">
        <v>70</v>
      </c>
      <c r="M50" s="12">
        <v>-59.75</v>
      </c>
      <c r="N50" s="10" t="s">
        <v>71</v>
      </c>
      <c r="O50" s="10" t="s">
        <v>194</v>
      </c>
      <c r="P50" s="10" t="s">
        <v>73</v>
      </c>
      <c r="Q50" s="12">
        <v>-56.76</v>
      </c>
      <c r="R50" s="10" t="s">
        <v>74</v>
      </c>
      <c r="S50" s="10" t="s">
        <v>0</v>
      </c>
      <c r="T50" s="10" t="s">
        <v>0</v>
      </c>
      <c r="U50" s="10" t="s">
        <v>90</v>
      </c>
    </row>
    <row r="51" spans="1:21" x14ac:dyDescent="0.25">
      <c r="A51" s="9" t="s">
        <v>19</v>
      </c>
      <c r="B51" s="9" t="s">
        <v>91</v>
      </c>
      <c r="C51" s="9" t="s">
        <v>92</v>
      </c>
      <c r="D51" s="9" t="s">
        <v>93</v>
      </c>
      <c r="E51" s="9" t="s">
        <v>288</v>
      </c>
      <c r="F51" s="9" t="s">
        <v>289</v>
      </c>
      <c r="G51" s="9" t="s">
        <v>65</v>
      </c>
      <c r="H51" s="9" t="s">
        <v>96</v>
      </c>
      <c r="I51" s="9" t="s">
        <v>67</v>
      </c>
      <c r="J51" s="9" t="s">
        <v>97</v>
      </c>
      <c r="K51" s="9" t="s">
        <v>96</v>
      </c>
      <c r="L51" s="9" t="s">
        <v>7</v>
      </c>
      <c r="M51" s="11">
        <v>22.42</v>
      </c>
      <c r="N51" s="9" t="s">
        <v>71</v>
      </c>
      <c r="O51" s="9" t="s">
        <v>98</v>
      </c>
      <c r="P51" s="9" t="s">
        <v>73</v>
      </c>
      <c r="Q51" s="11">
        <v>12.78</v>
      </c>
      <c r="R51" s="9" t="s">
        <v>99</v>
      </c>
      <c r="S51" s="9" t="s">
        <v>0</v>
      </c>
      <c r="T51" s="9" t="s">
        <v>0</v>
      </c>
      <c r="U51" s="9" t="s">
        <v>100</v>
      </c>
    </row>
    <row r="52" spans="1:21" x14ac:dyDescent="0.25">
      <c r="A52" s="10" t="s">
        <v>19</v>
      </c>
      <c r="B52" s="10" t="s">
        <v>91</v>
      </c>
      <c r="C52" s="10" t="s">
        <v>290</v>
      </c>
      <c r="D52" s="10" t="s">
        <v>291</v>
      </c>
      <c r="E52" s="10" t="s">
        <v>292</v>
      </c>
      <c r="F52" s="10" t="s">
        <v>293</v>
      </c>
      <c r="G52" s="10" t="s">
        <v>65</v>
      </c>
      <c r="H52" s="10" t="s">
        <v>294</v>
      </c>
      <c r="I52" s="10" t="s">
        <v>125</v>
      </c>
      <c r="J52" s="10" t="s">
        <v>295</v>
      </c>
      <c r="K52" s="10" t="s">
        <v>231</v>
      </c>
      <c r="L52" s="10" t="s">
        <v>109</v>
      </c>
      <c r="M52" s="12">
        <v>2.33</v>
      </c>
      <c r="N52" s="10" t="s">
        <v>71</v>
      </c>
      <c r="O52" s="10" t="s">
        <v>119</v>
      </c>
      <c r="P52" s="10" t="s">
        <v>73</v>
      </c>
      <c r="Q52" s="12">
        <v>1.46</v>
      </c>
      <c r="R52" s="10" t="s">
        <v>99</v>
      </c>
      <c r="S52" s="10" t="s">
        <v>0</v>
      </c>
      <c r="T52" s="10" t="s">
        <v>0</v>
      </c>
      <c r="U52" s="10" t="s">
        <v>296</v>
      </c>
    </row>
    <row r="53" spans="1:21" x14ac:dyDescent="0.25">
      <c r="A53" s="9" t="s">
        <v>19</v>
      </c>
      <c r="B53" s="9" t="s">
        <v>91</v>
      </c>
      <c r="C53" s="9" t="s">
        <v>290</v>
      </c>
      <c r="D53" s="9" t="s">
        <v>291</v>
      </c>
      <c r="E53" s="9" t="s">
        <v>292</v>
      </c>
      <c r="F53" s="9" t="s">
        <v>293</v>
      </c>
      <c r="G53" s="9" t="s">
        <v>65</v>
      </c>
      <c r="H53" s="9" t="s">
        <v>294</v>
      </c>
      <c r="I53" s="9" t="s">
        <v>125</v>
      </c>
      <c r="J53" s="9" t="s">
        <v>295</v>
      </c>
      <c r="K53" s="9" t="s">
        <v>231</v>
      </c>
      <c r="L53" s="9" t="s">
        <v>109</v>
      </c>
      <c r="M53" s="11">
        <v>53.6</v>
      </c>
      <c r="N53" s="9" t="s">
        <v>71</v>
      </c>
      <c r="O53" s="9" t="s">
        <v>119</v>
      </c>
      <c r="P53" s="9" t="s">
        <v>73</v>
      </c>
      <c r="Q53" s="11">
        <v>33.5</v>
      </c>
      <c r="R53" s="9" t="s">
        <v>99</v>
      </c>
      <c r="S53" s="9" t="s">
        <v>0</v>
      </c>
      <c r="T53" s="9" t="s">
        <v>0</v>
      </c>
      <c r="U53" s="9" t="s">
        <v>296</v>
      </c>
    </row>
    <row r="54" spans="1:21" x14ac:dyDescent="0.25">
      <c r="A54" s="10" t="s">
        <v>19</v>
      </c>
      <c r="B54" s="10" t="s">
        <v>91</v>
      </c>
      <c r="C54" s="10" t="s">
        <v>183</v>
      </c>
      <c r="D54" s="10" t="s">
        <v>184</v>
      </c>
      <c r="E54" s="10" t="s">
        <v>297</v>
      </c>
      <c r="F54" s="10" t="s">
        <v>298</v>
      </c>
      <c r="G54" s="10" t="s">
        <v>65</v>
      </c>
      <c r="H54" s="10" t="s">
        <v>299</v>
      </c>
      <c r="I54" s="10" t="s">
        <v>67</v>
      </c>
      <c r="J54" s="10" t="s">
        <v>97</v>
      </c>
      <c r="K54" s="10" t="s">
        <v>300</v>
      </c>
      <c r="L54" s="10" t="s">
        <v>301</v>
      </c>
      <c r="M54" s="12">
        <v>27.63</v>
      </c>
      <c r="N54" s="10" t="s">
        <v>71</v>
      </c>
      <c r="O54" s="10" t="s">
        <v>98</v>
      </c>
      <c r="P54" s="10" t="s">
        <v>73</v>
      </c>
      <c r="Q54" s="12">
        <v>15.75</v>
      </c>
      <c r="R54" s="10" t="s">
        <v>99</v>
      </c>
      <c r="S54" s="10" t="s">
        <v>0</v>
      </c>
      <c r="T54" s="10" t="s">
        <v>0</v>
      </c>
      <c r="U54" s="10" t="s">
        <v>100</v>
      </c>
    </row>
    <row r="55" spans="1:21" x14ac:dyDescent="0.25">
      <c r="A55" s="9" t="s">
        <v>19</v>
      </c>
      <c r="B55" s="9" t="s">
        <v>91</v>
      </c>
      <c r="C55" s="9" t="s">
        <v>92</v>
      </c>
      <c r="D55" s="9" t="s">
        <v>93</v>
      </c>
      <c r="E55" s="9" t="s">
        <v>302</v>
      </c>
      <c r="F55" s="9" t="s">
        <v>303</v>
      </c>
      <c r="G55" s="9" t="s">
        <v>80</v>
      </c>
      <c r="H55" s="9" t="s">
        <v>304</v>
      </c>
      <c r="I55" s="9" t="s">
        <v>67</v>
      </c>
      <c r="J55" s="9" t="s">
        <v>97</v>
      </c>
      <c r="K55" s="9" t="s">
        <v>212</v>
      </c>
      <c r="L55" s="9" t="s">
        <v>109</v>
      </c>
      <c r="M55" s="11">
        <v>55.26</v>
      </c>
      <c r="N55" s="9" t="s">
        <v>71</v>
      </c>
      <c r="O55" s="9" t="s">
        <v>165</v>
      </c>
      <c r="P55" s="9" t="s">
        <v>73</v>
      </c>
      <c r="Q55" s="11">
        <v>1.93</v>
      </c>
      <c r="R55" s="9" t="s">
        <v>99</v>
      </c>
      <c r="S55" s="9" t="s">
        <v>0</v>
      </c>
      <c r="T55" s="9" t="s">
        <v>0</v>
      </c>
      <c r="U55" s="9" t="s">
        <v>100</v>
      </c>
    </row>
    <row r="56" spans="1:21" x14ac:dyDescent="0.25">
      <c r="A56" s="10" t="s">
        <v>19</v>
      </c>
      <c r="B56" s="10" t="s">
        <v>91</v>
      </c>
      <c r="C56" s="10" t="s">
        <v>61</v>
      </c>
      <c r="D56" s="10" t="s">
        <v>62</v>
      </c>
      <c r="E56" s="10" t="s">
        <v>255</v>
      </c>
      <c r="F56" s="10" t="s">
        <v>305</v>
      </c>
      <c r="G56" s="10" t="s">
        <v>65</v>
      </c>
      <c r="H56" s="10" t="s">
        <v>257</v>
      </c>
      <c r="I56" s="10" t="s">
        <v>67</v>
      </c>
      <c r="J56" s="10" t="s">
        <v>89</v>
      </c>
      <c r="K56" s="10" t="s">
        <v>259</v>
      </c>
      <c r="L56" s="10" t="s">
        <v>251</v>
      </c>
      <c r="M56" s="12">
        <v>123.75</v>
      </c>
      <c r="N56" s="10" t="s">
        <v>71</v>
      </c>
      <c r="O56" s="10" t="s">
        <v>194</v>
      </c>
      <c r="P56" s="10" t="s">
        <v>73</v>
      </c>
      <c r="Q56" s="12">
        <v>117.56</v>
      </c>
      <c r="R56" s="10" t="s">
        <v>99</v>
      </c>
      <c r="S56" s="10" t="s">
        <v>0</v>
      </c>
      <c r="T56" s="10" t="s">
        <v>0</v>
      </c>
      <c r="U56" s="10" t="s">
        <v>90</v>
      </c>
    </row>
    <row r="57" spans="1:21" x14ac:dyDescent="0.25">
      <c r="A57" s="9" t="s">
        <v>19</v>
      </c>
      <c r="B57" s="9" t="s">
        <v>91</v>
      </c>
      <c r="C57" s="9" t="s">
        <v>183</v>
      </c>
      <c r="D57" s="9" t="s">
        <v>184</v>
      </c>
      <c r="E57" s="9" t="s">
        <v>306</v>
      </c>
      <c r="F57" s="9" t="s">
        <v>307</v>
      </c>
      <c r="G57" s="9" t="s">
        <v>80</v>
      </c>
      <c r="H57" s="9" t="s">
        <v>84</v>
      </c>
      <c r="I57" s="9" t="s">
        <v>67</v>
      </c>
      <c r="J57" s="9" t="s">
        <v>308</v>
      </c>
      <c r="K57" s="9" t="s">
        <v>309</v>
      </c>
      <c r="L57" s="9" t="s">
        <v>251</v>
      </c>
      <c r="M57" s="11">
        <v>29.71</v>
      </c>
      <c r="N57" s="9" t="s">
        <v>71</v>
      </c>
      <c r="O57" s="9" t="s">
        <v>165</v>
      </c>
      <c r="P57" s="9" t="s">
        <v>73</v>
      </c>
      <c r="Q57" s="11">
        <v>1.04</v>
      </c>
      <c r="R57" s="9" t="s">
        <v>99</v>
      </c>
      <c r="S57" s="9" t="s">
        <v>0</v>
      </c>
      <c r="T57" s="9" t="s">
        <v>0</v>
      </c>
      <c r="U57" s="9" t="s">
        <v>310</v>
      </c>
    </row>
    <row r="58" spans="1:21" x14ac:dyDescent="0.25">
      <c r="A58" s="10" t="s">
        <v>19</v>
      </c>
      <c r="B58" s="10" t="s">
        <v>60</v>
      </c>
      <c r="C58" s="10" t="s">
        <v>61</v>
      </c>
      <c r="D58" s="10" t="s">
        <v>62</v>
      </c>
      <c r="E58" s="10" t="s">
        <v>63</v>
      </c>
      <c r="F58" s="10" t="s">
        <v>311</v>
      </c>
      <c r="G58" s="10" t="s">
        <v>65</v>
      </c>
      <c r="H58" s="10" t="s">
        <v>66</v>
      </c>
      <c r="I58" s="10" t="s">
        <v>67</v>
      </c>
      <c r="J58" s="10" t="s">
        <v>83</v>
      </c>
      <c r="K58" s="10" t="s">
        <v>69</v>
      </c>
      <c r="L58" s="10" t="s">
        <v>70</v>
      </c>
      <c r="M58" s="12">
        <v>-59.08</v>
      </c>
      <c r="N58" s="10" t="s">
        <v>71</v>
      </c>
      <c r="O58" s="10" t="s">
        <v>194</v>
      </c>
      <c r="P58" s="10" t="s">
        <v>73</v>
      </c>
      <c r="Q58" s="12">
        <v>-56.13</v>
      </c>
      <c r="R58" s="10" t="s">
        <v>74</v>
      </c>
      <c r="S58" s="10" t="s">
        <v>0</v>
      </c>
      <c r="T58" s="10" t="s">
        <v>0</v>
      </c>
      <c r="U58" s="10" t="s">
        <v>87</v>
      </c>
    </row>
    <row r="59" spans="1:21" x14ac:dyDescent="0.25">
      <c r="A59" s="9" t="s">
        <v>19</v>
      </c>
      <c r="B59" s="9" t="s">
        <v>91</v>
      </c>
      <c r="C59" s="9" t="s">
        <v>170</v>
      </c>
      <c r="D59" s="9" t="s">
        <v>171</v>
      </c>
      <c r="E59" s="9" t="s">
        <v>312</v>
      </c>
      <c r="F59" s="9" t="s">
        <v>313</v>
      </c>
      <c r="G59" s="9" t="s">
        <v>65</v>
      </c>
      <c r="H59" s="9" t="s">
        <v>314</v>
      </c>
      <c r="I59" s="9" t="s">
        <v>106</v>
      </c>
      <c r="J59" s="9" t="s">
        <v>83</v>
      </c>
      <c r="K59" s="9" t="s">
        <v>133</v>
      </c>
      <c r="L59" s="9" t="s">
        <v>109</v>
      </c>
      <c r="M59" s="11">
        <v>17.72</v>
      </c>
      <c r="N59" s="9" t="s">
        <v>71</v>
      </c>
      <c r="O59" s="9" t="s">
        <v>134</v>
      </c>
      <c r="P59" s="9" t="s">
        <v>73</v>
      </c>
      <c r="Q59" s="11">
        <v>17.72</v>
      </c>
      <c r="R59" s="9" t="s">
        <v>99</v>
      </c>
      <c r="S59" s="9" t="s">
        <v>0</v>
      </c>
      <c r="T59" s="9" t="s">
        <v>0</v>
      </c>
      <c r="U59" s="9" t="s">
        <v>87</v>
      </c>
    </row>
    <row r="60" spans="1:21" x14ac:dyDescent="0.25">
      <c r="A60" s="10" t="s">
        <v>19</v>
      </c>
      <c r="B60" s="10" t="s">
        <v>91</v>
      </c>
      <c r="C60" s="10" t="s">
        <v>315</v>
      </c>
      <c r="D60" s="10" t="s">
        <v>316</v>
      </c>
      <c r="E60" s="10" t="s">
        <v>317</v>
      </c>
      <c r="F60" s="10" t="s">
        <v>318</v>
      </c>
      <c r="G60" s="10" t="s">
        <v>80</v>
      </c>
      <c r="H60" s="10" t="s">
        <v>319</v>
      </c>
      <c r="I60" s="10" t="s">
        <v>67</v>
      </c>
      <c r="J60" s="10" t="s">
        <v>97</v>
      </c>
      <c r="K60" s="10" t="s">
        <v>222</v>
      </c>
      <c r="L60" s="10" t="s">
        <v>109</v>
      </c>
      <c r="M60" s="12">
        <v>32.130000000000003</v>
      </c>
      <c r="N60" s="10" t="s">
        <v>71</v>
      </c>
      <c r="O60" s="10" t="s">
        <v>165</v>
      </c>
      <c r="P60" s="10" t="s">
        <v>73</v>
      </c>
      <c r="Q60" s="12">
        <v>1.1200000000000001</v>
      </c>
      <c r="R60" s="10" t="s">
        <v>99</v>
      </c>
      <c r="S60" s="10" t="s">
        <v>0</v>
      </c>
      <c r="T60" s="10" t="s">
        <v>0</v>
      </c>
      <c r="U60" s="10" t="s">
        <v>100</v>
      </c>
    </row>
    <row r="61" spans="1:21" x14ac:dyDescent="0.25">
      <c r="A61" s="9" t="s">
        <v>19</v>
      </c>
      <c r="B61" s="9" t="s">
        <v>91</v>
      </c>
      <c r="C61" s="9" t="s">
        <v>92</v>
      </c>
      <c r="D61" s="9" t="s">
        <v>93</v>
      </c>
      <c r="E61" s="9" t="s">
        <v>179</v>
      </c>
      <c r="F61" s="9" t="s">
        <v>320</v>
      </c>
      <c r="G61" s="9" t="s">
        <v>65</v>
      </c>
      <c r="H61" s="9" t="s">
        <v>181</v>
      </c>
      <c r="I61" s="9" t="s">
        <v>67</v>
      </c>
      <c r="J61" s="9" t="s">
        <v>83</v>
      </c>
      <c r="K61" s="9" t="s">
        <v>181</v>
      </c>
      <c r="L61" s="9" t="s">
        <v>182</v>
      </c>
      <c r="M61" s="11">
        <v>73</v>
      </c>
      <c r="N61" s="9" t="s">
        <v>71</v>
      </c>
      <c r="O61" s="9" t="s">
        <v>321</v>
      </c>
      <c r="P61" s="9" t="s">
        <v>73</v>
      </c>
      <c r="Q61" s="11">
        <v>66.430000000000007</v>
      </c>
      <c r="R61" s="9" t="s">
        <v>99</v>
      </c>
      <c r="S61" s="9" t="s">
        <v>0</v>
      </c>
      <c r="T61" s="9" t="s">
        <v>0</v>
      </c>
      <c r="U61" s="9" t="s">
        <v>87</v>
      </c>
    </row>
    <row r="62" spans="1:21" x14ac:dyDescent="0.25">
      <c r="A62" s="10" t="s">
        <v>19</v>
      </c>
      <c r="B62" s="10" t="s">
        <v>91</v>
      </c>
      <c r="C62" s="10" t="s">
        <v>199</v>
      </c>
      <c r="D62" s="10" t="s">
        <v>200</v>
      </c>
      <c r="E62" s="10" t="s">
        <v>201</v>
      </c>
      <c r="F62" s="10" t="s">
        <v>322</v>
      </c>
      <c r="G62" s="10" t="s">
        <v>193</v>
      </c>
      <c r="H62" s="10" t="s">
        <v>182</v>
      </c>
      <c r="I62" s="10" t="s">
        <v>203</v>
      </c>
      <c r="J62" s="10" t="s">
        <v>89</v>
      </c>
      <c r="K62" s="10" t="s">
        <v>7</v>
      </c>
      <c r="L62" s="10" t="s">
        <v>7</v>
      </c>
      <c r="M62" s="12">
        <v>27.33</v>
      </c>
      <c r="N62" s="10" t="s">
        <v>71</v>
      </c>
      <c r="O62" s="10" t="s">
        <v>204</v>
      </c>
      <c r="P62" s="10" t="s">
        <v>73</v>
      </c>
      <c r="Q62" s="12">
        <v>28.7</v>
      </c>
      <c r="R62" s="10" t="s">
        <v>99</v>
      </c>
      <c r="S62" s="10" t="s">
        <v>0</v>
      </c>
      <c r="T62" s="10" t="s">
        <v>0</v>
      </c>
      <c r="U62" s="10" t="s">
        <v>90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5706-BA82-4586-B301-D1B22805E932}">
  <dimension ref="A1:S61"/>
  <sheetViews>
    <sheetView tabSelected="1" topLeftCell="E1" workbookViewId="0">
      <selection activeCell="E8" sqref="A8:XFD8"/>
    </sheetView>
  </sheetViews>
  <sheetFormatPr defaultRowHeight="15" x14ac:dyDescent="0.25"/>
  <cols>
    <col min="1" max="1" width="31.7109375" bestFit="1" customWidth="1"/>
    <col min="2" max="2" width="23.7109375" bestFit="1" customWidth="1"/>
    <col min="3" max="4" width="21.5703125" bestFit="1" customWidth="1"/>
    <col min="5" max="5" width="15.42578125" bestFit="1" customWidth="1"/>
    <col min="6" max="6" width="23.28515625" bestFit="1" customWidth="1"/>
    <col min="7" max="7" width="14.7109375" bestFit="1" customWidth="1"/>
    <col min="8" max="8" width="11.5703125" bestFit="1" customWidth="1"/>
    <col min="9" max="10" width="11.5703125" style="28" customWidth="1"/>
    <col min="11" max="11" width="6.28515625" bestFit="1" customWidth="1"/>
    <col min="12" max="12" width="52.5703125" bestFit="1" customWidth="1"/>
    <col min="13" max="13" width="52.5703125" customWidth="1"/>
    <col min="14" max="14" width="18.5703125" bestFit="1" customWidth="1"/>
    <col min="15" max="15" width="27.140625" bestFit="1" customWidth="1"/>
    <col min="16" max="16" width="8.140625" bestFit="1" customWidth="1"/>
    <col min="17" max="17" width="22.140625" bestFit="1" customWidth="1"/>
    <col min="18" max="18" width="34.42578125" bestFit="1" customWidth="1"/>
    <col min="19" max="19" width="10.7109375" bestFit="1" customWidth="1"/>
  </cols>
  <sheetData>
    <row r="1" spans="1:19" x14ac:dyDescent="0.2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49</v>
      </c>
      <c r="H1" s="19" t="s">
        <v>341</v>
      </c>
      <c r="I1" s="26"/>
      <c r="J1" s="26" t="s">
        <v>342</v>
      </c>
      <c r="K1" s="8" t="s">
        <v>47</v>
      </c>
      <c r="L1" s="8" t="s">
        <v>48</v>
      </c>
      <c r="M1" s="19" t="s">
        <v>333</v>
      </c>
      <c r="N1" s="8" t="s">
        <v>50</v>
      </c>
      <c r="O1" s="8" t="s">
        <v>51</v>
      </c>
      <c r="P1" s="8" t="s">
        <v>53</v>
      </c>
      <c r="Q1" s="8" t="s">
        <v>55</v>
      </c>
      <c r="R1" s="8" t="s">
        <v>59</v>
      </c>
      <c r="S1" s="8" t="s">
        <v>46</v>
      </c>
    </row>
    <row r="2" spans="1:19" x14ac:dyDescent="0.25">
      <c r="A2" s="10" t="s">
        <v>60</v>
      </c>
      <c r="B2" s="10">
        <v>5442438</v>
      </c>
      <c r="C2" s="10" t="s">
        <v>62</v>
      </c>
      <c r="D2" s="10" t="s">
        <v>63</v>
      </c>
      <c r="E2" s="10" t="s">
        <v>287</v>
      </c>
      <c r="F2" s="10" t="s">
        <v>65</v>
      </c>
      <c r="G2" s="10" t="s">
        <v>69</v>
      </c>
      <c r="H2" s="25">
        <v>45861</v>
      </c>
      <c r="I2" s="27">
        <f>MONTH(H2-G2)</f>
        <v>4</v>
      </c>
      <c r="J2" s="27" t="s">
        <v>343</v>
      </c>
      <c r="K2" s="10" t="s">
        <v>67</v>
      </c>
      <c r="L2" s="10" t="s">
        <v>89</v>
      </c>
      <c r="M2" s="10" t="s">
        <v>326</v>
      </c>
      <c r="N2" s="10" t="s">
        <v>70</v>
      </c>
      <c r="O2" s="12">
        <v>-59.75</v>
      </c>
      <c r="P2" s="17">
        <v>0.95</v>
      </c>
      <c r="Q2" s="12">
        <v>-56.76</v>
      </c>
      <c r="R2" s="10" t="s">
        <v>90</v>
      </c>
      <c r="S2" s="10" t="s">
        <v>66</v>
      </c>
    </row>
    <row r="3" spans="1:19" x14ac:dyDescent="0.25">
      <c r="A3" s="10" t="s">
        <v>60</v>
      </c>
      <c r="B3" s="10">
        <v>5442438</v>
      </c>
      <c r="C3" s="10" t="s">
        <v>62</v>
      </c>
      <c r="D3" s="10" t="s">
        <v>63</v>
      </c>
      <c r="E3" s="10" t="s">
        <v>311</v>
      </c>
      <c r="F3" s="10" t="s">
        <v>65</v>
      </c>
      <c r="G3" s="10" t="s">
        <v>69</v>
      </c>
      <c r="H3" s="25">
        <v>45861</v>
      </c>
      <c r="I3" s="27">
        <f>MONTH(H3-G3)</f>
        <v>4</v>
      </c>
      <c r="J3" s="27" t="s">
        <v>343</v>
      </c>
      <c r="K3" s="10" t="s">
        <v>67</v>
      </c>
      <c r="L3" s="10" t="s">
        <v>83</v>
      </c>
      <c r="M3" s="10" t="s">
        <v>326</v>
      </c>
      <c r="N3" s="10" t="s">
        <v>70</v>
      </c>
      <c r="O3" s="12">
        <v>-59.08</v>
      </c>
      <c r="P3" s="17">
        <v>0.95</v>
      </c>
      <c r="Q3" s="12">
        <v>-56.13</v>
      </c>
      <c r="R3" s="10" t="s">
        <v>87</v>
      </c>
      <c r="S3" s="10" t="s">
        <v>66</v>
      </c>
    </row>
    <row r="4" spans="1:19" x14ac:dyDescent="0.25">
      <c r="A4" s="9" t="s">
        <v>60</v>
      </c>
      <c r="B4" s="9">
        <v>1706194</v>
      </c>
      <c r="C4" s="9" t="s">
        <v>77</v>
      </c>
      <c r="D4" s="9" t="s">
        <v>78</v>
      </c>
      <c r="E4" s="9" t="s">
        <v>88</v>
      </c>
      <c r="F4" s="9" t="s">
        <v>80</v>
      </c>
      <c r="G4" s="9" t="s">
        <v>84</v>
      </c>
      <c r="H4" s="25">
        <v>45861</v>
      </c>
      <c r="I4" s="27">
        <f>MONTH(H4-G4)</f>
        <v>6</v>
      </c>
      <c r="J4" s="27" t="s">
        <v>343</v>
      </c>
      <c r="K4" s="9" t="s">
        <v>82</v>
      </c>
      <c r="L4" s="9" t="s">
        <v>89</v>
      </c>
      <c r="M4" s="9" t="s">
        <v>326</v>
      </c>
      <c r="N4" s="9" t="s">
        <v>85</v>
      </c>
      <c r="O4" s="11">
        <v>-57.25</v>
      </c>
      <c r="P4" s="18">
        <v>7.4999999999999997E-2</v>
      </c>
      <c r="Q4" s="11">
        <v>-4.29</v>
      </c>
      <c r="R4" s="9" t="s">
        <v>90</v>
      </c>
      <c r="S4" s="9" t="s">
        <v>81</v>
      </c>
    </row>
    <row r="5" spans="1:19" x14ac:dyDescent="0.25">
      <c r="A5" s="9" t="s">
        <v>60</v>
      </c>
      <c r="B5" s="9">
        <v>5442438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69</v>
      </c>
      <c r="H5" s="25">
        <v>45861</v>
      </c>
      <c r="I5" s="27">
        <f>MONTH(H5-G5)</f>
        <v>4</v>
      </c>
      <c r="J5" s="27" t="s">
        <v>343</v>
      </c>
      <c r="K5" s="9" t="s">
        <v>67</v>
      </c>
      <c r="L5" s="9" t="s">
        <v>68</v>
      </c>
      <c r="M5" s="9" t="s">
        <v>325</v>
      </c>
      <c r="N5" s="9" t="s">
        <v>70</v>
      </c>
      <c r="O5" s="11">
        <v>-53</v>
      </c>
      <c r="P5" s="18">
        <v>0.6</v>
      </c>
      <c r="Q5" s="11">
        <v>-31.8</v>
      </c>
      <c r="R5" s="9" t="s">
        <v>75</v>
      </c>
      <c r="S5" s="9" t="s">
        <v>66</v>
      </c>
    </row>
    <row r="6" spans="1:19" x14ac:dyDescent="0.25">
      <c r="A6" s="10" t="s">
        <v>60</v>
      </c>
      <c r="B6" s="10">
        <v>1706194</v>
      </c>
      <c r="C6" s="10" t="s">
        <v>77</v>
      </c>
      <c r="D6" s="10" t="s">
        <v>78</v>
      </c>
      <c r="E6" s="10" t="s">
        <v>79</v>
      </c>
      <c r="F6" s="10" t="s">
        <v>80</v>
      </c>
      <c r="G6" s="10" t="s">
        <v>84</v>
      </c>
      <c r="H6" s="25">
        <v>45861</v>
      </c>
      <c r="I6" s="27">
        <f>MONTH(H6-G6)</f>
        <v>6</v>
      </c>
      <c r="J6" s="27" t="s">
        <v>343</v>
      </c>
      <c r="K6" s="10" t="s">
        <v>82</v>
      </c>
      <c r="L6" s="10" t="s">
        <v>83</v>
      </c>
      <c r="M6" s="10" t="s">
        <v>326</v>
      </c>
      <c r="N6" s="10" t="s">
        <v>85</v>
      </c>
      <c r="O6" s="12">
        <v>-52.5</v>
      </c>
      <c r="P6" s="17">
        <v>7.4999999999999997E-2</v>
      </c>
      <c r="Q6" s="12">
        <v>-3.94</v>
      </c>
      <c r="R6" s="10" t="s">
        <v>87</v>
      </c>
      <c r="S6" s="10" t="s">
        <v>81</v>
      </c>
    </row>
    <row r="7" spans="1:19" x14ac:dyDescent="0.25">
      <c r="A7" s="9" t="s">
        <v>60</v>
      </c>
      <c r="B7" s="9">
        <v>18754354</v>
      </c>
      <c r="C7" s="9" t="s">
        <v>128</v>
      </c>
      <c r="D7" s="9" t="s">
        <v>129</v>
      </c>
      <c r="E7" s="9" t="s">
        <v>130</v>
      </c>
      <c r="F7" s="9" t="s">
        <v>65</v>
      </c>
      <c r="G7" s="9" t="s">
        <v>133</v>
      </c>
      <c r="H7" s="25">
        <v>45861</v>
      </c>
      <c r="I7" s="27">
        <f>MONTH(H7-G7)</f>
        <v>6</v>
      </c>
      <c r="J7" s="27" t="s">
        <v>343</v>
      </c>
      <c r="K7" s="9" t="s">
        <v>132</v>
      </c>
      <c r="L7" s="9" t="s">
        <v>89</v>
      </c>
      <c r="M7" s="9" t="s">
        <v>323</v>
      </c>
      <c r="N7" s="9" t="s">
        <v>85</v>
      </c>
      <c r="O7" s="11">
        <v>-35.42</v>
      </c>
      <c r="P7" s="18">
        <v>1</v>
      </c>
      <c r="Q7" s="11">
        <v>-35.42</v>
      </c>
      <c r="R7" s="9" t="s">
        <v>90</v>
      </c>
      <c r="S7" s="9" t="s">
        <v>131</v>
      </c>
    </row>
    <row r="8" spans="1:19" x14ac:dyDescent="0.25">
      <c r="A8" s="10" t="s">
        <v>60</v>
      </c>
      <c r="B8" s="10">
        <v>5442438</v>
      </c>
      <c r="C8" s="10" t="s">
        <v>62</v>
      </c>
      <c r="D8" s="10" t="s">
        <v>63</v>
      </c>
      <c r="E8" s="10" t="s">
        <v>64</v>
      </c>
      <c r="F8" s="10" t="s">
        <v>65</v>
      </c>
      <c r="G8" s="10" t="s">
        <v>69</v>
      </c>
      <c r="H8" s="25">
        <v>45861</v>
      </c>
      <c r="I8" s="27">
        <f>MONTH(H8-G8)</f>
        <v>4</v>
      </c>
      <c r="J8" s="27" t="s">
        <v>343</v>
      </c>
      <c r="K8" s="10" t="s">
        <v>67</v>
      </c>
      <c r="L8" s="10" t="s">
        <v>68</v>
      </c>
      <c r="M8" s="10" t="s">
        <v>325</v>
      </c>
      <c r="N8" s="10" t="s">
        <v>70</v>
      </c>
      <c r="O8" s="12">
        <v>-33.130000000000003</v>
      </c>
      <c r="P8" s="17">
        <v>0.6</v>
      </c>
      <c r="Q8" s="12">
        <v>-19.88</v>
      </c>
      <c r="R8" s="10" t="s">
        <v>75</v>
      </c>
      <c r="S8" s="10" t="s">
        <v>66</v>
      </c>
    </row>
    <row r="9" spans="1:19" x14ac:dyDescent="0.25">
      <c r="A9" s="10" t="s">
        <v>60</v>
      </c>
      <c r="B9" s="10">
        <v>9079571</v>
      </c>
      <c r="C9" s="10" t="s">
        <v>93</v>
      </c>
      <c r="D9" s="10" t="s">
        <v>135</v>
      </c>
      <c r="E9" s="10" t="s">
        <v>136</v>
      </c>
      <c r="F9" s="10" t="s">
        <v>80</v>
      </c>
      <c r="G9" s="10" t="s">
        <v>138</v>
      </c>
      <c r="H9" s="25">
        <v>45861</v>
      </c>
      <c r="I9" s="27">
        <f>MONTH(H9-G9)</f>
        <v>5</v>
      </c>
      <c r="J9" s="27" t="s">
        <v>343</v>
      </c>
      <c r="K9" s="10" t="s">
        <v>67</v>
      </c>
      <c r="L9" s="10" t="s">
        <v>97</v>
      </c>
      <c r="M9" s="10" t="s">
        <v>324</v>
      </c>
      <c r="N9" s="10" t="s">
        <v>139</v>
      </c>
      <c r="O9" s="12">
        <v>-27.63</v>
      </c>
      <c r="P9" s="17">
        <v>3.7499999999999999E-2</v>
      </c>
      <c r="Q9" s="12">
        <v>-1.04</v>
      </c>
      <c r="R9" s="10" t="s">
        <v>100</v>
      </c>
      <c r="S9" s="10" t="s">
        <v>137</v>
      </c>
    </row>
    <row r="10" spans="1:19" x14ac:dyDescent="0.25">
      <c r="A10" s="9" t="s">
        <v>60</v>
      </c>
      <c r="B10" s="9">
        <v>5442438</v>
      </c>
      <c r="C10" s="9" t="s">
        <v>62</v>
      </c>
      <c r="D10" s="9" t="s">
        <v>63</v>
      </c>
      <c r="E10" s="9" t="s">
        <v>64</v>
      </c>
      <c r="F10" s="9" t="s">
        <v>65</v>
      </c>
      <c r="G10" s="9" t="s">
        <v>69</v>
      </c>
      <c r="H10" s="25">
        <v>45861</v>
      </c>
      <c r="I10" s="27">
        <f>MONTH(H10-G10)</f>
        <v>4</v>
      </c>
      <c r="J10" s="27" t="s">
        <v>343</v>
      </c>
      <c r="K10" s="9" t="s">
        <v>67</v>
      </c>
      <c r="L10" s="9" t="s">
        <v>68</v>
      </c>
      <c r="M10" s="9" t="s">
        <v>325</v>
      </c>
      <c r="N10" s="9" t="s">
        <v>70</v>
      </c>
      <c r="O10" s="11">
        <v>-20.62</v>
      </c>
      <c r="P10" s="18">
        <v>0.6</v>
      </c>
      <c r="Q10" s="11">
        <v>-12.37</v>
      </c>
      <c r="R10" s="9" t="s">
        <v>75</v>
      </c>
      <c r="S10" s="9" t="s">
        <v>66</v>
      </c>
    </row>
    <row r="11" spans="1:19" x14ac:dyDescent="0.25">
      <c r="A11" s="10" t="s">
        <v>91</v>
      </c>
      <c r="B11" s="10">
        <v>8814784</v>
      </c>
      <c r="C11" s="10" t="s">
        <v>291</v>
      </c>
      <c r="D11" s="10" t="s">
        <v>292</v>
      </c>
      <c r="E11" s="10" t="s">
        <v>293</v>
      </c>
      <c r="F11" s="10" t="s">
        <v>65</v>
      </c>
      <c r="G11" s="10" t="s">
        <v>231</v>
      </c>
      <c r="H11" s="25">
        <v>45861</v>
      </c>
      <c r="I11" s="27">
        <f>MONTH(H11-G11)</f>
        <v>9</v>
      </c>
      <c r="J11" s="27" t="s">
        <v>343</v>
      </c>
      <c r="K11" s="10" t="s">
        <v>125</v>
      </c>
      <c r="L11" s="10" t="s">
        <v>295</v>
      </c>
      <c r="M11" s="10" t="s">
        <v>278</v>
      </c>
      <c r="N11" s="10" t="s">
        <v>109</v>
      </c>
      <c r="O11" s="12">
        <v>2.33</v>
      </c>
      <c r="P11" s="17">
        <v>0.625</v>
      </c>
      <c r="Q11" s="12">
        <v>1.46</v>
      </c>
      <c r="R11" s="10" t="s">
        <v>296</v>
      </c>
      <c r="S11" s="10" t="s">
        <v>294</v>
      </c>
    </row>
    <row r="12" spans="1:19" x14ac:dyDescent="0.25">
      <c r="A12" s="9" t="s">
        <v>91</v>
      </c>
      <c r="B12" s="9">
        <v>20411454</v>
      </c>
      <c r="C12" s="9" t="s">
        <v>340</v>
      </c>
      <c r="D12" s="9" t="s">
        <v>103</v>
      </c>
      <c r="E12" s="9" t="s">
        <v>104</v>
      </c>
      <c r="F12" s="9" t="s">
        <v>80</v>
      </c>
      <c r="G12" s="9" t="s">
        <v>108</v>
      </c>
      <c r="H12" s="25">
        <v>45861</v>
      </c>
      <c r="I12" s="27">
        <f>MONTH(H12-G12)</f>
        <v>1</v>
      </c>
      <c r="J12" s="27" t="s">
        <v>343</v>
      </c>
      <c r="K12" s="9" t="s">
        <v>106</v>
      </c>
      <c r="L12" s="9" t="s">
        <v>107</v>
      </c>
      <c r="M12" s="9" t="s">
        <v>328</v>
      </c>
      <c r="N12" s="9" t="s">
        <v>109</v>
      </c>
      <c r="O12" s="11">
        <v>2.86</v>
      </c>
      <c r="P12" s="18">
        <v>0.02</v>
      </c>
      <c r="Q12" s="11">
        <v>2.86</v>
      </c>
      <c r="R12" s="9" t="s">
        <v>111</v>
      </c>
      <c r="S12" s="9" t="s">
        <v>105</v>
      </c>
    </row>
    <row r="13" spans="1:19" x14ac:dyDescent="0.25">
      <c r="A13" s="10" t="s">
        <v>91</v>
      </c>
      <c r="B13" s="10">
        <v>19200754</v>
      </c>
      <c r="C13" s="10" t="s">
        <v>274</v>
      </c>
      <c r="D13" s="10" t="s">
        <v>275</v>
      </c>
      <c r="E13" s="10" t="s">
        <v>276</v>
      </c>
      <c r="F13" s="10" t="s">
        <v>65</v>
      </c>
      <c r="G13" s="10" t="s">
        <v>279</v>
      </c>
      <c r="H13" s="25">
        <v>45861</v>
      </c>
      <c r="I13" s="27">
        <f>MONTH(H13-G13)</f>
        <v>10</v>
      </c>
      <c r="J13" s="27" t="s">
        <v>343</v>
      </c>
      <c r="K13" s="10" t="s">
        <v>117</v>
      </c>
      <c r="L13" s="10" t="s">
        <v>278</v>
      </c>
      <c r="M13" s="10" t="s">
        <v>278</v>
      </c>
      <c r="N13" s="10" t="s">
        <v>109</v>
      </c>
      <c r="O13" s="12">
        <v>5.25</v>
      </c>
      <c r="P13" s="17">
        <v>0.625</v>
      </c>
      <c r="Q13" s="12">
        <v>3.28</v>
      </c>
      <c r="R13" s="10" t="s">
        <v>280</v>
      </c>
      <c r="S13" s="10" t="s">
        <v>277</v>
      </c>
    </row>
    <row r="14" spans="1:19" x14ac:dyDescent="0.25">
      <c r="A14" s="9" t="s">
        <v>91</v>
      </c>
      <c r="B14" s="9">
        <v>19200754</v>
      </c>
      <c r="C14" s="9" t="s">
        <v>274</v>
      </c>
      <c r="D14" s="9" t="s">
        <v>275</v>
      </c>
      <c r="E14" s="9" t="s">
        <v>276</v>
      </c>
      <c r="F14" s="9" t="s">
        <v>65</v>
      </c>
      <c r="G14" s="9" t="s">
        <v>279</v>
      </c>
      <c r="H14" s="25">
        <v>45861</v>
      </c>
      <c r="I14" s="27">
        <f>MONTH(H14-G14)</f>
        <v>10</v>
      </c>
      <c r="J14" s="27" t="s">
        <v>343</v>
      </c>
      <c r="K14" s="9" t="s">
        <v>117</v>
      </c>
      <c r="L14" s="9" t="s">
        <v>278</v>
      </c>
      <c r="M14" s="9" t="s">
        <v>278</v>
      </c>
      <c r="N14" s="9" t="s">
        <v>109</v>
      </c>
      <c r="O14" s="11">
        <v>11.04</v>
      </c>
      <c r="P14" s="18">
        <v>0.625</v>
      </c>
      <c r="Q14" s="11">
        <v>6.9</v>
      </c>
      <c r="R14" s="9" t="s">
        <v>280</v>
      </c>
      <c r="S14" s="9" t="s">
        <v>277</v>
      </c>
    </row>
    <row r="15" spans="1:19" x14ac:dyDescent="0.25">
      <c r="A15" s="9" t="s">
        <v>91</v>
      </c>
      <c r="B15" s="9">
        <v>19200754</v>
      </c>
      <c r="C15" s="9" t="s">
        <v>274</v>
      </c>
      <c r="D15" s="9" t="s">
        <v>275</v>
      </c>
      <c r="E15" s="9" t="s">
        <v>276</v>
      </c>
      <c r="F15" s="9" t="s">
        <v>65</v>
      </c>
      <c r="G15" s="9" t="s">
        <v>279</v>
      </c>
      <c r="H15" s="25">
        <v>45861</v>
      </c>
      <c r="I15" s="27">
        <f>MONTH(H15-G15)</f>
        <v>10</v>
      </c>
      <c r="J15" s="27" t="s">
        <v>343</v>
      </c>
      <c r="K15" s="9" t="s">
        <v>117</v>
      </c>
      <c r="L15" s="9" t="s">
        <v>278</v>
      </c>
      <c r="M15" s="9" t="s">
        <v>278</v>
      </c>
      <c r="N15" s="9" t="s">
        <v>109</v>
      </c>
      <c r="O15" s="11">
        <v>12.77</v>
      </c>
      <c r="P15" s="18">
        <v>0.625</v>
      </c>
      <c r="Q15" s="11">
        <v>7.98</v>
      </c>
      <c r="R15" s="9" t="s">
        <v>280</v>
      </c>
      <c r="S15" s="9" t="s">
        <v>277</v>
      </c>
    </row>
    <row r="16" spans="1:19" x14ac:dyDescent="0.25">
      <c r="A16" s="9" t="s">
        <v>91</v>
      </c>
      <c r="B16" s="9">
        <v>19200754</v>
      </c>
      <c r="C16" s="9" t="s">
        <v>274</v>
      </c>
      <c r="D16" s="9" t="s">
        <v>275</v>
      </c>
      <c r="E16" s="9" t="s">
        <v>276</v>
      </c>
      <c r="F16" s="9" t="s">
        <v>65</v>
      </c>
      <c r="G16" s="9" t="s">
        <v>279</v>
      </c>
      <c r="H16" s="25">
        <v>45861</v>
      </c>
      <c r="I16" s="27">
        <f>MONTH(H16-G16)</f>
        <v>10</v>
      </c>
      <c r="J16" s="27" t="s">
        <v>343</v>
      </c>
      <c r="K16" s="9" t="s">
        <v>117</v>
      </c>
      <c r="L16" s="9" t="s">
        <v>278</v>
      </c>
      <c r="M16" s="9" t="s">
        <v>278</v>
      </c>
      <c r="N16" s="9" t="s">
        <v>109</v>
      </c>
      <c r="O16" s="11">
        <v>15.8</v>
      </c>
      <c r="P16" s="18">
        <v>0.625</v>
      </c>
      <c r="Q16" s="11">
        <v>9.8800000000000008</v>
      </c>
      <c r="R16" s="9" t="s">
        <v>280</v>
      </c>
      <c r="S16" s="9" t="s">
        <v>277</v>
      </c>
    </row>
    <row r="17" spans="1:19" x14ac:dyDescent="0.25">
      <c r="A17" s="9" t="s">
        <v>91</v>
      </c>
      <c r="B17" s="9">
        <v>18010408</v>
      </c>
      <c r="C17" s="9" t="s">
        <v>171</v>
      </c>
      <c r="D17" s="9" t="s">
        <v>312</v>
      </c>
      <c r="E17" s="9" t="s">
        <v>313</v>
      </c>
      <c r="F17" s="9" t="s">
        <v>65</v>
      </c>
      <c r="G17" s="9" t="s">
        <v>133</v>
      </c>
      <c r="H17" s="25">
        <v>45861</v>
      </c>
      <c r="I17" s="27">
        <f>MONTH(H17-G17)</f>
        <v>6</v>
      </c>
      <c r="J17" s="27" t="s">
        <v>343</v>
      </c>
      <c r="K17" s="9" t="s">
        <v>106</v>
      </c>
      <c r="L17" s="9" t="s">
        <v>83</v>
      </c>
      <c r="M17" s="9" t="s">
        <v>323</v>
      </c>
      <c r="N17" s="9" t="s">
        <v>109</v>
      </c>
      <c r="O17" s="11">
        <v>17.72</v>
      </c>
      <c r="P17" s="18">
        <v>1</v>
      </c>
      <c r="Q17" s="11">
        <v>17.72</v>
      </c>
      <c r="R17" s="9" t="s">
        <v>87</v>
      </c>
      <c r="S17" s="9" t="s">
        <v>314</v>
      </c>
    </row>
    <row r="18" spans="1:19" x14ac:dyDescent="0.25">
      <c r="A18" s="9" t="s">
        <v>91</v>
      </c>
      <c r="B18" s="9">
        <v>16202925</v>
      </c>
      <c r="C18" s="9" t="s">
        <v>184</v>
      </c>
      <c r="D18" s="9" t="s">
        <v>185</v>
      </c>
      <c r="E18" s="9" t="s">
        <v>186</v>
      </c>
      <c r="F18" s="9" t="s">
        <v>80</v>
      </c>
      <c r="G18" s="9" t="s">
        <v>188</v>
      </c>
      <c r="H18" s="25">
        <v>45861</v>
      </c>
      <c r="I18" s="27">
        <f>MONTH(H18-G18)</f>
        <v>2</v>
      </c>
      <c r="J18" s="27" t="s">
        <v>344</v>
      </c>
      <c r="K18" s="9" t="s">
        <v>67</v>
      </c>
      <c r="L18" s="9" t="s">
        <v>68</v>
      </c>
      <c r="M18" s="9" t="s">
        <v>329</v>
      </c>
      <c r="N18" s="9" t="s">
        <v>189</v>
      </c>
      <c r="O18" s="11">
        <v>20.62</v>
      </c>
      <c r="P18" s="18">
        <v>0.12</v>
      </c>
      <c r="Q18" s="11">
        <v>2.4700000000000002</v>
      </c>
      <c r="R18" s="9" t="s">
        <v>75</v>
      </c>
      <c r="S18" s="9" t="s">
        <v>187</v>
      </c>
    </row>
    <row r="19" spans="1:19" x14ac:dyDescent="0.25">
      <c r="A19" s="9" t="s">
        <v>91</v>
      </c>
      <c r="B19" s="9">
        <v>9079571</v>
      </c>
      <c r="C19" s="9" t="s">
        <v>93</v>
      </c>
      <c r="D19" s="9" t="s">
        <v>288</v>
      </c>
      <c r="E19" s="9" t="s">
        <v>289</v>
      </c>
      <c r="F19" s="9" t="s">
        <v>65</v>
      </c>
      <c r="G19" s="9" t="s">
        <v>96</v>
      </c>
      <c r="H19" s="25">
        <v>45861</v>
      </c>
      <c r="I19" s="27">
        <f>MONTH(H19-G19)</f>
        <v>8</v>
      </c>
      <c r="J19" s="27" t="s">
        <v>343</v>
      </c>
      <c r="K19" s="9" t="s">
        <v>67</v>
      </c>
      <c r="L19" s="9" t="s">
        <v>97</v>
      </c>
      <c r="M19" s="9" t="s">
        <v>324</v>
      </c>
      <c r="N19" s="9" t="s">
        <v>7</v>
      </c>
      <c r="O19" s="11">
        <v>22.42</v>
      </c>
      <c r="P19" s="18">
        <v>0.56999999999999995</v>
      </c>
      <c r="Q19" s="11">
        <v>12.78</v>
      </c>
      <c r="R19" s="9" t="s">
        <v>100</v>
      </c>
      <c r="S19" s="9" t="s">
        <v>96</v>
      </c>
    </row>
    <row r="20" spans="1:19" s="24" customFormat="1" x14ac:dyDescent="0.25">
      <c r="A20" s="10" t="s">
        <v>91</v>
      </c>
      <c r="B20" s="10">
        <v>20003537</v>
      </c>
      <c r="C20" s="10" t="s">
        <v>113</v>
      </c>
      <c r="D20" s="10" t="s">
        <v>114</v>
      </c>
      <c r="E20" s="10" t="s">
        <v>115</v>
      </c>
      <c r="F20" s="10" t="s">
        <v>65</v>
      </c>
      <c r="G20" s="10" t="s">
        <v>118</v>
      </c>
      <c r="H20" s="25">
        <v>45861</v>
      </c>
      <c r="I20" s="27">
        <f>MONTH(H20-G20)</f>
        <v>7</v>
      </c>
      <c r="J20" s="27" t="s">
        <v>343</v>
      </c>
      <c r="K20" s="10" t="s">
        <v>117</v>
      </c>
      <c r="L20" s="10" t="s">
        <v>68</v>
      </c>
      <c r="M20" s="10" t="s">
        <v>278</v>
      </c>
      <c r="N20" s="10" t="s">
        <v>109</v>
      </c>
      <c r="O20" s="12">
        <v>22.7</v>
      </c>
      <c r="P20" s="17">
        <v>0.625</v>
      </c>
      <c r="Q20" s="12">
        <v>14.19</v>
      </c>
      <c r="R20" s="10" t="s">
        <v>75</v>
      </c>
      <c r="S20" s="10" t="s">
        <v>116</v>
      </c>
    </row>
    <row r="21" spans="1:19" s="24" customFormat="1" x14ac:dyDescent="0.25">
      <c r="A21" s="10" t="s">
        <v>91</v>
      </c>
      <c r="B21" s="10">
        <v>19200754</v>
      </c>
      <c r="C21" s="10" t="s">
        <v>274</v>
      </c>
      <c r="D21" s="10" t="s">
        <v>275</v>
      </c>
      <c r="E21" s="10" t="s">
        <v>276</v>
      </c>
      <c r="F21" s="10" t="s">
        <v>65</v>
      </c>
      <c r="G21" s="10" t="s">
        <v>279</v>
      </c>
      <c r="H21" s="25">
        <v>45861</v>
      </c>
      <c r="I21" s="27">
        <f>MONTH(H21-G21)</f>
        <v>10</v>
      </c>
      <c r="J21" s="27" t="s">
        <v>343</v>
      </c>
      <c r="K21" s="10" t="s">
        <v>117</v>
      </c>
      <c r="L21" s="10" t="s">
        <v>278</v>
      </c>
      <c r="M21" s="10" t="s">
        <v>278</v>
      </c>
      <c r="N21" s="10" t="s">
        <v>109</v>
      </c>
      <c r="O21" s="12">
        <v>23.8</v>
      </c>
      <c r="P21" s="17">
        <v>0.625</v>
      </c>
      <c r="Q21" s="12">
        <v>14.88</v>
      </c>
      <c r="R21" s="10" t="s">
        <v>280</v>
      </c>
      <c r="S21" s="10" t="s">
        <v>277</v>
      </c>
    </row>
    <row r="22" spans="1:19" x14ac:dyDescent="0.25">
      <c r="A22" s="9" t="s">
        <v>91</v>
      </c>
      <c r="B22" s="9">
        <v>20769090</v>
      </c>
      <c r="C22" s="9" t="s">
        <v>142</v>
      </c>
      <c r="D22" s="9" t="s">
        <v>143</v>
      </c>
      <c r="E22" s="9" t="s">
        <v>144</v>
      </c>
      <c r="F22" s="9" t="s">
        <v>80</v>
      </c>
      <c r="G22" s="9" t="s">
        <v>147</v>
      </c>
      <c r="H22" s="25">
        <v>45861</v>
      </c>
      <c r="I22" s="27">
        <f>MONTH(H22-G22)</f>
        <v>5</v>
      </c>
      <c r="J22" s="27" t="s">
        <v>343</v>
      </c>
      <c r="K22" s="9" t="s">
        <v>67</v>
      </c>
      <c r="L22" s="9" t="s">
        <v>146</v>
      </c>
      <c r="M22" s="10" t="s">
        <v>324</v>
      </c>
      <c r="N22" s="9" t="s">
        <v>148</v>
      </c>
      <c r="O22" s="11">
        <v>25.31</v>
      </c>
      <c r="P22" s="18">
        <v>3.7499999999999999E-2</v>
      </c>
      <c r="Q22" s="11">
        <v>0.95</v>
      </c>
      <c r="R22" s="9" t="s">
        <v>149</v>
      </c>
      <c r="S22" s="9" t="s">
        <v>145</v>
      </c>
    </row>
    <row r="23" spans="1:19" x14ac:dyDescent="0.25">
      <c r="A23" s="10" t="s">
        <v>91</v>
      </c>
      <c r="B23" s="10">
        <v>17528908</v>
      </c>
      <c r="C23" s="10" t="s">
        <v>200</v>
      </c>
      <c r="D23" s="10" t="s">
        <v>201</v>
      </c>
      <c r="E23" s="10" t="s">
        <v>202</v>
      </c>
      <c r="F23" s="10" t="s">
        <v>193</v>
      </c>
      <c r="G23" s="10" t="s">
        <v>7</v>
      </c>
      <c r="H23" s="25">
        <v>45861</v>
      </c>
      <c r="I23" s="27">
        <f>MONTH(H23-G23)</f>
        <v>1</v>
      </c>
      <c r="J23" s="27" t="s">
        <v>343</v>
      </c>
      <c r="K23" s="10" t="s">
        <v>203</v>
      </c>
      <c r="L23" s="10" t="s">
        <v>83</v>
      </c>
      <c r="M23" s="10" t="s">
        <v>332</v>
      </c>
      <c r="N23" s="10" t="s">
        <v>7</v>
      </c>
      <c r="O23" s="12">
        <v>27</v>
      </c>
      <c r="P23" s="17">
        <v>1.05</v>
      </c>
      <c r="Q23" s="12">
        <v>28.35</v>
      </c>
      <c r="R23" s="10" t="s">
        <v>87</v>
      </c>
      <c r="S23" s="10" t="s">
        <v>182</v>
      </c>
    </row>
    <row r="24" spans="1:19" x14ac:dyDescent="0.25">
      <c r="A24" s="10" t="s">
        <v>91</v>
      </c>
      <c r="B24" s="10">
        <v>17528908</v>
      </c>
      <c r="C24" s="10" t="s">
        <v>200</v>
      </c>
      <c r="D24" s="10" t="s">
        <v>201</v>
      </c>
      <c r="E24" s="10" t="s">
        <v>322</v>
      </c>
      <c r="F24" s="10" t="s">
        <v>193</v>
      </c>
      <c r="G24" s="10" t="s">
        <v>7</v>
      </c>
      <c r="H24" s="25">
        <v>45861</v>
      </c>
      <c r="I24" s="27">
        <f>MONTH(H24-G24)</f>
        <v>1</v>
      </c>
      <c r="J24" s="27" t="s">
        <v>343</v>
      </c>
      <c r="K24" s="10" t="s">
        <v>203</v>
      </c>
      <c r="L24" s="10" t="s">
        <v>89</v>
      </c>
      <c r="M24" s="10" t="s">
        <v>332</v>
      </c>
      <c r="N24" s="10" t="s">
        <v>7</v>
      </c>
      <c r="O24" s="12">
        <v>27.33</v>
      </c>
      <c r="P24" s="17">
        <v>1.05</v>
      </c>
      <c r="Q24" s="12">
        <v>28.7</v>
      </c>
      <c r="R24" s="10" t="s">
        <v>90</v>
      </c>
      <c r="S24" s="10" t="s">
        <v>182</v>
      </c>
    </row>
    <row r="25" spans="1:19" x14ac:dyDescent="0.25">
      <c r="A25" s="10" t="s">
        <v>91</v>
      </c>
      <c r="B25" s="10">
        <v>9079571</v>
      </c>
      <c r="C25" s="10" t="s">
        <v>93</v>
      </c>
      <c r="D25" s="10" t="s">
        <v>214</v>
      </c>
      <c r="E25" s="10" t="s">
        <v>215</v>
      </c>
      <c r="F25" s="10" t="s">
        <v>80</v>
      </c>
      <c r="G25" s="10" t="s">
        <v>216</v>
      </c>
      <c r="H25" s="25">
        <v>45861</v>
      </c>
      <c r="I25" s="27">
        <f>MONTH(H25-G25)</f>
        <v>1</v>
      </c>
      <c r="J25" s="27" t="s">
        <v>343</v>
      </c>
      <c r="K25" s="10" t="s">
        <v>67</v>
      </c>
      <c r="L25" s="10" t="s">
        <v>97</v>
      </c>
      <c r="M25" s="10" t="s">
        <v>324</v>
      </c>
      <c r="N25" s="10" t="s">
        <v>182</v>
      </c>
      <c r="O25" s="12">
        <v>27.63</v>
      </c>
      <c r="P25" s="17">
        <v>3.7499999999999999E-2</v>
      </c>
      <c r="Q25" s="12">
        <v>1.04</v>
      </c>
      <c r="R25" s="10" t="s">
        <v>100</v>
      </c>
      <c r="S25" s="10" t="s">
        <v>216</v>
      </c>
    </row>
    <row r="26" spans="1:19" x14ac:dyDescent="0.25">
      <c r="A26" s="9" t="s">
        <v>91</v>
      </c>
      <c r="B26" s="9">
        <v>9079571</v>
      </c>
      <c r="C26" s="9" t="s">
        <v>93</v>
      </c>
      <c r="D26" s="9" t="s">
        <v>205</v>
      </c>
      <c r="E26" s="9" t="s">
        <v>206</v>
      </c>
      <c r="F26" s="9" t="s">
        <v>80</v>
      </c>
      <c r="G26" s="9" t="s">
        <v>208</v>
      </c>
      <c r="H26" s="25">
        <v>45861</v>
      </c>
      <c r="I26" s="27">
        <f>MONTH(H26-G26)</f>
        <v>5</v>
      </c>
      <c r="J26" s="27" t="s">
        <v>343</v>
      </c>
      <c r="K26" s="9" t="s">
        <v>67</v>
      </c>
      <c r="L26" s="9" t="s">
        <v>97</v>
      </c>
      <c r="M26" s="9" t="s">
        <v>327</v>
      </c>
      <c r="N26" s="9" t="s">
        <v>7</v>
      </c>
      <c r="O26" s="11">
        <v>27.63</v>
      </c>
      <c r="P26" s="18">
        <v>3.5000000000000003E-2</v>
      </c>
      <c r="Q26" s="11">
        <v>0.97</v>
      </c>
      <c r="R26" s="9" t="s">
        <v>100</v>
      </c>
      <c r="S26" s="9" t="s">
        <v>208</v>
      </c>
    </row>
    <row r="27" spans="1:19" x14ac:dyDescent="0.25">
      <c r="A27" s="10" t="s">
        <v>91</v>
      </c>
      <c r="B27" s="10">
        <v>9079571</v>
      </c>
      <c r="C27" s="10" t="s">
        <v>93</v>
      </c>
      <c r="D27" s="10" t="s">
        <v>261</v>
      </c>
      <c r="E27" s="10" t="s">
        <v>262</v>
      </c>
      <c r="F27" s="10" t="s">
        <v>65</v>
      </c>
      <c r="G27" s="10" t="s">
        <v>96</v>
      </c>
      <c r="H27" s="25">
        <v>45861</v>
      </c>
      <c r="I27" s="27">
        <f>MONTH(H27-G27)</f>
        <v>8</v>
      </c>
      <c r="J27" s="27" t="s">
        <v>343</v>
      </c>
      <c r="K27" s="10" t="s">
        <v>67</v>
      </c>
      <c r="L27" s="10" t="s">
        <v>97</v>
      </c>
      <c r="M27" s="10" t="s">
        <v>324</v>
      </c>
      <c r="N27" s="10" t="s">
        <v>7</v>
      </c>
      <c r="O27" s="12">
        <v>27.63</v>
      </c>
      <c r="P27" s="17">
        <v>0.56999999999999995</v>
      </c>
      <c r="Q27" s="12">
        <v>15.75</v>
      </c>
      <c r="R27" s="10" t="s">
        <v>100</v>
      </c>
      <c r="S27" s="10" t="s">
        <v>96</v>
      </c>
    </row>
    <row r="28" spans="1:19" x14ac:dyDescent="0.25">
      <c r="A28" s="10" t="s">
        <v>91</v>
      </c>
      <c r="B28" s="10">
        <v>9079571</v>
      </c>
      <c r="C28" s="10" t="s">
        <v>93</v>
      </c>
      <c r="D28" s="10" t="s">
        <v>161</v>
      </c>
      <c r="E28" s="10" t="s">
        <v>162</v>
      </c>
      <c r="F28" s="10" t="s">
        <v>80</v>
      </c>
      <c r="G28" s="10" t="s">
        <v>164</v>
      </c>
      <c r="H28" s="25">
        <v>45861</v>
      </c>
      <c r="I28" s="27">
        <f>MONTH(H28-G28)</f>
        <v>10</v>
      </c>
      <c r="J28" s="27" t="s">
        <v>343</v>
      </c>
      <c r="K28" s="10" t="s">
        <v>67</v>
      </c>
      <c r="L28" s="10" t="s">
        <v>97</v>
      </c>
      <c r="M28" s="10" t="s">
        <v>327</v>
      </c>
      <c r="N28" s="10" t="s">
        <v>109</v>
      </c>
      <c r="O28" s="12">
        <v>27.63</v>
      </c>
      <c r="P28" s="17">
        <v>3.5000000000000003E-2</v>
      </c>
      <c r="Q28" s="12">
        <v>0.97</v>
      </c>
      <c r="R28" s="10" t="s">
        <v>100</v>
      </c>
      <c r="S28" s="10" t="s">
        <v>163</v>
      </c>
    </row>
    <row r="29" spans="1:19" x14ac:dyDescent="0.25">
      <c r="A29" s="10" t="s">
        <v>91</v>
      </c>
      <c r="B29" s="10">
        <v>9079571</v>
      </c>
      <c r="C29" s="10" t="s">
        <v>93</v>
      </c>
      <c r="D29" s="10" t="s">
        <v>209</v>
      </c>
      <c r="E29" s="10" t="s">
        <v>210</v>
      </c>
      <c r="F29" s="10" t="s">
        <v>80</v>
      </c>
      <c r="G29" s="10" t="s">
        <v>212</v>
      </c>
      <c r="H29" s="25">
        <v>45861</v>
      </c>
      <c r="I29" s="27">
        <f>MONTH(H29-G29)</f>
        <v>11</v>
      </c>
      <c r="J29" s="27" t="s">
        <v>343</v>
      </c>
      <c r="K29" s="10" t="s">
        <v>67</v>
      </c>
      <c r="L29" s="10" t="s">
        <v>97</v>
      </c>
      <c r="M29" s="10" t="s">
        <v>327</v>
      </c>
      <c r="N29" s="10" t="s">
        <v>213</v>
      </c>
      <c r="O29" s="12">
        <v>27.63</v>
      </c>
      <c r="P29" s="17">
        <v>3.5000000000000003E-2</v>
      </c>
      <c r="Q29" s="12">
        <v>0.97</v>
      </c>
      <c r="R29" s="10" t="s">
        <v>100</v>
      </c>
      <c r="S29" s="10" t="s">
        <v>211</v>
      </c>
    </row>
    <row r="30" spans="1:19" x14ac:dyDescent="0.25">
      <c r="A30" s="10" t="s">
        <v>91</v>
      </c>
      <c r="B30" s="10">
        <v>16202925</v>
      </c>
      <c r="C30" s="10" t="s">
        <v>184</v>
      </c>
      <c r="D30" s="10" t="s">
        <v>297</v>
      </c>
      <c r="E30" s="10" t="s">
        <v>298</v>
      </c>
      <c r="F30" s="10" t="s">
        <v>65</v>
      </c>
      <c r="G30" s="10" t="s">
        <v>300</v>
      </c>
      <c r="H30" s="25">
        <v>45861</v>
      </c>
      <c r="I30" s="27">
        <f>MONTH(H30-G30)</f>
        <v>12</v>
      </c>
      <c r="J30" s="27" t="s">
        <v>343</v>
      </c>
      <c r="K30" s="10" t="s">
        <v>67</v>
      </c>
      <c r="L30" s="10" t="s">
        <v>97</v>
      </c>
      <c r="M30" s="10" t="s">
        <v>324</v>
      </c>
      <c r="N30" s="10" t="s">
        <v>301</v>
      </c>
      <c r="O30" s="12">
        <v>27.63</v>
      </c>
      <c r="P30" s="17">
        <v>0.56999999999999995</v>
      </c>
      <c r="Q30" s="12">
        <v>15.75</v>
      </c>
      <c r="R30" s="10" t="s">
        <v>100</v>
      </c>
      <c r="S30" s="10" t="s">
        <v>299</v>
      </c>
    </row>
    <row r="31" spans="1:19" x14ac:dyDescent="0.25">
      <c r="A31" s="9" t="s">
        <v>91</v>
      </c>
      <c r="B31" s="9">
        <v>16202925</v>
      </c>
      <c r="C31" s="9" t="s">
        <v>184</v>
      </c>
      <c r="D31" s="9" t="s">
        <v>306</v>
      </c>
      <c r="E31" s="9" t="s">
        <v>307</v>
      </c>
      <c r="F31" s="9" t="s">
        <v>80</v>
      </c>
      <c r="G31" s="9" t="s">
        <v>309</v>
      </c>
      <c r="H31" s="25">
        <v>45861</v>
      </c>
      <c r="I31" s="27">
        <f>MONTH(H31-G31)</f>
        <v>6</v>
      </c>
      <c r="J31" s="27" t="s">
        <v>344</v>
      </c>
      <c r="K31" s="9" t="s">
        <v>67</v>
      </c>
      <c r="L31" s="9" t="s">
        <v>308</v>
      </c>
      <c r="M31" s="9" t="s">
        <v>327</v>
      </c>
      <c r="N31" s="9" t="s">
        <v>251</v>
      </c>
      <c r="O31" s="11">
        <v>29.71</v>
      </c>
      <c r="P31" s="18">
        <v>3.5000000000000003E-2</v>
      </c>
      <c r="Q31" s="11">
        <v>1.04</v>
      </c>
      <c r="R31" s="9" t="s">
        <v>310</v>
      </c>
      <c r="S31" s="9" t="s">
        <v>84</v>
      </c>
    </row>
    <row r="32" spans="1:19" x14ac:dyDescent="0.25">
      <c r="A32" s="9" t="s">
        <v>91</v>
      </c>
      <c r="B32" s="9">
        <v>18754354</v>
      </c>
      <c r="C32" s="9" t="s">
        <v>128</v>
      </c>
      <c r="D32" s="9" t="s">
        <v>195</v>
      </c>
      <c r="E32" s="9" t="s">
        <v>196</v>
      </c>
      <c r="F32" s="9" t="s">
        <v>193</v>
      </c>
      <c r="G32" s="9" t="s">
        <v>182</v>
      </c>
      <c r="H32" s="25">
        <v>45861</v>
      </c>
      <c r="I32" s="27">
        <f>MONTH(H32-G32)</f>
        <v>1</v>
      </c>
      <c r="J32" s="27" t="s">
        <v>343</v>
      </c>
      <c r="K32" s="9" t="s">
        <v>198</v>
      </c>
      <c r="L32" s="9" t="s">
        <v>89</v>
      </c>
      <c r="M32" s="9" t="s">
        <v>323</v>
      </c>
      <c r="N32" s="9" t="s">
        <v>182</v>
      </c>
      <c r="O32" s="11">
        <v>32.020000000000003</v>
      </c>
      <c r="P32" s="18">
        <v>1</v>
      </c>
      <c r="Q32" s="11">
        <v>32.020000000000003</v>
      </c>
      <c r="R32" s="9" t="s">
        <v>90</v>
      </c>
      <c r="S32" s="9" t="s">
        <v>197</v>
      </c>
    </row>
    <row r="33" spans="1:19" x14ac:dyDescent="0.25">
      <c r="A33" s="9" t="s">
        <v>91</v>
      </c>
      <c r="B33" s="9">
        <v>9079571</v>
      </c>
      <c r="C33" s="9" t="s">
        <v>93</v>
      </c>
      <c r="D33" s="9" t="s">
        <v>179</v>
      </c>
      <c r="E33" s="9" t="s">
        <v>180</v>
      </c>
      <c r="F33" s="9" t="s">
        <v>65</v>
      </c>
      <c r="G33" s="9" t="s">
        <v>181</v>
      </c>
      <c r="H33" s="25">
        <v>45861</v>
      </c>
      <c r="I33" s="27">
        <f>MONTH(H33-G33)</f>
        <v>9</v>
      </c>
      <c r="J33" s="27" t="s">
        <v>343</v>
      </c>
      <c r="K33" s="9" t="s">
        <v>67</v>
      </c>
      <c r="L33" s="9" t="s">
        <v>97</v>
      </c>
      <c r="M33" s="9" t="s">
        <v>324</v>
      </c>
      <c r="N33" s="9" t="s">
        <v>182</v>
      </c>
      <c r="O33" s="11">
        <v>32.130000000000003</v>
      </c>
      <c r="P33" s="18">
        <v>0.56999999999999995</v>
      </c>
      <c r="Q33" s="11">
        <v>18.309999999999999</v>
      </c>
      <c r="R33" s="9" t="s">
        <v>100</v>
      </c>
      <c r="S33" s="9" t="s">
        <v>181</v>
      </c>
    </row>
    <row r="34" spans="1:19" x14ac:dyDescent="0.25">
      <c r="A34" s="9" t="s">
        <v>91</v>
      </c>
      <c r="B34" s="9">
        <v>9079571</v>
      </c>
      <c r="C34" s="9" t="s">
        <v>93</v>
      </c>
      <c r="D34" s="9" t="s">
        <v>166</v>
      </c>
      <c r="E34" s="9" t="s">
        <v>167</v>
      </c>
      <c r="F34" s="9" t="s">
        <v>80</v>
      </c>
      <c r="G34" s="9" t="s">
        <v>169</v>
      </c>
      <c r="H34" s="25">
        <v>45861</v>
      </c>
      <c r="I34" s="27">
        <f>MONTH(H34-G34)</f>
        <v>9</v>
      </c>
      <c r="J34" s="27" t="s">
        <v>343</v>
      </c>
      <c r="K34" s="9" t="s">
        <v>67</v>
      </c>
      <c r="L34" s="9" t="s">
        <v>97</v>
      </c>
      <c r="M34" s="9" t="s">
        <v>327</v>
      </c>
      <c r="N34" s="9" t="s">
        <v>109</v>
      </c>
      <c r="O34" s="11">
        <v>32.130000000000003</v>
      </c>
      <c r="P34" s="18">
        <v>3.5000000000000003E-2</v>
      </c>
      <c r="Q34" s="11">
        <v>1.1200000000000001</v>
      </c>
      <c r="R34" s="9" t="s">
        <v>100</v>
      </c>
      <c r="S34" s="9" t="s">
        <v>168</v>
      </c>
    </row>
    <row r="35" spans="1:19" x14ac:dyDescent="0.25">
      <c r="A35" s="9" t="s">
        <v>91</v>
      </c>
      <c r="B35" s="9">
        <v>16243811</v>
      </c>
      <c r="C35" s="9" t="s">
        <v>264</v>
      </c>
      <c r="D35" s="9" t="s">
        <v>265</v>
      </c>
      <c r="E35" s="9" t="s">
        <v>266</v>
      </c>
      <c r="F35" s="9" t="s">
        <v>80</v>
      </c>
      <c r="G35" s="9" t="s">
        <v>267</v>
      </c>
      <c r="H35" s="25">
        <v>45861</v>
      </c>
      <c r="I35" s="27">
        <f>MONTH(H35-G35)</f>
        <v>4</v>
      </c>
      <c r="J35" s="27" t="s">
        <v>343</v>
      </c>
      <c r="K35" s="9" t="s">
        <v>67</v>
      </c>
      <c r="L35" s="9" t="s">
        <v>97</v>
      </c>
      <c r="M35" s="9" t="s">
        <v>327</v>
      </c>
      <c r="N35" s="9" t="s">
        <v>251</v>
      </c>
      <c r="O35" s="11">
        <v>32.130000000000003</v>
      </c>
      <c r="P35" s="18">
        <v>3.5000000000000003E-2</v>
      </c>
      <c r="Q35" s="11">
        <v>1.1200000000000001</v>
      </c>
      <c r="R35" s="9" t="s">
        <v>100</v>
      </c>
      <c r="S35" s="9" t="s">
        <v>267</v>
      </c>
    </row>
    <row r="36" spans="1:19" x14ac:dyDescent="0.25">
      <c r="A36" s="10" t="s">
        <v>91</v>
      </c>
      <c r="B36" s="10">
        <v>13496370</v>
      </c>
      <c r="C36" s="10" t="s">
        <v>316</v>
      </c>
      <c r="D36" s="10" t="s">
        <v>317</v>
      </c>
      <c r="E36" s="10" t="s">
        <v>318</v>
      </c>
      <c r="F36" s="10" t="s">
        <v>80</v>
      </c>
      <c r="G36" s="10" t="s">
        <v>222</v>
      </c>
      <c r="H36" s="25">
        <v>45861</v>
      </c>
      <c r="I36" s="27">
        <f>MONTH(H36-G36)</f>
        <v>8</v>
      </c>
      <c r="J36" s="27" t="s">
        <v>343</v>
      </c>
      <c r="K36" s="10" t="s">
        <v>67</v>
      </c>
      <c r="L36" s="10" t="s">
        <v>97</v>
      </c>
      <c r="M36" s="10" t="s">
        <v>327</v>
      </c>
      <c r="N36" s="10" t="s">
        <v>109</v>
      </c>
      <c r="O36" s="12">
        <v>32.130000000000003</v>
      </c>
      <c r="P36" s="17">
        <v>3.5000000000000003E-2</v>
      </c>
      <c r="Q36" s="12">
        <v>1.1200000000000001</v>
      </c>
      <c r="R36" s="10" t="s">
        <v>100</v>
      </c>
      <c r="S36" s="10" t="s">
        <v>319</v>
      </c>
    </row>
    <row r="37" spans="1:19" x14ac:dyDescent="0.25">
      <c r="A37" s="10" t="s">
        <v>91</v>
      </c>
      <c r="B37" s="10">
        <v>20697692</v>
      </c>
      <c r="C37" s="10" t="s">
        <v>242</v>
      </c>
      <c r="D37" s="10" t="s">
        <v>243</v>
      </c>
      <c r="E37" s="10" t="s">
        <v>244</v>
      </c>
      <c r="F37" s="10" t="s">
        <v>80</v>
      </c>
      <c r="G37" s="10" t="s">
        <v>246</v>
      </c>
      <c r="H37" s="25">
        <v>45861</v>
      </c>
      <c r="I37" s="27">
        <f>MONTH(H37-G37)</f>
        <v>12</v>
      </c>
      <c r="J37" s="27" t="s">
        <v>343</v>
      </c>
      <c r="K37" s="10" t="s">
        <v>67</v>
      </c>
      <c r="L37" s="10" t="s">
        <v>97</v>
      </c>
      <c r="M37" s="10" t="s">
        <v>327</v>
      </c>
      <c r="N37" s="10" t="s">
        <v>247</v>
      </c>
      <c r="O37" s="12">
        <v>32.130000000000003</v>
      </c>
      <c r="P37" s="17">
        <v>3.5000000000000003E-2</v>
      </c>
      <c r="Q37" s="12">
        <v>1.1200000000000001</v>
      </c>
      <c r="R37" s="10" t="s">
        <v>100</v>
      </c>
      <c r="S37" s="10" t="s">
        <v>245</v>
      </c>
    </row>
    <row r="38" spans="1:19" x14ac:dyDescent="0.25">
      <c r="A38" s="10" t="s">
        <v>91</v>
      </c>
      <c r="B38" s="10">
        <v>18754354</v>
      </c>
      <c r="C38" s="10" t="s">
        <v>128</v>
      </c>
      <c r="D38" s="10" t="s">
        <v>195</v>
      </c>
      <c r="E38" s="10" t="s">
        <v>225</v>
      </c>
      <c r="F38" s="10" t="s">
        <v>193</v>
      </c>
      <c r="G38" s="10" t="s">
        <v>182</v>
      </c>
      <c r="H38" s="25">
        <v>45861</v>
      </c>
      <c r="I38" s="27">
        <f>MONTH(H38-G38)</f>
        <v>1</v>
      </c>
      <c r="J38" s="27" t="s">
        <v>343</v>
      </c>
      <c r="K38" s="10" t="s">
        <v>198</v>
      </c>
      <c r="L38" s="10" t="s">
        <v>83</v>
      </c>
      <c r="M38" s="10" t="s">
        <v>323</v>
      </c>
      <c r="N38" s="10" t="s">
        <v>182</v>
      </c>
      <c r="O38" s="12">
        <v>33.869999999999997</v>
      </c>
      <c r="P38" s="17">
        <v>1</v>
      </c>
      <c r="Q38" s="12">
        <v>33.869999999999997</v>
      </c>
      <c r="R38" s="10" t="s">
        <v>87</v>
      </c>
      <c r="S38" s="10" t="s">
        <v>197</v>
      </c>
    </row>
    <row r="39" spans="1:19" x14ac:dyDescent="0.25">
      <c r="A39" s="9" t="s">
        <v>91</v>
      </c>
      <c r="B39" s="9">
        <v>16912722</v>
      </c>
      <c r="C39" s="9" t="s">
        <v>227</v>
      </c>
      <c r="D39" s="9" t="s">
        <v>228</v>
      </c>
      <c r="E39" s="9" t="s">
        <v>229</v>
      </c>
      <c r="F39" s="9" t="s">
        <v>65</v>
      </c>
      <c r="G39" s="9" t="s">
        <v>231</v>
      </c>
      <c r="H39" s="25">
        <v>45861</v>
      </c>
      <c r="I39" s="27">
        <f>MONTH(H39-G39)</f>
        <v>9</v>
      </c>
      <c r="J39" s="27" t="s">
        <v>343</v>
      </c>
      <c r="K39" s="9" t="s">
        <v>125</v>
      </c>
      <c r="L39" s="9" t="s">
        <v>83</v>
      </c>
      <c r="M39" s="9" t="s">
        <v>323</v>
      </c>
      <c r="N39" s="9" t="s">
        <v>109</v>
      </c>
      <c r="O39" s="11">
        <v>35.869999999999997</v>
      </c>
      <c r="P39" s="18">
        <v>1</v>
      </c>
      <c r="Q39" s="11">
        <v>35.869999999999997</v>
      </c>
      <c r="R39" s="9" t="s">
        <v>87</v>
      </c>
      <c r="S39" s="9" t="s">
        <v>230</v>
      </c>
    </row>
    <row r="40" spans="1:19" x14ac:dyDescent="0.25">
      <c r="A40" s="9" t="s">
        <v>91</v>
      </c>
      <c r="B40" s="9">
        <v>9079571</v>
      </c>
      <c r="C40" s="9" t="s">
        <v>93</v>
      </c>
      <c r="D40" s="9" t="s">
        <v>248</v>
      </c>
      <c r="E40" s="9" t="s">
        <v>249</v>
      </c>
      <c r="F40" s="9" t="s">
        <v>65</v>
      </c>
      <c r="G40" s="9" t="s">
        <v>250</v>
      </c>
      <c r="H40" s="25">
        <v>45861</v>
      </c>
      <c r="I40" s="27">
        <f>MONTH(H40-G40)</f>
        <v>2</v>
      </c>
      <c r="J40" s="27" t="s">
        <v>343</v>
      </c>
      <c r="K40" s="9" t="s">
        <v>67</v>
      </c>
      <c r="L40" s="9" t="s">
        <v>83</v>
      </c>
      <c r="M40" s="9" t="s">
        <v>326</v>
      </c>
      <c r="N40" s="9" t="s">
        <v>251</v>
      </c>
      <c r="O40" s="11">
        <v>36.5</v>
      </c>
      <c r="P40" s="18">
        <v>0.95</v>
      </c>
      <c r="Q40" s="11">
        <v>34.68</v>
      </c>
      <c r="R40" s="9" t="s">
        <v>87</v>
      </c>
      <c r="S40" s="9" t="s">
        <v>250</v>
      </c>
    </row>
    <row r="41" spans="1:19" x14ac:dyDescent="0.25">
      <c r="A41" s="10" t="s">
        <v>91</v>
      </c>
      <c r="B41" s="10">
        <v>16202925</v>
      </c>
      <c r="C41" s="10" t="s">
        <v>184</v>
      </c>
      <c r="D41" s="10" t="s">
        <v>185</v>
      </c>
      <c r="E41" s="10" t="s">
        <v>186</v>
      </c>
      <c r="F41" s="10" t="s">
        <v>80</v>
      </c>
      <c r="G41" s="10" t="s">
        <v>188</v>
      </c>
      <c r="H41" s="25">
        <v>45861</v>
      </c>
      <c r="I41" s="27">
        <f>MONTH(H41-G41)</f>
        <v>2</v>
      </c>
      <c r="J41" s="27" t="s">
        <v>344</v>
      </c>
      <c r="K41" s="10" t="s">
        <v>67</v>
      </c>
      <c r="L41" s="10" t="s">
        <v>68</v>
      </c>
      <c r="M41" s="10" t="s">
        <v>329</v>
      </c>
      <c r="N41" s="10" t="s">
        <v>189</v>
      </c>
      <c r="O41" s="12">
        <v>38.67</v>
      </c>
      <c r="P41" s="17">
        <v>0.12</v>
      </c>
      <c r="Q41" s="12">
        <v>4.6399999999999997</v>
      </c>
      <c r="R41" s="10" t="s">
        <v>75</v>
      </c>
      <c r="S41" s="10" t="s">
        <v>187</v>
      </c>
    </row>
    <row r="42" spans="1:19" x14ac:dyDescent="0.25">
      <c r="A42" s="10" t="s">
        <v>91</v>
      </c>
      <c r="B42" s="10">
        <v>9079571</v>
      </c>
      <c r="C42" s="10" t="s">
        <v>93</v>
      </c>
      <c r="D42" s="10" t="s">
        <v>191</v>
      </c>
      <c r="E42" s="10" t="s">
        <v>192</v>
      </c>
      <c r="F42" s="10" t="s">
        <v>193</v>
      </c>
      <c r="G42" s="10" t="s">
        <v>182</v>
      </c>
      <c r="H42" s="25">
        <v>45861</v>
      </c>
      <c r="I42" s="27">
        <f>MONTH(H42-G42)</f>
        <v>1</v>
      </c>
      <c r="J42" s="27" t="s">
        <v>343</v>
      </c>
      <c r="K42" s="10" t="s">
        <v>67</v>
      </c>
      <c r="L42" s="10" t="s">
        <v>89</v>
      </c>
      <c r="M42" s="10" t="s">
        <v>326</v>
      </c>
      <c r="N42" s="10" t="s">
        <v>182</v>
      </c>
      <c r="O42" s="12">
        <v>46.15</v>
      </c>
      <c r="P42" s="17">
        <v>0.95</v>
      </c>
      <c r="Q42" s="12">
        <v>43.84</v>
      </c>
      <c r="R42" s="10" t="s">
        <v>90</v>
      </c>
      <c r="S42" s="10" t="s">
        <v>182</v>
      </c>
    </row>
    <row r="43" spans="1:19" x14ac:dyDescent="0.25">
      <c r="A43" s="9" t="s">
        <v>91</v>
      </c>
      <c r="B43" s="9">
        <v>16202925</v>
      </c>
      <c r="C43" s="9" t="s">
        <v>184</v>
      </c>
      <c r="D43" s="9" t="s">
        <v>185</v>
      </c>
      <c r="E43" s="9" t="s">
        <v>186</v>
      </c>
      <c r="F43" s="9" t="s">
        <v>80</v>
      </c>
      <c r="G43" s="9" t="s">
        <v>188</v>
      </c>
      <c r="H43" s="25">
        <v>45861</v>
      </c>
      <c r="I43" s="27">
        <f>MONTH(H43-G43)</f>
        <v>2</v>
      </c>
      <c r="J43" s="27" t="s">
        <v>344</v>
      </c>
      <c r="K43" s="9" t="s">
        <v>67</v>
      </c>
      <c r="L43" s="9" t="s">
        <v>68</v>
      </c>
      <c r="M43" s="9" t="s">
        <v>329</v>
      </c>
      <c r="N43" s="9" t="s">
        <v>189</v>
      </c>
      <c r="O43" s="11">
        <v>47.4</v>
      </c>
      <c r="P43" s="18">
        <v>0.12</v>
      </c>
      <c r="Q43" s="11">
        <v>5.69</v>
      </c>
      <c r="R43" s="9" t="s">
        <v>75</v>
      </c>
      <c r="S43" s="9" t="s">
        <v>187</v>
      </c>
    </row>
    <row r="44" spans="1:19" x14ac:dyDescent="0.25">
      <c r="A44" s="21" t="s">
        <v>91</v>
      </c>
      <c r="B44" s="21">
        <v>19681796</v>
      </c>
      <c r="C44" s="21" t="s">
        <v>233</v>
      </c>
      <c r="D44" s="21" t="s">
        <v>234</v>
      </c>
      <c r="E44" s="21" t="s">
        <v>235</v>
      </c>
      <c r="F44" s="21" t="s">
        <v>65</v>
      </c>
      <c r="G44" s="21" t="s">
        <v>238</v>
      </c>
      <c r="H44" s="29">
        <v>45861</v>
      </c>
      <c r="I44" s="30">
        <f>MONTH(H44-G44)</f>
        <v>8</v>
      </c>
      <c r="J44" s="30" t="s">
        <v>344</v>
      </c>
      <c r="K44" s="21" t="s">
        <v>117</v>
      </c>
      <c r="L44" s="21" t="s">
        <v>237</v>
      </c>
      <c r="M44" s="21" t="s">
        <v>323</v>
      </c>
      <c r="N44" s="21" t="s">
        <v>182</v>
      </c>
      <c r="O44" s="22">
        <v>47.91</v>
      </c>
      <c r="P44" s="23">
        <v>1</v>
      </c>
      <c r="Q44" s="22">
        <v>47.91</v>
      </c>
      <c r="R44" s="21" t="s">
        <v>239</v>
      </c>
      <c r="S44" s="21" t="s">
        <v>236</v>
      </c>
    </row>
    <row r="45" spans="1:19" x14ac:dyDescent="0.25">
      <c r="A45" s="10" t="s">
        <v>91</v>
      </c>
      <c r="B45" s="10">
        <v>8977234</v>
      </c>
      <c r="C45" s="10" t="s">
        <v>151</v>
      </c>
      <c r="D45" s="10" t="s">
        <v>152</v>
      </c>
      <c r="E45" s="10" t="s">
        <v>153</v>
      </c>
      <c r="F45" s="10" t="s">
        <v>65</v>
      </c>
      <c r="G45" s="10" t="s">
        <v>118</v>
      </c>
      <c r="H45" s="25">
        <v>45861</v>
      </c>
      <c r="I45" s="27">
        <f>MONTH(H45-G45)</f>
        <v>7</v>
      </c>
      <c r="J45" s="27" t="s">
        <v>343</v>
      </c>
      <c r="K45" s="10" t="s">
        <v>155</v>
      </c>
      <c r="L45" s="10" t="s">
        <v>89</v>
      </c>
      <c r="M45" s="10" t="s">
        <v>323</v>
      </c>
      <c r="N45" s="10" t="s">
        <v>109</v>
      </c>
      <c r="O45" s="12">
        <v>53.12</v>
      </c>
      <c r="P45" s="17">
        <v>1</v>
      </c>
      <c r="Q45" s="12">
        <v>53.12</v>
      </c>
      <c r="R45" s="10" t="s">
        <v>90</v>
      </c>
      <c r="S45" s="10" t="s">
        <v>154</v>
      </c>
    </row>
    <row r="46" spans="1:19" x14ac:dyDescent="0.25">
      <c r="A46" s="9" t="s">
        <v>91</v>
      </c>
      <c r="B46" s="9">
        <v>8814784</v>
      </c>
      <c r="C46" s="9" t="s">
        <v>291</v>
      </c>
      <c r="D46" s="9" t="s">
        <v>292</v>
      </c>
      <c r="E46" s="9" t="s">
        <v>293</v>
      </c>
      <c r="F46" s="9" t="s">
        <v>65</v>
      </c>
      <c r="G46" s="9" t="s">
        <v>231</v>
      </c>
      <c r="H46" s="25">
        <v>45861</v>
      </c>
      <c r="I46" s="27">
        <f>MONTH(H46-G46)</f>
        <v>9</v>
      </c>
      <c r="J46" s="27" t="s">
        <v>343</v>
      </c>
      <c r="K46" s="9" t="s">
        <v>125</v>
      </c>
      <c r="L46" s="9" t="s">
        <v>295</v>
      </c>
      <c r="M46" s="9" t="s">
        <v>278</v>
      </c>
      <c r="N46" s="9" t="s">
        <v>109</v>
      </c>
      <c r="O46" s="11">
        <v>53.6</v>
      </c>
      <c r="P46" s="18">
        <v>0.625</v>
      </c>
      <c r="Q46" s="11">
        <v>33.5</v>
      </c>
      <c r="R46" s="9" t="s">
        <v>296</v>
      </c>
      <c r="S46" s="9" t="s">
        <v>294</v>
      </c>
    </row>
    <row r="47" spans="1:19" x14ac:dyDescent="0.25">
      <c r="A47" s="9" t="s">
        <v>91</v>
      </c>
      <c r="B47" s="9">
        <v>9079571</v>
      </c>
      <c r="C47" s="9" t="s">
        <v>93</v>
      </c>
      <c r="D47" s="9" t="s">
        <v>302</v>
      </c>
      <c r="E47" s="9" t="s">
        <v>303</v>
      </c>
      <c r="F47" s="9" t="s">
        <v>80</v>
      </c>
      <c r="G47" s="9" t="s">
        <v>212</v>
      </c>
      <c r="H47" s="25">
        <v>45861</v>
      </c>
      <c r="I47" s="27">
        <f>MONTH(H47-G47)</f>
        <v>11</v>
      </c>
      <c r="J47" s="27" t="s">
        <v>343</v>
      </c>
      <c r="K47" s="9" t="s">
        <v>67</v>
      </c>
      <c r="L47" s="9" t="s">
        <v>97</v>
      </c>
      <c r="M47" s="9" t="s">
        <v>327</v>
      </c>
      <c r="N47" s="9" t="s">
        <v>109</v>
      </c>
      <c r="O47" s="11">
        <v>55.26</v>
      </c>
      <c r="P47" s="18">
        <v>3.5000000000000003E-2</v>
      </c>
      <c r="Q47" s="11">
        <v>1.93</v>
      </c>
      <c r="R47" s="9" t="s">
        <v>100</v>
      </c>
      <c r="S47" s="9" t="s">
        <v>304</v>
      </c>
    </row>
    <row r="48" spans="1:19" x14ac:dyDescent="0.25">
      <c r="A48" s="21" t="s">
        <v>91</v>
      </c>
      <c r="B48" s="21">
        <v>19681796</v>
      </c>
      <c r="C48" s="21" t="s">
        <v>233</v>
      </c>
      <c r="D48" s="21" t="s">
        <v>234</v>
      </c>
      <c r="E48" s="21" t="s">
        <v>240</v>
      </c>
      <c r="F48" s="21" t="s">
        <v>65</v>
      </c>
      <c r="G48" s="21" t="s">
        <v>238</v>
      </c>
      <c r="H48" s="29">
        <v>45861</v>
      </c>
      <c r="I48" s="30">
        <f>MONTH(H48-G48)</f>
        <v>8</v>
      </c>
      <c r="J48" s="30" t="s">
        <v>344</v>
      </c>
      <c r="K48" s="21" t="s">
        <v>117</v>
      </c>
      <c r="L48" s="21" t="s">
        <v>83</v>
      </c>
      <c r="M48" s="21" t="s">
        <v>323</v>
      </c>
      <c r="N48" s="21" t="s">
        <v>182</v>
      </c>
      <c r="O48" s="22">
        <v>56.25</v>
      </c>
      <c r="P48" s="23">
        <v>1</v>
      </c>
      <c r="Q48" s="22">
        <v>56.25</v>
      </c>
      <c r="R48" s="21" t="s">
        <v>87</v>
      </c>
      <c r="S48" s="21" t="s">
        <v>236</v>
      </c>
    </row>
    <row r="49" spans="1:19" x14ac:dyDescent="0.25">
      <c r="A49" s="10" t="s">
        <v>91</v>
      </c>
      <c r="B49" s="10">
        <v>19200754</v>
      </c>
      <c r="C49" s="10" t="s">
        <v>274</v>
      </c>
      <c r="D49" s="10" t="s">
        <v>275</v>
      </c>
      <c r="E49" s="10" t="s">
        <v>276</v>
      </c>
      <c r="F49" s="10" t="s">
        <v>65</v>
      </c>
      <c r="G49" s="10" t="s">
        <v>279</v>
      </c>
      <c r="H49" s="25">
        <v>45861</v>
      </c>
      <c r="I49" s="27">
        <f>MONTH(H49-G49)</f>
        <v>10</v>
      </c>
      <c r="J49" s="27" t="s">
        <v>343</v>
      </c>
      <c r="K49" s="10" t="s">
        <v>117</v>
      </c>
      <c r="L49" s="10" t="s">
        <v>278</v>
      </c>
      <c r="M49" s="10" t="s">
        <v>278</v>
      </c>
      <c r="N49" s="10" t="s">
        <v>109</v>
      </c>
      <c r="O49" s="12">
        <v>56.67</v>
      </c>
      <c r="P49" s="17">
        <v>0.625</v>
      </c>
      <c r="Q49" s="12">
        <v>35.42</v>
      </c>
      <c r="R49" s="10" t="s">
        <v>280</v>
      </c>
      <c r="S49" s="10" t="s">
        <v>277</v>
      </c>
    </row>
    <row r="50" spans="1:19" x14ac:dyDescent="0.25">
      <c r="A50" s="10" t="s">
        <v>91</v>
      </c>
      <c r="B50" s="10">
        <v>16202925</v>
      </c>
      <c r="C50" s="10" t="s">
        <v>184</v>
      </c>
      <c r="D50" s="10" t="s">
        <v>268</v>
      </c>
      <c r="E50" s="10" t="s">
        <v>269</v>
      </c>
      <c r="F50" s="10" t="s">
        <v>65</v>
      </c>
      <c r="G50" s="10" t="s">
        <v>271</v>
      </c>
      <c r="H50" s="25">
        <v>45861</v>
      </c>
      <c r="I50" s="27">
        <f>MONTH(H50-G50)</f>
        <v>7</v>
      </c>
      <c r="J50" s="27" t="s">
        <v>344</v>
      </c>
      <c r="K50" s="10" t="s">
        <v>67</v>
      </c>
      <c r="L50" s="10" t="s">
        <v>146</v>
      </c>
      <c r="M50" s="10" t="s">
        <v>324</v>
      </c>
      <c r="N50" s="10" t="s">
        <v>272</v>
      </c>
      <c r="O50" s="12">
        <v>56.91</v>
      </c>
      <c r="P50" s="17">
        <v>0.56999999999999995</v>
      </c>
      <c r="Q50" s="12">
        <v>32.44</v>
      </c>
      <c r="R50" s="10" t="s">
        <v>149</v>
      </c>
      <c r="S50" s="10" t="s">
        <v>270</v>
      </c>
    </row>
    <row r="51" spans="1:19" x14ac:dyDescent="0.25">
      <c r="A51" s="10" t="s">
        <v>91</v>
      </c>
      <c r="B51" s="10">
        <v>5442438</v>
      </c>
      <c r="C51" s="10" t="s">
        <v>62</v>
      </c>
      <c r="D51" s="10" t="s">
        <v>252</v>
      </c>
      <c r="E51" s="10" t="s">
        <v>253</v>
      </c>
      <c r="F51" s="10" t="s">
        <v>65</v>
      </c>
      <c r="G51" s="10" t="s">
        <v>254</v>
      </c>
      <c r="H51" s="25">
        <v>45861</v>
      </c>
      <c r="I51" s="27">
        <f>MONTH(H51-G51)</f>
        <v>5</v>
      </c>
      <c r="J51" s="27" t="s">
        <v>343</v>
      </c>
      <c r="K51" s="10" t="s">
        <v>67</v>
      </c>
      <c r="L51" s="10" t="s">
        <v>83</v>
      </c>
      <c r="M51" s="10" t="s">
        <v>326</v>
      </c>
      <c r="N51" s="10" t="s">
        <v>251</v>
      </c>
      <c r="O51" s="12">
        <v>59.08</v>
      </c>
      <c r="P51" s="17">
        <v>0.95</v>
      </c>
      <c r="Q51" s="12">
        <v>56.13</v>
      </c>
      <c r="R51" s="10" t="s">
        <v>87</v>
      </c>
      <c r="S51" s="10" t="s">
        <v>254</v>
      </c>
    </row>
    <row r="52" spans="1:19" x14ac:dyDescent="0.25">
      <c r="A52" s="10" t="s">
        <v>91</v>
      </c>
      <c r="B52" s="10">
        <v>18010408</v>
      </c>
      <c r="C52" s="10" t="s">
        <v>171</v>
      </c>
      <c r="D52" s="10" t="s">
        <v>172</v>
      </c>
      <c r="E52" s="10" t="s">
        <v>173</v>
      </c>
      <c r="F52" s="10" t="s">
        <v>65</v>
      </c>
      <c r="G52" s="10" t="s">
        <v>177</v>
      </c>
      <c r="H52" s="25">
        <v>45861</v>
      </c>
      <c r="I52" s="27">
        <f>MONTH(H52-G52)</f>
        <v>11</v>
      </c>
      <c r="J52" s="27" t="s">
        <v>343</v>
      </c>
      <c r="K52" s="10" t="s">
        <v>175</v>
      </c>
      <c r="L52" s="10" t="s">
        <v>176</v>
      </c>
      <c r="M52" s="10" t="s">
        <v>324</v>
      </c>
      <c r="N52" s="10" t="s">
        <v>109</v>
      </c>
      <c r="O52" s="12">
        <v>59.19</v>
      </c>
      <c r="P52" s="17">
        <v>0.56999999999999995</v>
      </c>
      <c r="Q52" s="12">
        <v>33.74</v>
      </c>
      <c r="R52" s="10" t="s">
        <v>178</v>
      </c>
      <c r="S52" s="10" t="s">
        <v>174</v>
      </c>
    </row>
    <row r="53" spans="1:19" x14ac:dyDescent="0.25">
      <c r="A53" s="10" t="s">
        <v>91</v>
      </c>
      <c r="B53" s="10">
        <v>9079571</v>
      </c>
      <c r="C53" s="10" t="s">
        <v>93</v>
      </c>
      <c r="D53" s="10" t="s">
        <v>94</v>
      </c>
      <c r="E53" s="10" t="s">
        <v>95</v>
      </c>
      <c r="F53" s="10" t="s">
        <v>65</v>
      </c>
      <c r="G53" s="10" t="s">
        <v>96</v>
      </c>
      <c r="H53" s="25">
        <v>45861</v>
      </c>
      <c r="I53" s="27">
        <f>MONTH(H53-G53)</f>
        <v>8</v>
      </c>
      <c r="J53" s="27" t="s">
        <v>343</v>
      </c>
      <c r="K53" s="10" t="s">
        <v>67</v>
      </c>
      <c r="L53" s="10" t="s">
        <v>97</v>
      </c>
      <c r="M53" s="10" t="s">
        <v>324</v>
      </c>
      <c r="N53" s="10" t="s">
        <v>7</v>
      </c>
      <c r="O53" s="12">
        <v>64.260000000000005</v>
      </c>
      <c r="P53" s="17">
        <v>0.56999999999999995</v>
      </c>
      <c r="Q53" s="12">
        <v>36.630000000000003</v>
      </c>
      <c r="R53" s="10" t="s">
        <v>100</v>
      </c>
      <c r="S53" s="10" t="s">
        <v>96</v>
      </c>
    </row>
    <row r="54" spans="1:19" x14ac:dyDescent="0.25">
      <c r="A54" s="9" t="s">
        <v>91</v>
      </c>
      <c r="B54" s="9">
        <v>9079571</v>
      </c>
      <c r="C54" s="9" t="s">
        <v>93</v>
      </c>
      <c r="D54" s="9" t="s">
        <v>179</v>
      </c>
      <c r="E54" s="9" t="s">
        <v>320</v>
      </c>
      <c r="F54" s="9" t="s">
        <v>65</v>
      </c>
      <c r="G54" s="9" t="s">
        <v>181</v>
      </c>
      <c r="H54" s="25">
        <v>45861</v>
      </c>
      <c r="I54" s="27">
        <f>MONTH(H54-G54)</f>
        <v>9</v>
      </c>
      <c r="J54" s="27" t="s">
        <v>343</v>
      </c>
      <c r="K54" s="9" t="s">
        <v>67</v>
      </c>
      <c r="L54" s="9" t="s">
        <v>83</v>
      </c>
      <c r="M54" s="9" t="s">
        <v>331</v>
      </c>
      <c r="N54" s="9" t="s">
        <v>182</v>
      </c>
      <c r="O54" s="11">
        <v>73</v>
      </c>
      <c r="P54" s="18">
        <v>0.91</v>
      </c>
      <c r="Q54" s="11">
        <v>66.430000000000007</v>
      </c>
      <c r="R54" s="9" t="s">
        <v>87</v>
      </c>
      <c r="S54" s="9" t="s">
        <v>181</v>
      </c>
    </row>
    <row r="55" spans="1:19" x14ac:dyDescent="0.25">
      <c r="A55" s="9" t="s">
        <v>91</v>
      </c>
      <c r="B55" s="9">
        <v>20003537</v>
      </c>
      <c r="C55" s="9" t="s">
        <v>113</v>
      </c>
      <c r="D55" s="9" t="s">
        <v>114</v>
      </c>
      <c r="E55" s="9" t="s">
        <v>115</v>
      </c>
      <c r="F55" s="9" t="s">
        <v>65</v>
      </c>
      <c r="G55" s="9" t="s">
        <v>118</v>
      </c>
      <c r="H55" s="25">
        <v>45861</v>
      </c>
      <c r="I55" s="27">
        <f>MONTH(H55-G55)</f>
        <v>7</v>
      </c>
      <c r="J55" s="27" t="s">
        <v>343</v>
      </c>
      <c r="K55" s="9" t="s">
        <v>117</v>
      </c>
      <c r="L55" s="9" t="s">
        <v>68</v>
      </c>
      <c r="M55" s="9" t="s">
        <v>278</v>
      </c>
      <c r="N55" s="9" t="s">
        <v>109</v>
      </c>
      <c r="O55" s="11">
        <v>86.93</v>
      </c>
      <c r="P55" s="18">
        <v>0.625</v>
      </c>
      <c r="Q55" s="11">
        <v>54.33</v>
      </c>
      <c r="R55" s="9" t="s">
        <v>75</v>
      </c>
      <c r="S55" s="9" t="s">
        <v>116</v>
      </c>
    </row>
    <row r="56" spans="1:19" x14ac:dyDescent="0.25">
      <c r="A56" s="9" t="s">
        <v>91</v>
      </c>
      <c r="B56" s="9">
        <v>6115727</v>
      </c>
      <c r="C56" s="9" t="s">
        <v>157</v>
      </c>
      <c r="D56" s="9" t="s">
        <v>158</v>
      </c>
      <c r="E56" s="9" t="s">
        <v>159</v>
      </c>
      <c r="F56" s="9" t="s">
        <v>65</v>
      </c>
      <c r="G56" s="9" t="s">
        <v>118</v>
      </c>
      <c r="H56" s="25">
        <v>45861</v>
      </c>
      <c r="I56" s="27">
        <f>MONTH(H56-G56)</f>
        <v>7</v>
      </c>
      <c r="J56" s="27" t="s">
        <v>344</v>
      </c>
      <c r="K56" s="9" t="s">
        <v>67</v>
      </c>
      <c r="L56" s="9" t="s">
        <v>97</v>
      </c>
      <c r="M56" s="9" t="s">
        <v>324</v>
      </c>
      <c r="N56" s="9" t="s">
        <v>109</v>
      </c>
      <c r="O56" s="11">
        <v>104.59</v>
      </c>
      <c r="P56" s="18">
        <v>0.56999999999999995</v>
      </c>
      <c r="Q56" s="11">
        <v>59.62</v>
      </c>
      <c r="R56" s="9" t="s">
        <v>100</v>
      </c>
      <c r="S56" s="9" t="s">
        <v>160</v>
      </c>
    </row>
    <row r="57" spans="1:19" x14ac:dyDescent="0.25">
      <c r="A57" s="9" t="s">
        <v>91</v>
      </c>
      <c r="B57" s="9">
        <v>5442438</v>
      </c>
      <c r="C57" s="9" t="s">
        <v>62</v>
      </c>
      <c r="D57" s="9" t="s">
        <v>255</v>
      </c>
      <c r="E57" s="9" t="s">
        <v>256</v>
      </c>
      <c r="F57" s="9" t="s">
        <v>65</v>
      </c>
      <c r="G57" s="9" t="s">
        <v>259</v>
      </c>
      <c r="H57" s="25">
        <v>45861</v>
      </c>
      <c r="I57" s="27">
        <f>MONTH(H57-G57)</f>
        <v>3</v>
      </c>
      <c r="J57" s="27" t="s">
        <v>343</v>
      </c>
      <c r="K57" s="9" t="s">
        <v>67</v>
      </c>
      <c r="L57" s="9" t="s">
        <v>258</v>
      </c>
      <c r="M57" s="9" t="s">
        <v>326</v>
      </c>
      <c r="N57" s="9" t="s">
        <v>251</v>
      </c>
      <c r="O57" s="11">
        <v>111.58</v>
      </c>
      <c r="P57" s="18">
        <v>0.95</v>
      </c>
      <c r="Q57" s="11">
        <v>106</v>
      </c>
      <c r="R57" s="9" t="s">
        <v>260</v>
      </c>
      <c r="S57" s="9" t="s">
        <v>257</v>
      </c>
    </row>
    <row r="58" spans="1:19" x14ac:dyDescent="0.25">
      <c r="A58" s="9" t="s">
        <v>91</v>
      </c>
      <c r="B58" s="9">
        <v>18010408</v>
      </c>
      <c r="C58" s="9" t="s">
        <v>171</v>
      </c>
      <c r="D58" s="9" t="s">
        <v>281</v>
      </c>
      <c r="E58" s="9" t="s">
        <v>282</v>
      </c>
      <c r="F58" s="9" t="s">
        <v>65</v>
      </c>
      <c r="G58" s="9" t="s">
        <v>279</v>
      </c>
      <c r="H58" s="25">
        <v>45861</v>
      </c>
      <c r="I58" s="27">
        <f>MONTH(H58-G58)</f>
        <v>10</v>
      </c>
      <c r="J58" s="27" t="s">
        <v>343</v>
      </c>
      <c r="K58" s="9" t="s">
        <v>67</v>
      </c>
      <c r="L58" s="9" t="s">
        <v>284</v>
      </c>
      <c r="M58" s="9" t="s">
        <v>324</v>
      </c>
      <c r="N58" s="9" t="s">
        <v>109</v>
      </c>
      <c r="O58" s="11">
        <v>117.2</v>
      </c>
      <c r="P58" s="18">
        <v>0.3</v>
      </c>
      <c r="Q58" s="11">
        <v>35.159999999999997</v>
      </c>
      <c r="R58" s="9" t="s">
        <v>286</v>
      </c>
      <c r="S58" s="9" t="s">
        <v>283</v>
      </c>
    </row>
    <row r="59" spans="1:19" x14ac:dyDescent="0.25">
      <c r="A59" s="10" t="s">
        <v>91</v>
      </c>
      <c r="B59" s="10">
        <v>5442438</v>
      </c>
      <c r="C59" s="10" t="s">
        <v>62</v>
      </c>
      <c r="D59" s="10" t="s">
        <v>255</v>
      </c>
      <c r="E59" s="10" t="s">
        <v>305</v>
      </c>
      <c r="F59" s="10" t="s">
        <v>65</v>
      </c>
      <c r="G59" s="10" t="s">
        <v>259</v>
      </c>
      <c r="H59" s="25">
        <v>45861</v>
      </c>
      <c r="I59" s="27">
        <f>MONTH(H59-G59)</f>
        <v>3</v>
      </c>
      <c r="J59" s="27" t="s">
        <v>343</v>
      </c>
      <c r="K59" s="10" t="s">
        <v>67</v>
      </c>
      <c r="L59" s="10" t="s">
        <v>89</v>
      </c>
      <c r="M59" s="10" t="s">
        <v>326</v>
      </c>
      <c r="N59" s="10" t="s">
        <v>251</v>
      </c>
      <c r="O59" s="12">
        <v>123.75</v>
      </c>
      <c r="P59" s="17">
        <v>0.95</v>
      </c>
      <c r="Q59" s="12">
        <v>117.56</v>
      </c>
      <c r="R59" s="10" t="s">
        <v>90</v>
      </c>
      <c r="S59" s="10" t="s">
        <v>257</v>
      </c>
    </row>
    <row r="60" spans="1:19" x14ac:dyDescent="0.25">
      <c r="A60" s="10" t="s">
        <v>91</v>
      </c>
      <c r="B60" s="10">
        <v>8244481</v>
      </c>
      <c r="C60" s="10" t="s">
        <v>121</v>
      </c>
      <c r="D60" s="10" t="s">
        <v>122</v>
      </c>
      <c r="E60" s="10" t="s">
        <v>123</v>
      </c>
      <c r="F60" s="10" t="s">
        <v>65</v>
      </c>
      <c r="G60" s="10" t="s">
        <v>118</v>
      </c>
      <c r="H60" s="25">
        <v>45861</v>
      </c>
      <c r="I60" s="27">
        <f>MONTH(H60-G60)</f>
        <v>7</v>
      </c>
      <c r="J60" s="27" t="s">
        <v>344</v>
      </c>
      <c r="K60" s="10" t="s">
        <v>125</v>
      </c>
      <c r="L60" s="10" t="s">
        <v>107</v>
      </c>
      <c r="M60" s="10" t="s">
        <v>330</v>
      </c>
      <c r="N60" s="10" t="s">
        <v>109</v>
      </c>
      <c r="O60" s="12">
        <v>139.6</v>
      </c>
      <c r="P60" s="17">
        <v>0.25</v>
      </c>
      <c r="Q60" s="12">
        <v>34.9</v>
      </c>
      <c r="R60" s="10" t="s">
        <v>111</v>
      </c>
      <c r="S60" s="10" t="s">
        <v>124</v>
      </c>
    </row>
    <row r="61" spans="1:19" x14ac:dyDescent="0.25">
      <c r="A61" s="9" t="s">
        <v>91</v>
      </c>
      <c r="B61" s="9">
        <v>19562245</v>
      </c>
      <c r="C61" s="9" t="s">
        <v>218</v>
      </c>
      <c r="D61" s="9" t="s">
        <v>219</v>
      </c>
      <c r="E61" s="9" t="s">
        <v>220</v>
      </c>
      <c r="F61" s="9" t="s">
        <v>80</v>
      </c>
      <c r="G61" s="9" t="s">
        <v>222</v>
      </c>
      <c r="H61" s="25">
        <v>45861</v>
      </c>
      <c r="I61" s="27">
        <f>MONTH(H61-G61)</f>
        <v>8</v>
      </c>
      <c r="J61" s="27" t="s">
        <v>344</v>
      </c>
      <c r="K61" s="9" t="s">
        <v>106</v>
      </c>
      <c r="L61" s="9" t="s">
        <v>107</v>
      </c>
      <c r="M61" s="9" t="s">
        <v>107</v>
      </c>
      <c r="N61" s="9" t="s">
        <v>109</v>
      </c>
      <c r="O61" s="11">
        <v>142.61000000000001</v>
      </c>
      <c r="P61" s="18">
        <v>0.24</v>
      </c>
      <c r="Q61" s="11">
        <v>34.229999999999997</v>
      </c>
      <c r="R61" s="9" t="s">
        <v>224</v>
      </c>
      <c r="S61" s="9" t="s">
        <v>221</v>
      </c>
    </row>
  </sheetData>
  <sortState xmlns:xlrd2="http://schemas.microsoft.com/office/spreadsheetml/2017/richdata2" ref="A2:S61">
    <sortCondition ref="O2:O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FFC4-870E-458B-88B0-AC0535C99ABE}">
  <dimension ref="A1:C60"/>
  <sheetViews>
    <sheetView topLeftCell="A26" workbookViewId="0">
      <selection activeCell="C30" sqref="C30"/>
    </sheetView>
  </sheetViews>
  <sheetFormatPr defaultRowHeight="15" x14ac:dyDescent="0.25"/>
  <cols>
    <col min="1" max="1" width="21.5703125" bestFit="1" customWidth="1"/>
    <col min="2" max="2" width="51.28515625" bestFit="1" customWidth="1"/>
  </cols>
  <sheetData>
    <row r="1" spans="1:2" x14ac:dyDescent="0.25">
      <c r="A1" t="s">
        <v>93</v>
      </c>
      <c r="B1" cm="1">
        <f t="array" ref="B1:B60">VLOOKUP(A1:A60,[1]Sheet2!$A$2:$B$163,2,FALSE)</f>
        <v>9079571</v>
      </c>
    </row>
    <row r="2" spans="1:2" x14ac:dyDescent="0.25">
      <c r="A2" t="s">
        <v>93</v>
      </c>
      <c r="B2">
        <v>9079571</v>
      </c>
    </row>
    <row r="3" spans="1:2" x14ac:dyDescent="0.25">
      <c r="A3" t="s">
        <v>93</v>
      </c>
      <c r="B3">
        <v>9079571</v>
      </c>
    </row>
    <row r="4" spans="1:2" x14ac:dyDescent="0.25">
      <c r="A4" t="s">
        <v>93</v>
      </c>
      <c r="B4">
        <v>9079571</v>
      </c>
    </row>
    <row r="5" spans="1:2" x14ac:dyDescent="0.25">
      <c r="A5" t="s">
        <v>93</v>
      </c>
      <c r="B5">
        <v>9079571</v>
      </c>
    </row>
    <row r="6" spans="1:2" x14ac:dyDescent="0.25">
      <c r="A6" t="s">
        <v>93</v>
      </c>
      <c r="B6">
        <v>9079571</v>
      </c>
    </row>
    <row r="7" spans="1:2" x14ac:dyDescent="0.25">
      <c r="A7" t="s">
        <v>93</v>
      </c>
      <c r="B7">
        <v>9079571</v>
      </c>
    </row>
    <row r="8" spans="1:2" x14ac:dyDescent="0.25">
      <c r="A8" t="s">
        <v>93</v>
      </c>
      <c r="B8">
        <v>9079571</v>
      </c>
    </row>
    <row r="9" spans="1:2" x14ac:dyDescent="0.25">
      <c r="A9" t="s">
        <v>93</v>
      </c>
      <c r="B9">
        <v>9079571</v>
      </c>
    </row>
    <row r="10" spans="1:2" x14ac:dyDescent="0.25">
      <c r="A10" t="s">
        <v>93</v>
      </c>
      <c r="B10">
        <v>9079571</v>
      </c>
    </row>
    <row r="11" spans="1:2" x14ac:dyDescent="0.25">
      <c r="A11" t="s">
        <v>93</v>
      </c>
      <c r="B11">
        <v>9079571</v>
      </c>
    </row>
    <row r="12" spans="1:2" x14ac:dyDescent="0.25">
      <c r="A12" t="s">
        <v>93</v>
      </c>
      <c r="B12">
        <v>9079571</v>
      </c>
    </row>
    <row r="13" spans="1:2" x14ac:dyDescent="0.25">
      <c r="A13" t="s">
        <v>93</v>
      </c>
      <c r="B13">
        <v>9079571</v>
      </c>
    </row>
    <row r="14" spans="1:2" x14ac:dyDescent="0.25">
      <c r="A14" t="s">
        <v>93</v>
      </c>
      <c r="B14">
        <v>9079571</v>
      </c>
    </row>
    <row r="15" spans="1:2" x14ac:dyDescent="0.25">
      <c r="A15" s="20" t="s">
        <v>339</v>
      </c>
      <c r="B15">
        <v>20769090</v>
      </c>
    </row>
    <row r="16" spans="1:2" x14ac:dyDescent="0.25">
      <c r="A16" t="s">
        <v>227</v>
      </c>
      <c r="B16">
        <v>16912722</v>
      </c>
    </row>
    <row r="17" spans="1:3" x14ac:dyDescent="0.25">
      <c r="A17" t="s">
        <v>113</v>
      </c>
      <c r="B17">
        <v>20003537</v>
      </c>
    </row>
    <row r="18" spans="1:3" x14ac:dyDescent="0.25">
      <c r="A18" t="s">
        <v>113</v>
      </c>
      <c r="B18">
        <v>20003537</v>
      </c>
    </row>
    <row r="19" spans="1:3" x14ac:dyDescent="0.25">
      <c r="A19" s="20" t="s">
        <v>338</v>
      </c>
      <c r="B19">
        <v>19681796</v>
      </c>
    </row>
    <row r="20" spans="1:3" x14ac:dyDescent="0.25">
      <c r="A20" s="20" t="s">
        <v>338</v>
      </c>
      <c r="B20">
        <v>19681796</v>
      </c>
    </row>
    <row r="21" spans="1:3" x14ac:dyDescent="0.25">
      <c r="A21" t="s">
        <v>200</v>
      </c>
      <c r="B21">
        <v>17528908</v>
      </c>
    </row>
    <row r="22" spans="1:3" x14ac:dyDescent="0.25">
      <c r="A22" t="s">
        <v>200</v>
      </c>
      <c r="B22">
        <v>17528908</v>
      </c>
    </row>
    <row r="23" spans="1:3" x14ac:dyDescent="0.25">
      <c r="A23" t="s">
        <v>102</v>
      </c>
      <c r="B23">
        <v>19606009</v>
      </c>
    </row>
    <row r="24" spans="1:3" x14ac:dyDescent="0.25">
      <c r="A24" t="s">
        <v>291</v>
      </c>
      <c r="B24">
        <v>8814784</v>
      </c>
    </row>
    <row r="25" spans="1:3" x14ac:dyDescent="0.25">
      <c r="A25" t="s">
        <v>291</v>
      </c>
      <c r="B25">
        <v>8814784</v>
      </c>
    </row>
    <row r="26" spans="1:3" x14ac:dyDescent="0.25">
      <c r="A26" t="s">
        <v>128</v>
      </c>
      <c r="B26">
        <v>18754354</v>
      </c>
    </row>
    <row r="27" spans="1:3" x14ac:dyDescent="0.25">
      <c r="A27" t="s">
        <v>128</v>
      </c>
      <c r="B27">
        <v>18754354</v>
      </c>
    </row>
    <row r="28" spans="1:3" x14ac:dyDescent="0.25">
      <c r="A28" t="s">
        <v>128</v>
      </c>
      <c r="B28">
        <v>18754354</v>
      </c>
    </row>
    <row r="29" spans="1:3" x14ac:dyDescent="0.25">
      <c r="A29" t="s">
        <v>157</v>
      </c>
      <c r="B29">
        <v>6115727</v>
      </c>
    </row>
    <row r="30" spans="1:3" x14ac:dyDescent="0.25">
      <c r="A30" t="s">
        <v>218</v>
      </c>
      <c r="B30" t="e">
        <v>#N/A</v>
      </c>
      <c r="C30">
        <v>19562245</v>
      </c>
    </row>
    <row r="31" spans="1:3" x14ac:dyDescent="0.25">
      <c r="A31" t="s">
        <v>264</v>
      </c>
      <c r="B31">
        <v>16243811</v>
      </c>
    </row>
    <row r="32" spans="1:3" x14ac:dyDescent="0.25">
      <c r="A32" t="s">
        <v>316</v>
      </c>
      <c r="B32">
        <v>13496370</v>
      </c>
    </row>
    <row r="33" spans="1:2" x14ac:dyDescent="0.25">
      <c r="A33" t="s">
        <v>242</v>
      </c>
      <c r="B33">
        <v>20697692</v>
      </c>
    </row>
    <row r="34" spans="1:2" x14ac:dyDescent="0.25">
      <c r="A34" s="20" t="s">
        <v>337</v>
      </c>
      <c r="B34">
        <v>1706194</v>
      </c>
    </row>
    <row r="35" spans="1:2" x14ac:dyDescent="0.25">
      <c r="A35" s="20" t="s">
        <v>337</v>
      </c>
      <c r="B35">
        <v>1706194</v>
      </c>
    </row>
    <row r="36" spans="1:2" x14ac:dyDescent="0.25">
      <c r="A36" t="s">
        <v>121</v>
      </c>
      <c r="B36">
        <v>8244481</v>
      </c>
    </row>
    <row r="37" spans="1:2" x14ac:dyDescent="0.25">
      <c r="A37" s="20" t="s">
        <v>334</v>
      </c>
      <c r="B37">
        <v>19200754</v>
      </c>
    </row>
    <row r="38" spans="1:2" x14ac:dyDescent="0.25">
      <c r="A38" s="20" t="s">
        <v>334</v>
      </c>
      <c r="B38">
        <v>19200754</v>
      </c>
    </row>
    <row r="39" spans="1:2" x14ac:dyDescent="0.25">
      <c r="A39" s="20" t="s">
        <v>334</v>
      </c>
      <c r="B39">
        <v>19200754</v>
      </c>
    </row>
    <row r="40" spans="1:2" x14ac:dyDescent="0.25">
      <c r="A40" s="20" t="s">
        <v>334</v>
      </c>
      <c r="B40">
        <v>19200754</v>
      </c>
    </row>
    <row r="41" spans="1:2" x14ac:dyDescent="0.25">
      <c r="A41" s="20" t="s">
        <v>334</v>
      </c>
      <c r="B41">
        <v>19200754</v>
      </c>
    </row>
    <row r="42" spans="1:2" x14ac:dyDescent="0.25">
      <c r="A42" s="20" t="s">
        <v>334</v>
      </c>
      <c r="B42">
        <v>19200754</v>
      </c>
    </row>
    <row r="43" spans="1:2" x14ac:dyDescent="0.25">
      <c r="A43" s="20" t="s">
        <v>335</v>
      </c>
      <c r="B43">
        <v>5442438</v>
      </c>
    </row>
    <row r="44" spans="1:2" x14ac:dyDescent="0.25">
      <c r="A44" s="20" t="s">
        <v>335</v>
      </c>
      <c r="B44">
        <v>5442438</v>
      </c>
    </row>
    <row r="45" spans="1:2" x14ac:dyDescent="0.25">
      <c r="A45" s="20" t="s">
        <v>335</v>
      </c>
      <c r="B45">
        <v>5442438</v>
      </c>
    </row>
    <row r="46" spans="1:2" x14ac:dyDescent="0.25">
      <c r="A46" s="20" t="s">
        <v>335</v>
      </c>
      <c r="B46">
        <v>5442438</v>
      </c>
    </row>
    <row r="47" spans="1:2" x14ac:dyDescent="0.25">
      <c r="A47" s="20" t="s">
        <v>335</v>
      </c>
      <c r="B47">
        <v>5442438</v>
      </c>
    </row>
    <row r="48" spans="1:2" x14ac:dyDescent="0.25">
      <c r="A48" s="20" t="s">
        <v>335</v>
      </c>
      <c r="B48">
        <v>5442438</v>
      </c>
    </row>
    <row r="49" spans="1:2" x14ac:dyDescent="0.25">
      <c r="A49" s="20" t="s">
        <v>335</v>
      </c>
      <c r="B49">
        <v>5442438</v>
      </c>
    </row>
    <row r="50" spans="1:2" x14ac:dyDescent="0.25">
      <c r="A50" s="20" t="s">
        <v>335</v>
      </c>
      <c r="B50">
        <v>5442438</v>
      </c>
    </row>
    <row r="51" spans="1:2" x14ac:dyDescent="0.25">
      <c r="A51" s="20" t="s">
        <v>336</v>
      </c>
      <c r="B51">
        <v>8977234</v>
      </c>
    </row>
    <row r="52" spans="1:2" x14ac:dyDescent="0.25">
      <c r="A52" t="s">
        <v>184</v>
      </c>
      <c r="B52">
        <v>16202925</v>
      </c>
    </row>
    <row r="53" spans="1:2" x14ac:dyDescent="0.25">
      <c r="A53" t="s">
        <v>184</v>
      </c>
      <c r="B53">
        <v>16202925</v>
      </c>
    </row>
    <row r="54" spans="1:2" x14ac:dyDescent="0.25">
      <c r="A54" t="s">
        <v>184</v>
      </c>
      <c r="B54">
        <v>16202925</v>
      </c>
    </row>
    <row r="55" spans="1:2" x14ac:dyDescent="0.25">
      <c r="A55" t="s">
        <v>184</v>
      </c>
      <c r="B55">
        <v>16202925</v>
      </c>
    </row>
    <row r="56" spans="1:2" x14ac:dyDescent="0.25">
      <c r="A56" t="s">
        <v>184</v>
      </c>
      <c r="B56">
        <v>16202925</v>
      </c>
    </row>
    <row r="57" spans="1:2" x14ac:dyDescent="0.25">
      <c r="A57" t="s">
        <v>184</v>
      </c>
      <c r="B57">
        <v>16202925</v>
      </c>
    </row>
    <row r="58" spans="1:2" x14ac:dyDescent="0.25">
      <c r="A58" t="s">
        <v>171</v>
      </c>
      <c r="B58">
        <v>18010408</v>
      </c>
    </row>
    <row r="59" spans="1:2" x14ac:dyDescent="0.25">
      <c r="A59" t="s">
        <v>171</v>
      </c>
      <c r="B59">
        <v>18010408</v>
      </c>
    </row>
    <row r="60" spans="1:2" x14ac:dyDescent="0.25">
      <c r="A60" t="s">
        <v>171</v>
      </c>
      <c r="B60">
        <v>18010408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2025-07-16T20:40:04Z</dcterms:created>
  <dcterms:modified xsi:type="dcterms:W3CDTF">2025-07-21T18:18:07Z</dcterms:modified>
</cp:coreProperties>
</file>