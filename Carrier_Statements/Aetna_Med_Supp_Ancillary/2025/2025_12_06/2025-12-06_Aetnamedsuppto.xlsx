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\12-6-25 to 12-10-25\"/>
    </mc:Choice>
  </mc:AlternateContent>
  <xr:revisionPtr revIDLastSave="0" documentId="13_ncr:1_{0E71F785-093D-4541-A7AC-2D4EC8BBEF02}" xr6:coauthVersionLast="47" xr6:coauthVersionMax="47" xr10:uidLastSave="{00000000-0000-0000-0000-000000000000}"/>
  <bookViews>
    <workbookView xWindow="28680" yWindow="-120" windowWidth="29040" windowHeight="16440" activeTab="3" xr2:uid="{00000000-000D-0000-FFFF-FFFF00000000}"/>
  </bookViews>
  <sheets>
    <sheet name="Commission Summary" sheetId="1" r:id="rId1"/>
    <sheet name="Commission Details" sheetId="2" r:id="rId2"/>
    <sheet name="Sheet1" sheetId="3" r:id="rId3"/>
    <sheet name="on hold" sheetId="4" r:id="rId4"/>
  </sheets>
  <calcPr calcId="181029"/>
</workbook>
</file>

<file path=xl/calcChain.xml><?xml version="1.0" encoding="utf-8"?>
<calcChain xmlns="http://schemas.openxmlformats.org/spreadsheetml/2006/main">
  <c r="G7" i="4" l="1"/>
  <c r="J2" i="4"/>
  <c r="J33" i="3"/>
  <c r="J34" i="3"/>
  <c r="J38" i="3"/>
  <c r="J41" i="3"/>
  <c r="J21" i="3"/>
  <c r="J19" i="3"/>
  <c r="J23" i="3"/>
  <c r="J22" i="3"/>
  <c r="J17" i="3"/>
  <c r="J18" i="3"/>
  <c r="J39" i="3"/>
  <c r="J40" i="3"/>
  <c r="J3" i="3"/>
  <c r="J4" i="3"/>
  <c r="J5" i="3"/>
  <c r="J6" i="3"/>
  <c r="J7" i="3"/>
  <c r="J37" i="3"/>
  <c r="J58" i="3"/>
  <c r="J56" i="3"/>
  <c r="J31" i="3"/>
  <c r="J28" i="3"/>
  <c r="J8" i="3"/>
  <c r="J9" i="3"/>
  <c r="J10" i="3"/>
  <c r="J11" i="3"/>
  <c r="J12" i="3"/>
  <c r="J42" i="3"/>
  <c r="J43" i="3"/>
  <c r="J44" i="3"/>
  <c r="J45" i="3"/>
  <c r="J46" i="3"/>
  <c r="J47" i="3"/>
  <c r="J24" i="3"/>
  <c r="J48" i="3"/>
  <c r="J49" i="3"/>
  <c r="J50" i="3"/>
  <c r="J51" i="3"/>
  <c r="J52" i="3"/>
  <c r="J53" i="3"/>
  <c r="J2" i="3"/>
  <c r="J20" i="3"/>
  <c r="J25" i="3"/>
  <c r="J26" i="3"/>
  <c r="J16" i="3"/>
  <c r="J13" i="3"/>
  <c r="J14" i="3"/>
  <c r="J15" i="3"/>
  <c r="J35" i="3"/>
  <c r="J36" i="3"/>
  <c r="J30" i="3"/>
  <c r="J27" i="3"/>
  <c r="J54" i="3"/>
  <c r="J55" i="3"/>
  <c r="J57" i="3"/>
  <c r="J29" i="3"/>
  <c r="J207" i="3"/>
  <c r="J170" i="3"/>
  <c r="J118" i="3"/>
  <c r="J90" i="3"/>
  <c r="J109" i="3"/>
  <c r="J110" i="3"/>
  <c r="J142" i="3"/>
  <c r="J153" i="3"/>
  <c r="J208" i="3"/>
  <c r="J211" i="3"/>
  <c r="J212" i="3"/>
  <c r="J213" i="3"/>
  <c r="J168" i="3"/>
  <c r="J198" i="3"/>
  <c r="J120" i="3"/>
  <c r="J178" i="3"/>
  <c r="J119" i="3"/>
  <c r="J121" i="3"/>
  <c r="J202" i="3"/>
  <c r="J107" i="3"/>
  <c r="J62" i="3"/>
  <c r="J203" i="3"/>
  <c r="J204" i="3"/>
  <c r="J205" i="3"/>
  <c r="J206" i="3"/>
  <c r="J139" i="3"/>
  <c r="J126" i="3"/>
  <c r="J143" i="3"/>
  <c r="J144" i="3"/>
  <c r="J145" i="3"/>
  <c r="J209" i="3"/>
  <c r="J164" i="3"/>
  <c r="J160" i="3"/>
  <c r="J149" i="3"/>
  <c r="J194" i="3"/>
  <c r="J166" i="3"/>
  <c r="J169" i="3"/>
  <c r="J171" i="3"/>
  <c r="J188" i="3"/>
  <c r="J177" i="3"/>
  <c r="J112" i="3"/>
  <c r="J65" i="3"/>
  <c r="J66" i="3"/>
  <c r="J67" i="3"/>
  <c r="J68" i="3"/>
  <c r="J195" i="3"/>
  <c r="J189" i="3"/>
  <c r="J167" i="3"/>
  <c r="J129" i="3"/>
  <c r="J135" i="3"/>
  <c r="J136" i="3"/>
  <c r="J181" i="3"/>
  <c r="J173" i="3"/>
  <c r="J163" i="3"/>
  <c r="J104" i="3"/>
  <c r="J85" i="3"/>
  <c r="J69" i="3"/>
  <c r="J70" i="3"/>
  <c r="J63" i="3"/>
  <c r="J87" i="3"/>
  <c r="J92" i="3"/>
  <c r="J93" i="3"/>
  <c r="J94" i="3"/>
  <c r="J95" i="3"/>
  <c r="J102" i="3"/>
  <c r="J98" i="3"/>
  <c r="J76" i="3"/>
  <c r="J100" i="3"/>
  <c r="J88" i="3"/>
  <c r="J147" i="3"/>
  <c r="J89" i="3"/>
  <c r="J81" i="3"/>
  <c r="J96" i="3"/>
  <c r="J97" i="3"/>
  <c r="J77" i="3"/>
  <c r="J71" i="3"/>
  <c r="J146" i="3"/>
  <c r="J72" i="3"/>
  <c r="J73" i="3"/>
  <c r="J74" i="3"/>
  <c r="J75" i="3"/>
  <c r="J83" i="3"/>
  <c r="J82" i="3"/>
  <c r="J86" i="3"/>
  <c r="J123" i="3"/>
  <c r="J122" i="3"/>
  <c r="J84" i="3"/>
  <c r="J130" i="3"/>
  <c r="J124" i="3"/>
  <c r="J64" i="3"/>
  <c r="J61" i="3"/>
  <c r="J105" i="3"/>
  <c r="J106" i="3"/>
  <c r="J140" i="3"/>
  <c r="J127" i="3"/>
  <c r="J141" i="3"/>
  <c r="J128" i="3"/>
  <c r="J216" i="3"/>
  <c r="J214" i="3"/>
  <c r="J217" i="3"/>
  <c r="J215" i="3"/>
  <c r="J196" i="3"/>
  <c r="J197" i="3"/>
  <c r="J199" i="3"/>
  <c r="J200" i="3"/>
  <c r="J210" i="3"/>
  <c r="J201" i="3"/>
  <c r="J191" i="3"/>
  <c r="J179" i="3"/>
  <c r="J78" i="3"/>
  <c r="J131" i="3"/>
  <c r="J125" i="3"/>
  <c r="J132" i="3"/>
  <c r="J133" i="3"/>
  <c r="J134" i="3"/>
  <c r="J192" i="3"/>
  <c r="J185" i="3"/>
  <c r="J186" i="3"/>
  <c r="J190" i="3"/>
  <c r="J172" i="3"/>
  <c r="J79" i="3"/>
  <c r="J174" i="3"/>
  <c r="J59" i="3"/>
  <c r="J187" i="3"/>
  <c r="J182" i="3"/>
  <c r="J193" i="3"/>
  <c r="J175" i="3"/>
  <c r="J180" i="3"/>
  <c r="J183" i="3"/>
  <c r="J184" i="3"/>
  <c r="J176" i="3"/>
  <c r="J60" i="3"/>
  <c r="J165" i="3"/>
  <c r="J114" i="3"/>
  <c r="J115" i="3"/>
  <c r="J116" i="3"/>
  <c r="J117" i="3"/>
  <c r="J113" i="3"/>
  <c r="J137" i="3"/>
  <c r="J138" i="3"/>
  <c r="J80" i="3"/>
  <c r="J101" i="3"/>
  <c r="J91" i="3"/>
  <c r="J108" i="3"/>
  <c r="J111" i="3"/>
  <c r="J148" i="3"/>
  <c r="J150" i="3"/>
  <c r="J103" i="3"/>
  <c r="J99" i="3"/>
  <c r="J154" i="3"/>
  <c r="J155" i="3"/>
  <c r="J152" i="3"/>
  <c r="J158" i="3"/>
  <c r="J157" i="3"/>
  <c r="J151" i="3"/>
  <c r="J156" i="3"/>
  <c r="J159" i="3"/>
  <c r="J161" i="3"/>
  <c r="J162" i="3"/>
  <c r="J32" i="3"/>
</calcChain>
</file>

<file path=xl/sharedStrings.xml><?xml version="1.0" encoding="utf-8"?>
<sst xmlns="http://schemas.openxmlformats.org/spreadsheetml/2006/main" count="6903" uniqueCount="675">
  <si>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</si>
  <si>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</si>
  <si>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</si>
  <si>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</si>
  <si>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</si>
  <si>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</si>
  <si>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</si>
  <si>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12/06/2025</t>
  </si>
  <si>
    <t>Day of Week</t>
  </si>
  <si>
    <t>FRIDAY</t>
  </si>
  <si>
    <t>Aetna Health Ins Company(AHIC)</t>
  </si>
  <si>
    <t>$191.66</t>
  </si>
  <si>
    <t>CONTINENTAL LIFE INSURANCE CO(CLI)</t>
  </si>
  <si>
    <t>$1,311.22</t>
  </si>
  <si>
    <t>Total Commission Paid</t>
  </si>
  <si>
    <t>$1,502.88</t>
  </si>
  <si>
    <t>Commission payments through EFT</t>
  </si>
  <si>
    <t>COMPANY SUMMARY</t>
  </si>
  <si>
    <t>AHIC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</si>
  <si>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</si>
  <si>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</si>
  <si>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</si>
  <si>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</si>
  <si>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</si>
  <si>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</si>
  <si>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</si>
  <si>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$3.99</t>
  </si>
  <si>
    <t>$120.71</t>
  </si>
  <si>
    <t>First Year Total:</t>
  </si>
  <si>
    <t>First Year Override:</t>
  </si>
  <si>
    <t>$46.63</t>
  </si>
  <si>
    <t>$1,186.01</t>
  </si>
  <si>
    <t>Renewal Total:</t>
  </si>
  <si>
    <t>Renewal Override:</t>
  </si>
  <si>
    <t>$141.04</t>
  </si>
  <si>
    <t>$4.50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</si>
  <si>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</si>
  <si>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</si>
  <si>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</si>
  <si>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</si>
  <si>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</si>
  <si>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</si>
  <si>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</si>
  <si>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</si>
  <si>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</si>
  <si>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</si>
  <si>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</si>
  <si>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</si>
  <si>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</si>
  <si>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</si>
  <si>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</si>
  <si>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</si>
  <si>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</si>
  <si>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</si>
  <si>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</si>
  <si>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</si>
  <si>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</si>
  <si>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</si>
  <si>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</si>
  <si>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</si>
  <si>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</si>
  <si>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</si>
  <si>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GNW5005221</t>
  </si>
  <si>
    <t>THOMAS KUCAN</t>
  </si>
  <si>
    <t>LORI SACKETT</t>
  </si>
  <si>
    <t>AHC6734215</t>
  </si>
  <si>
    <t>Renewal</t>
  </si>
  <si>
    <t>07/29/2024</t>
  </si>
  <si>
    <t>MD</t>
  </si>
  <si>
    <t>Medicare Supplement Plan G</t>
  </si>
  <si>
    <t>09/01/2024</t>
  </si>
  <si>
    <t>12/01/2025</t>
  </si>
  <si>
    <t>0.00</t>
  </si>
  <si>
    <t>1.50%</t>
  </si>
  <si>
    <t>012</t>
  </si>
  <si>
    <t>Monthly</t>
  </si>
  <si>
    <t xml:space="preserve">Med Supp Plan G 2010          </t>
  </si>
  <si>
    <t>GNW0089770</t>
  </si>
  <si>
    <t>ADAM RICHTER</t>
  </si>
  <si>
    <t>CECIL ALGOO</t>
  </si>
  <si>
    <t>CLI7323467</t>
  </si>
  <si>
    <t>First Year</t>
  </si>
  <si>
    <t>03/04/2025</t>
  </si>
  <si>
    <t>Cancer Insurance with Recurrence Benefit</t>
  </si>
  <si>
    <t>12/04/2025</t>
  </si>
  <si>
    <t>95.00%</t>
  </si>
  <si>
    <t>000</t>
  </si>
  <si>
    <t>CHAS PLUS CANCER ONLY W/ RECUR</t>
  </si>
  <si>
    <t>GNW5030443</t>
  </si>
  <si>
    <t>JENNIFER HALSAVER</t>
  </si>
  <si>
    <t>SUSAN SHAY</t>
  </si>
  <si>
    <t>CLI7475845</t>
  </si>
  <si>
    <t>Initial</t>
  </si>
  <si>
    <t>OH</t>
  </si>
  <si>
    <t>Heart Attack or Stroke Insurance with Recurrence Benefit</t>
  </si>
  <si>
    <t>01/01/2026</t>
  </si>
  <si>
    <t>100.00%</t>
  </si>
  <si>
    <t xml:space="preserve">CHAS PLUS Heart/Strk w/ recuc </t>
  </si>
  <si>
    <t>CHRISTINA HOBBIE</t>
  </si>
  <si>
    <t>CLI7422682</t>
  </si>
  <si>
    <t>09/04/2025</t>
  </si>
  <si>
    <t>09/05/2025</t>
  </si>
  <si>
    <t>12/05/2025</t>
  </si>
  <si>
    <t>GNW5013630</t>
  </si>
  <si>
    <t>STEPHANIE DRAPAC</t>
  </si>
  <si>
    <t>DOREEN PUDLOWSKI</t>
  </si>
  <si>
    <t>CLI7242713</t>
  </si>
  <si>
    <t>10/09/2024</t>
  </si>
  <si>
    <t>IL</t>
  </si>
  <si>
    <t>HIP Flex Hospital Admission Indemnity</t>
  </si>
  <si>
    <t>01/05/2025</t>
  </si>
  <si>
    <t>62.50%</t>
  </si>
  <si>
    <t>HOSPITAL CONFINEMENT INDEMNITY</t>
  </si>
  <si>
    <t>GNW5005484</t>
  </si>
  <si>
    <t>CATHY LEMON</t>
  </si>
  <si>
    <t>KOSSIWA MAWUEN GALLEY AGBESSI</t>
  </si>
  <si>
    <t>CLI7105961</t>
  </si>
  <si>
    <t>12/16/2023</t>
  </si>
  <si>
    <t>Dental Only 2000</t>
  </si>
  <si>
    <t>12/17/2023</t>
  </si>
  <si>
    <t>12/17/2025</t>
  </si>
  <si>
    <t>3.50%</t>
  </si>
  <si>
    <t xml:space="preserve">Dental Only 2000 MD           </t>
  </si>
  <si>
    <t>GNW5010621</t>
  </si>
  <si>
    <t>KLAUS HERCHENRODER</t>
  </si>
  <si>
    <t>ARDIAN DAKU</t>
  </si>
  <si>
    <t>CLI7135246</t>
  </si>
  <si>
    <t>03/04/2024</t>
  </si>
  <si>
    <t>PA</t>
  </si>
  <si>
    <t>DVH PLUS 5000</t>
  </si>
  <si>
    <t>03/05/2024</t>
  </si>
  <si>
    <t>1.75%</t>
  </si>
  <si>
    <t xml:space="preserve">DVH PLUS 5000 100 DEDUCTIBLE  </t>
  </si>
  <si>
    <t>GNW5015801</t>
  </si>
  <si>
    <t>RONALD MAX</t>
  </si>
  <si>
    <t>KEITH FRENCH</t>
  </si>
  <si>
    <t>CLI7331553</t>
  </si>
  <si>
    <t>03/19/2025</t>
  </si>
  <si>
    <t>04/06/2025</t>
  </si>
  <si>
    <t>SAMANTHA PASSARINHO</t>
  </si>
  <si>
    <t>CLI7355580</t>
  </si>
  <si>
    <t>05/06/2025</t>
  </si>
  <si>
    <t>CLI7331561</t>
  </si>
  <si>
    <t>60.00%</t>
  </si>
  <si>
    <t>CLI7331552</t>
  </si>
  <si>
    <t>DOREEN MOORE</t>
  </si>
  <si>
    <t>CLI7355783</t>
  </si>
  <si>
    <t>GNW5000839</t>
  </si>
  <si>
    <t>PETER RICHTER</t>
  </si>
  <si>
    <t>MICHAEL KAPLAN</t>
  </si>
  <si>
    <t>AHC6759819</t>
  </si>
  <si>
    <t>11/11/2025</t>
  </si>
  <si>
    <t>1.65%</t>
  </si>
  <si>
    <t>GNW5008239</t>
  </si>
  <si>
    <t>CAROL FOLEY</t>
  </si>
  <si>
    <t>JOSEPH BUDD</t>
  </si>
  <si>
    <t>CLI7479772</t>
  </si>
  <si>
    <t>HIP Flex Daily Hospital Indemnity</t>
  </si>
  <si>
    <t>65.00%</t>
  </si>
  <si>
    <t xml:space="preserve">DAILY HOSPITAL INDEMNITY      </t>
  </si>
  <si>
    <t>KRISTEN POTLER</t>
  </si>
  <si>
    <t>CLI7280895</t>
  </si>
  <si>
    <t>12/04/2024</t>
  </si>
  <si>
    <t>12/05/2024</t>
  </si>
  <si>
    <t>3.75%</t>
  </si>
  <si>
    <t>Refund of Unearned Commissions</t>
  </si>
  <si>
    <t>ADEDIWURA AKINSEMOYIN</t>
  </si>
  <si>
    <t>CLI7226464</t>
  </si>
  <si>
    <t>09/09/2024</t>
  </si>
  <si>
    <t>10/01/2024</t>
  </si>
  <si>
    <t>CLI7475844</t>
  </si>
  <si>
    <t>CHRISTINA GARCIA</t>
  </si>
  <si>
    <t>CLI7015297</t>
  </si>
  <si>
    <t>06/05/2023</t>
  </si>
  <si>
    <t>GNW5000567</t>
  </si>
  <si>
    <t>LAURIE CASTA</t>
  </si>
  <si>
    <t>TILER TURMON</t>
  </si>
  <si>
    <t>CLI7017621</t>
  </si>
  <si>
    <t>06/08/2023</t>
  </si>
  <si>
    <t>06/10/2023</t>
  </si>
  <si>
    <t>12/10/2025</t>
  </si>
  <si>
    <t>GNW6114443</t>
  </si>
  <si>
    <t>KIMBERLY DICKERSON</t>
  </si>
  <si>
    <t>DOULGAS COLEMAN</t>
  </si>
  <si>
    <t>CLI6947135</t>
  </si>
  <si>
    <t>01/05/2023</t>
  </si>
  <si>
    <t>CLI7015300</t>
  </si>
  <si>
    <t>11.00%</t>
  </si>
  <si>
    <t>ERIKA STALLINGS</t>
  </si>
  <si>
    <t>CLI7133384</t>
  </si>
  <si>
    <t>02/28/2024</t>
  </si>
  <si>
    <t>GNW5020131</t>
  </si>
  <si>
    <t>CHAD YALE</t>
  </si>
  <si>
    <t>AMANDA PIERSON</t>
  </si>
  <si>
    <t>CLI7277633</t>
  </si>
  <si>
    <t>11/30/2024</t>
  </si>
  <si>
    <t>TX</t>
  </si>
  <si>
    <t>Dental Vision Hearing 2000</t>
  </si>
  <si>
    <t>01/01/2025</t>
  </si>
  <si>
    <t>57.00%</t>
  </si>
  <si>
    <t>Dental, Vision, &amp; Hearing 2000</t>
  </si>
  <si>
    <t>LEANDA GRISSOM</t>
  </si>
  <si>
    <t>CLI7280650</t>
  </si>
  <si>
    <t>58.00%</t>
  </si>
  <si>
    <t>GNW5005086</t>
  </si>
  <si>
    <t>CAROLYN WILSON SMITH</t>
  </si>
  <si>
    <t>KRISTINE THORPE</t>
  </si>
  <si>
    <t>CLI7063877</t>
  </si>
  <si>
    <t>10/03/2023</t>
  </si>
  <si>
    <t>10/05/2023</t>
  </si>
  <si>
    <t>GLENDA CHAVEZ</t>
  </si>
  <si>
    <t>CLI7059752</t>
  </si>
  <si>
    <t>09/23/2023</t>
  </si>
  <si>
    <t>10/01/2023</t>
  </si>
  <si>
    <t>JESSICA NAVALKAR</t>
  </si>
  <si>
    <t>CLI7200897</t>
  </si>
  <si>
    <t>07/18/2024</t>
  </si>
  <si>
    <t>Dental Only 1500</t>
  </si>
  <si>
    <t>07/23/2024</t>
  </si>
  <si>
    <t>11/23/2025</t>
  </si>
  <si>
    <t xml:space="preserve">Dental Only 1500 MD           </t>
  </si>
  <si>
    <t>GNW5002639</t>
  </si>
  <si>
    <t>MATTHEW DAUGHERTY</t>
  </si>
  <si>
    <t>KEITH YORK</t>
  </si>
  <si>
    <t>CLI7104455</t>
  </si>
  <si>
    <t>12/13/2023</t>
  </si>
  <si>
    <t>01/01/2024</t>
  </si>
  <si>
    <t>7.50%</t>
  </si>
  <si>
    <t>TYRONE TYLER</t>
  </si>
  <si>
    <t>CLI7323951</t>
  </si>
  <si>
    <t>03/05/2025</t>
  </si>
  <si>
    <t>CLI7242712</t>
  </si>
  <si>
    <t>Heart Attack or Stroke Insurance</t>
  </si>
  <si>
    <t xml:space="preserve">CHAS PLUS Heart/Stroke        </t>
  </si>
  <si>
    <t>CLI7242711</t>
  </si>
  <si>
    <t>Cancer Insurance</t>
  </si>
  <si>
    <t xml:space="preserve">CHAS PLUS CANCER ONLY         </t>
  </si>
  <si>
    <t>GNW5007313</t>
  </si>
  <si>
    <t>DEBORAH INSKIPT</t>
  </si>
  <si>
    <t>JOHN KISS</t>
  </si>
  <si>
    <t>CLI7090109</t>
  </si>
  <si>
    <t>11/20/2023</t>
  </si>
  <si>
    <t>GNW5019789</t>
  </si>
  <si>
    <t>ANDREA PETRUNGARO</t>
  </si>
  <si>
    <t>RAYMOND INGERSOLL</t>
  </si>
  <si>
    <t>CLI4103252</t>
  </si>
  <si>
    <t>11/07/2024</t>
  </si>
  <si>
    <t>GNW5021656</t>
  </si>
  <si>
    <t>GARY PORTUGAL</t>
  </si>
  <si>
    <t>DONNA STRITCH</t>
  </si>
  <si>
    <t>CLI7443349</t>
  </si>
  <si>
    <t>10/17/2025</t>
  </si>
  <si>
    <t>105.00%</t>
  </si>
  <si>
    <t>KAREN KIRSCH</t>
  </si>
  <si>
    <t>CLI6978913</t>
  </si>
  <si>
    <t>03/14/2023</t>
  </si>
  <si>
    <t>04/01/2023</t>
  </si>
  <si>
    <t>GNW0087421</t>
  </si>
  <si>
    <t>ANNE KOZACHECK</t>
  </si>
  <si>
    <t>PHILIP LYNCH</t>
  </si>
  <si>
    <t>AHC6749903</t>
  </si>
  <si>
    <t>04/24/2025</t>
  </si>
  <si>
    <t>05/01/2025</t>
  </si>
  <si>
    <t>26.00%</t>
  </si>
  <si>
    <t>MARCUS BEVERLY</t>
  </si>
  <si>
    <t>CLI7460798</t>
  </si>
  <si>
    <t>11/10/2025</t>
  </si>
  <si>
    <t>12/11/2025</t>
  </si>
  <si>
    <t>GNW5020580</t>
  </si>
  <si>
    <t>STACEY PORTUGAL</t>
  </si>
  <si>
    <t>MICHAEL OWENS</t>
  </si>
  <si>
    <t>CLI7443496</t>
  </si>
  <si>
    <t>KS</t>
  </si>
  <si>
    <t>10/18/2025</t>
  </si>
  <si>
    <t>12/18/2025</t>
  </si>
  <si>
    <t xml:space="preserve">DAILY HOSPITAL INDEMNITY KS   </t>
  </si>
  <si>
    <t>CLAUDIO CASALES</t>
  </si>
  <si>
    <t>CLI7477182</t>
  </si>
  <si>
    <t>12/02/2025</t>
  </si>
  <si>
    <t>GNW5014846</t>
  </si>
  <si>
    <t>RICARDO SANTOS</t>
  </si>
  <si>
    <t>BENJAMIN NANO</t>
  </si>
  <si>
    <t>CLI7474017</t>
  </si>
  <si>
    <t>11/25/2025</t>
  </si>
  <si>
    <t>GNW5002731</t>
  </si>
  <si>
    <t>LANEECE WHITE</t>
  </si>
  <si>
    <t>JAMES HAIRSTON</t>
  </si>
  <si>
    <t>CLI7062151</t>
  </si>
  <si>
    <t>09/29/2023</t>
  </si>
  <si>
    <t>Quarterly</t>
  </si>
  <si>
    <t>BRADLEY BARNEY</t>
  </si>
  <si>
    <t>CLI7479560</t>
  </si>
  <si>
    <t>AL</t>
  </si>
  <si>
    <t>DVH FLX Option 1</t>
  </si>
  <si>
    <t xml:space="preserve">DVH FLX Option 1              </t>
  </si>
  <si>
    <t>WALTER LEDBETTER</t>
  </si>
  <si>
    <t>CLI7119339</t>
  </si>
  <si>
    <t>01/24/2024</t>
  </si>
  <si>
    <t>Dental Vision Hearing 1000</t>
  </si>
  <si>
    <t>02/01/2024</t>
  </si>
  <si>
    <t>Dental, Vision, &amp; Hearing 1000</t>
  </si>
  <si>
    <t>DEBRA LABER</t>
  </si>
  <si>
    <t>CLI7421676</t>
  </si>
  <si>
    <t>09/03/2025</t>
  </si>
  <si>
    <t>WA</t>
  </si>
  <si>
    <t>10/01/2025</t>
  </si>
  <si>
    <t>LINA BROKER</t>
  </si>
  <si>
    <t>CLI7372958</t>
  </si>
  <si>
    <t>06/08/2025</t>
  </si>
  <si>
    <t>09/01/2025</t>
  </si>
  <si>
    <t>THOMAS VONDRASEK</t>
  </si>
  <si>
    <t>CLI7405207</t>
  </si>
  <si>
    <t>08/04/2025</t>
  </si>
  <si>
    <t>CLI7405206</t>
  </si>
  <si>
    <t>MELISSSA FERA</t>
  </si>
  <si>
    <t>CLI7122731</t>
  </si>
  <si>
    <t>01/31/2024</t>
  </si>
  <si>
    <t>NJ</t>
  </si>
  <si>
    <t xml:space="preserve">Dental Only 2000 NJ           </t>
  </si>
  <si>
    <t>CHRISTOPHER DUFFEY</t>
  </si>
  <si>
    <t>CLI7323278</t>
  </si>
  <si>
    <t>JANAY HAIRSTON</t>
  </si>
  <si>
    <t>CLI7062165</t>
  </si>
  <si>
    <t>ALEFTERRIA VASILIADIS</t>
  </si>
  <si>
    <t>CLI7457831</t>
  </si>
  <si>
    <t>11/05/2025</t>
  </si>
  <si>
    <t>NANA LASSANE</t>
  </si>
  <si>
    <t>CLI7104723</t>
  </si>
  <si>
    <t>12/14/2023</t>
  </si>
  <si>
    <t xml:space="preserve">Dental,Vision,Hearing 2000 PA </t>
  </si>
  <si>
    <t>CLI7323468</t>
  </si>
  <si>
    <t>GNW5021353</t>
  </si>
  <si>
    <t>JACOB YALE</t>
  </si>
  <si>
    <t>DIANE VAN DORN</t>
  </si>
  <si>
    <t>CLI7284896</t>
  </si>
  <si>
    <t>12/09/2024</t>
  </si>
  <si>
    <t>GNW5016123</t>
  </si>
  <si>
    <t>WILLIAM SCHAEFFER</t>
  </si>
  <si>
    <t>BRADLEY VAKILZADEH</t>
  </si>
  <si>
    <t>CLI7227312</t>
  </si>
  <si>
    <t>09/10/2024</t>
  </si>
  <si>
    <t>OK</t>
  </si>
  <si>
    <t>DWAYNE DIGBY</t>
  </si>
  <si>
    <t>CLI7349451</t>
  </si>
  <si>
    <t>04/23/2025</t>
  </si>
  <si>
    <t>11/24/2025</t>
  </si>
  <si>
    <t>ANNAMARIA GROSSO</t>
  </si>
  <si>
    <t>CLI7170643</t>
  </si>
  <si>
    <t>05/21/2024</t>
  </si>
  <si>
    <t>06/01/2024</t>
  </si>
  <si>
    <t>MICHAEL DUGAN</t>
  </si>
  <si>
    <t>CLI7264650</t>
  </si>
  <si>
    <t>11/11/2024</t>
  </si>
  <si>
    <t>91.00%</t>
  </si>
  <si>
    <t>CHAS PLUS Heart/Stroke 1000vpu</t>
  </si>
  <si>
    <t>CLI7264648</t>
  </si>
  <si>
    <t xml:space="preserve">CHAS PLUS CANCER W/RECUR 1000 </t>
  </si>
  <si>
    <t>GNW5013451</t>
  </si>
  <si>
    <t>BARRY SCHUMANN</t>
  </si>
  <si>
    <t>GEORGE LYNCH</t>
  </si>
  <si>
    <t>CLI7392491</t>
  </si>
  <si>
    <t>07/14/2025</t>
  </si>
  <si>
    <t>08/01/2025</t>
  </si>
  <si>
    <t>CLI7090108</t>
  </si>
  <si>
    <t>CLARA GEORGE</t>
  </si>
  <si>
    <t>CLI7284251</t>
  </si>
  <si>
    <t>12/07/2024</t>
  </si>
  <si>
    <t>FL</t>
  </si>
  <si>
    <t>CLI7284250</t>
  </si>
  <si>
    <t>GNW5019932</t>
  </si>
  <si>
    <t>DALE WALENGA</t>
  </si>
  <si>
    <t>MICHAEL LOPRIORE</t>
  </si>
  <si>
    <t>CLI7436169</t>
  </si>
  <si>
    <t>10/06/2025</t>
  </si>
  <si>
    <t>10/07/2025</t>
  </si>
  <si>
    <t>12/07/2025</t>
  </si>
  <si>
    <t>MADISON STANFIELD</t>
  </si>
  <si>
    <t>CLI7026762</t>
  </si>
  <si>
    <t>06/30/2023</t>
  </si>
  <si>
    <t>07/01/2023</t>
  </si>
  <si>
    <t>MICHAEL CILYK</t>
  </si>
  <si>
    <t>AHC6727970</t>
  </si>
  <si>
    <t>03/25/2024</t>
  </si>
  <si>
    <t>Medicare Supplement Plan N</t>
  </si>
  <si>
    <t>04/01/2024</t>
  </si>
  <si>
    <t>30.00%</t>
  </si>
  <si>
    <t xml:space="preserve">Med Supp Plan N 2010          </t>
  </si>
  <si>
    <t>CLI7227314</t>
  </si>
  <si>
    <t>8.00%</t>
  </si>
  <si>
    <t>PEGGY DEMPE</t>
  </si>
  <si>
    <t>AHC6731868</t>
  </si>
  <si>
    <t>06/07/2024</t>
  </si>
  <si>
    <t>07/01/2024</t>
  </si>
  <si>
    <t>25.00%</t>
  </si>
  <si>
    <t>WILHELM BURGER</t>
  </si>
  <si>
    <t>CLI7371178</t>
  </si>
  <si>
    <t>06/04/2025</t>
  </si>
  <si>
    <t>NORA MAFFEI</t>
  </si>
  <si>
    <t>CLI7454717</t>
  </si>
  <si>
    <t>11/02/2025</t>
  </si>
  <si>
    <t>FREDERICA PETERSON</t>
  </si>
  <si>
    <t>CLI7478961</t>
  </si>
  <si>
    <t>12/03/2025</t>
  </si>
  <si>
    <t>CHARON WOOD</t>
  </si>
  <si>
    <t>CLI7104371</t>
  </si>
  <si>
    <t>CLI7104370</t>
  </si>
  <si>
    <t>MICHAEL STANFIELD</t>
  </si>
  <si>
    <t>CLI7026783</t>
  </si>
  <si>
    <t>CLI7026763</t>
  </si>
  <si>
    <t>CLI7227313</t>
  </si>
  <si>
    <t>GNW5008118</t>
  </si>
  <si>
    <t>PATRICIA LONG</t>
  </si>
  <si>
    <t>DAVID BACHNSKI</t>
  </si>
  <si>
    <t>AHC6729066</t>
  </si>
  <si>
    <t>04/15/2024</t>
  </si>
  <si>
    <t>05/01/2024</t>
  </si>
  <si>
    <t>CLI7104454</t>
  </si>
  <si>
    <t>CLI7104453</t>
  </si>
  <si>
    <t>GNW5012600</t>
  </si>
  <si>
    <t>JESSICA SANDIFER</t>
  </si>
  <si>
    <t>DARRYLE MCCOY</t>
  </si>
  <si>
    <t>CLI7291302</t>
  </si>
  <si>
    <t>12/23/2024</t>
  </si>
  <si>
    <t>MICHAEL WITT</t>
  </si>
  <si>
    <t>CLI6931023</t>
  </si>
  <si>
    <t>11/30/2022</t>
  </si>
  <si>
    <t>12/01/2022</t>
  </si>
  <si>
    <t>CLI7443495</t>
  </si>
  <si>
    <t>$72.92</t>
  </si>
  <si>
    <t>$1,981.76</t>
  </si>
  <si>
    <t>$2,054.68</t>
  </si>
  <si>
    <t>$511.39</t>
  </si>
  <si>
    <t>$34.90</t>
  </si>
  <si>
    <t>$1,410.85</t>
  </si>
  <si>
    <t>$38.02</t>
  </si>
  <si>
    <t>$59.52</t>
  </si>
  <si>
    <t>11/01/2025</t>
  </si>
  <si>
    <t>ALEXANDER DUSABAN</t>
  </si>
  <si>
    <t>CLI7407835</t>
  </si>
  <si>
    <t>08/07/2025</t>
  </si>
  <si>
    <t>08/08/2025</t>
  </si>
  <si>
    <t>12/08/2025</t>
  </si>
  <si>
    <t>ANGELA RICHARDS</t>
  </si>
  <si>
    <t>CLI7384101</t>
  </si>
  <si>
    <t>06/27/2025</t>
  </si>
  <si>
    <t>07/01/2025</t>
  </si>
  <si>
    <t>GNW5007016</t>
  </si>
  <si>
    <t>AIDAN BARBER</t>
  </si>
  <si>
    <t>MONGKOL TOOPET</t>
  </si>
  <si>
    <t>CLI7097567</t>
  </si>
  <si>
    <t>12/04/2023</t>
  </si>
  <si>
    <t>Dental Only 1000</t>
  </si>
  <si>
    <t xml:space="preserve">Dental Only 1000 MD           </t>
  </si>
  <si>
    <t>GABRIELA BEAULIEU</t>
  </si>
  <si>
    <t>CLI7411688</t>
  </si>
  <si>
    <t>08/14/2025</t>
  </si>
  <si>
    <t>12/14/2025</t>
  </si>
  <si>
    <t>KARRIE GUARIGLIA</t>
  </si>
  <si>
    <t>CLI7423996</t>
  </si>
  <si>
    <t>09/08/2025</t>
  </si>
  <si>
    <t>09/09/2025</t>
  </si>
  <si>
    <t>12/09/2025</t>
  </si>
  <si>
    <t>GNW5013444</t>
  </si>
  <si>
    <t>ANDREW CHOI</t>
  </si>
  <si>
    <t>DESIREE MALDONADO</t>
  </si>
  <si>
    <t>CLI7248521</t>
  </si>
  <si>
    <t>10/18/2024</t>
  </si>
  <si>
    <t>11/01/2024</t>
  </si>
  <si>
    <t>JOHN COLETTI</t>
  </si>
  <si>
    <t>CLI7289569</t>
  </si>
  <si>
    <t>12/18/2024</t>
  </si>
  <si>
    <t>JAMES ROOT</t>
  </si>
  <si>
    <t>CLI7424746</t>
  </si>
  <si>
    <t>ARTURO SANCHEZ</t>
  </si>
  <si>
    <t>CLI7201217</t>
  </si>
  <si>
    <t>08/01/2024</t>
  </si>
  <si>
    <t>JAMES DETERS</t>
  </si>
  <si>
    <t>CLI7263565</t>
  </si>
  <si>
    <t>11/08/2024</t>
  </si>
  <si>
    <t>2.25%</t>
  </si>
  <si>
    <t>LYNDA ROOT</t>
  </si>
  <si>
    <t>CLI7424742</t>
  </si>
  <si>
    <t>CLI7201215</t>
  </si>
  <si>
    <t xml:space="preserve">DVH PLUS PA 5000 100 DED      </t>
  </si>
  <si>
    <t>MICHAEL WILLIAMS</t>
  </si>
  <si>
    <t>CLI7482788</t>
  </si>
  <si>
    <t>JOSE DIAZ</t>
  </si>
  <si>
    <t>CLI7441202</t>
  </si>
  <si>
    <t>10/15/2025</t>
  </si>
  <si>
    <t>GNW5014631</t>
  </si>
  <si>
    <t>PAMELA DEATON</t>
  </si>
  <si>
    <t>KAREN SMITH</t>
  </si>
  <si>
    <t>AHC6741007</t>
  </si>
  <si>
    <t>11/15/2024</t>
  </si>
  <si>
    <t>GNW5027638</t>
  </si>
  <si>
    <t>BRITTANY OLIVER</t>
  </si>
  <si>
    <t>ROOSEVELT ALOMBA</t>
  </si>
  <si>
    <t>CLI7437365</t>
  </si>
  <si>
    <t>10/08/2025</t>
  </si>
  <si>
    <t>MELISSA ROTUNNO</t>
  </si>
  <si>
    <t>CLI7123186</t>
  </si>
  <si>
    <t>02/10/2024</t>
  </si>
  <si>
    <t>ANTONIO BOSTON</t>
  </si>
  <si>
    <t>CLI7357396</t>
  </si>
  <si>
    <t>05/08/2025</t>
  </si>
  <si>
    <t>05/10/2025</t>
  </si>
  <si>
    <t>GNW5019378</t>
  </si>
  <si>
    <t>CHRIS TAUGNER</t>
  </si>
  <si>
    <t>MICHELLE ABLES</t>
  </si>
  <si>
    <t>CLI7431471</t>
  </si>
  <si>
    <t>09/25/2025</t>
  </si>
  <si>
    <t>09/26/2025</t>
  </si>
  <si>
    <t>11/26/2025</t>
  </si>
  <si>
    <t>JOHN SMITH</t>
  </si>
  <si>
    <t>CLI7237542</t>
  </si>
  <si>
    <t>09/30/2024</t>
  </si>
  <si>
    <t>WI</t>
  </si>
  <si>
    <t>17.00%</t>
  </si>
  <si>
    <t>LISA CHERRY</t>
  </si>
  <si>
    <t>CLI4102044</t>
  </si>
  <si>
    <t>10/23/2024</t>
  </si>
  <si>
    <t>SHERRY THOMAS</t>
  </si>
  <si>
    <t>AHC6736603</t>
  </si>
  <si>
    <t>09/20/2024</t>
  </si>
  <si>
    <t>JASWINDER KAUR</t>
  </si>
  <si>
    <t>CLI6991416</t>
  </si>
  <si>
    <t>04/10/2023</t>
  </si>
  <si>
    <t>CHARLES MCALLISTER</t>
  </si>
  <si>
    <t>CLI7421433</t>
  </si>
  <si>
    <t>09/02/2025</t>
  </si>
  <si>
    <t>PATRICIA MCALLISTER</t>
  </si>
  <si>
    <t>CLI7421425</t>
  </si>
  <si>
    <t>GNW5020386</t>
  </si>
  <si>
    <t>FRANK LISKOVEC</t>
  </si>
  <si>
    <t>MARGARET DOYLE</t>
  </si>
  <si>
    <t>CLI7254461</t>
  </si>
  <si>
    <t>10/28/2024</t>
  </si>
  <si>
    <t>Home Care Plus</t>
  </si>
  <si>
    <t xml:space="preserve">Home Care Plus                </t>
  </si>
  <si>
    <t>EDITH BATIOJA</t>
  </si>
  <si>
    <t>CLI7034851</t>
  </si>
  <si>
    <t>07/21/2023</t>
  </si>
  <si>
    <t>07/24/2023</t>
  </si>
  <si>
    <t>LYQA ABRO</t>
  </si>
  <si>
    <t>CLI7287038</t>
  </si>
  <si>
    <t>12/12/2024</t>
  </si>
  <si>
    <t>12/12/2025</t>
  </si>
  <si>
    <t>SHAHZAD ABRO</t>
  </si>
  <si>
    <t>CLI7287025</t>
  </si>
  <si>
    <t>KAMAL ABRO</t>
  </si>
  <si>
    <t>CLI7287007</t>
  </si>
  <si>
    <t>CLI7357397</t>
  </si>
  <si>
    <t>GNW6130644</t>
  </si>
  <si>
    <t>DEBORAH POWERS</t>
  </si>
  <si>
    <t>WILLIAM SCOTT</t>
  </si>
  <si>
    <t>AHC4100069</t>
  </si>
  <si>
    <t>06/02/2023</t>
  </si>
  <si>
    <t>2.00%</t>
  </si>
  <si>
    <t>LYNN MILLER</t>
  </si>
  <si>
    <t>CLI7459999</t>
  </si>
  <si>
    <t>11/07/2025</t>
  </si>
  <si>
    <t>ALINA DOBBINS</t>
  </si>
  <si>
    <t>CLI7374069</t>
  </si>
  <si>
    <t>06/10/2025</t>
  </si>
  <si>
    <t>DANIEL HUBER</t>
  </si>
  <si>
    <t>CLI7101028</t>
  </si>
  <si>
    <t>12/07/2023</t>
  </si>
  <si>
    <t>TERRY BAKER</t>
  </si>
  <si>
    <t>CLI7483842</t>
  </si>
  <si>
    <t>AR</t>
  </si>
  <si>
    <t>MELODY HAGENY</t>
  </si>
  <si>
    <t>CLI7287967</t>
  </si>
  <si>
    <t>12/14/2024</t>
  </si>
  <si>
    <t>JEANNE KING</t>
  </si>
  <si>
    <t>CLI7298955</t>
  </si>
  <si>
    <t>01/14/2025</t>
  </si>
  <si>
    <t>01/20/2025</t>
  </si>
  <si>
    <t>12/20/2025</t>
  </si>
  <si>
    <t>CLI7101031</t>
  </si>
  <si>
    <t>MAUDA MARTINEZ</t>
  </si>
  <si>
    <t>CLI7292242</t>
  </si>
  <si>
    <t>12/28/2024</t>
  </si>
  <si>
    <t>NAKKIARA WILLIAMS POWELL</t>
  </si>
  <si>
    <t>CLI7017794</t>
  </si>
  <si>
    <t>06/09/2023</t>
  </si>
  <si>
    <t>EDWARD WHITE</t>
  </si>
  <si>
    <t>CLI7483249</t>
  </si>
  <si>
    <t>SUSAN FRANCIS</t>
  </si>
  <si>
    <t>CLI7272072</t>
  </si>
  <si>
    <t>11/20/2024</t>
  </si>
  <si>
    <t>11/21/2024</t>
  </si>
  <si>
    <t>12/21/2025</t>
  </si>
  <si>
    <t>MARY DELANO</t>
  </si>
  <si>
    <t>CLI7469568</t>
  </si>
  <si>
    <t>11/20/2025</t>
  </si>
  <si>
    <t>CLI7201216</t>
  </si>
  <si>
    <t>GNW5039637</t>
  </si>
  <si>
    <t>LATESHA ROSE</t>
  </si>
  <si>
    <t>REBECCA GARCIA</t>
  </si>
  <si>
    <t>CLI7482928</t>
  </si>
  <si>
    <t>LOREN RICKS</t>
  </si>
  <si>
    <t>CLI7259691</t>
  </si>
  <si>
    <t>11/04/2024</t>
  </si>
  <si>
    <t>11/09/2024</t>
  </si>
  <si>
    <t>GNW5034713</t>
  </si>
  <si>
    <t>ROBERT SHAPIRO</t>
  </si>
  <si>
    <t>JOSEPH HENRY</t>
  </si>
  <si>
    <t>CLI7480928</t>
  </si>
  <si>
    <t>WAYNE MEINSCHEIN III</t>
  </si>
  <si>
    <t>CLI7156449</t>
  </si>
  <si>
    <t>04/19/2024</t>
  </si>
  <si>
    <t>HANAN AMAN</t>
  </si>
  <si>
    <t>CLI7195423</t>
  </si>
  <si>
    <t>07/09/2024</t>
  </si>
  <si>
    <t>LUIS ALMAZO</t>
  </si>
  <si>
    <t>CLI7389322</t>
  </si>
  <si>
    <t>07/08/2025</t>
  </si>
  <si>
    <t>DVH FLX Option 2</t>
  </si>
  <si>
    <t xml:space="preserve">DVH FLX Option 2              </t>
  </si>
  <si>
    <t>JOAN LUCAS</t>
  </si>
  <si>
    <t>CLI7437638</t>
  </si>
  <si>
    <t>LINDA CERRONI</t>
  </si>
  <si>
    <t>CLI7437397</t>
  </si>
  <si>
    <t>CLI7437639</t>
  </si>
  <si>
    <t>HENRY ASEGA</t>
  </si>
  <si>
    <t>CLI7241975</t>
  </si>
  <si>
    <t>10/08/2024</t>
  </si>
  <si>
    <t>LORI MOORE</t>
  </si>
  <si>
    <t>CLI7404337</t>
  </si>
  <si>
    <t>CLI7404336</t>
  </si>
  <si>
    <t>KEVIN JOHNSON</t>
  </si>
  <si>
    <t>CLI7436636</t>
  </si>
  <si>
    <t>PARRIS PAPAMINAS</t>
  </si>
  <si>
    <t>CLI7241698</t>
  </si>
  <si>
    <t>12.00%</t>
  </si>
  <si>
    <t>BLAKE BUTLER</t>
  </si>
  <si>
    <t>CLI7136985</t>
  </si>
  <si>
    <t>03/07/2024</t>
  </si>
  <si>
    <t>CLI7384102</t>
  </si>
  <si>
    <t>KEITH FRANZEN</t>
  </si>
  <si>
    <t>CLI7294464</t>
  </si>
  <si>
    <t>01/06/2025</t>
  </si>
  <si>
    <t>01/07/2025</t>
  </si>
  <si>
    <t>CLI7407836</t>
  </si>
  <si>
    <t>CLI7407834</t>
  </si>
  <si>
    <t>CLI7294463</t>
  </si>
  <si>
    <t>20003537old</t>
  </si>
  <si>
    <t>17528908N</t>
  </si>
  <si>
    <t>Aetna Senior OVR</t>
  </si>
  <si>
    <t>MAIN LINE BENEFITS</t>
  </si>
  <si>
    <t>21436172AV8</t>
  </si>
  <si>
    <t>16509456AV8</t>
  </si>
  <si>
    <t>19200754AV8</t>
  </si>
  <si>
    <t>7565575AV8</t>
  </si>
  <si>
    <t>19645587AV8</t>
  </si>
  <si>
    <t>NB</t>
  </si>
  <si>
    <t>AV</t>
  </si>
  <si>
    <t>RN</t>
  </si>
  <si>
    <t>AV1</t>
  </si>
  <si>
    <t>AE</t>
  </si>
  <si>
    <t>Cancer and Heart Attack or Stroke 105</t>
  </si>
  <si>
    <t>Cancer and Heart Attack or Stroke 100%</t>
  </si>
  <si>
    <t>Cancer and Heart</t>
  </si>
  <si>
    <t>Cancer and Heart Attack or Stroke Plus</t>
  </si>
  <si>
    <t>Dental, Vision, and Hearing Plus</t>
  </si>
  <si>
    <t>DVH</t>
  </si>
  <si>
    <t>Hospital Indemnity Flex: AZ, CT, FL, IA, MA, MD, MI, ND, NH, SC, UT, VA, VT</t>
  </si>
  <si>
    <t>DVH PLUS 3000</t>
  </si>
  <si>
    <t>Cancer &amp; Heart Attack/Stroke</t>
  </si>
  <si>
    <t>Home Recovery Hospital Nursing Care 65</t>
  </si>
  <si>
    <t>Hospital Indemnity-AL, AR, DE, GA, ID, IL, IN, KS, KY, etc.</t>
  </si>
  <si>
    <t>Hospital Indemnity AZ CT FL IA MA MD MI ND NH SC UT VA VT</t>
  </si>
  <si>
    <t>Medicare Supplement Plan G 2024</t>
  </si>
  <si>
    <t>Medicare Supplement Plan- KS &amp; MD 1.5</t>
  </si>
  <si>
    <t>Medicare Supplement Plan N 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</si>
</sst>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2" x14ac:knownFonts="1">
    <font>
      <sz val="11"/>
      <color indexed="8"/>
      <name val="Calibri"/>
      <family val="2"/>
      <scheme val="minor"/>
    </font>
    <font>
      <sz val="11"/>
      <color indexed="8"/>
      <name val="Calibri"/>
    </font>
    <font>
      <b/>
      <sz val="11"/>
      <color indexed="8"/>
      <name val="Calibri"/>
    </font>
    <font>
      <b/>
      <sz val="11"/>
      <name val="Calibri"/>
    </font>
    <font>
      <b/>
      <sz val="11"/>
      <color indexed="9"/>
      <name val="Calibri"/>
    </font>
    <font>
      <b/>
      <sz val="11"/>
      <color rgb="FF000000"/>
      <name val="Calibri"/>
    </font>
    <font>
      <sz val="11"/>
      <color indexed="8"/>
      <name val="Calibri"/>
    </font>
    <font>
      <b/>
      <sz val="11"/>
      <color indexed="8"/>
      <name val="Calibri"/>
    </font>
    <font>
      <b/>
      <sz val="11"/>
      <name val="Calibri"/>
    </font>
    <font>
      <b/>
      <sz val="11"/>
      <color indexed="9"/>
      <name val="Calibri"/>
    </font>
    <font>
      <b/>
      <sz val="11"/>
      <name val="Calibri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left"/>
    </xf>
    <xf numFmtId="164" fontId="11" fillId="0" borderId="0" xfId="0" applyNumberFormat="1" applyFont="1" applyAlignment="1">
      <alignment horizontal="left"/>
    </xf>
    <xf numFmtId="10" fontId="11" fillId="0" borderId="0" xfId="0" applyNumberFormat="1" applyFont="1" applyAlignment="1">
      <alignment horizontal="left"/>
    </xf>
    <xf numFmtId="0" fontId="11" fillId="4" borderId="0" xfId="0" applyFont="1" applyFill="1" applyAlignment="1">
      <alignment horizontal="left"/>
    </xf>
    <xf numFmtId="164" fontId="11" fillId="4" borderId="0" xfId="0" applyNumberFormat="1" applyFont="1" applyFill="1" applyAlignment="1">
      <alignment horizontal="left"/>
    </xf>
    <xf numFmtId="10" fontId="11" fillId="4" borderId="0" xfId="0" applyNumberFormat="1" applyFont="1" applyFill="1" applyAlignment="1">
      <alignment horizontal="left"/>
    </xf>
    <xf numFmtId="0" fontId="11" fillId="4" borderId="0" xfId="0" applyFont="1" applyFill="1"/>
    <xf numFmtId="0" fontId="11" fillId="5" borderId="0" xfId="0" applyFont="1" applyFill="1" applyAlignment="1">
      <alignment horizontal="left"/>
    </xf>
    <xf numFmtId="164" fontId="11" fillId="5" borderId="0" xfId="0" applyNumberFormat="1" applyFont="1" applyFill="1" applyAlignment="1">
      <alignment horizontal="left"/>
    </xf>
    <xf numFmtId="10" fontId="11" fillId="5" borderId="0" xfId="0" applyNumberFormat="1" applyFont="1" applyFill="1" applyAlignment="1">
      <alignment horizontal="left"/>
    </xf>
    <xf numFmtId="0" fontId="11" fillId="5" borderId="0" xfId="0" applyFont="1" applyFill="1"/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"/>
  <sheetViews>
    <sheetView workbookViewId="0">
      <pane ySplit="2" topLeftCell="A3" activePane="bottomLeft" state="frozen"/>
      <selection pane="bottomLeft" activeCell="G31" sqref="G31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27" t="s">
        <v>0</v>
      </c>
      <c r="E1" s="28"/>
      <c r="F1" s="28"/>
    </row>
    <row r="2" spans="1:19" x14ac:dyDescent="0.25">
      <c r="A2" s="29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H11" s="6" t="s">
        <v>16</v>
      </c>
    </row>
    <row r="13" spans="1:19" x14ac:dyDescent="0.25">
      <c r="A13" s="29" t="s">
        <v>17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</row>
    <row r="14" spans="1:19" x14ac:dyDescent="0.25">
      <c r="D14" s="7" t="s">
        <v>18</v>
      </c>
      <c r="E14" s="7" t="s">
        <v>19</v>
      </c>
    </row>
    <row r="15" spans="1:19" x14ac:dyDescent="0.25">
      <c r="C15" s="2" t="s">
        <v>20</v>
      </c>
      <c r="D15" s="1" t="s">
        <v>21</v>
      </c>
      <c r="E15" s="1" t="s">
        <v>21</v>
      </c>
    </row>
    <row r="16" spans="1:19" x14ac:dyDescent="0.25">
      <c r="C16" s="2" t="s">
        <v>22</v>
      </c>
      <c r="D16" s="1" t="s">
        <v>21</v>
      </c>
      <c r="E16" s="1" t="s">
        <v>21</v>
      </c>
    </row>
    <row r="17" spans="3:9" x14ac:dyDescent="0.25">
      <c r="C17" s="2" t="s">
        <v>23</v>
      </c>
      <c r="D17" s="1" t="s">
        <v>21</v>
      </c>
      <c r="E17" s="1" t="s">
        <v>21</v>
      </c>
    </row>
    <row r="18" spans="3:9" x14ac:dyDescent="0.25">
      <c r="C18" s="2" t="s">
        <v>24</v>
      </c>
      <c r="D18" s="1" t="s">
        <v>21</v>
      </c>
      <c r="E18" s="1" t="s">
        <v>21</v>
      </c>
    </row>
    <row r="19" spans="3:9" x14ac:dyDescent="0.25">
      <c r="C19" s="2" t="s">
        <v>25</v>
      </c>
      <c r="D19" s="1" t="s">
        <v>26</v>
      </c>
      <c r="E19" s="1" t="s">
        <v>27</v>
      </c>
    </row>
    <row r="20" spans="3:9" x14ac:dyDescent="0.25">
      <c r="C20" s="2" t="s">
        <v>28</v>
      </c>
      <c r="D20" s="1" t="s">
        <v>21</v>
      </c>
      <c r="E20" s="1" t="s">
        <v>21</v>
      </c>
    </row>
    <row r="21" spans="3:9" x14ac:dyDescent="0.25">
      <c r="C21" s="2" t="s">
        <v>29</v>
      </c>
      <c r="D21" s="1" t="s">
        <v>30</v>
      </c>
      <c r="E21" s="1" t="s">
        <v>31</v>
      </c>
    </row>
    <row r="22" spans="3:9" x14ac:dyDescent="0.25">
      <c r="C22" s="2" t="s">
        <v>32</v>
      </c>
      <c r="D22" s="1" t="s">
        <v>21</v>
      </c>
      <c r="E22" s="1" t="s">
        <v>21</v>
      </c>
    </row>
    <row r="23" spans="3:9" x14ac:dyDescent="0.25">
      <c r="C23" s="2" t="s">
        <v>33</v>
      </c>
      <c r="D23" s="1" t="s">
        <v>34</v>
      </c>
      <c r="E23" s="1" t="s">
        <v>35</v>
      </c>
    </row>
    <row r="24" spans="3:9" x14ac:dyDescent="0.25">
      <c r="C24" s="2" t="s">
        <v>36</v>
      </c>
      <c r="D24" s="1" t="s">
        <v>21</v>
      </c>
      <c r="E24" s="1" t="s">
        <v>21</v>
      </c>
    </row>
    <row r="25" spans="3:9" x14ac:dyDescent="0.25">
      <c r="C25" s="2" t="s">
        <v>37</v>
      </c>
      <c r="D25" s="1" t="s">
        <v>21</v>
      </c>
      <c r="E25" s="1" t="s">
        <v>21</v>
      </c>
    </row>
    <row r="26" spans="3:9" x14ac:dyDescent="0.25">
      <c r="C26" s="4" t="s">
        <v>38</v>
      </c>
      <c r="D26" s="3" t="s">
        <v>11</v>
      </c>
      <c r="E26" s="3" t="s">
        <v>13</v>
      </c>
    </row>
    <row r="30" spans="3:9" x14ac:dyDescent="0.25">
      <c r="C30" s="2" t="s">
        <v>2</v>
      </c>
      <c r="E30" t="s">
        <v>3</v>
      </c>
      <c r="G30" s="2" t="s">
        <v>4</v>
      </c>
      <c r="I30" t="s">
        <v>5</v>
      </c>
    </row>
    <row r="32" spans="3:9" x14ac:dyDescent="0.25">
      <c r="C32" s="2" t="s">
        <v>6</v>
      </c>
      <c r="E32" t="s">
        <v>180</v>
      </c>
      <c r="G32" s="2" t="s">
        <v>8</v>
      </c>
      <c r="I32" t="s">
        <v>9</v>
      </c>
    </row>
    <row r="34" spans="1:19" x14ac:dyDescent="0.25">
      <c r="F34" s="5" t="s">
        <v>10</v>
      </c>
      <c r="G34" s="5" t="s">
        <v>428</v>
      </c>
    </row>
    <row r="35" spans="1:19" x14ac:dyDescent="0.25">
      <c r="F35" s="5" t="s">
        <v>12</v>
      </c>
      <c r="G35" s="5" t="s">
        <v>429</v>
      </c>
    </row>
    <row r="36" spans="1:19" x14ac:dyDescent="0.25">
      <c r="F36" s="5" t="s">
        <v>14</v>
      </c>
      <c r="G36" s="5" t="s">
        <v>430</v>
      </c>
    </row>
    <row r="37" spans="1:19" x14ac:dyDescent="0.25">
      <c r="H37" s="1" t="s">
        <v>16</v>
      </c>
    </row>
    <row r="39" spans="1:19" x14ac:dyDescent="0.25">
      <c r="A39" s="29" t="s">
        <v>17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</row>
    <row r="40" spans="1:19" x14ac:dyDescent="0.25">
      <c r="D40" s="13" t="s">
        <v>18</v>
      </c>
      <c r="E40" s="13" t="s">
        <v>19</v>
      </c>
    </row>
    <row r="41" spans="1:19" x14ac:dyDescent="0.25">
      <c r="C41" s="2" t="s">
        <v>20</v>
      </c>
      <c r="D41" s="1" t="s">
        <v>21</v>
      </c>
      <c r="E41" s="1" t="s">
        <v>21</v>
      </c>
    </row>
    <row r="42" spans="1:19" x14ac:dyDescent="0.25">
      <c r="C42" s="2" t="s">
        <v>22</v>
      </c>
      <c r="D42" s="1" t="s">
        <v>21</v>
      </c>
      <c r="E42" s="1" t="s">
        <v>21</v>
      </c>
    </row>
    <row r="43" spans="1:19" x14ac:dyDescent="0.25">
      <c r="C43" s="2" t="s">
        <v>23</v>
      </c>
      <c r="D43" s="1" t="s">
        <v>21</v>
      </c>
      <c r="E43" s="1" t="s">
        <v>21</v>
      </c>
    </row>
    <row r="44" spans="1:19" x14ac:dyDescent="0.25">
      <c r="C44" s="2" t="s">
        <v>24</v>
      </c>
      <c r="D44" s="1" t="s">
        <v>21</v>
      </c>
      <c r="E44" s="1" t="s">
        <v>21</v>
      </c>
    </row>
    <row r="45" spans="1:19" x14ac:dyDescent="0.25">
      <c r="C45" s="2" t="s">
        <v>25</v>
      </c>
      <c r="D45" s="1" t="s">
        <v>21</v>
      </c>
      <c r="E45" s="1" t="s">
        <v>431</v>
      </c>
    </row>
    <row r="46" spans="1:19" x14ac:dyDescent="0.25">
      <c r="C46" s="2" t="s">
        <v>28</v>
      </c>
      <c r="D46" s="1" t="s">
        <v>21</v>
      </c>
      <c r="E46" s="1" t="s">
        <v>21</v>
      </c>
    </row>
    <row r="47" spans="1:19" x14ac:dyDescent="0.25">
      <c r="C47" s="2" t="s">
        <v>29</v>
      </c>
      <c r="D47" s="1" t="s">
        <v>432</v>
      </c>
      <c r="E47" s="1" t="s">
        <v>433</v>
      </c>
    </row>
    <row r="48" spans="1:19" x14ac:dyDescent="0.25">
      <c r="C48" s="2" t="s">
        <v>32</v>
      </c>
      <c r="D48" s="1" t="s">
        <v>21</v>
      </c>
      <c r="E48" s="1" t="s">
        <v>21</v>
      </c>
    </row>
    <row r="49" spans="3:5" x14ac:dyDescent="0.25">
      <c r="C49" s="2" t="s">
        <v>33</v>
      </c>
      <c r="D49" s="1" t="s">
        <v>434</v>
      </c>
      <c r="E49" s="1" t="s">
        <v>435</v>
      </c>
    </row>
    <row r="50" spans="3:5" x14ac:dyDescent="0.25">
      <c r="C50" s="2" t="s">
        <v>36</v>
      </c>
      <c r="D50" s="1" t="s">
        <v>21</v>
      </c>
      <c r="E50" s="1" t="s">
        <v>21</v>
      </c>
    </row>
    <row r="51" spans="3:5" ht="15.75" thickBot="1" x14ac:dyDescent="0.3">
      <c r="C51" s="2" t="s">
        <v>37</v>
      </c>
      <c r="D51" s="1" t="s">
        <v>21</v>
      </c>
      <c r="E51" s="1" t="s">
        <v>21</v>
      </c>
    </row>
    <row r="52" spans="3:5" x14ac:dyDescent="0.25">
      <c r="C52" s="4" t="s">
        <v>38</v>
      </c>
      <c r="D52" s="3" t="s">
        <v>428</v>
      </c>
      <c r="E52" s="3" t="s">
        <v>429</v>
      </c>
    </row>
  </sheetData>
  <mergeCells count="4">
    <mergeCell ref="D1:F1"/>
    <mergeCell ref="A2:S2"/>
    <mergeCell ref="A13:S13"/>
    <mergeCell ref="A39:S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19"/>
  <sheetViews>
    <sheetView workbookViewId="0">
      <pane ySplit="2" topLeftCell="A3" activePane="bottomLeft" state="frozen"/>
      <selection pane="bottomLeft" sqref="A1:XFD1048576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30" t="s">
        <v>39</v>
      </c>
      <c r="E1" s="28"/>
      <c r="F1" s="28"/>
    </row>
    <row r="2" spans="1:21" x14ac:dyDescent="0.25">
      <c r="A2" s="8" t="s">
        <v>40</v>
      </c>
      <c r="B2" s="8" t="s">
        <v>41</v>
      </c>
      <c r="C2" s="8" t="s">
        <v>42</v>
      </c>
      <c r="D2" s="8" t="s">
        <v>43</v>
      </c>
      <c r="E2" s="8" t="s">
        <v>44</v>
      </c>
      <c r="F2" s="8" t="s">
        <v>45</v>
      </c>
      <c r="G2" s="8" t="s">
        <v>46</v>
      </c>
      <c r="H2" s="8" t="s">
        <v>47</v>
      </c>
      <c r="I2" s="8" t="s">
        <v>48</v>
      </c>
      <c r="J2" s="8" t="s">
        <v>49</v>
      </c>
      <c r="K2" s="8" t="s">
        <v>50</v>
      </c>
      <c r="L2" s="8" t="s">
        <v>51</v>
      </c>
      <c r="M2" s="8" t="s">
        <v>52</v>
      </c>
      <c r="N2" s="8" t="s">
        <v>53</v>
      </c>
      <c r="O2" s="8" t="s">
        <v>54</v>
      </c>
      <c r="P2" s="8" t="s">
        <v>55</v>
      </c>
      <c r="Q2" s="8" t="s">
        <v>56</v>
      </c>
      <c r="R2" s="8" t="s">
        <v>57</v>
      </c>
      <c r="S2" s="8" t="s">
        <v>58</v>
      </c>
      <c r="T2" s="8" t="s">
        <v>59</v>
      </c>
      <c r="U2" s="8" t="s">
        <v>60</v>
      </c>
    </row>
    <row r="3" spans="1:21" x14ac:dyDescent="0.25">
      <c r="A3" s="9" t="s">
        <v>18</v>
      </c>
      <c r="B3" s="9" t="s">
        <v>61</v>
      </c>
      <c r="C3" s="9" t="s">
        <v>62</v>
      </c>
      <c r="D3" s="9" t="s">
        <v>63</v>
      </c>
      <c r="E3" s="9" t="s">
        <v>64</v>
      </c>
      <c r="F3" s="9" t="s">
        <v>65</v>
      </c>
      <c r="G3" s="9" t="s">
        <v>66</v>
      </c>
      <c r="H3" s="9" t="s">
        <v>67</v>
      </c>
      <c r="I3" s="9" t="s">
        <v>68</v>
      </c>
      <c r="J3" s="9" t="s">
        <v>69</v>
      </c>
      <c r="K3" s="9" t="s">
        <v>70</v>
      </c>
      <c r="L3" s="9" t="s">
        <v>71</v>
      </c>
      <c r="M3" s="11">
        <v>181.68</v>
      </c>
      <c r="N3" s="9" t="s">
        <v>72</v>
      </c>
      <c r="O3" s="9" t="s">
        <v>73</v>
      </c>
      <c r="P3" s="9" t="s">
        <v>74</v>
      </c>
      <c r="Q3" s="11">
        <v>2.73</v>
      </c>
      <c r="R3" s="9" t="s">
        <v>75</v>
      </c>
      <c r="S3" s="9" t="s">
        <v>0</v>
      </c>
      <c r="T3" s="9" t="s">
        <v>0</v>
      </c>
      <c r="U3" s="9" t="s">
        <v>76</v>
      </c>
    </row>
    <row r="4" spans="1:21" x14ac:dyDescent="0.25">
      <c r="A4" s="10" t="s">
        <v>19</v>
      </c>
      <c r="B4" s="10" t="s">
        <v>61</v>
      </c>
      <c r="C4" s="10" t="s">
        <v>77</v>
      </c>
      <c r="D4" s="10" t="s">
        <v>78</v>
      </c>
      <c r="E4" s="10" t="s">
        <v>79</v>
      </c>
      <c r="F4" s="10" t="s">
        <v>80</v>
      </c>
      <c r="G4" s="10" t="s">
        <v>81</v>
      </c>
      <c r="H4" s="10" t="s">
        <v>82</v>
      </c>
      <c r="I4" s="10" t="s">
        <v>68</v>
      </c>
      <c r="J4" s="10" t="s">
        <v>83</v>
      </c>
      <c r="K4" s="10" t="s">
        <v>82</v>
      </c>
      <c r="L4" s="10" t="s">
        <v>84</v>
      </c>
      <c r="M4" s="12">
        <v>36.770000000000003</v>
      </c>
      <c r="N4" s="10" t="s">
        <v>72</v>
      </c>
      <c r="O4" s="10" t="s">
        <v>85</v>
      </c>
      <c r="P4" s="10" t="s">
        <v>86</v>
      </c>
      <c r="Q4" s="12">
        <v>34.93</v>
      </c>
      <c r="R4" s="10" t="s">
        <v>75</v>
      </c>
      <c r="S4" s="10" t="s">
        <v>0</v>
      </c>
      <c r="T4" s="10" t="s">
        <v>0</v>
      </c>
      <c r="U4" s="10" t="s">
        <v>87</v>
      </c>
    </row>
    <row r="5" spans="1:21" x14ac:dyDescent="0.25">
      <c r="A5" s="9" t="s">
        <v>19</v>
      </c>
      <c r="B5" s="9" t="s">
        <v>61</v>
      </c>
      <c r="C5" s="9" t="s">
        <v>88</v>
      </c>
      <c r="D5" s="9" t="s">
        <v>89</v>
      </c>
      <c r="E5" s="9" t="s">
        <v>90</v>
      </c>
      <c r="F5" s="9" t="s">
        <v>91</v>
      </c>
      <c r="G5" s="9" t="s">
        <v>92</v>
      </c>
      <c r="H5" s="9" t="s">
        <v>71</v>
      </c>
      <c r="I5" s="9" t="s">
        <v>93</v>
      </c>
      <c r="J5" s="9" t="s">
        <v>94</v>
      </c>
      <c r="K5" s="9" t="s">
        <v>95</v>
      </c>
      <c r="L5" s="9" t="s">
        <v>95</v>
      </c>
      <c r="M5" s="11">
        <v>38.549999999999997</v>
      </c>
      <c r="N5" s="9" t="s">
        <v>72</v>
      </c>
      <c r="O5" s="9" t="s">
        <v>96</v>
      </c>
      <c r="P5" s="9" t="s">
        <v>86</v>
      </c>
      <c r="Q5" s="11">
        <v>38.549999999999997</v>
      </c>
      <c r="R5" s="9" t="s">
        <v>75</v>
      </c>
      <c r="S5" s="9" t="s">
        <v>0</v>
      </c>
      <c r="T5" s="9" t="s">
        <v>0</v>
      </c>
      <c r="U5" s="9" t="s">
        <v>97</v>
      </c>
    </row>
    <row r="6" spans="1:21" x14ac:dyDescent="0.25">
      <c r="A6" s="10" t="s">
        <v>19</v>
      </c>
      <c r="B6" s="10" t="s">
        <v>61</v>
      </c>
      <c r="C6" s="10" t="s">
        <v>77</v>
      </c>
      <c r="D6" s="10" t="s">
        <v>78</v>
      </c>
      <c r="E6" s="10" t="s">
        <v>98</v>
      </c>
      <c r="F6" s="10" t="s">
        <v>99</v>
      </c>
      <c r="G6" s="10" t="s">
        <v>81</v>
      </c>
      <c r="H6" s="10" t="s">
        <v>100</v>
      </c>
      <c r="I6" s="10" t="s">
        <v>68</v>
      </c>
      <c r="J6" s="10" t="s">
        <v>83</v>
      </c>
      <c r="K6" s="10" t="s">
        <v>101</v>
      </c>
      <c r="L6" s="10" t="s">
        <v>102</v>
      </c>
      <c r="M6" s="12">
        <v>17.72</v>
      </c>
      <c r="N6" s="10" t="s">
        <v>72</v>
      </c>
      <c r="O6" s="10" t="s">
        <v>85</v>
      </c>
      <c r="P6" s="10" t="s">
        <v>86</v>
      </c>
      <c r="Q6" s="12">
        <v>16.829999999999998</v>
      </c>
      <c r="R6" s="10" t="s">
        <v>75</v>
      </c>
      <c r="S6" s="10" t="s">
        <v>0</v>
      </c>
      <c r="T6" s="10" t="s">
        <v>0</v>
      </c>
      <c r="U6" s="10" t="s">
        <v>87</v>
      </c>
    </row>
    <row r="7" spans="1:21" x14ac:dyDescent="0.25">
      <c r="A7" s="9" t="s">
        <v>19</v>
      </c>
      <c r="B7" s="9" t="s">
        <v>61</v>
      </c>
      <c r="C7" s="9" t="s">
        <v>103</v>
      </c>
      <c r="D7" s="9" t="s">
        <v>104</v>
      </c>
      <c r="E7" s="9" t="s">
        <v>105</v>
      </c>
      <c r="F7" s="9" t="s">
        <v>106</v>
      </c>
      <c r="G7" s="9" t="s">
        <v>81</v>
      </c>
      <c r="H7" s="9" t="s">
        <v>107</v>
      </c>
      <c r="I7" s="9" t="s">
        <v>108</v>
      </c>
      <c r="J7" s="9" t="s">
        <v>109</v>
      </c>
      <c r="K7" s="9" t="s">
        <v>110</v>
      </c>
      <c r="L7" s="9" t="s">
        <v>102</v>
      </c>
      <c r="M7" s="11">
        <v>7.82</v>
      </c>
      <c r="N7" s="9" t="s">
        <v>72</v>
      </c>
      <c r="O7" s="9" t="s">
        <v>111</v>
      </c>
      <c r="P7" s="9" t="s">
        <v>86</v>
      </c>
      <c r="Q7" s="11">
        <v>4.8899999999999997</v>
      </c>
      <c r="R7" s="9" t="s">
        <v>75</v>
      </c>
      <c r="S7" s="9" t="s">
        <v>0</v>
      </c>
      <c r="T7" s="9" t="s">
        <v>0</v>
      </c>
      <c r="U7" s="9" t="s">
        <v>112</v>
      </c>
    </row>
    <row r="8" spans="1:21" x14ac:dyDescent="0.25">
      <c r="A8" s="10" t="s">
        <v>19</v>
      </c>
      <c r="B8" s="10" t="s">
        <v>61</v>
      </c>
      <c r="C8" s="10" t="s">
        <v>103</v>
      </c>
      <c r="D8" s="10" t="s">
        <v>104</v>
      </c>
      <c r="E8" s="10" t="s">
        <v>105</v>
      </c>
      <c r="F8" s="10" t="s">
        <v>106</v>
      </c>
      <c r="G8" s="10" t="s">
        <v>81</v>
      </c>
      <c r="H8" s="10" t="s">
        <v>107</v>
      </c>
      <c r="I8" s="10" t="s">
        <v>108</v>
      </c>
      <c r="J8" s="10" t="s">
        <v>109</v>
      </c>
      <c r="K8" s="10" t="s">
        <v>110</v>
      </c>
      <c r="L8" s="10" t="s">
        <v>102</v>
      </c>
      <c r="M8" s="12">
        <v>6.04</v>
      </c>
      <c r="N8" s="10" t="s">
        <v>72</v>
      </c>
      <c r="O8" s="10" t="s">
        <v>111</v>
      </c>
      <c r="P8" s="10" t="s">
        <v>86</v>
      </c>
      <c r="Q8" s="12">
        <v>3.78</v>
      </c>
      <c r="R8" s="10" t="s">
        <v>75</v>
      </c>
      <c r="S8" s="10" t="s">
        <v>0</v>
      </c>
      <c r="T8" s="10" t="s">
        <v>0</v>
      </c>
      <c r="U8" s="10" t="s">
        <v>112</v>
      </c>
    </row>
    <row r="9" spans="1:21" x14ac:dyDescent="0.25">
      <c r="A9" s="9" t="s">
        <v>19</v>
      </c>
      <c r="B9" s="9" t="s">
        <v>61</v>
      </c>
      <c r="C9" s="9" t="s">
        <v>113</v>
      </c>
      <c r="D9" s="9" t="s">
        <v>114</v>
      </c>
      <c r="E9" s="9" t="s">
        <v>115</v>
      </c>
      <c r="F9" s="9" t="s">
        <v>116</v>
      </c>
      <c r="G9" s="9" t="s">
        <v>66</v>
      </c>
      <c r="H9" s="9" t="s">
        <v>117</v>
      </c>
      <c r="I9" s="9" t="s">
        <v>68</v>
      </c>
      <c r="J9" s="9" t="s">
        <v>118</v>
      </c>
      <c r="K9" s="9" t="s">
        <v>119</v>
      </c>
      <c r="L9" s="9" t="s">
        <v>120</v>
      </c>
      <c r="M9" s="11">
        <v>32.130000000000003</v>
      </c>
      <c r="N9" s="9" t="s">
        <v>72</v>
      </c>
      <c r="O9" s="9" t="s">
        <v>121</v>
      </c>
      <c r="P9" s="9" t="s">
        <v>86</v>
      </c>
      <c r="Q9" s="11">
        <v>1.1200000000000001</v>
      </c>
      <c r="R9" s="9" t="s">
        <v>75</v>
      </c>
      <c r="S9" s="9" t="s">
        <v>0</v>
      </c>
      <c r="T9" s="9" t="s">
        <v>0</v>
      </c>
      <c r="U9" s="9" t="s">
        <v>122</v>
      </c>
    </row>
    <row r="10" spans="1:21" x14ac:dyDescent="0.25">
      <c r="A10" s="10" t="s">
        <v>19</v>
      </c>
      <c r="B10" s="10" t="s">
        <v>61</v>
      </c>
      <c r="C10" s="10" t="s">
        <v>123</v>
      </c>
      <c r="D10" s="10" t="s">
        <v>124</v>
      </c>
      <c r="E10" s="10" t="s">
        <v>125</v>
      </c>
      <c r="F10" s="10" t="s">
        <v>126</v>
      </c>
      <c r="G10" s="10" t="s">
        <v>66</v>
      </c>
      <c r="H10" s="10" t="s">
        <v>127</v>
      </c>
      <c r="I10" s="10" t="s">
        <v>128</v>
      </c>
      <c r="J10" s="10" t="s">
        <v>129</v>
      </c>
      <c r="K10" s="10" t="s">
        <v>130</v>
      </c>
      <c r="L10" s="10" t="s">
        <v>102</v>
      </c>
      <c r="M10" s="12">
        <v>129.49</v>
      </c>
      <c r="N10" s="10" t="s">
        <v>72</v>
      </c>
      <c r="O10" s="10" t="s">
        <v>131</v>
      </c>
      <c r="P10" s="10" t="s">
        <v>86</v>
      </c>
      <c r="Q10" s="12">
        <v>2.27</v>
      </c>
      <c r="R10" s="10" t="s">
        <v>75</v>
      </c>
      <c r="S10" s="10" t="s">
        <v>0</v>
      </c>
      <c r="T10" s="10" t="s">
        <v>0</v>
      </c>
      <c r="U10" s="10" t="s">
        <v>132</v>
      </c>
    </row>
    <row r="11" spans="1:21" x14ac:dyDescent="0.25">
      <c r="A11" s="9" t="s">
        <v>19</v>
      </c>
      <c r="B11" s="9" t="s">
        <v>61</v>
      </c>
      <c r="C11" s="9" t="s">
        <v>133</v>
      </c>
      <c r="D11" s="9" t="s">
        <v>134</v>
      </c>
      <c r="E11" s="9" t="s">
        <v>135</v>
      </c>
      <c r="F11" s="9" t="s">
        <v>136</v>
      </c>
      <c r="G11" s="9" t="s">
        <v>81</v>
      </c>
      <c r="H11" s="9" t="s">
        <v>137</v>
      </c>
      <c r="I11" s="9" t="s">
        <v>68</v>
      </c>
      <c r="J11" s="9" t="s">
        <v>94</v>
      </c>
      <c r="K11" s="9" t="s">
        <v>138</v>
      </c>
      <c r="L11" s="9" t="s">
        <v>7</v>
      </c>
      <c r="M11" s="11">
        <v>95.41</v>
      </c>
      <c r="N11" s="9" t="s">
        <v>72</v>
      </c>
      <c r="O11" s="9" t="s">
        <v>85</v>
      </c>
      <c r="P11" s="9" t="s">
        <v>86</v>
      </c>
      <c r="Q11" s="11">
        <v>90.64</v>
      </c>
      <c r="R11" s="9" t="s">
        <v>75</v>
      </c>
      <c r="S11" s="9" t="s">
        <v>0</v>
      </c>
      <c r="T11" s="9" t="s">
        <v>0</v>
      </c>
      <c r="U11" s="9" t="s">
        <v>97</v>
      </c>
    </row>
    <row r="12" spans="1:21" x14ac:dyDescent="0.25">
      <c r="A12" s="10" t="s">
        <v>19</v>
      </c>
      <c r="B12" s="10" t="s">
        <v>61</v>
      </c>
      <c r="C12" s="10" t="s">
        <v>77</v>
      </c>
      <c r="D12" s="10" t="s">
        <v>78</v>
      </c>
      <c r="E12" s="10" t="s">
        <v>139</v>
      </c>
      <c r="F12" s="10" t="s">
        <v>140</v>
      </c>
      <c r="G12" s="10" t="s">
        <v>81</v>
      </c>
      <c r="H12" s="10" t="s">
        <v>141</v>
      </c>
      <c r="I12" s="10" t="s">
        <v>68</v>
      </c>
      <c r="J12" s="10" t="s">
        <v>83</v>
      </c>
      <c r="K12" s="10" t="s">
        <v>141</v>
      </c>
      <c r="L12" s="10" t="s">
        <v>7</v>
      </c>
      <c r="M12" s="12">
        <v>64.989999999999995</v>
      </c>
      <c r="N12" s="10" t="s">
        <v>72</v>
      </c>
      <c r="O12" s="10" t="s">
        <v>85</v>
      </c>
      <c r="P12" s="10" t="s">
        <v>86</v>
      </c>
      <c r="Q12" s="12">
        <v>61.74</v>
      </c>
      <c r="R12" s="10" t="s">
        <v>75</v>
      </c>
      <c r="S12" s="10" t="s">
        <v>0</v>
      </c>
      <c r="T12" s="10" t="s">
        <v>0</v>
      </c>
      <c r="U12" s="10" t="s">
        <v>87</v>
      </c>
    </row>
    <row r="13" spans="1:21" x14ac:dyDescent="0.25">
      <c r="A13" s="9" t="s">
        <v>19</v>
      </c>
      <c r="B13" s="9" t="s">
        <v>61</v>
      </c>
      <c r="C13" s="9" t="s">
        <v>133</v>
      </c>
      <c r="D13" s="9" t="s">
        <v>134</v>
      </c>
      <c r="E13" s="9" t="s">
        <v>135</v>
      </c>
      <c r="F13" s="9" t="s">
        <v>142</v>
      </c>
      <c r="G13" s="9" t="s">
        <v>81</v>
      </c>
      <c r="H13" s="9" t="s">
        <v>137</v>
      </c>
      <c r="I13" s="9" t="s">
        <v>68</v>
      </c>
      <c r="J13" s="9" t="s">
        <v>109</v>
      </c>
      <c r="K13" s="9" t="s">
        <v>138</v>
      </c>
      <c r="L13" s="9" t="s">
        <v>7</v>
      </c>
      <c r="M13" s="11">
        <v>20.63</v>
      </c>
      <c r="N13" s="9" t="s">
        <v>72</v>
      </c>
      <c r="O13" s="9" t="s">
        <v>143</v>
      </c>
      <c r="P13" s="9" t="s">
        <v>86</v>
      </c>
      <c r="Q13" s="11">
        <v>12.38</v>
      </c>
      <c r="R13" s="9" t="s">
        <v>75</v>
      </c>
      <c r="S13" s="9" t="s">
        <v>0</v>
      </c>
      <c r="T13" s="9" t="s">
        <v>0</v>
      </c>
      <c r="U13" s="9" t="s">
        <v>112</v>
      </c>
    </row>
    <row r="14" spans="1:21" x14ac:dyDescent="0.25">
      <c r="A14" s="10" t="s">
        <v>19</v>
      </c>
      <c r="B14" s="10" t="s">
        <v>61</v>
      </c>
      <c r="C14" s="10" t="s">
        <v>133</v>
      </c>
      <c r="D14" s="10" t="s">
        <v>134</v>
      </c>
      <c r="E14" s="10" t="s">
        <v>135</v>
      </c>
      <c r="F14" s="10" t="s">
        <v>142</v>
      </c>
      <c r="G14" s="10" t="s">
        <v>81</v>
      </c>
      <c r="H14" s="10" t="s">
        <v>137</v>
      </c>
      <c r="I14" s="10" t="s">
        <v>68</v>
      </c>
      <c r="J14" s="10" t="s">
        <v>109</v>
      </c>
      <c r="K14" s="10" t="s">
        <v>138</v>
      </c>
      <c r="L14" s="10" t="s">
        <v>7</v>
      </c>
      <c r="M14" s="12">
        <v>34.83</v>
      </c>
      <c r="N14" s="10" t="s">
        <v>72</v>
      </c>
      <c r="O14" s="10" t="s">
        <v>143</v>
      </c>
      <c r="P14" s="10" t="s">
        <v>86</v>
      </c>
      <c r="Q14" s="12">
        <v>20.9</v>
      </c>
      <c r="R14" s="10" t="s">
        <v>75</v>
      </c>
      <c r="S14" s="10" t="s">
        <v>0</v>
      </c>
      <c r="T14" s="10" t="s">
        <v>0</v>
      </c>
      <c r="U14" s="10" t="s">
        <v>112</v>
      </c>
    </row>
    <row r="15" spans="1:21" x14ac:dyDescent="0.25">
      <c r="A15" s="9" t="s">
        <v>19</v>
      </c>
      <c r="B15" s="9" t="s">
        <v>61</v>
      </c>
      <c r="C15" s="9" t="s">
        <v>133</v>
      </c>
      <c r="D15" s="9" t="s">
        <v>134</v>
      </c>
      <c r="E15" s="9" t="s">
        <v>135</v>
      </c>
      <c r="F15" s="9" t="s">
        <v>142</v>
      </c>
      <c r="G15" s="9" t="s">
        <v>81</v>
      </c>
      <c r="H15" s="9" t="s">
        <v>137</v>
      </c>
      <c r="I15" s="9" t="s">
        <v>68</v>
      </c>
      <c r="J15" s="9" t="s">
        <v>109</v>
      </c>
      <c r="K15" s="9" t="s">
        <v>138</v>
      </c>
      <c r="L15" s="9" t="s">
        <v>7</v>
      </c>
      <c r="M15" s="11">
        <v>23.7</v>
      </c>
      <c r="N15" s="9" t="s">
        <v>72</v>
      </c>
      <c r="O15" s="9" t="s">
        <v>143</v>
      </c>
      <c r="P15" s="9" t="s">
        <v>86</v>
      </c>
      <c r="Q15" s="11">
        <v>14.22</v>
      </c>
      <c r="R15" s="9" t="s">
        <v>75</v>
      </c>
      <c r="S15" s="9" t="s">
        <v>0</v>
      </c>
      <c r="T15" s="9" t="s">
        <v>0</v>
      </c>
      <c r="U15" s="9" t="s">
        <v>112</v>
      </c>
    </row>
    <row r="16" spans="1:21" x14ac:dyDescent="0.25">
      <c r="A16" s="10" t="s">
        <v>19</v>
      </c>
      <c r="B16" s="10" t="s">
        <v>61</v>
      </c>
      <c r="C16" s="10" t="s">
        <v>133</v>
      </c>
      <c r="D16" s="10" t="s">
        <v>134</v>
      </c>
      <c r="E16" s="10" t="s">
        <v>135</v>
      </c>
      <c r="F16" s="10" t="s">
        <v>144</v>
      </c>
      <c r="G16" s="10" t="s">
        <v>81</v>
      </c>
      <c r="H16" s="10" t="s">
        <v>137</v>
      </c>
      <c r="I16" s="10" t="s">
        <v>68</v>
      </c>
      <c r="J16" s="10" t="s">
        <v>83</v>
      </c>
      <c r="K16" s="10" t="s">
        <v>138</v>
      </c>
      <c r="L16" s="10" t="s">
        <v>7</v>
      </c>
      <c r="M16" s="12">
        <v>98.41</v>
      </c>
      <c r="N16" s="10" t="s">
        <v>72</v>
      </c>
      <c r="O16" s="10" t="s">
        <v>85</v>
      </c>
      <c r="P16" s="10" t="s">
        <v>86</v>
      </c>
      <c r="Q16" s="12">
        <v>93.49</v>
      </c>
      <c r="R16" s="10" t="s">
        <v>75</v>
      </c>
      <c r="S16" s="10" t="s">
        <v>0</v>
      </c>
      <c r="T16" s="10" t="s">
        <v>0</v>
      </c>
      <c r="U16" s="10" t="s">
        <v>87</v>
      </c>
    </row>
    <row r="17" spans="1:21" x14ac:dyDescent="0.25">
      <c r="A17" s="9" t="s">
        <v>19</v>
      </c>
      <c r="B17" s="9" t="s">
        <v>61</v>
      </c>
      <c r="C17" s="9" t="s">
        <v>77</v>
      </c>
      <c r="D17" s="9" t="s">
        <v>78</v>
      </c>
      <c r="E17" s="9" t="s">
        <v>145</v>
      </c>
      <c r="F17" s="9" t="s">
        <v>146</v>
      </c>
      <c r="G17" s="9" t="s">
        <v>81</v>
      </c>
      <c r="H17" s="9" t="s">
        <v>141</v>
      </c>
      <c r="I17" s="9" t="s">
        <v>68</v>
      </c>
      <c r="J17" s="9" t="s">
        <v>83</v>
      </c>
      <c r="K17" s="9" t="s">
        <v>141</v>
      </c>
      <c r="L17" s="9" t="s">
        <v>7</v>
      </c>
      <c r="M17" s="11">
        <v>28.27</v>
      </c>
      <c r="N17" s="9" t="s">
        <v>72</v>
      </c>
      <c r="O17" s="9" t="s">
        <v>85</v>
      </c>
      <c r="P17" s="9" t="s">
        <v>86</v>
      </c>
      <c r="Q17" s="11">
        <v>26.86</v>
      </c>
      <c r="R17" s="9" t="s">
        <v>75</v>
      </c>
      <c r="S17" s="9" t="s">
        <v>0</v>
      </c>
      <c r="T17" s="9" t="s">
        <v>0</v>
      </c>
      <c r="U17" s="9" t="s">
        <v>87</v>
      </c>
    </row>
    <row r="18" spans="1:21" x14ac:dyDescent="0.25">
      <c r="A18" s="10" t="s">
        <v>18</v>
      </c>
      <c r="B18" s="10" t="s">
        <v>61</v>
      </c>
      <c r="C18" s="10" t="s">
        <v>147</v>
      </c>
      <c r="D18" s="10" t="s">
        <v>148</v>
      </c>
      <c r="E18" s="10" t="s">
        <v>149</v>
      </c>
      <c r="F18" s="10" t="s">
        <v>150</v>
      </c>
      <c r="G18" s="10" t="s">
        <v>92</v>
      </c>
      <c r="H18" s="10" t="s">
        <v>151</v>
      </c>
      <c r="I18" s="10" t="s">
        <v>128</v>
      </c>
      <c r="J18" s="10" t="s">
        <v>69</v>
      </c>
      <c r="K18" s="10" t="s">
        <v>95</v>
      </c>
      <c r="L18" s="10" t="s">
        <v>95</v>
      </c>
      <c r="M18" s="12">
        <v>241.57</v>
      </c>
      <c r="N18" s="10" t="s">
        <v>72</v>
      </c>
      <c r="O18" s="10" t="s">
        <v>152</v>
      </c>
      <c r="P18" s="10" t="s">
        <v>86</v>
      </c>
      <c r="Q18" s="12">
        <v>3.99</v>
      </c>
      <c r="R18" s="10" t="s">
        <v>75</v>
      </c>
      <c r="S18" s="10" t="s">
        <v>0</v>
      </c>
      <c r="T18" s="10" t="s">
        <v>0</v>
      </c>
      <c r="U18" s="10" t="s">
        <v>76</v>
      </c>
    </row>
    <row r="19" spans="1:21" x14ac:dyDescent="0.25">
      <c r="A19" s="9" t="s">
        <v>19</v>
      </c>
      <c r="B19" s="9" t="s">
        <v>61</v>
      </c>
      <c r="C19" s="9" t="s">
        <v>153</v>
      </c>
      <c r="D19" s="9" t="s">
        <v>154</v>
      </c>
      <c r="E19" s="9" t="s">
        <v>155</v>
      </c>
      <c r="F19" s="9" t="s">
        <v>156</v>
      </c>
      <c r="G19" s="9" t="s">
        <v>92</v>
      </c>
      <c r="H19" s="9" t="s">
        <v>84</v>
      </c>
      <c r="I19" s="9" t="s">
        <v>128</v>
      </c>
      <c r="J19" s="9" t="s">
        <v>157</v>
      </c>
      <c r="K19" s="9" t="s">
        <v>95</v>
      </c>
      <c r="L19" s="9" t="s">
        <v>95</v>
      </c>
      <c r="M19" s="11">
        <v>3.3</v>
      </c>
      <c r="N19" s="9" t="s">
        <v>72</v>
      </c>
      <c r="O19" s="9" t="s">
        <v>158</v>
      </c>
      <c r="P19" s="9" t="s">
        <v>86</v>
      </c>
      <c r="Q19" s="11">
        <v>2.15</v>
      </c>
      <c r="R19" s="9" t="s">
        <v>75</v>
      </c>
      <c r="S19" s="9" t="s">
        <v>0</v>
      </c>
      <c r="T19" s="9" t="s">
        <v>0</v>
      </c>
      <c r="U19" s="9" t="s">
        <v>159</v>
      </c>
    </row>
    <row r="20" spans="1:21" x14ac:dyDescent="0.25">
      <c r="A20" s="10" t="s">
        <v>19</v>
      </c>
      <c r="B20" s="10" t="s">
        <v>61</v>
      </c>
      <c r="C20" s="10" t="s">
        <v>153</v>
      </c>
      <c r="D20" s="10" t="s">
        <v>154</v>
      </c>
      <c r="E20" s="10" t="s">
        <v>155</v>
      </c>
      <c r="F20" s="10" t="s">
        <v>156</v>
      </c>
      <c r="G20" s="10" t="s">
        <v>92</v>
      </c>
      <c r="H20" s="10" t="s">
        <v>84</v>
      </c>
      <c r="I20" s="10" t="s">
        <v>128</v>
      </c>
      <c r="J20" s="10" t="s">
        <v>157</v>
      </c>
      <c r="K20" s="10" t="s">
        <v>95</v>
      </c>
      <c r="L20" s="10" t="s">
        <v>95</v>
      </c>
      <c r="M20" s="12">
        <v>31.67</v>
      </c>
      <c r="N20" s="10" t="s">
        <v>72</v>
      </c>
      <c r="O20" s="10" t="s">
        <v>158</v>
      </c>
      <c r="P20" s="10" t="s">
        <v>86</v>
      </c>
      <c r="Q20" s="12">
        <v>20.59</v>
      </c>
      <c r="R20" s="10" t="s">
        <v>75</v>
      </c>
      <c r="S20" s="10" t="s">
        <v>0</v>
      </c>
      <c r="T20" s="10" t="s">
        <v>0</v>
      </c>
      <c r="U20" s="10" t="s">
        <v>159</v>
      </c>
    </row>
    <row r="21" spans="1:21" x14ac:dyDescent="0.25">
      <c r="A21" s="9" t="s">
        <v>19</v>
      </c>
      <c r="B21" s="9" t="s">
        <v>61</v>
      </c>
      <c r="C21" s="9" t="s">
        <v>153</v>
      </c>
      <c r="D21" s="9" t="s">
        <v>154</v>
      </c>
      <c r="E21" s="9" t="s">
        <v>155</v>
      </c>
      <c r="F21" s="9" t="s">
        <v>156</v>
      </c>
      <c r="G21" s="9" t="s">
        <v>92</v>
      </c>
      <c r="H21" s="9" t="s">
        <v>84</v>
      </c>
      <c r="I21" s="9" t="s">
        <v>128</v>
      </c>
      <c r="J21" s="9" t="s">
        <v>157</v>
      </c>
      <c r="K21" s="9" t="s">
        <v>95</v>
      </c>
      <c r="L21" s="9" t="s">
        <v>95</v>
      </c>
      <c r="M21" s="11">
        <v>20.5</v>
      </c>
      <c r="N21" s="9" t="s">
        <v>72</v>
      </c>
      <c r="O21" s="9" t="s">
        <v>158</v>
      </c>
      <c r="P21" s="9" t="s">
        <v>86</v>
      </c>
      <c r="Q21" s="11">
        <v>13.33</v>
      </c>
      <c r="R21" s="9" t="s">
        <v>75</v>
      </c>
      <c r="S21" s="9" t="s">
        <v>0</v>
      </c>
      <c r="T21" s="9" t="s">
        <v>0</v>
      </c>
      <c r="U21" s="9" t="s">
        <v>159</v>
      </c>
    </row>
    <row r="22" spans="1:21" x14ac:dyDescent="0.25">
      <c r="A22" s="10" t="s">
        <v>19</v>
      </c>
      <c r="B22" s="10" t="s">
        <v>61</v>
      </c>
      <c r="C22" s="10" t="s">
        <v>153</v>
      </c>
      <c r="D22" s="10" t="s">
        <v>154</v>
      </c>
      <c r="E22" s="10" t="s">
        <v>155</v>
      </c>
      <c r="F22" s="10" t="s">
        <v>156</v>
      </c>
      <c r="G22" s="10" t="s">
        <v>92</v>
      </c>
      <c r="H22" s="10" t="s">
        <v>84</v>
      </c>
      <c r="I22" s="10" t="s">
        <v>128</v>
      </c>
      <c r="J22" s="10" t="s">
        <v>157</v>
      </c>
      <c r="K22" s="10" t="s">
        <v>95</v>
      </c>
      <c r="L22" s="10" t="s">
        <v>95</v>
      </c>
      <c r="M22" s="12">
        <v>33.729999999999997</v>
      </c>
      <c r="N22" s="10" t="s">
        <v>72</v>
      </c>
      <c r="O22" s="10" t="s">
        <v>158</v>
      </c>
      <c r="P22" s="10" t="s">
        <v>86</v>
      </c>
      <c r="Q22" s="12">
        <v>21.92</v>
      </c>
      <c r="R22" s="10" t="s">
        <v>75</v>
      </c>
      <c r="S22" s="10" t="s">
        <v>0</v>
      </c>
      <c r="T22" s="10" t="s">
        <v>0</v>
      </c>
      <c r="U22" s="10" t="s">
        <v>159</v>
      </c>
    </row>
    <row r="23" spans="1:21" x14ac:dyDescent="0.25">
      <c r="A23" s="9" t="s">
        <v>19</v>
      </c>
      <c r="B23" s="9" t="s">
        <v>61</v>
      </c>
      <c r="C23" s="9" t="s">
        <v>77</v>
      </c>
      <c r="D23" s="9" t="s">
        <v>78</v>
      </c>
      <c r="E23" s="9" t="s">
        <v>160</v>
      </c>
      <c r="F23" s="9" t="s">
        <v>161</v>
      </c>
      <c r="G23" s="9" t="s">
        <v>66</v>
      </c>
      <c r="H23" s="9" t="s">
        <v>162</v>
      </c>
      <c r="I23" s="9" t="s">
        <v>68</v>
      </c>
      <c r="J23" s="9" t="s">
        <v>118</v>
      </c>
      <c r="K23" s="9" t="s">
        <v>163</v>
      </c>
      <c r="L23" s="9" t="s">
        <v>102</v>
      </c>
      <c r="M23" s="11">
        <v>64.260000000000005</v>
      </c>
      <c r="N23" s="9" t="s">
        <v>72</v>
      </c>
      <c r="O23" s="9" t="s">
        <v>164</v>
      </c>
      <c r="P23" s="9" t="s">
        <v>86</v>
      </c>
      <c r="Q23" s="11">
        <v>2.41</v>
      </c>
      <c r="R23" s="9" t="s">
        <v>75</v>
      </c>
      <c r="S23" s="9" t="s">
        <v>0</v>
      </c>
      <c r="T23" s="9" t="s">
        <v>0</v>
      </c>
      <c r="U23" s="9" t="s">
        <v>122</v>
      </c>
    </row>
    <row r="24" spans="1:21" x14ac:dyDescent="0.25">
      <c r="A24" s="10" t="s">
        <v>19</v>
      </c>
      <c r="B24" s="10" t="s">
        <v>165</v>
      </c>
      <c r="C24" s="10" t="s">
        <v>77</v>
      </c>
      <c r="D24" s="10" t="s">
        <v>78</v>
      </c>
      <c r="E24" s="10" t="s">
        <v>166</v>
      </c>
      <c r="F24" s="10" t="s">
        <v>167</v>
      </c>
      <c r="G24" s="10" t="s">
        <v>66</v>
      </c>
      <c r="H24" s="10" t="s">
        <v>168</v>
      </c>
      <c r="I24" s="10" t="s">
        <v>68</v>
      </c>
      <c r="J24" s="10" t="s">
        <v>118</v>
      </c>
      <c r="K24" s="10" t="s">
        <v>169</v>
      </c>
      <c r="L24" s="10" t="s">
        <v>95</v>
      </c>
      <c r="M24" s="12">
        <v>-22.42</v>
      </c>
      <c r="N24" s="10" t="s">
        <v>72</v>
      </c>
      <c r="O24" s="10" t="s">
        <v>164</v>
      </c>
      <c r="P24" s="10" t="s">
        <v>86</v>
      </c>
      <c r="Q24" s="12">
        <v>-0.84</v>
      </c>
      <c r="R24" s="10" t="s">
        <v>75</v>
      </c>
      <c r="S24" s="10" t="s">
        <v>0</v>
      </c>
      <c r="T24" s="10" t="s">
        <v>0</v>
      </c>
      <c r="U24" s="10" t="s">
        <v>122</v>
      </c>
    </row>
    <row r="25" spans="1:21" x14ac:dyDescent="0.25">
      <c r="A25" s="9" t="s">
        <v>19</v>
      </c>
      <c r="B25" s="9" t="s">
        <v>61</v>
      </c>
      <c r="C25" s="9" t="s">
        <v>88</v>
      </c>
      <c r="D25" s="9" t="s">
        <v>89</v>
      </c>
      <c r="E25" s="9" t="s">
        <v>90</v>
      </c>
      <c r="F25" s="9" t="s">
        <v>170</v>
      </c>
      <c r="G25" s="9" t="s">
        <v>92</v>
      </c>
      <c r="H25" s="9" t="s">
        <v>71</v>
      </c>
      <c r="I25" s="9" t="s">
        <v>93</v>
      </c>
      <c r="J25" s="9" t="s">
        <v>83</v>
      </c>
      <c r="K25" s="9" t="s">
        <v>95</v>
      </c>
      <c r="L25" s="9" t="s">
        <v>95</v>
      </c>
      <c r="M25" s="11">
        <v>37.22</v>
      </c>
      <c r="N25" s="9" t="s">
        <v>72</v>
      </c>
      <c r="O25" s="9" t="s">
        <v>96</v>
      </c>
      <c r="P25" s="9" t="s">
        <v>86</v>
      </c>
      <c r="Q25" s="11">
        <v>37.22</v>
      </c>
      <c r="R25" s="9" t="s">
        <v>75</v>
      </c>
      <c r="S25" s="9" t="s">
        <v>0</v>
      </c>
      <c r="T25" s="9" t="s">
        <v>0</v>
      </c>
      <c r="U25" s="9" t="s">
        <v>87</v>
      </c>
    </row>
    <row r="26" spans="1:21" x14ac:dyDescent="0.25">
      <c r="A26" s="10" t="s">
        <v>19</v>
      </c>
      <c r="B26" s="10" t="s">
        <v>61</v>
      </c>
      <c r="C26" s="10" t="s">
        <v>77</v>
      </c>
      <c r="D26" s="10" t="s">
        <v>78</v>
      </c>
      <c r="E26" s="10" t="s">
        <v>171</v>
      </c>
      <c r="F26" s="10" t="s">
        <v>172</v>
      </c>
      <c r="G26" s="10" t="s">
        <v>66</v>
      </c>
      <c r="H26" s="10" t="s">
        <v>173</v>
      </c>
      <c r="I26" s="10" t="s">
        <v>68</v>
      </c>
      <c r="J26" s="10" t="s">
        <v>118</v>
      </c>
      <c r="K26" s="10" t="s">
        <v>173</v>
      </c>
      <c r="L26" s="10" t="s">
        <v>102</v>
      </c>
      <c r="M26" s="12">
        <v>22.42</v>
      </c>
      <c r="N26" s="10" t="s">
        <v>72</v>
      </c>
      <c r="O26" s="10" t="s">
        <v>121</v>
      </c>
      <c r="P26" s="10" t="s">
        <v>86</v>
      </c>
      <c r="Q26" s="12">
        <v>0.78</v>
      </c>
      <c r="R26" s="10" t="s">
        <v>75</v>
      </c>
      <c r="S26" s="10" t="s">
        <v>0</v>
      </c>
      <c r="T26" s="10" t="s">
        <v>0</v>
      </c>
      <c r="U26" s="10" t="s">
        <v>122</v>
      </c>
    </row>
    <row r="27" spans="1:21" x14ac:dyDescent="0.25">
      <c r="A27" s="9" t="s">
        <v>19</v>
      </c>
      <c r="B27" s="9" t="s">
        <v>61</v>
      </c>
      <c r="C27" s="9" t="s">
        <v>174</v>
      </c>
      <c r="D27" s="9" t="s">
        <v>175</v>
      </c>
      <c r="E27" s="9" t="s">
        <v>176</v>
      </c>
      <c r="F27" s="9" t="s">
        <v>177</v>
      </c>
      <c r="G27" s="9" t="s">
        <v>66</v>
      </c>
      <c r="H27" s="9" t="s">
        <v>178</v>
      </c>
      <c r="I27" s="9" t="s">
        <v>68</v>
      </c>
      <c r="J27" s="9" t="s">
        <v>118</v>
      </c>
      <c r="K27" s="9" t="s">
        <v>179</v>
      </c>
      <c r="L27" s="9" t="s">
        <v>180</v>
      </c>
      <c r="M27" s="11">
        <v>32.130000000000003</v>
      </c>
      <c r="N27" s="9" t="s">
        <v>72</v>
      </c>
      <c r="O27" s="9" t="s">
        <v>121</v>
      </c>
      <c r="P27" s="9" t="s">
        <v>86</v>
      </c>
      <c r="Q27" s="11">
        <v>1.1200000000000001</v>
      </c>
      <c r="R27" s="9" t="s">
        <v>75</v>
      </c>
      <c r="S27" s="9" t="s">
        <v>0</v>
      </c>
      <c r="T27" s="9" t="s">
        <v>0</v>
      </c>
      <c r="U27" s="9" t="s">
        <v>122</v>
      </c>
    </row>
    <row r="28" spans="1:21" x14ac:dyDescent="0.25">
      <c r="A28" s="10" t="s">
        <v>19</v>
      </c>
      <c r="B28" s="10" t="s">
        <v>61</v>
      </c>
      <c r="C28" s="10" t="s">
        <v>181</v>
      </c>
      <c r="D28" s="10" t="s">
        <v>182</v>
      </c>
      <c r="E28" s="10" t="s">
        <v>183</v>
      </c>
      <c r="F28" s="10" t="s">
        <v>184</v>
      </c>
      <c r="G28" s="10" t="s">
        <v>66</v>
      </c>
      <c r="H28" s="10" t="s">
        <v>185</v>
      </c>
      <c r="I28" s="10" t="s">
        <v>68</v>
      </c>
      <c r="J28" s="10" t="s">
        <v>118</v>
      </c>
      <c r="K28" s="10" t="s">
        <v>185</v>
      </c>
      <c r="L28" s="10" t="s">
        <v>102</v>
      </c>
      <c r="M28" s="12">
        <v>27.63</v>
      </c>
      <c r="N28" s="10" t="s">
        <v>72</v>
      </c>
      <c r="O28" s="10" t="s">
        <v>121</v>
      </c>
      <c r="P28" s="10" t="s">
        <v>86</v>
      </c>
      <c r="Q28" s="12">
        <v>0.97</v>
      </c>
      <c r="R28" s="10" t="s">
        <v>75</v>
      </c>
      <c r="S28" s="10" t="s">
        <v>0</v>
      </c>
      <c r="T28" s="10" t="s">
        <v>0</v>
      </c>
      <c r="U28" s="10" t="s">
        <v>122</v>
      </c>
    </row>
    <row r="29" spans="1:21" x14ac:dyDescent="0.25">
      <c r="A29" s="9" t="s">
        <v>19</v>
      </c>
      <c r="B29" s="9" t="s">
        <v>61</v>
      </c>
      <c r="C29" s="9" t="s">
        <v>77</v>
      </c>
      <c r="D29" s="9" t="s">
        <v>78</v>
      </c>
      <c r="E29" s="9" t="s">
        <v>171</v>
      </c>
      <c r="F29" s="9" t="s">
        <v>186</v>
      </c>
      <c r="G29" s="9" t="s">
        <v>66</v>
      </c>
      <c r="H29" s="9" t="s">
        <v>173</v>
      </c>
      <c r="I29" s="9" t="s">
        <v>68</v>
      </c>
      <c r="J29" s="9" t="s">
        <v>109</v>
      </c>
      <c r="K29" s="9" t="s">
        <v>173</v>
      </c>
      <c r="L29" s="9" t="s">
        <v>102</v>
      </c>
      <c r="M29" s="11">
        <v>49.87</v>
      </c>
      <c r="N29" s="9" t="s">
        <v>72</v>
      </c>
      <c r="O29" s="9" t="s">
        <v>187</v>
      </c>
      <c r="P29" s="9" t="s">
        <v>86</v>
      </c>
      <c r="Q29" s="11">
        <v>5.49</v>
      </c>
      <c r="R29" s="9" t="s">
        <v>75</v>
      </c>
      <c r="S29" s="9" t="s">
        <v>0</v>
      </c>
      <c r="T29" s="9" t="s">
        <v>0</v>
      </c>
      <c r="U29" s="9" t="s">
        <v>112</v>
      </c>
    </row>
    <row r="30" spans="1:21" x14ac:dyDescent="0.25">
      <c r="A30" s="10" t="s">
        <v>19</v>
      </c>
      <c r="B30" s="10" t="s">
        <v>61</v>
      </c>
      <c r="C30" s="10" t="s">
        <v>77</v>
      </c>
      <c r="D30" s="10" t="s">
        <v>78</v>
      </c>
      <c r="E30" s="10" t="s">
        <v>171</v>
      </c>
      <c r="F30" s="10" t="s">
        <v>186</v>
      </c>
      <c r="G30" s="10" t="s">
        <v>66</v>
      </c>
      <c r="H30" s="10" t="s">
        <v>173</v>
      </c>
      <c r="I30" s="10" t="s">
        <v>68</v>
      </c>
      <c r="J30" s="10" t="s">
        <v>109</v>
      </c>
      <c r="K30" s="10" t="s">
        <v>173</v>
      </c>
      <c r="L30" s="10" t="s">
        <v>102</v>
      </c>
      <c r="M30" s="12">
        <v>20.62</v>
      </c>
      <c r="N30" s="10" t="s">
        <v>72</v>
      </c>
      <c r="O30" s="10" t="s">
        <v>187</v>
      </c>
      <c r="P30" s="10" t="s">
        <v>86</v>
      </c>
      <c r="Q30" s="12">
        <v>2.27</v>
      </c>
      <c r="R30" s="10" t="s">
        <v>75</v>
      </c>
      <c r="S30" s="10" t="s">
        <v>0</v>
      </c>
      <c r="T30" s="10" t="s">
        <v>0</v>
      </c>
      <c r="U30" s="10" t="s">
        <v>112</v>
      </c>
    </row>
    <row r="31" spans="1:21" x14ac:dyDescent="0.25">
      <c r="A31" s="9" t="s">
        <v>19</v>
      </c>
      <c r="B31" s="9" t="s">
        <v>61</v>
      </c>
      <c r="C31" s="9" t="s">
        <v>77</v>
      </c>
      <c r="D31" s="9" t="s">
        <v>78</v>
      </c>
      <c r="E31" s="9" t="s">
        <v>171</v>
      </c>
      <c r="F31" s="9" t="s">
        <v>186</v>
      </c>
      <c r="G31" s="9" t="s">
        <v>66</v>
      </c>
      <c r="H31" s="9" t="s">
        <v>173</v>
      </c>
      <c r="I31" s="9" t="s">
        <v>68</v>
      </c>
      <c r="J31" s="9" t="s">
        <v>109</v>
      </c>
      <c r="K31" s="9" t="s">
        <v>173</v>
      </c>
      <c r="L31" s="9" t="s">
        <v>102</v>
      </c>
      <c r="M31" s="11">
        <v>59.1</v>
      </c>
      <c r="N31" s="9" t="s">
        <v>72</v>
      </c>
      <c r="O31" s="9" t="s">
        <v>187</v>
      </c>
      <c r="P31" s="9" t="s">
        <v>86</v>
      </c>
      <c r="Q31" s="11">
        <v>6.5</v>
      </c>
      <c r="R31" s="9" t="s">
        <v>75</v>
      </c>
      <c r="S31" s="9" t="s">
        <v>0</v>
      </c>
      <c r="T31" s="9" t="s">
        <v>0</v>
      </c>
      <c r="U31" s="9" t="s">
        <v>112</v>
      </c>
    </row>
    <row r="32" spans="1:21" x14ac:dyDescent="0.25">
      <c r="A32" s="10" t="s">
        <v>19</v>
      </c>
      <c r="B32" s="10" t="s">
        <v>61</v>
      </c>
      <c r="C32" s="10" t="s">
        <v>77</v>
      </c>
      <c r="D32" s="10" t="s">
        <v>78</v>
      </c>
      <c r="E32" s="10" t="s">
        <v>188</v>
      </c>
      <c r="F32" s="10" t="s">
        <v>189</v>
      </c>
      <c r="G32" s="10" t="s">
        <v>66</v>
      </c>
      <c r="H32" s="10" t="s">
        <v>190</v>
      </c>
      <c r="I32" s="10" t="s">
        <v>68</v>
      </c>
      <c r="J32" s="10" t="s">
        <v>118</v>
      </c>
      <c r="K32" s="10" t="s">
        <v>130</v>
      </c>
      <c r="L32" s="10" t="s">
        <v>102</v>
      </c>
      <c r="M32" s="12">
        <v>27.63</v>
      </c>
      <c r="N32" s="10" t="s">
        <v>72</v>
      </c>
      <c r="O32" s="10" t="s">
        <v>164</v>
      </c>
      <c r="P32" s="10" t="s">
        <v>86</v>
      </c>
      <c r="Q32" s="12">
        <v>1.04</v>
      </c>
      <c r="R32" s="10" t="s">
        <v>75</v>
      </c>
      <c r="S32" s="10" t="s">
        <v>0</v>
      </c>
      <c r="T32" s="10" t="s">
        <v>0</v>
      </c>
      <c r="U32" s="10" t="s">
        <v>122</v>
      </c>
    </row>
    <row r="33" spans="1:21" x14ac:dyDescent="0.25">
      <c r="A33" s="9" t="s">
        <v>19</v>
      </c>
      <c r="B33" s="9" t="s">
        <v>61</v>
      </c>
      <c r="C33" s="9" t="s">
        <v>191</v>
      </c>
      <c r="D33" s="9" t="s">
        <v>192</v>
      </c>
      <c r="E33" s="9" t="s">
        <v>193</v>
      </c>
      <c r="F33" s="9" t="s">
        <v>194</v>
      </c>
      <c r="G33" s="9" t="s">
        <v>81</v>
      </c>
      <c r="H33" s="9" t="s">
        <v>195</v>
      </c>
      <c r="I33" s="9" t="s">
        <v>196</v>
      </c>
      <c r="J33" s="9" t="s">
        <v>197</v>
      </c>
      <c r="K33" s="9" t="s">
        <v>198</v>
      </c>
      <c r="L33" s="9" t="s">
        <v>71</v>
      </c>
      <c r="M33" s="11">
        <v>39.1</v>
      </c>
      <c r="N33" s="9" t="s">
        <v>72</v>
      </c>
      <c r="O33" s="9" t="s">
        <v>199</v>
      </c>
      <c r="P33" s="9" t="s">
        <v>86</v>
      </c>
      <c r="Q33" s="11">
        <v>22.29</v>
      </c>
      <c r="R33" s="9" t="s">
        <v>75</v>
      </c>
      <c r="S33" s="9" t="s">
        <v>0</v>
      </c>
      <c r="T33" s="9" t="s">
        <v>0</v>
      </c>
      <c r="U33" s="9" t="s">
        <v>200</v>
      </c>
    </row>
    <row r="34" spans="1:21" x14ac:dyDescent="0.25">
      <c r="A34" s="10" t="s">
        <v>19</v>
      </c>
      <c r="B34" s="10" t="s">
        <v>61</v>
      </c>
      <c r="C34" s="10" t="s">
        <v>133</v>
      </c>
      <c r="D34" s="10" t="s">
        <v>134</v>
      </c>
      <c r="E34" s="10" t="s">
        <v>201</v>
      </c>
      <c r="F34" s="10" t="s">
        <v>202</v>
      </c>
      <c r="G34" s="10" t="s">
        <v>81</v>
      </c>
      <c r="H34" s="10" t="s">
        <v>162</v>
      </c>
      <c r="I34" s="10" t="s">
        <v>68</v>
      </c>
      <c r="J34" s="10" t="s">
        <v>109</v>
      </c>
      <c r="K34" s="10" t="s">
        <v>198</v>
      </c>
      <c r="L34" s="10" t="s">
        <v>71</v>
      </c>
      <c r="M34" s="12">
        <v>68.2</v>
      </c>
      <c r="N34" s="10" t="s">
        <v>72</v>
      </c>
      <c r="O34" s="10" t="s">
        <v>203</v>
      </c>
      <c r="P34" s="10" t="s">
        <v>86</v>
      </c>
      <c r="Q34" s="12">
        <v>39.56</v>
      </c>
      <c r="R34" s="10" t="s">
        <v>75</v>
      </c>
      <c r="S34" s="10" t="s">
        <v>0</v>
      </c>
      <c r="T34" s="10" t="s">
        <v>0</v>
      </c>
      <c r="U34" s="10" t="s">
        <v>112</v>
      </c>
    </row>
    <row r="35" spans="1:21" x14ac:dyDescent="0.25">
      <c r="A35" s="9" t="s">
        <v>19</v>
      </c>
      <c r="B35" s="9" t="s">
        <v>61</v>
      </c>
      <c r="C35" s="9" t="s">
        <v>133</v>
      </c>
      <c r="D35" s="9" t="s">
        <v>134</v>
      </c>
      <c r="E35" s="9" t="s">
        <v>201</v>
      </c>
      <c r="F35" s="9" t="s">
        <v>202</v>
      </c>
      <c r="G35" s="9" t="s">
        <v>81</v>
      </c>
      <c r="H35" s="9" t="s">
        <v>162</v>
      </c>
      <c r="I35" s="9" t="s">
        <v>68</v>
      </c>
      <c r="J35" s="9" t="s">
        <v>109</v>
      </c>
      <c r="K35" s="9" t="s">
        <v>198</v>
      </c>
      <c r="L35" s="9" t="s">
        <v>71</v>
      </c>
      <c r="M35" s="11">
        <v>14.2</v>
      </c>
      <c r="N35" s="9" t="s">
        <v>72</v>
      </c>
      <c r="O35" s="9" t="s">
        <v>203</v>
      </c>
      <c r="P35" s="9" t="s">
        <v>86</v>
      </c>
      <c r="Q35" s="11">
        <v>8.24</v>
      </c>
      <c r="R35" s="9" t="s">
        <v>75</v>
      </c>
      <c r="S35" s="9" t="s">
        <v>0</v>
      </c>
      <c r="T35" s="9" t="s">
        <v>0</v>
      </c>
      <c r="U35" s="9" t="s">
        <v>112</v>
      </c>
    </row>
    <row r="36" spans="1:21" x14ac:dyDescent="0.25">
      <c r="A36" s="10" t="s">
        <v>19</v>
      </c>
      <c r="B36" s="10" t="s">
        <v>61</v>
      </c>
      <c r="C36" s="10" t="s">
        <v>204</v>
      </c>
      <c r="D36" s="10" t="s">
        <v>205</v>
      </c>
      <c r="E36" s="10" t="s">
        <v>206</v>
      </c>
      <c r="F36" s="10" t="s">
        <v>207</v>
      </c>
      <c r="G36" s="10" t="s">
        <v>66</v>
      </c>
      <c r="H36" s="10" t="s">
        <v>208</v>
      </c>
      <c r="I36" s="10" t="s">
        <v>68</v>
      </c>
      <c r="J36" s="10" t="s">
        <v>118</v>
      </c>
      <c r="K36" s="10" t="s">
        <v>209</v>
      </c>
      <c r="L36" s="10" t="s">
        <v>102</v>
      </c>
      <c r="M36" s="12">
        <v>27.63</v>
      </c>
      <c r="N36" s="10" t="s">
        <v>72</v>
      </c>
      <c r="O36" s="10" t="s">
        <v>121</v>
      </c>
      <c r="P36" s="10" t="s">
        <v>86</v>
      </c>
      <c r="Q36" s="12">
        <v>0.97</v>
      </c>
      <c r="R36" s="10" t="s">
        <v>75</v>
      </c>
      <c r="S36" s="10" t="s">
        <v>0</v>
      </c>
      <c r="T36" s="10" t="s">
        <v>0</v>
      </c>
      <c r="U36" s="10" t="s">
        <v>122</v>
      </c>
    </row>
    <row r="37" spans="1:21" x14ac:dyDescent="0.25">
      <c r="A37" s="9" t="s">
        <v>19</v>
      </c>
      <c r="B37" s="9" t="s">
        <v>165</v>
      </c>
      <c r="C37" s="9" t="s">
        <v>77</v>
      </c>
      <c r="D37" s="9" t="s">
        <v>78</v>
      </c>
      <c r="E37" s="9" t="s">
        <v>210</v>
      </c>
      <c r="F37" s="9" t="s">
        <v>211</v>
      </c>
      <c r="G37" s="9" t="s">
        <v>66</v>
      </c>
      <c r="H37" s="9" t="s">
        <v>212</v>
      </c>
      <c r="I37" s="9" t="s">
        <v>68</v>
      </c>
      <c r="J37" s="9" t="s">
        <v>118</v>
      </c>
      <c r="K37" s="9" t="s">
        <v>213</v>
      </c>
      <c r="L37" s="9" t="s">
        <v>95</v>
      </c>
      <c r="M37" s="11">
        <v>-27.63</v>
      </c>
      <c r="N37" s="9" t="s">
        <v>72</v>
      </c>
      <c r="O37" s="9" t="s">
        <v>121</v>
      </c>
      <c r="P37" s="9" t="s">
        <v>86</v>
      </c>
      <c r="Q37" s="11">
        <v>-0.97</v>
      </c>
      <c r="R37" s="9" t="s">
        <v>75</v>
      </c>
      <c r="S37" s="9" t="s">
        <v>0</v>
      </c>
      <c r="T37" s="9" t="s">
        <v>0</v>
      </c>
      <c r="U37" s="9" t="s">
        <v>122</v>
      </c>
    </row>
    <row r="38" spans="1:21" x14ac:dyDescent="0.25">
      <c r="A38" s="10" t="s">
        <v>19</v>
      </c>
      <c r="B38" s="10" t="s">
        <v>61</v>
      </c>
      <c r="C38" s="10" t="s">
        <v>62</v>
      </c>
      <c r="D38" s="10" t="s">
        <v>63</v>
      </c>
      <c r="E38" s="10" t="s">
        <v>214</v>
      </c>
      <c r="F38" s="10" t="s">
        <v>215</v>
      </c>
      <c r="G38" s="10" t="s">
        <v>66</v>
      </c>
      <c r="H38" s="10" t="s">
        <v>216</v>
      </c>
      <c r="I38" s="10" t="s">
        <v>68</v>
      </c>
      <c r="J38" s="10" t="s">
        <v>217</v>
      </c>
      <c r="K38" s="10" t="s">
        <v>218</v>
      </c>
      <c r="L38" s="10" t="s">
        <v>219</v>
      </c>
      <c r="M38" s="12">
        <v>29.71</v>
      </c>
      <c r="N38" s="10" t="s">
        <v>72</v>
      </c>
      <c r="O38" s="10" t="s">
        <v>164</v>
      </c>
      <c r="P38" s="10" t="s">
        <v>86</v>
      </c>
      <c r="Q38" s="12">
        <v>1.1100000000000001</v>
      </c>
      <c r="R38" s="10" t="s">
        <v>75</v>
      </c>
      <c r="S38" s="10" t="s">
        <v>0</v>
      </c>
      <c r="T38" s="10" t="s">
        <v>0</v>
      </c>
      <c r="U38" s="10" t="s">
        <v>220</v>
      </c>
    </row>
    <row r="39" spans="1:21" x14ac:dyDescent="0.25">
      <c r="A39" s="9" t="s">
        <v>19</v>
      </c>
      <c r="B39" s="9" t="s">
        <v>165</v>
      </c>
      <c r="C39" s="9" t="s">
        <v>221</v>
      </c>
      <c r="D39" s="9" t="s">
        <v>222</v>
      </c>
      <c r="E39" s="9" t="s">
        <v>223</v>
      </c>
      <c r="F39" s="9" t="s">
        <v>224</v>
      </c>
      <c r="G39" s="9" t="s">
        <v>66</v>
      </c>
      <c r="H39" s="9" t="s">
        <v>225</v>
      </c>
      <c r="I39" s="9" t="s">
        <v>196</v>
      </c>
      <c r="J39" s="9" t="s">
        <v>94</v>
      </c>
      <c r="K39" s="9" t="s">
        <v>226</v>
      </c>
      <c r="L39" s="9" t="s">
        <v>95</v>
      </c>
      <c r="M39" s="11">
        <v>-103.25</v>
      </c>
      <c r="N39" s="9" t="s">
        <v>72</v>
      </c>
      <c r="O39" s="9" t="s">
        <v>227</v>
      </c>
      <c r="P39" s="9" t="s">
        <v>86</v>
      </c>
      <c r="Q39" s="11">
        <v>-7.74</v>
      </c>
      <c r="R39" s="9" t="s">
        <v>75</v>
      </c>
      <c r="S39" s="9" t="s">
        <v>0</v>
      </c>
      <c r="T39" s="9" t="s">
        <v>0</v>
      </c>
      <c r="U39" s="9" t="s">
        <v>97</v>
      </c>
    </row>
    <row r="40" spans="1:21" x14ac:dyDescent="0.25">
      <c r="A40" s="10" t="s">
        <v>19</v>
      </c>
      <c r="B40" s="10" t="s">
        <v>61</v>
      </c>
      <c r="C40" s="10" t="s">
        <v>77</v>
      </c>
      <c r="D40" s="10" t="s">
        <v>78</v>
      </c>
      <c r="E40" s="10" t="s">
        <v>228</v>
      </c>
      <c r="F40" s="10" t="s">
        <v>229</v>
      </c>
      <c r="G40" s="10" t="s">
        <v>81</v>
      </c>
      <c r="H40" s="10" t="s">
        <v>230</v>
      </c>
      <c r="I40" s="10" t="s">
        <v>68</v>
      </c>
      <c r="J40" s="10" t="s">
        <v>94</v>
      </c>
      <c r="K40" s="10" t="s">
        <v>230</v>
      </c>
      <c r="L40" s="10" t="s">
        <v>102</v>
      </c>
      <c r="M40" s="12">
        <v>19.079999999999998</v>
      </c>
      <c r="N40" s="10" t="s">
        <v>72</v>
      </c>
      <c r="O40" s="10" t="s">
        <v>85</v>
      </c>
      <c r="P40" s="10" t="s">
        <v>86</v>
      </c>
      <c r="Q40" s="12">
        <v>18.13</v>
      </c>
      <c r="R40" s="10" t="s">
        <v>75</v>
      </c>
      <c r="S40" s="10" t="s">
        <v>0</v>
      </c>
      <c r="T40" s="10" t="s">
        <v>0</v>
      </c>
      <c r="U40" s="10" t="s">
        <v>97</v>
      </c>
    </row>
    <row r="41" spans="1:21" x14ac:dyDescent="0.25">
      <c r="A41" s="9" t="s">
        <v>19</v>
      </c>
      <c r="B41" s="9" t="s">
        <v>61</v>
      </c>
      <c r="C41" s="9" t="s">
        <v>103</v>
      </c>
      <c r="D41" s="9" t="s">
        <v>104</v>
      </c>
      <c r="E41" s="9" t="s">
        <v>105</v>
      </c>
      <c r="F41" s="9" t="s">
        <v>231</v>
      </c>
      <c r="G41" s="9" t="s">
        <v>81</v>
      </c>
      <c r="H41" s="9" t="s">
        <v>107</v>
      </c>
      <c r="I41" s="9" t="s">
        <v>108</v>
      </c>
      <c r="J41" s="9" t="s">
        <v>232</v>
      </c>
      <c r="K41" s="9" t="s">
        <v>110</v>
      </c>
      <c r="L41" s="9" t="s">
        <v>102</v>
      </c>
      <c r="M41" s="11">
        <v>37.5</v>
      </c>
      <c r="N41" s="9" t="s">
        <v>72</v>
      </c>
      <c r="O41" s="9" t="s">
        <v>96</v>
      </c>
      <c r="P41" s="9" t="s">
        <v>86</v>
      </c>
      <c r="Q41" s="11">
        <v>37.5</v>
      </c>
      <c r="R41" s="9" t="s">
        <v>75</v>
      </c>
      <c r="S41" s="9" t="s">
        <v>0</v>
      </c>
      <c r="T41" s="9" t="s">
        <v>0</v>
      </c>
      <c r="U41" s="9" t="s">
        <v>233</v>
      </c>
    </row>
    <row r="42" spans="1:21" x14ac:dyDescent="0.25">
      <c r="A42" s="10" t="s">
        <v>19</v>
      </c>
      <c r="B42" s="10" t="s">
        <v>61</v>
      </c>
      <c r="C42" s="10" t="s">
        <v>103</v>
      </c>
      <c r="D42" s="10" t="s">
        <v>104</v>
      </c>
      <c r="E42" s="10" t="s">
        <v>105</v>
      </c>
      <c r="F42" s="10" t="s">
        <v>234</v>
      </c>
      <c r="G42" s="10" t="s">
        <v>81</v>
      </c>
      <c r="H42" s="10" t="s">
        <v>107</v>
      </c>
      <c r="I42" s="10" t="s">
        <v>108</v>
      </c>
      <c r="J42" s="10" t="s">
        <v>235</v>
      </c>
      <c r="K42" s="10" t="s">
        <v>110</v>
      </c>
      <c r="L42" s="10" t="s">
        <v>102</v>
      </c>
      <c r="M42" s="12">
        <v>38.25</v>
      </c>
      <c r="N42" s="10" t="s">
        <v>72</v>
      </c>
      <c r="O42" s="10" t="s">
        <v>96</v>
      </c>
      <c r="P42" s="10" t="s">
        <v>86</v>
      </c>
      <c r="Q42" s="12">
        <v>38.25</v>
      </c>
      <c r="R42" s="10" t="s">
        <v>75</v>
      </c>
      <c r="S42" s="10" t="s">
        <v>0</v>
      </c>
      <c r="T42" s="10" t="s">
        <v>0</v>
      </c>
      <c r="U42" s="10" t="s">
        <v>236</v>
      </c>
    </row>
    <row r="43" spans="1:21" x14ac:dyDescent="0.25">
      <c r="A43" s="9" t="s">
        <v>19</v>
      </c>
      <c r="B43" s="9" t="s">
        <v>61</v>
      </c>
      <c r="C43" s="9" t="s">
        <v>237</v>
      </c>
      <c r="D43" s="9" t="s">
        <v>238</v>
      </c>
      <c r="E43" s="9" t="s">
        <v>239</v>
      </c>
      <c r="F43" s="9" t="s">
        <v>240</v>
      </c>
      <c r="G43" s="9" t="s">
        <v>66</v>
      </c>
      <c r="H43" s="9" t="s">
        <v>241</v>
      </c>
      <c r="I43" s="9" t="s">
        <v>128</v>
      </c>
      <c r="J43" s="9" t="s">
        <v>94</v>
      </c>
      <c r="K43" s="9" t="s">
        <v>226</v>
      </c>
      <c r="L43" s="9" t="s">
        <v>71</v>
      </c>
      <c r="M43" s="11">
        <v>42.4</v>
      </c>
      <c r="N43" s="9" t="s">
        <v>72</v>
      </c>
      <c r="O43" s="9" t="s">
        <v>227</v>
      </c>
      <c r="P43" s="9" t="s">
        <v>86</v>
      </c>
      <c r="Q43" s="11">
        <v>3.18</v>
      </c>
      <c r="R43" s="9" t="s">
        <v>75</v>
      </c>
      <c r="S43" s="9" t="s">
        <v>0</v>
      </c>
      <c r="T43" s="9" t="s">
        <v>0</v>
      </c>
      <c r="U43" s="9" t="s">
        <v>97</v>
      </c>
    </row>
    <row r="44" spans="1:21" x14ac:dyDescent="0.25">
      <c r="A44" s="10" t="s">
        <v>19</v>
      </c>
      <c r="B44" s="10" t="s">
        <v>61</v>
      </c>
      <c r="C44" s="10" t="s">
        <v>242</v>
      </c>
      <c r="D44" s="10" t="s">
        <v>243</v>
      </c>
      <c r="E44" s="10" t="s">
        <v>244</v>
      </c>
      <c r="F44" s="10" t="s">
        <v>245</v>
      </c>
      <c r="G44" s="10" t="s">
        <v>81</v>
      </c>
      <c r="H44" s="10" t="s">
        <v>246</v>
      </c>
      <c r="I44" s="10" t="s">
        <v>108</v>
      </c>
      <c r="J44" s="10" t="s">
        <v>157</v>
      </c>
      <c r="K44" s="10" t="s">
        <v>198</v>
      </c>
      <c r="L44" s="10" t="s">
        <v>71</v>
      </c>
      <c r="M44" s="12">
        <v>9.24</v>
      </c>
      <c r="N44" s="10" t="s">
        <v>72</v>
      </c>
      <c r="O44" s="10" t="s">
        <v>111</v>
      </c>
      <c r="P44" s="10" t="s">
        <v>86</v>
      </c>
      <c r="Q44" s="12">
        <v>5.78</v>
      </c>
      <c r="R44" s="10" t="s">
        <v>75</v>
      </c>
      <c r="S44" s="10" t="s">
        <v>0</v>
      </c>
      <c r="T44" s="10" t="s">
        <v>0</v>
      </c>
      <c r="U44" s="10" t="s">
        <v>159</v>
      </c>
    </row>
    <row r="45" spans="1:21" x14ac:dyDescent="0.25">
      <c r="A45" s="9" t="s">
        <v>19</v>
      </c>
      <c r="B45" s="9" t="s">
        <v>61</v>
      </c>
      <c r="C45" s="9" t="s">
        <v>242</v>
      </c>
      <c r="D45" s="9" t="s">
        <v>243</v>
      </c>
      <c r="E45" s="9" t="s">
        <v>244</v>
      </c>
      <c r="F45" s="9" t="s">
        <v>245</v>
      </c>
      <c r="G45" s="9" t="s">
        <v>81</v>
      </c>
      <c r="H45" s="9" t="s">
        <v>246</v>
      </c>
      <c r="I45" s="9" t="s">
        <v>108</v>
      </c>
      <c r="J45" s="9" t="s">
        <v>157</v>
      </c>
      <c r="K45" s="9" t="s">
        <v>198</v>
      </c>
      <c r="L45" s="9" t="s">
        <v>71</v>
      </c>
      <c r="M45" s="11">
        <v>11.87</v>
      </c>
      <c r="N45" s="9" t="s">
        <v>72</v>
      </c>
      <c r="O45" s="9" t="s">
        <v>111</v>
      </c>
      <c r="P45" s="9" t="s">
        <v>86</v>
      </c>
      <c r="Q45" s="11">
        <v>7.42</v>
      </c>
      <c r="R45" s="9" t="s">
        <v>75</v>
      </c>
      <c r="S45" s="9" t="s">
        <v>0</v>
      </c>
      <c r="T45" s="9" t="s">
        <v>0</v>
      </c>
      <c r="U45" s="9" t="s">
        <v>159</v>
      </c>
    </row>
    <row r="46" spans="1:21" x14ac:dyDescent="0.25">
      <c r="A46" s="10" t="s">
        <v>19</v>
      </c>
      <c r="B46" s="10" t="s">
        <v>61</v>
      </c>
      <c r="C46" s="10" t="s">
        <v>242</v>
      </c>
      <c r="D46" s="10" t="s">
        <v>243</v>
      </c>
      <c r="E46" s="10" t="s">
        <v>244</v>
      </c>
      <c r="F46" s="10" t="s">
        <v>245</v>
      </c>
      <c r="G46" s="10" t="s">
        <v>81</v>
      </c>
      <c r="H46" s="10" t="s">
        <v>246</v>
      </c>
      <c r="I46" s="10" t="s">
        <v>108</v>
      </c>
      <c r="J46" s="10" t="s">
        <v>157</v>
      </c>
      <c r="K46" s="10" t="s">
        <v>198</v>
      </c>
      <c r="L46" s="10" t="s">
        <v>71</v>
      </c>
      <c r="M46" s="12">
        <v>24.17</v>
      </c>
      <c r="N46" s="10" t="s">
        <v>72</v>
      </c>
      <c r="O46" s="10" t="s">
        <v>111</v>
      </c>
      <c r="P46" s="10" t="s">
        <v>86</v>
      </c>
      <c r="Q46" s="12">
        <v>15.11</v>
      </c>
      <c r="R46" s="10" t="s">
        <v>75</v>
      </c>
      <c r="S46" s="10" t="s">
        <v>0</v>
      </c>
      <c r="T46" s="10" t="s">
        <v>0</v>
      </c>
      <c r="U46" s="10" t="s">
        <v>159</v>
      </c>
    </row>
    <row r="47" spans="1:21" x14ac:dyDescent="0.25">
      <c r="A47" s="9" t="s">
        <v>19</v>
      </c>
      <c r="B47" s="9" t="s">
        <v>61</v>
      </c>
      <c r="C47" s="9" t="s">
        <v>247</v>
      </c>
      <c r="D47" s="9" t="s">
        <v>248</v>
      </c>
      <c r="E47" s="9" t="s">
        <v>249</v>
      </c>
      <c r="F47" s="9" t="s">
        <v>250</v>
      </c>
      <c r="G47" s="9" t="s">
        <v>81</v>
      </c>
      <c r="H47" s="9" t="s">
        <v>251</v>
      </c>
      <c r="I47" s="9" t="s">
        <v>108</v>
      </c>
      <c r="J47" s="9" t="s">
        <v>94</v>
      </c>
      <c r="K47" s="9" t="s">
        <v>251</v>
      </c>
      <c r="L47" s="9" t="s">
        <v>120</v>
      </c>
      <c r="M47" s="11">
        <v>17.28</v>
      </c>
      <c r="N47" s="9" t="s">
        <v>72</v>
      </c>
      <c r="O47" s="9" t="s">
        <v>252</v>
      </c>
      <c r="P47" s="9" t="s">
        <v>86</v>
      </c>
      <c r="Q47" s="11">
        <v>18.14</v>
      </c>
      <c r="R47" s="9" t="s">
        <v>75</v>
      </c>
      <c r="S47" s="9" t="s">
        <v>0</v>
      </c>
      <c r="T47" s="9" t="s">
        <v>0</v>
      </c>
      <c r="U47" s="9" t="s">
        <v>97</v>
      </c>
    </row>
    <row r="48" spans="1:21" x14ac:dyDescent="0.25">
      <c r="A48" s="10" t="s">
        <v>19</v>
      </c>
      <c r="B48" s="10" t="s">
        <v>61</v>
      </c>
      <c r="C48" s="10" t="s">
        <v>181</v>
      </c>
      <c r="D48" s="10" t="s">
        <v>182</v>
      </c>
      <c r="E48" s="10" t="s">
        <v>253</v>
      </c>
      <c r="F48" s="10" t="s">
        <v>254</v>
      </c>
      <c r="G48" s="10" t="s">
        <v>66</v>
      </c>
      <c r="H48" s="10" t="s">
        <v>255</v>
      </c>
      <c r="I48" s="10" t="s">
        <v>68</v>
      </c>
      <c r="J48" s="10" t="s">
        <v>118</v>
      </c>
      <c r="K48" s="10" t="s">
        <v>256</v>
      </c>
      <c r="L48" s="10" t="s">
        <v>71</v>
      </c>
      <c r="M48" s="12">
        <v>64.260000000000005</v>
      </c>
      <c r="N48" s="10" t="s">
        <v>72</v>
      </c>
      <c r="O48" s="10" t="s">
        <v>121</v>
      </c>
      <c r="P48" s="10" t="s">
        <v>86</v>
      </c>
      <c r="Q48" s="12">
        <v>2.25</v>
      </c>
      <c r="R48" s="10" t="s">
        <v>75</v>
      </c>
      <c r="S48" s="10" t="s">
        <v>0</v>
      </c>
      <c r="T48" s="10" t="s">
        <v>0</v>
      </c>
      <c r="U48" s="10" t="s">
        <v>122</v>
      </c>
    </row>
    <row r="49" spans="1:21" x14ac:dyDescent="0.25">
      <c r="A49" s="9" t="s">
        <v>18</v>
      </c>
      <c r="B49" s="9" t="s">
        <v>61</v>
      </c>
      <c r="C49" s="9" t="s">
        <v>257</v>
      </c>
      <c r="D49" s="9" t="s">
        <v>258</v>
      </c>
      <c r="E49" s="9" t="s">
        <v>259</v>
      </c>
      <c r="F49" s="9" t="s">
        <v>260</v>
      </c>
      <c r="G49" s="9" t="s">
        <v>81</v>
      </c>
      <c r="H49" s="9" t="s">
        <v>261</v>
      </c>
      <c r="I49" s="9" t="s">
        <v>128</v>
      </c>
      <c r="J49" s="9" t="s">
        <v>69</v>
      </c>
      <c r="K49" s="9" t="s">
        <v>262</v>
      </c>
      <c r="L49" s="9" t="s">
        <v>71</v>
      </c>
      <c r="M49" s="11">
        <v>179.34</v>
      </c>
      <c r="N49" s="9" t="s">
        <v>72</v>
      </c>
      <c r="O49" s="9" t="s">
        <v>263</v>
      </c>
      <c r="P49" s="9" t="s">
        <v>86</v>
      </c>
      <c r="Q49" s="11">
        <v>46.63</v>
      </c>
      <c r="R49" s="9" t="s">
        <v>75</v>
      </c>
      <c r="S49" s="9" t="s">
        <v>0</v>
      </c>
      <c r="T49" s="9" t="s">
        <v>0</v>
      </c>
      <c r="U49" s="9" t="s">
        <v>76</v>
      </c>
    </row>
    <row r="50" spans="1:21" x14ac:dyDescent="0.25">
      <c r="A50" s="10" t="s">
        <v>19</v>
      </c>
      <c r="B50" s="10" t="s">
        <v>165</v>
      </c>
      <c r="C50" s="10" t="s">
        <v>133</v>
      </c>
      <c r="D50" s="10" t="s">
        <v>134</v>
      </c>
      <c r="E50" s="10" t="s">
        <v>264</v>
      </c>
      <c r="F50" s="10" t="s">
        <v>265</v>
      </c>
      <c r="G50" s="10" t="s">
        <v>92</v>
      </c>
      <c r="H50" s="10" t="s">
        <v>266</v>
      </c>
      <c r="I50" s="10" t="s">
        <v>68</v>
      </c>
      <c r="J50" s="10" t="s">
        <v>83</v>
      </c>
      <c r="K50" s="10" t="s">
        <v>151</v>
      </c>
      <c r="L50" s="10" t="s">
        <v>267</v>
      </c>
      <c r="M50" s="12">
        <v>-116.12</v>
      </c>
      <c r="N50" s="10" t="s">
        <v>72</v>
      </c>
      <c r="O50" s="10" t="s">
        <v>85</v>
      </c>
      <c r="P50" s="10" t="s">
        <v>86</v>
      </c>
      <c r="Q50" s="12">
        <v>-110.31</v>
      </c>
      <c r="R50" s="10" t="s">
        <v>75</v>
      </c>
      <c r="S50" s="10" t="s">
        <v>0</v>
      </c>
      <c r="T50" s="10" t="s">
        <v>0</v>
      </c>
      <c r="U50" s="10" t="s">
        <v>87</v>
      </c>
    </row>
    <row r="51" spans="1:21" x14ac:dyDescent="0.25">
      <c r="A51" s="9" t="s">
        <v>19</v>
      </c>
      <c r="B51" s="9" t="s">
        <v>61</v>
      </c>
      <c r="C51" s="9" t="s">
        <v>268</v>
      </c>
      <c r="D51" s="9" t="s">
        <v>269</v>
      </c>
      <c r="E51" s="9" t="s">
        <v>270</v>
      </c>
      <c r="F51" s="9" t="s">
        <v>271</v>
      </c>
      <c r="G51" s="9" t="s">
        <v>81</v>
      </c>
      <c r="H51" s="9" t="s">
        <v>251</v>
      </c>
      <c r="I51" s="9" t="s">
        <v>272</v>
      </c>
      <c r="J51" s="9" t="s">
        <v>157</v>
      </c>
      <c r="K51" s="9" t="s">
        <v>273</v>
      </c>
      <c r="L51" s="9" t="s">
        <v>274</v>
      </c>
      <c r="M51" s="11">
        <v>49.5</v>
      </c>
      <c r="N51" s="9" t="s">
        <v>72</v>
      </c>
      <c r="O51" s="9" t="s">
        <v>158</v>
      </c>
      <c r="P51" s="9" t="s">
        <v>86</v>
      </c>
      <c r="Q51" s="11">
        <v>32.18</v>
      </c>
      <c r="R51" s="9" t="s">
        <v>75</v>
      </c>
      <c r="S51" s="9" t="s">
        <v>0</v>
      </c>
      <c r="T51" s="9" t="s">
        <v>0</v>
      </c>
      <c r="U51" s="9" t="s">
        <v>275</v>
      </c>
    </row>
    <row r="52" spans="1:21" x14ac:dyDescent="0.25">
      <c r="A52" s="10" t="s">
        <v>19</v>
      </c>
      <c r="B52" s="10" t="s">
        <v>61</v>
      </c>
      <c r="C52" s="10" t="s">
        <v>247</v>
      </c>
      <c r="D52" s="10" t="s">
        <v>248</v>
      </c>
      <c r="E52" s="10" t="s">
        <v>276</v>
      </c>
      <c r="F52" s="10" t="s">
        <v>277</v>
      </c>
      <c r="G52" s="10" t="s">
        <v>92</v>
      </c>
      <c r="H52" s="10" t="s">
        <v>278</v>
      </c>
      <c r="I52" s="10" t="s">
        <v>108</v>
      </c>
      <c r="J52" s="10" t="s">
        <v>157</v>
      </c>
      <c r="K52" s="10" t="s">
        <v>95</v>
      </c>
      <c r="L52" s="10" t="s">
        <v>95</v>
      </c>
      <c r="M52" s="12">
        <v>9.24</v>
      </c>
      <c r="N52" s="10" t="s">
        <v>72</v>
      </c>
      <c r="O52" s="10" t="s">
        <v>158</v>
      </c>
      <c r="P52" s="10" t="s">
        <v>86</v>
      </c>
      <c r="Q52" s="12">
        <v>6.01</v>
      </c>
      <c r="R52" s="10" t="s">
        <v>75</v>
      </c>
      <c r="S52" s="10" t="s">
        <v>0</v>
      </c>
      <c r="T52" s="10" t="s">
        <v>0</v>
      </c>
      <c r="U52" s="10" t="s">
        <v>159</v>
      </c>
    </row>
    <row r="53" spans="1:21" x14ac:dyDescent="0.25">
      <c r="A53" s="9" t="s">
        <v>19</v>
      </c>
      <c r="B53" s="9" t="s">
        <v>61</v>
      </c>
      <c r="C53" s="9" t="s">
        <v>247</v>
      </c>
      <c r="D53" s="9" t="s">
        <v>248</v>
      </c>
      <c r="E53" s="9" t="s">
        <v>276</v>
      </c>
      <c r="F53" s="9" t="s">
        <v>277</v>
      </c>
      <c r="G53" s="9" t="s">
        <v>92</v>
      </c>
      <c r="H53" s="9" t="s">
        <v>278</v>
      </c>
      <c r="I53" s="9" t="s">
        <v>108</v>
      </c>
      <c r="J53" s="9" t="s">
        <v>157</v>
      </c>
      <c r="K53" s="9" t="s">
        <v>95</v>
      </c>
      <c r="L53" s="9" t="s">
        <v>95</v>
      </c>
      <c r="M53" s="11">
        <v>33.5</v>
      </c>
      <c r="N53" s="9" t="s">
        <v>72</v>
      </c>
      <c r="O53" s="9" t="s">
        <v>158</v>
      </c>
      <c r="P53" s="9" t="s">
        <v>86</v>
      </c>
      <c r="Q53" s="11">
        <v>21.78</v>
      </c>
      <c r="R53" s="9" t="s">
        <v>75</v>
      </c>
      <c r="S53" s="9" t="s">
        <v>0</v>
      </c>
      <c r="T53" s="9" t="s">
        <v>0</v>
      </c>
      <c r="U53" s="9" t="s">
        <v>159</v>
      </c>
    </row>
    <row r="54" spans="1:21" x14ac:dyDescent="0.25">
      <c r="A54" s="10" t="s">
        <v>19</v>
      </c>
      <c r="B54" s="10" t="s">
        <v>61</v>
      </c>
      <c r="C54" s="10" t="s">
        <v>279</v>
      </c>
      <c r="D54" s="10" t="s">
        <v>280</v>
      </c>
      <c r="E54" s="10" t="s">
        <v>281</v>
      </c>
      <c r="F54" s="10" t="s">
        <v>282</v>
      </c>
      <c r="G54" s="10" t="s">
        <v>92</v>
      </c>
      <c r="H54" s="10" t="s">
        <v>283</v>
      </c>
      <c r="I54" s="10" t="s">
        <v>108</v>
      </c>
      <c r="J54" s="10" t="s">
        <v>157</v>
      </c>
      <c r="K54" s="10" t="s">
        <v>71</v>
      </c>
      <c r="L54" s="10" t="s">
        <v>71</v>
      </c>
      <c r="M54" s="12">
        <v>6.04</v>
      </c>
      <c r="N54" s="10" t="s">
        <v>72</v>
      </c>
      <c r="O54" s="10" t="s">
        <v>158</v>
      </c>
      <c r="P54" s="10" t="s">
        <v>86</v>
      </c>
      <c r="Q54" s="12">
        <v>3.93</v>
      </c>
      <c r="R54" s="10" t="s">
        <v>75</v>
      </c>
      <c r="S54" s="10" t="s">
        <v>0</v>
      </c>
      <c r="T54" s="10" t="s">
        <v>0</v>
      </c>
      <c r="U54" s="10" t="s">
        <v>159</v>
      </c>
    </row>
    <row r="55" spans="1:21" x14ac:dyDescent="0.25">
      <c r="A55" s="9" t="s">
        <v>19</v>
      </c>
      <c r="B55" s="9" t="s">
        <v>61</v>
      </c>
      <c r="C55" s="9" t="s">
        <v>279</v>
      </c>
      <c r="D55" s="9" t="s">
        <v>280</v>
      </c>
      <c r="E55" s="9" t="s">
        <v>281</v>
      </c>
      <c r="F55" s="9" t="s">
        <v>282</v>
      </c>
      <c r="G55" s="9" t="s">
        <v>92</v>
      </c>
      <c r="H55" s="9" t="s">
        <v>283</v>
      </c>
      <c r="I55" s="9" t="s">
        <v>108</v>
      </c>
      <c r="J55" s="9" t="s">
        <v>157</v>
      </c>
      <c r="K55" s="9" t="s">
        <v>71</v>
      </c>
      <c r="L55" s="9" t="s">
        <v>71</v>
      </c>
      <c r="M55" s="11">
        <v>21.52</v>
      </c>
      <c r="N55" s="9" t="s">
        <v>72</v>
      </c>
      <c r="O55" s="9" t="s">
        <v>158</v>
      </c>
      <c r="P55" s="9" t="s">
        <v>86</v>
      </c>
      <c r="Q55" s="11">
        <v>13.99</v>
      </c>
      <c r="R55" s="9" t="s">
        <v>75</v>
      </c>
      <c r="S55" s="9" t="s">
        <v>0</v>
      </c>
      <c r="T55" s="9" t="s">
        <v>0</v>
      </c>
      <c r="U55" s="9" t="s">
        <v>159</v>
      </c>
    </row>
    <row r="56" spans="1:21" x14ac:dyDescent="0.25">
      <c r="A56" s="10" t="s">
        <v>19</v>
      </c>
      <c r="B56" s="10" t="s">
        <v>61</v>
      </c>
      <c r="C56" s="10" t="s">
        <v>279</v>
      </c>
      <c r="D56" s="10" t="s">
        <v>280</v>
      </c>
      <c r="E56" s="10" t="s">
        <v>281</v>
      </c>
      <c r="F56" s="10" t="s">
        <v>282</v>
      </c>
      <c r="G56" s="10" t="s">
        <v>92</v>
      </c>
      <c r="H56" s="10" t="s">
        <v>283</v>
      </c>
      <c r="I56" s="10" t="s">
        <v>108</v>
      </c>
      <c r="J56" s="10" t="s">
        <v>157</v>
      </c>
      <c r="K56" s="10" t="s">
        <v>71</v>
      </c>
      <c r="L56" s="10" t="s">
        <v>71</v>
      </c>
      <c r="M56" s="12">
        <v>18.329999999999998</v>
      </c>
      <c r="N56" s="10" t="s">
        <v>72</v>
      </c>
      <c r="O56" s="10" t="s">
        <v>158</v>
      </c>
      <c r="P56" s="10" t="s">
        <v>86</v>
      </c>
      <c r="Q56" s="12">
        <v>11.91</v>
      </c>
      <c r="R56" s="10" t="s">
        <v>75</v>
      </c>
      <c r="S56" s="10" t="s">
        <v>0</v>
      </c>
      <c r="T56" s="10" t="s">
        <v>0</v>
      </c>
      <c r="U56" s="10" t="s">
        <v>159</v>
      </c>
    </row>
    <row r="57" spans="1:21" x14ac:dyDescent="0.25">
      <c r="A57" s="9" t="s">
        <v>19</v>
      </c>
      <c r="B57" s="9" t="s">
        <v>61</v>
      </c>
      <c r="C57" s="9" t="s">
        <v>279</v>
      </c>
      <c r="D57" s="9" t="s">
        <v>280</v>
      </c>
      <c r="E57" s="9" t="s">
        <v>281</v>
      </c>
      <c r="F57" s="9" t="s">
        <v>282</v>
      </c>
      <c r="G57" s="9" t="s">
        <v>92</v>
      </c>
      <c r="H57" s="9" t="s">
        <v>283</v>
      </c>
      <c r="I57" s="9" t="s">
        <v>108</v>
      </c>
      <c r="J57" s="9" t="s">
        <v>157</v>
      </c>
      <c r="K57" s="9" t="s">
        <v>71</v>
      </c>
      <c r="L57" s="9" t="s">
        <v>71</v>
      </c>
      <c r="M57" s="11">
        <v>53</v>
      </c>
      <c r="N57" s="9" t="s">
        <v>72</v>
      </c>
      <c r="O57" s="9" t="s">
        <v>158</v>
      </c>
      <c r="P57" s="9" t="s">
        <v>86</v>
      </c>
      <c r="Q57" s="11">
        <v>34.450000000000003</v>
      </c>
      <c r="R57" s="9" t="s">
        <v>75</v>
      </c>
      <c r="S57" s="9" t="s">
        <v>0</v>
      </c>
      <c r="T57" s="9" t="s">
        <v>0</v>
      </c>
      <c r="U57" s="9" t="s">
        <v>159</v>
      </c>
    </row>
    <row r="58" spans="1:21" x14ac:dyDescent="0.25">
      <c r="A58" s="10" t="s">
        <v>19</v>
      </c>
      <c r="B58" s="10" t="s">
        <v>61</v>
      </c>
      <c r="C58" s="10" t="s">
        <v>284</v>
      </c>
      <c r="D58" s="10" t="s">
        <v>285</v>
      </c>
      <c r="E58" s="10" t="s">
        <v>286</v>
      </c>
      <c r="F58" s="10" t="s">
        <v>287</v>
      </c>
      <c r="G58" s="10" t="s">
        <v>66</v>
      </c>
      <c r="H58" s="10" t="s">
        <v>288</v>
      </c>
      <c r="I58" s="10" t="s">
        <v>68</v>
      </c>
      <c r="J58" s="10" t="s">
        <v>118</v>
      </c>
      <c r="K58" s="10" t="s">
        <v>213</v>
      </c>
      <c r="L58" s="10" t="s">
        <v>71</v>
      </c>
      <c r="M58" s="12">
        <v>27.63</v>
      </c>
      <c r="N58" s="10" t="s">
        <v>72</v>
      </c>
      <c r="O58" s="10" t="s">
        <v>121</v>
      </c>
      <c r="P58" s="10" t="s">
        <v>86</v>
      </c>
      <c r="Q58" s="12">
        <v>0.97</v>
      </c>
      <c r="R58" s="10" t="s">
        <v>289</v>
      </c>
      <c r="S58" s="10" t="s">
        <v>0</v>
      </c>
      <c r="T58" s="10" t="s">
        <v>0</v>
      </c>
      <c r="U58" s="10" t="s">
        <v>122</v>
      </c>
    </row>
    <row r="59" spans="1:21" x14ac:dyDescent="0.25">
      <c r="A59" s="9" t="s">
        <v>19</v>
      </c>
      <c r="B59" s="9" t="s">
        <v>61</v>
      </c>
      <c r="C59" s="9" t="s">
        <v>247</v>
      </c>
      <c r="D59" s="9" t="s">
        <v>248</v>
      </c>
      <c r="E59" s="9" t="s">
        <v>290</v>
      </c>
      <c r="F59" s="9" t="s">
        <v>291</v>
      </c>
      <c r="G59" s="9" t="s">
        <v>92</v>
      </c>
      <c r="H59" s="9" t="s">
        <v>84</v>
      </c>
      <c r="I59" s="9" t="s">
        <v>292</v>
      </c>
      <c r="J59" s="9" t="s">
        <v>293</v>
      </c>
      <c r="K59" s="9" t="s">
        <v>95</v>
      </c>
      <c r="L59" s="9" t="s">
        <v>95</v>
      </c>
      <c r="M59" s="11">
        <v>61.48</v>
      </c>
      <c r="N59" s="9" t="s">
        <v>72</v>
      </c>
      <c r="O59" s="9" t="s">
        <v>203</v>
      </c>
      <c r="P59" s="9" t="s">
        <v>86</v>
      </c>
      <c r="Q59" s="11">
        <v>35.659999999999997</v>
      </c>
      <c r="R59" s="9" t="s">
        <v>75</v>
      </c>
      <c r="S59" s="9" t="s">
        <v>0</v>
      </c>
      <c r="T59" s="9" t="s">
        <v>0</v>
      </c>
      <c r="U59" s="9" t="s">
        <v>294</v>
      </c>
    </row>
    <row r="60" spans="1:21" x14ac:dyDescent="0.25">
      <c r="A60" s="10" t="s">
        <v>19</v>
      </c>
      <c r="B60" s="10" t="s">
        <v>165</v>
      </c>
      <c r="C60" s="10" t="s">
        <v>221</v>
      </c>
      <c r="D60" s="10" t="s">
        <v>222</v>
      </c>
      <c r="E60" s="10" t="s">
        <v>295</v>
      </c>
      <c r="F60" s="10" t="s">
        <v>296</v>
      </c>
      <c r="G60" s="10" t="s">
        <v>66</v>
      </c>
      <c r="H60" s="10" t="s">
        <v>297</v>
      </c>
      <c r="I60" s="10" t="s">
        <v>292</v>
      </c>
      <c r="J60" s="10" t="s">
        <v>298</v>
      </c>
      <c r="K60" s="10" t="s">
        <v>299</v>
      </c>
      <c r="L60" s="10" t="s">
        <v>95</v>
      </c>
      <c r="M60" s="12">
        <v>-28.56</v>
      </c>
      <c r="N60" s="10" t="s">
        <v>72</v>
      </c>
      <c r="O60" s="10" t="s">
        <v>121</v>
      </c>
      <c r="P60" s="10" t="s">
        <v>86</v>
      </c>
      <c r="Q60" s="12">
        <v>-1</v>
      </c>
      <c r="R60" s="10" t="s">
        <v>75</v>
      </c>
      <c r="S60" s="10" t="s">
        <v>0</v>
      </c>
      <c r="T60" s="10" t="s">
        <v>0</v>
      </c>
      <c r="U60" s="10" t="s">
        <v>300</v>
      </c>
    </row>
    <row r="61" spans="1:21" x14ac:dyDescent="0.25">
      <c r="A61" s="9" t="s">
        <v>19</v>
      </c>
      <c r="B61" s="9" t="s">
        <v>61</v>
      </c>
      <c r="C61" s="9" t="s">
        <v>247</v>
      </c>
      <c r="D61" s="9" t="s">
        <v>248</v>
      </c>
      <c r="E61" s="9" t="s">
        <v>301</v>
      </c>
      <c r="F61" s="9" t="s">
        <v>302</v>
      </c>
      <c r="G61" s="9" t="s">
        <v>81</v>
      </c>
      <c r="H61" s="9" t="s">
        <v>303</v>
      </c>
      <c r="I61" s="9" t="s">
        <v>304</v>
      </c>
      <c r="J61" s="9" t="s">
        <v>109</v>
      </c>
      <c r="K61" s="9" t="s">
        <v>305</v>
      </c>
      <c r="L61" s="9" t="s">
        <v>71</v>
      </c>
      <c r="M61" s="11">
        <v>104.26</v>
      </c>
      <c r="N61" s="9" t="s">
        <v>72</v>
      </c>
      <c r="O61" s="9" t="s">
        <v>143</v>
      </c>
      <c r="P61" s="9" t="s">
        <v>86</v>
      </c>
      <c r="Q61" s="11">
        <v>62.56</v>
      </c>
      <c r="R61" s="9" t="s">
        <v>75</v>
      </c>
      <c r="S61" s="9" t="s">
        <v>0</v>
      </c>
      <c r="T61" s="9" t="s">
        <v>0</v>
      </c>
      <c r="U61" s="9" t="s">
        <v>112</v>
      </c>
    </row>
    <row r="62" spans="1:21" x14ac:dyDescent="0.25">
      <c r="A62" s="10" t="s">
        <v>19</v>
      </c>
      <c r="B62" s="10" t="s">
        <v>61</v>
      </c>
      <c r="C62" s="10" t="s">
        <v>247</v>
      </c>
      <c r="D62" s="10" t="s">
        <v>248</v>
      </c>
      <c r="E62" s="10" t="s">
        <v>306</v>
      </c>
      <c r="F62" s="10" t="s">
        <v>307</v>
      </c>
      <c r="G62" s="10" t="s">
        <v>81</v>
      </c>
      <c r="H62" s="10" t="s">
        <v>308</v>
      </c>
      <c r="I62" s="10" t="s">
        <v>108</v>
      </c>
      <c r="J62" s="10" t="s">
        <v>157</v>
      </c>
      <c r="K62" s="10" t="s">
        <v>309</v>
      </c>
      <c r="L62" s="10" t="s">
        <v>71</v>
      </c>
      <c r="M62" s="12">
        <v>11.04</v>
      </c>
      <c r="N62" s="10" t="s">
        <v>72</v>
      </c>
      <c r="O62" s="10" t="s">
        <v>158</v>
      </c>
      <c r="P62" s="10" t="s">
        <v>86</v>
      </c>
      <c r="Q62" s="12">
        <v>7.18</v>
      </c>
      <c r="R62" s="10" t="s">
        <v>75</v>
      </c>
      <c r="S62" s="10" t="s">
        <v>0</v>
      </c>
      <c r="T62" s="10" t="s">
        <v>0</v>
      </c>
      <c r="U62" s="10" t="s">
        <v>159</v>
      </c>
    </row>
    <row r="63" spans="1:21" x14ac:dyDescent="0.25">
      <c r="A63" s="9" t="s">
        <v>19</v>
      </c>
      <c r="B63" s="9" t="s">
        <v>61</v>
      </c>
      <c r="C63" s="9" t="s">
        <v>247</v>
      </c>
      <c r="D63" s="9" t="s">
        <v>248</v>
      </c>
      <c r="E63" s="9" t="s">
        <v>306</v>
      </c>
      <c r="F63" s="9" t="s">
        <v>307</v>
      </c>
      <c r="G63" s="9" t="s">
        <v>81</v>
      </c>
      <c r="H63" s="9" t="s">
        <v>308</v>
      </c>
      <c r="I63" s="9" t="s">
        <v>108</v>
      </c>
      <c r="J63" s="9" t="s">
        <v>157</v>
      </c>
      <c r="K63" s="9" t="s">
        <v>309</v>
      </c>
      <c r="L63" s="9" t="s">
        <v>71</v>
      </c>
      <c r="M63" s="11">
        <v>29.5</v>
      </c>
      <c r="N63" s="9" t="s">
        <v>72</v>
      </c>
      <c r="O63" s="9" t="s">
        <v>158</v>
      </c>
      <c r="P63" s="9" t="s">
        <v>86</v>
      </c>
      <c r="Q63" s="11">
        <v>19.18</v>
      </c>
      <c r="R63" s="9" t="s">
        <v>75</v>
      </c>
      <c r="S63" s="9" t="s">
        <v>0</v>
      </c>
      <c r="T63" s="9" t="s">
        <v>0</v>
      </c>
      <c r="U63" s="9" t="s">
        <v>159</v>
      </c>
    </row>
    <row r="64" spans="1:21" x14ac:dyDescent="0.25">
      <c r="A64" s="10" t="s">
        <v>19</v>
      </c>
      <c r="B64" s="10" t="s">
        <v>61</v>
      </c>
      <c r="C64" s="10" t="s">
        <v>247</v>
      </c>
      <c r="D64" s="10" t="s">
        <v>248</v>
      </c>
      <c r="E64" s="10" t="s">
        <v>306</v>
      </c>
      <c r="F64" s="10" t="s">
        <v>307</v>
      </c>
      <c r="G64" s="10" t="s">
        <v>81</v>
      </c>
      <c r="H64" s="10" t="s">
        <v>308</v>
      </c>
      <c r="I64" s="10" t="s">
        <v>108</v>
      </c>
      <c r="J64" s="10" t="s">
        <v>157</v>
      </c>
      <c r="K64" s="10" t="s">
        <v>309</v>
      </c>
      <c r="L64" s="10" t="s">
        <v>71</v>
      </c>
      <c r="M64" s="12">
        <v>14.17</v>
      </c>
      <c r="N64" s="10" t="s">
        <v>72</v>
      </c>
      <c r="O64" s="10" t="s">
        <v>158</v>
      </c>
      <c r="P64" s="10" t="s">
        <v>86</v>
      </c>
      <c r="Q64" s="12">
        <v>9.2100000000000009</v>
      </c>
      <c r="R64" s="10" t="s">
        <v>75</v>
      </c>
      <c r="S64" s="10" t="s">
        <v>0</v>
      </c>
      <c r="T64" s="10" t="s">
        <v>0</v>
      </c>
      <c r="U64" s="10" t="s">
        <v>159</v>
      </c>
    </row>
    <row r="65" spans="1:21" x14ac:dyDescent="0.25">
      <c r="A65" s="9" t="s">
        <v>19</v>
      </c>
      <c r="B65" s="9" t="s">
        <v>61</v>
      </c>
      <c r="C65" s="9" t="s">
        <v>247</v>
      </c>
      <c r="D65" s="9" t="s">
        <v>248</v>
      </c>
      <c r="E65" s="9" t="s">
        <v>306</v>
      </c>
      <c r="F65" s="9" t="s">
        <v>307</v>
      </c>
      <c r="G65" s="9" t="s">
        <v>81</v>
      </c>
      <c r="H65" s="9" t="s">
        <v>308</v>
      </c>
      <c r="I65" s="9" t="s">
        <v>108</v>
      </c>
      <c r="J65" s="9" t="s">
        <v>157</v>
      </c>
      <c r="K65" s="9" t="s">
        <v>309</v>
      </c>
      <c r="L65" s="9" t="s">
        <v>71</v>
      </c>
      <c r="M65" s="11">
        <v>15.8</v>
      </c>
      <c r="N65" s="9" t="s">
        <v>72</v>
      </c>
      <c r="O65" s="9" t="s">
        <v>158</v>
      </c>
      <c r="P65" s="9" t="s">
        <v>86</v>
      </c>
      <c r="Q65" s="11">
        <v>10.27</v>
      </c>
      <c r="R65" s="9" t="s">
        <v>75</v>
      </c>
      <c r="S65" s="9" t="s">
        <v>0</v>
      </c>
      <c r="T65" s="9" t="s">
        <v>0</v>
      </c>
      <c r="U65" s="9" t="s">
        <v>159</v>
      </c>
    </row>
    <row r="66" spans="1:21" x14ac:dyDescent="0.25">
      <c r="A66" s="10" t="s">
        <v>19</v>
      </c>
      <c r="B66" s="10" t="s">
        <v>61</v>
      </c>
      <c r="C66" s="10" t="s">
        <v>247</v>
      </c>
      <c r="D66" s="10" t="s">
        <v>248</v>
      </c>
      <c r="E66" s="10" t="s">
        <v>310</v>
      </c>
      <c r="F66" s="10" t="s">
        <v>311</v>
      </c>
      <c r="G66" s="10" t="s">
        <v>81</v>
      </c>
      <c r="H66" s="10" t="s">
        <v>312</v>
      </c>
      <c r="I66" s="10" t="s">
        <v>108</v>
      </c>
      <c r="J66" s="10" t="s">
        <v>157</v>
      </c>
      <c r="K66" s="10" t="s">
        <v>312</v>
      </c>
      <c r="L66" s="10" t="s">
        <v>84</v>
      </c>
      <c r="M66" s="12">
        <v>39.33</v>
      </c>
      <c r="N66" s="10" t="s">
        <v>72</v>
      </c>
      <c r="O66" s="10" t="s">
        <v>158</v>
      </c>
      <c r="P66" s="10" t="s">
        <v>86</v>
      </c>
      <c r="Q66" s="12">
        <v>25.56</v>
      </c>
      <c r="R66" s="10" t="s">
        <v>75</v>
      </c>
      <c r="S66" s="10" t="s">
        <v>0</v>
      </c>
      <c r="T66" s="10" t="s">
        <v>0</v>
      </c>
      <c r="U66" s="10" t="s">
        <v>159</v>
      </c>
    </row>
    <row r="67" spans="1:21" x14ac:dyDescent="0.25">
      <c r="A67" s="9" t="s">
        <v>19</v>
      </c>
      <c r="B67" s="9" t="s">
        <v>61</v>
      </c>
      <c r="C67" s="9" t="s">
        <v>247</v>
      </c>
      <c r="D67" s="9" t="s">
        <v>248</v>
      </c>
      <c r="E67" s="9" t="s">
        <v>310</v>
      </c>
      <c r="F67" s="9" t="s">
        <v>313</v>
      </c>
      <c r="G67" s="9" t="s">
        <v>81</v>
      </c>
      <c r="H67" s="9" t="s">
        <v>312</v>
      </c>
      <c r="I67" s="9" t="s">
        <v>108</v>
      </c>
      <c r="J67" s="9" t="s">
        <v>83</v>
      </c>
      <c r="K67" s="9" t="s">
        <v>312</v>
      </c>
      <c r="L67" s="9" t="s">
        <v>84</v>
      </c>
      <c r="M67" s="11">
        <v>27.8</v>
      </c>
      <c r="N67" s="9" t="s">
        <v>72</v>
      </c>
      <c r="O67" s="9" t="s">
        <v>252</v>
      </c>
      <c r="P67" s="9" t="s">
        <v>86</v>
      </c>
      <c r="Q67" s="11">
        <v>29.19</v>
      </c>
      <c r="R67" s="9" t="s">
        <v>75</v>
      </c>
      <c r="S67" s="9" t="s">
        <v>0</v>
      </c>
      <c r="T67" s="9" t="s">
        <v>0</v>
      </c>
      <c r="U67" s="9" t="s">
        <v>87</v>
      </c>
    </row>
    <row r="68" spans="1:21" x14ac:dyDescent="0.25">
      <c r="A68" s="10" t="s">
        <v>19</v>
      </c>
      <c r="B68" s="10" t="s">
        <v>165</v>
      </c>
      <c r="C68" s="10" t="s">
        <v>77</v>
      </c>
      <c r="D68" s="10" t="s">
        <v>78</v>
      </c>
      <c r="E68" s="10" t="s">
        <v>314</v>
      </c>
      <c r="F68" s="10" t="s">
        <v>315</v>
      </c>
      <c r="G68" s="10" t="s">
        <v>66</v>
      </c>
      <c r="H68" s="10" t="s">
        <v>316</v>
      </c>
      <c r="I68" s="10" t="s">
        <v>317</v>
      </c>
      <c r="J68" s="10" t="s">
        <v>118</v>
      </c>
      <c r="K68" s="10" t="s">
        <v>299</v>
      </c>
      <c r="L68" s="10" t="s">
        <v>95</v>
      </c>
      <c r="M68" s="12">
        <v>-42.6</v>
      </c>
      <c r="N68" s="10" t="s">
        <v>72</v>
      </c>
      <c r="O68" s="10" t="s">
        <v>121</v>
      </c>
      <c r="P68" s="10" t="s">
        <v>86</v>
      </c>
      <c r="Q68" s="12">
        <v>-1.49</v>
      </c>
      <c r="R68" s="10" t="s">
        <v>75</v>
      </c>
      <c r="S68" s="10" t="s">
        <v>0</v>
      </c>
      <c r="T68" s="10" t="s">
        <v>0</v>
      </c>
      <c r="U68" s="10" t="s">
        <v>318</v>
      </c>
    </row>
    <row r="69" spans="1:21" x14ac:dyDescent="0.25">
      <c r="A69" s="9" t="s">
        <v>19</v>
      </c>
      <c r="B69" s="9" t="s">
        <v>61</v>
      </c>
      <c r="C69" s="9" t="s">
        <v>77</v>
      </c>
      <c r="D69" s="9" t="s">
        <v>78</v>
      </c>
      <c r="E69" s="9" t="s">
        <v>319</v>
      </c>
      <c r="F69" s="9" t="s">
        <v>320</v>
      </c>
      <c r="G69" s="9" t="s">
        <v>81</v>
      </c>
      <c r="H69" s="9" t="s">
        <v>82</v>
      </c>
      <c r="I69" s="9" t="s">
        <v>68</v>
      </c>
      <c r="J69" s="9" t="s">
        <v>83</v>
      </c>
      <c r="K69" s="9" t="s">
        <v>82</v>
      </c>
      <c r="L69" s="9" t="s">
        <v>84</v>
      </c>
      <c r="M69" s="11">
        <v>23.22</v>
      </c>
      <c r="N69" s="9" t="s">
        <v>72</v>
      </c>
      <c r="O69" s="9" t="s">
        <v>85</v>
      </c>
      <c r="P69" s="9" t="s">
        <v>86</v>
      </c>
      <c r="Q69" s="11">
        <v>22.06</v>
      </c>
      <c r="R69" s="9" t="s">
        <v>75</v>
      </c>
      <c r="S69" s="9" t="s">
        <v>0</v>
      </c>
      <c r="T69" s="9" t="s">
        <v>0</v>
      </c>
      <c r="U69" s="9" t="s">
        <v>87</v>
      </c>
    </row>
    <row r="70" spans="1:21" x14ac:dyDescent="0.25">
      <c r="A70" s="10" t="s">
        <v>19</v>
      </c>
      <c r="B70" s="10" t="s">
        <v>61</v>
      </c>
      <c r="C70" s="10" t="s">
        <v>279</v>
      </c>
      <c r="D70" s="10" t="s">
        <v>280</v>
      </c>
      <c r="E70" s="10" t="s">
        <v>281</v>
      </c>
      <c r="F70" s="10" t="s">
        <v>282</v>
      </c>
      <c r="G70" s="10" t="s">
        <v>92</v>
      </c>
      <c r="H70" s="10" t="s">
        <v>283</v>
      </c>
      <c r="I70" s="10" t="s">
        <v>108</v>
      </c>
      <c r="J70" s="10" t="s">
        <v>157</v>
      </c>
      <c r="K70" s="10" t="s">
        <v>71</v>
      </c>
      <c r="L70" s="10" t="s">
        <v>71</v>
      </c>
      <c r="M70" s="12">
        <v>23.75</v>
      </c>
      <c r="N70" s="10" t="s">
        <v>72</v>
      </c>
      <c r="O70" s="10" t="s">
        <v>158</v>
      </c>
      <c r="P70" s="10" t="s">
        <v>86</v>
      </c>
      <c r="Q70" s="12">
        <v>15.44</v>
      </c>
      <c r="R70" s="10" t="s">
        <v>75</v>
      </c>
      <c r="S70" s="10" t="s">
        <v>0</v>
      </c>
      <c r="T70" s="10" t="s">
        <v>0</v>
      </c>
      <c r="U70" s="10" t="s">
        <v>159</v>
      </c>
    </row>
    <row r="71" spans="1:21" x14ac:dyDescent="0.25">
      <c r="A71" s="9" t="s">
        <v>19</v>
      </c>
      <c r="B71" s="9" t="s">
        <v>61</v>
      </c>
      <c r="C71" s="9" t="s">
        <v>284</v>
      </c>
      <c r="D71" s="9" t="s">
        <v>285</v>
      </c>
      <c r="E71" s="9" t="s">
        <v>321</v>
      </c>
      <c r="F71" s="9" t="s">
        <v>322</v>
      </c>
      <c r="G71" s="9" t="s">
        <v>66</v>
      </c>
      <c r="H71" s="9" t="s">
        <v>288</v>
      </c>
      <c r="I71" s="9" t="s">
        <v>68</v>
      </c>
      <c r="J71" s="9" t="s">
        <v>118</v>
      </c>
      <c r="K71" s="9" t="s">
        <v>213</v>
      </c>
      <c r="L71" s="9" t="s">
        <v>71</v>
      </c>
      <c r="M71" s="11">
        <v>22.42</v>
      </c>
      <c r="N71" s="9" t="s">
        <v>72</v>
      </c>
      <c r="O71" s="9" t="s">
        <v>121</v>
      </c>
      <c r="P71" s="9" t="s">
        <v>86</v>
      </c>
      <c r="Q71" s="11">
        <v>0.78</v>
      </c>
      <c r="R71" s="9" t="s">
        <v>289</v>
      </c>
      <c r="S71" s="9" t="s">
        <v>0</v>
      </c>
      <c r="T71" s="9" t="s">
        <v>0</v>
      </c>
      <c r="U71" s="9" t="s">
        <v>122</v>
      </c>
    </row>
    <row r="72" spans="1:21" x14ac:dyDescent="0.25">
      <c r="A72" s="10" t="s">
        <v>19</v>
      </c>
      <c r="B72" s="10" t="s">
        <v>165</v>
      </c>
      <c r="C72" s="10" t="s">
        <v>221</v>
      </c>
      <c r="D72" s="10" t="s">
        <v>222</v>
      </c>
      <c r="E72" s="10" t="s">
        <v>323</v>
      </c>
      <c r="F72" s="10" t="s">
        <v>324</v>
      </c>
      <c r="G72" s="10" t="s">
        <v>92</v>
      </c>
      <c r="H72" s="10" t="s">
        <v>325</v>
      </c>
      <c r="I72" s="10" t="s">
        <v>292</v>
      </c>
      <c r="J72" s="10" t="s">
        <v>83</v>
      </c>
      <c r="K72" s="10" t="s">
        <v>71</v>
      </c>
      <c r="L72" s="10" t="s">
        <v>95</v>
      </c>
      <c r="M72" s="12">
        <v>-87.75</v>
      </c>
      <c r="N72" s="10" t="s">
        <v>72</v>
      </c>
      <c r="O72" s="10" t="s">
        <v>252</v>
      </c>
      <c r="P72" s="10" t="s">
        <v>86</v>
      </c>
      <c r="Q72" s="12">
        <v>-92.14</v>
      </c>
      <c r="R72" s="10" t="s">
        <v>289</v>
      </c>
      <c r="S72" s="10" t="s">
        <v>0</v>
      </c>
      <c r="T72" s="10" t="s">
        <v>0</v>
      </c>
      <c r="U72" s="10" t="s">
        <v>87</v>
      </c>
    </row>
    <row r="73" spans="1:21" x14ac:dyDescent="0.25">
      <c r="A73" s="9" t="s">
        <v>19</v>
      </c>
      <c r="B73" s="9" t="s">
        <v>165</v>
      </c>
      <c r="C73" s="9" t="s">
        <v>147</v>
      </c>
      <c r="D73" s="9" t="s">
        <v>148</v>
      </c>
      <c r="E73" s="9" t="s">
        <v>326</v>
      </c>
      <c r="F73" s="9" t="s">
        <v>327</v>
      </c>
      <c r="G73" s="9" t="s">
        <v>66</v>
      </c>
      <c r="H73" s="9" t="s">
        <v>328</v>
      </c>
      <c r="I73" s="9" t="s">
        <v>128</v>
      </c>
      <c r="J73" s="9" t="s">
        <v>197</v>
      </c>
      <c r="K73" s="9" t="s">
        <v>226</v>
      </c>
      <c r="L73" s="9" t="s">
        <v>95</v>
      </c>
      <c r="M73" s="11">
        <v>-45</v>
      </c>
      <c r="N73" s="9" t="s">
        <v>72</v>
      </c>
      <c r="O73" s="9" t="s">
        <v>121</v>
      </c>
      <c r="P73" s="9" t="s">
        <v>86</v>
      </c>
      <c r="Q73" s="11">
        <v>-1.58</v>
      </c>
      <c r="R73" s="9" t="s">
        <v>289</v>
      </c>
      <c r="S73" s="9" t="s">
        <v>0</v>
      </c>
      <c r="T73" s="9" t="s">
        <v>0</v>
      </c>
      <c r="U73" s="9" t="s">
        <v>329</v>
      </c>
    </row>
    <row r="74" spans="1:21" x14ac:dyDescent="0.25">
      <c r="A74" s="10" t="s">
        <v>19</v>
      </c>
      <c r="B74" s="10" t="s">
        <v>61</v>
      </c>
      <c r="C74" s="10" t="s">
        <v>77</v>
      </c>
      <c r="D74" s="10" t="s">
        <v>78</v>
      </c>
      <c r="E74" s="10" t="s">
        <v>79</v>
      </c>
      <c r="F74" s="10" t="s">
        <v>330</v>
      </c>
      <c r="G74" s="10" t="s">
        <v>81</v>
      </c>
      <c r="H74" s="10" t="s">
        <v>82</v>
      </c>
      <c r="I74" s="10" t="s">
        <v>68</v>
      </c>
      <c r="J74" s="10" t="s">
        <v>94</v>
      </c>
      <c r="K74" s="10" t="s">
        <v>82</v>
      </c>
      <c r="L74" s="10" t="s">
        <v>84</v>
      </c>
      <c r="M74" s="12">
        <v>35.630000000000003</v>
      </c>
      <c r="N74" s="10" t="s">
        <v>72</v>
      </c>
      <c r="O74" s="10" t="s">
        <v>85</v>
      </c>
      <c r="P74" s="10" t="s">
        <v>86</v>
      </c>
      <c r="Q74" s="12">
        <v>33.85</v>
      </c>
      <c r="R74" s="10" t="s">
        <v>75</v>
      </c>
      <c r="S74" s="10" t="s">
        <v>0</v>
      </c>
      <c r="T74" s="10" t="s">
        <v>0</v>
      </c>
      <c r="U74" s="10" t="s">
        <v>97</v>
      </c>
    </row>
    <row r="75" spans="1:21" x14ac:dyDescent="0.25">
      <c r="A75" s="9" t="s">
        <v>19</v>
      </c>
      <c r="B75" s="9" t="s">
        <v>165</v>
      </c>
      <c r="C75" s="9" t="s">
        <v>331</v>
      </c>
      <c r="D75" s="9" t="s">
        <v>332</v>
      </c>
      <c r="E75" s="9" t="s">
        <v>333</v>
      </c>
      <c r="F75" s="9" t="s">
        <v>334</v>
      </c>
      <c r="G75" s="9" t="s">
        <v>81</v>
      </c>
      <c r="H75" s="9" t="s">
        <v>335</v>
      </c>
      <c r="I75" s="9" t="s">
        <v>108</v>
      </c>
      <c r="J75" s="9" t="s">
        <v>83</v>
      </c>
      <c r="K75" s="9" t="s">
        <v>198</v>
      </c>
      <c r="L75" s="9" t="s">
        <v>71</v>
      </c>
      <c r="M75" s="11">
        <v>-44.29</v>
      </c>
      <c r="N75" s="9" t="s">
        <v>72</v>
      </c>
      <c r="O75" s="9" t="s">
        <v>96</v>
      </c>
      <c r="P75" s="9" t="s">
        <v>86</v>
      </c>
      <c r="Q75" s="11">
        <v>-44.29</v>
      </c>
      <c r="R75" s="9" t="s">
        <v>75</v>
      </c>
      <c r="S75" s="9" t="s">
        <v>0</v>
      </c>
      <c r="T75" s="9" t="s">
        <v>0</v>
      </c>
      <c r="U75" s="9" t="s">
        <v>87</v>
      </c>
    </row>
    <row r="76" spans="1:21" x14ac:dyDescent="0.25">
      <c r="A76" s="10" t="s">
        <v>19</v>
      </c>
      <c r="B76" s="10" t="s">
        <v>165</v>
      </c>
      <c r="C76" s="10" t="s">
        <v>336</v>
      </c>
      <c r="D76" s="10" t="s">
        <v>337</v>
      </c>
      <c r="E76" s="10" t="s">
        <v>338</v>
      </c>
      <c r="F76" s="10" t="s">
        <v>339</v>
      </c>
      <c r="G76" s="10" t="s">
        <v>66</v>
      </c>
      <c r="H76" s="10" t="s">
        <v>340</v>
      </c>
      <c r="I76" s="10" t="s">
        <v>341</v>
      </c>
      <c r="J76" s="10" t="s">
        <v>129</v>
      </c>
      <c r="K76" s="10" t="s">
        <v>169</v>
      </c>
      <c r="L76" s="10" t="s">
        <v>95</v>
      </c>
      <c r="M76" s="12">
        <v>-104.09</v>
      </c>
      <c r="N76" s="10" t="s">
        <v>72</v>
      </c>
      <c r="O76" s="10" t="s">
        <v>164</v>
      </c>
      <c r="P76" s="10" t="s">
        <v>86</v>
      </c>
      <c r="Q76" s="12">
        <v>-3.9</v>
      </c>
      <c r="R76" s="10" t="s">
        <v>289</v>
      </c>
      <c r="S76" s="10" t="s">
        <v>0</v>
      </c>
      <c r="T76" s="10" t="s">
        <v>0</v>
      </c>
      <c r="U76" s="10" t="s">
        <v>132</v>
      </c>
    </row>
    <row r="77" spans="1:21" x14ac:dyDescent="0.25">
      <c r="A77" s="9" t="s">
        <v>19</v>
      </c>
      <c r="B77" s="9" t="s">
        <v>61</v>
      </c>
      <c r="C77" s="9" t="s">
        <v>268</v>
      </c>
      <c r="D77" s="9" t="s">
        <v>269</v>
      </c>
      <c r="E77" s="9" t="s">
        <v>342</v>
      </c>
      <c r="F77" s="9" t="s">
        <v>343</v>
      </c>
      <c r="G77" s="9" t="s">
        <v>81</v>
      </c>
      <c r="H77" s="9" t="s">
        <v>344</v>
      </c>
      <c r="I77" s="9" t="s">
        <v>108</v>
      </c>
      <c r="J77" s="9" t="s">
        <v>157</v>
      </c>
      <c r="K77" s="9" t="s">
        <v>261</v>
      </c>
      <c r="L77" s="9" t="s">
        <v>345</v>
      </c>
      <c r="M77" s="11">
        <v>7.08</v>
      </c>
      <c r="N77" s="9" t="s">
        <v>72</v>
      </c>
      <c r="O77" s="9" t="s">
        <v>158</v>
      </c>
      <c r="P77" s="9" t="s">
        <v>86</v>
      </c>
      <c r="Q77" s="11">
        <v>4.5999999999999996</v>
      </c>
      <c r="R77" s="9" t="s">
        <v>75</v>
      </c>
      <c r="S77" s="9" t="s">
        <v>0</v>
      </c>
      <c r="T77" s="9" t="s">
        <v>0</v>
      </c>
      <c r="U77" s="9" t="s">
        <v>159</v>
      </c>
    </row>
    <row r="78" spans="1:21" x14ac:dyDescent="0.25">
      <c r="A78" s="10" t="s">
        <v>19</v>
      </c>
      <c r="B78" s="10" t="s">
        <v>61</v>
      </c>
      <c r="C78" s="10" t="s">
        <v>268</v>
      </c>
      <c r="D78" s="10" t="s">
        <v>269</v>
      </c>
      <c r="E78" s="10" t="s">
        <v>342</v>
      </c>
      <c r="F78" s="10" t="s">
        <v>343</v>
      </c>
      <c r="G78" s="10" t="s">
        <v>81</v>
      </c>
      <c r="H78" s="10" t="s">
        <v>344</v>
      </c>
      <c r="I78" s="10" t="s">
        <v>108</v>
      </c>
      <c r="J78" s="10" t="s">
        <v>157</v>
      </c>
      <c r="K78" s="10" t="s">
        <v>261</v>
      </c>
      <c r="L78" s="10" t="s">
        <v>345</v>
      </c>
      <c r="M78" s="12">
        <v>34.42</v>
      </c>
      <c r="N78" s="10" t="s">
        <v>72</v>
      </c>
      <c r="O78" s="10" t="s">
        <v>158</v>
      </c>
      <c r="P78" s="10" t="s">
        <v>86</v>
      </c>
      <c r="Q78" s="12">
        <v>22.37</v>
      </c>
      <c r="R78" s="10" t="s">
        <v>75</v>
      </c>
      <c r="S78" s="10" t="s">
        <v>0</v>
      </c>
      <c r="T78" s="10" t="s">
        <v>0</v>
      </c>
      <c r="U78" s="10" t="s">
        <v>159</v>
      </c>
    </row>
    <row r="79" spans="1:21" x14ac:dyDescent="0.25">
      <c r="A79" s="9" t="s">
        <v>19</v>
      </c>
      <c r="B79" s="9" t="s">
        <v>61</v>
      </c>
      <c r="C79" s="9" t="s">
        <v>147</v>
      </c>
      <c r="D79" s="9" t="s">
        <v>148</v>
      </c>
      <c r="E79" s="9" t="s">
        <v>346</v>
      </c>
      <c r="F79" s="9" t="s">
        <v>347</v>
      </c>
      <c r="G79" s="9" t="s">
        <v>66</v>
      </c>
      <c r="H79" s="9" t="s">
        <v>348</v>
      </c>
      <c r="I79" s="9" t="s">
        <v>128</v>
      </c>
      <c r="J79" s="9" t="s">
        <v>197</v>
      </c>
      <c r="K79" s="9" t="s">
        <v>349</v>
      </c>
      <c r="L79" s="9" t="s">
        <v>71</v>
      </c>
      <c r="M79" s="11">
        <v>45</v>
      </c>
      <c r="N79" s="9" t="s">
        <v>72</v>
      </c>
      <c r="O79" s="9" t="s">
        <v>164</v>
      </c>
      <c r="P79" s="9" t="s">
        <v>86</v>
      </c>
      <c r="Q79" s="11">
        <v>1.69</v>
      </c>
      <c r="R79" s="9" t="s">
        <v>75</v>
      </c>
      <c r="S79" s="9" t="s">
        <v>0</v>
      </c>
      <c r="T79" s="9" t="s">
        <v>0</v>
      </c>
      <c r="U79" s="9" t="s">
        <v>329</v>
      </c>
    </row>
    <row r="80" spans="1:21" x14ac:dyDescent="0.25">
      <c r="A80" s="10" t="s">
        <v>19</v>
      </c>
      <c r="B80" s="10" t="s">
        <v>61</v>
      </c>
      <c r="C80" s="10" t="s">
        <v>147</v>
      </c>
      <c r="D80" s="10" t="s">
        <v>148</v>
      </c>
      <c r="E80" s="10" t="s">
        <v>350</v>
      </c>
      <c r="F80" s="10" t="s">
        <v>351</v>
      </c>
      <c r="G80" s="10" t="s">
        <v>81</v>
      </c>
      <c r="H80" s="10" t="s">
        <v>352</v>
      </c>
      <c r="I80" s="10" t="s">
        <v>317</v>
      </c>
      <c r="J80" s="10" t="s">
        <v>232</v>
      </c>
      <c r="K80" s="10" t="s">
        <v>198</v>
      </c>
      <c r="L80" s="10" t="s">
        <v>71</v>
      </c>
      <c r="M80" s="12">
        <v>26.42</v>
      </c>
      <c r="N80" s="10" t="s">
        <v>72</v>
      </c>
      <c r="O80" s="10" t="s">
        <v>353</v>
      </c>
      <c r="P80" s="10" t="s">
        <v>86</v>
      </c>
      <c r="Q80" s="12">
        <v>24.04</v>
      </c>
      <c r="R80" s="10" t="s">
        <v>75</v>
      </c>
      <c r="S80" s="10" t="s">
        <v>0</v>
      </c>
      <c r="T80" s="10" t="s">
        <v>0</v>
      </c>
      <c r="U80" s="10" t="s">
        <v>354</v>
      </c>
    </row>
    <row r="81" spans="1:21" x14ac:dyDescent="0.25">
      <c r="A81" s="9" t="s">
        <v>19</v>
      </c>
      <c r="B81" s="9" t="s">
        <v>61</v>
      </c>
      <c r="C81" s="9" t="s">
        <v>147</v>
      </c>
      <c r="D81" s="9" t="s">
        <v>148</v>
      </c>
      <c r="E81" s="9" t="s">
        <v>350</v>
      </c>
      <c r="F81" s="9" t="s">
        <v>355</v>
      </c>
      <c r="G81" s="9" t="s">
        <v>81</v>
      </c>
      <c r="H81" s="9" t="s">
        <v>352</v>
      </c>
      <c r="I81" s="9" t="s">
        <v>317</v>
      </c>
      <c r="J81" s="9" t="s">
        <v>83</v>
      </c>
      <c r="K81" s="9" t="s">
        <v>198</v>
      </c>
      <c r="L81" s="9" t="s">
        <v>71</v>
      </c>
      <c r="M81" s="11">
        <v>55.25</v>
      </c>
      <c r="N81" s="9" t="s">
        <v>72</v>
      </c>
      <c r="O81" s="9" t="s">
        <v>353</v>
      </c>
      <c r="P81" s="9" t="s">
        <v>86</v>
      </c>
      <c r="Q81" s="11">
        <v>50.28</v>
      </c>
      <c r="R81" s="9" t="s">
        <v>75</v>
      </c>
      <c r="S81" s="9" t="s">
        <v>0</v>
      </c>
      <c r="T81" s="9" t="s">
        <v>0</v>
      </c>
      <c r="U81" s="9" t="s">
        <v>356</v>
      </c>
    </row>
    <row r="82" spans="1:21" x14ac:dyDescent="0.25">
      <c r="A82" s="10" t="s">
        <v>19</v>
      </c>
      <c r="B82" s="10" t="s">
        <v>61</v>
      </c>
      <c r="C82" s="10" t="s">
        <v>357</v>
      </c>
      <c r="D82" s="10" t="s">
        <v>358</v>
      </c>
      <c r="E82" s="10" t="s">
        <v>359</v>
      </c>
      <c r="F82" s="10" t="s">
        <v>360</v>
      </c>
      <c r="G82" s="10" t="s">
        <v>81</v>
      </c>
      <c r="H82" s="10" t="s">
        <v>361</v>
      </c>
      <c r="I82" s="10" t="s">
        <v>108</v>
      </c>
      <c r="J82" s="10" t="s">
        <v>235</v>
      </c>
      <c r="K82" s="10" t="s">
        <v>362</v>
      </c>
      <c r="L82" s="10" t="s">
        <v>71</v>
      </c>
      <c r="M82" s="12">
        <v>88.75</v>
      </c>
      <c r="N82" s="10" t="s">
        <v>72</v>
      </c>
      <c r="O82" s="10" t="s">
        <v>252</v>
      </c>
      <c r="P82" s="10" t="s">
        <v>86</v>
      </c>
      <c r="Q82" s="12">
        <v>93.19</v>
      </c>
      <c r="R82" s="10" t="s">
        <v>75</v>
      </c>
      <c r="S82" s="10" t="s">
        <v>0</v>
      </c>
      <c r="T82" s="10" t="s">
        <v>0</v>
      </c>
      <c r="U82" s="10" t="s">
        <v>236</v>
      </c>
    </row>
    <row r="83" spans="1:21" x14ac:dyDescent="0.25">
      <c r="A83" s="9" t="s">
        <v>19</v>
      </c>
      <c r="B83" s="9" t="s">
        <v>61</v>
      </c>
      <c r="C83" s="9" t="s">
        <v>237</v>
      </c>
      <c r="D83" s="9" t="s">
        <v>238</v>
      </c>
      <c r="E83" s="9" t="s">
        <v>239</v>
      </c>
      <c r="F83" s="9" t="s">
        <v>363</v>
      </c>
      <c r="G83" s="9" t="s">
        <v>66</v>
      </c>
      <c r="H83" s="9" t="s">
        <v>241</v>
      </c>
      <c r="I83" s="9" t="s">
        <v>128</v>
      </c>
      <c r="J83" s="9" t="s">
        <v>83</v>
      </c>
      <c r="K83" s="9" t="s">
        <v>226</v>
      </c>
      <c r="L83" s="9" t="s">
        <v>71</v>
      </c>
      <c r="M83" s="11">
        <v>41.7</v>
      </c>
      <c r="N83" s="9" t="s">
        <v>72</v>
      </c>
      <c r="O83" s="9" t="s">
        <v>227</v>
      </c>
      <c r="P83" s="9" t="s">
        <v>86</v>
      </c>
      <c r="Q83" s="11">
        <v>3.13</v>
      </c>
      <c r="R83" s="9" t="s">
        <v>75</v>
      </c>
      <c r="S83" s="9" t="s">
        <v>0</v>
      </c>
      <c r="T83" s="9" t="s">
        <v>0</v>
      </c>
      <c r="U83" s="9" t="s">
        <v>87</v>
      </c>
    </row>
    <row r="84" spans="1:21" x14ac:dyDescent="0.25">
      <c r="A84" s="10" t="s">
        <v>19</v>
      </c>
      <c r="B84" s="10" t="s">
        <v>61</v>
      </c>
      <c r="C84" s="10" t="s">
        <v>221</v>
      </c>
      <c r="D84" s="10" t="s">
        <v>222</v>
      </c>
      <c r="E84" s="10" t="s">
        <v>364</v>
      </c>
      <c r="F84" s="10" t="s">
        <v>365</v>
      </c>
      <c r="G84" s="10" t="s">
        <v>81</v>
      </c>
      <c r="H84" s="10" t="s">
        <v>366</v>
      </c>
      <c r="I84" s="10" t="s">
        <v>367</v>
      </c>
      <c r="J84" s="10" t="s">
        <v>157</v>
      </c>
      <c r="K84" s="10" t="s">
        <v>198</v>
      </c>
      <c r="L84" s="10" t="s">
        <v>71</v>
      </c>
      <c r="M84" s="12">
        <v>2.33</v>
      </c>
      <c r="N84" s="10" t="s">
        <v>72</v>
      </c>
      <c r="O84" s="10" t="s">
        <v>203</v>
      </c>
      <c r="P84" s="10" t="s">
        <v>86</v>
      </c>
      <c r="Q84" s="12">
        <v>1.35</v>
      </c>
      <c r="R84" s="10" t="s">
        <v>75</v>
      </c>
      <c r="S84" s="10" t="s">
        <v>0</v>
      </c>
      <c r="T84" s="10" t="s">
        <v>0</v>
      </c>
      <c r="U84" s="10" t="s">
        <v>159</v>
      </c>
    </row>
    <row r="85" spans="1:21" x14ac:dyDescent="0.25">
      <c r="A85" s="9" t="s">
        <v>19</v>
      </c>
      <c r="B85" s="9" t="s">
        <v>61</v>
      </c>
      <c r="C85" s="9" t="s">
        <v>221</v>
      </c>
      <c r="D85" s="9" t="s">
        <v>222</v>
      </c>
      <c r="E85" s="9" t="s">
        <v>364</v>
      </c>
      <c r="F85" s="9" t="s">
        <v>368</v>
      </c>
      <c r="G85" s="9" t="s">
        <v>81</v>
      </c>
      <c r="H85" s="9" t="s">
        <v>366</v>
      </c>
      <c r="I85" s="9" t="s">
        <v>367</v>
      </c>
      <c r="J85" s="9" t="s">
        <v>83</v>
      </c>
      <c r="K85" s="9" t="s">
        <v>198</v>
      </c>
      <c r="L85" s="9" t="s">
        <v>71</v>
      </c>
      <c r="M85" s="11">
        <v>62.78</v>
      </c>
      <c r="N85" s="9" t="s">
        <v>72</v>
      </c>
      <c r="O85" s="9" t="s">
        <v>85</v>
      </c>
      <c r="P85" s="9" t="s">
        <v>86</v>
      </c>
      <c r="Q85" s="11">
        <v>59.64</v>
      </c>
      <c r="R85" s="9" t="s">
        <v>75</v>
      </c>
      <c r="S85" s="9" t="s">
        <v>0</v>
      </c>
      <c r="T85" s="9" t="s">
        <v>0</v>
      </c>
      <c r="U85" s="9" t="s">
        <v>87</v>
      </c>
    </row>
    <row r="86" spans="1:21" x14ac:dyDescent="0.25">
      <c r="A86" s="10" t="s">
        <v>19</v>
      </c>
      <c r="B86" s="10" t="s">
        <v>61</v>
      </c>
      <c r="C86" s="10" t="s">
        <v>221</v>
      </c>
      <c r="D86" s="10" t="s">
        <v>222</v>
      </c>
      <c r="E86" s="10" t="s">
        <v>364</v>
      </c>
      <c r="F86" s="10" t="s">
        <v>365</v>
      </c>
      <c r="G86" s="10" t="s">
        <v>81</v>
      </c>
      <c r="H86" s="10" t="s">
        <v>366</v>
      </c>
      <c r="I86" s="10" t="s">
        <v>367</v>
      </c>
      <c r="J86" s="10" t="s">
        <v>157</v>
      </c>
      <c r="K86" s="10" t="s">
        <v>198</v>
      </c>
      <c r="L86" s="10" t="s">
        <v>71</v>
      </c>
      <c r="M86" s="12">
        <v>9.9700000000000006</v>
      </c>
      <c r="N86" s="10" t="s">
        <v>72</v>
      </c>
      <c r="O86" s="10" t="s">
        <v>203</v>
      </c>
      <c r="P86" s="10" t="s">
        <v>86</v>
      </c>
      <c r="Q86" s="12">
        <v>5.78</v>
      </c>
      <c r="R86" s="10" t="s">
        <v>75</v>
      </c>
      <c r="S86" s="10" t="s">
        <v>0</v>
      </c>
      <c r="T86" s="10" t="s">
        <v>0</v>
      </c>
      <c r="U86" s="10" t="s">
        <v>159</v>
      </c>
    </row>
    <row r="87" spans="1:21" x14ac:dyDescent="0.25">
      <c r="A87" s="9" t="s">
        <v>19</v>
      </c>
      <c r="B87" s="9" t="s">
        <v>61</v>
      </c>
      <c r="C87" s="9" t="s">
        <v>221</v>
      </c>
      <c r="D87" s="9" t="s">
        <v>222</v>
      </c>
      <c r="E87" s="9" t="s">
        <v>364</v>
      </c>
      <c r="F87" s="9" t="s">
        <v>365</v>
      </c>
      <c r="G87" s="9" t="s">
        <v>81</v>
      </c>
      <c r="H87" s="9" t="s">
        <v>366</v>
      </c>
      <c r="I87" s="9" t="s">
        <v>367</v>
      </c>
      <c r="J87" s="9" t="s">
        <v>157</v>
      </c>
      <c r="K87" s="9" t="s">
        <v>198</v>
      </c>
      <c r="L87" s="9" t="s">
        <v>71</v>
      </c>
      <c r="M87" s="11">
        <v>8.82</v>
      </c>
      <c r="N87" s="9" t="s">
        <v>72</v>
      </c>
      <c r="O87" s="9" t="s">
        <v>203</v>
      </c>
      <c r="P87" s="9" t="s">
        <v>86</v>
      </c>
      <c r="Q87" s="11">
        <v>5.12</v>
      </c>
      <c r="R87" s="9" t="s">
        <v>75</v>
      </c>
      <c r="S87" s="9" t="s">
        <v>0</v>
      </c>
      <c r="T87" s="9" t="s">
        <v>0</v>
      </c>
      <c r="U87" s="9" t="s">
        <v>159</v>
      </c>
    </row>
    <row r="88" spans="1:21" x14ac:dyDescent="0.25">
      <c r="A88" s="10" t="s">
        <v>19</v>
      </c>
      <c r="B88" s="10" t="s">
        <v>61</v>
      </c>
      <c r="C88" s="10" t="s">
        <v>369</v>
      </c>
      <c r="D88" s="10" t="s">
        <v>370</v>
      </c>
      <c r="E88" s="10" t="s">
        <v>371</v>
      </c>
      <c r="F88" s="10" t="s">
        <v>372</v>
      </c>
      <c r="G88" s="10" t="s">
        <v>81</v>
      </c>
      <c r="H88" s="10" t="s">
        <v>373</v>
      </c>
      <c r="I88" s="10" t="s">
        <v>108</v>
      </c>
      <c r="J88" s="10" t="s">
        <v>293</v>
      </c>
      <c r="K88" s="10" t="s">
        <v>374</v>
      </c>
      <c r="L88" s="10" t="s">
        <v>375</v>
      </c>
      <c r="M88" s="12">
        <v>75.010000000000005</v>
      </c>
      <c r="N88" s="10" t="s">
        <v>72</v>
      </c>
      <c r="O88" s="10" t="s">
        <v>203</v>
      </c>
      <c r="P88" s="10" t="s">
        <v>86</v>
      </c>
      <c r="Q88" s="12">
        <v>43.51</v>
      </c>
      <c r="R88" s="10" t="s">
        <v>75</v>
      </c>
      <c r="S88" s="10" t="s">
        <v>0</v>
      </c>
      <c r="T88" s="10" t="s">
        <v>0</v>
      </c>
      <c r="U88" s="10" t="s">
        <v>294</v>
      </c>
    </row>
    <row r="89" spans="1:21" x14ac:dyDescent="0.25">
      <c r="A89" s="9" t="s">
        <v>19</v>
      </c>
      <c r="B89" s="9" t="s">
        <v>61</v>
      </c>
      <c r="C89" s="9" t="s">
        <v>221</v>
      </c>
      <c r="D89" s="9" t="s">
        <v>222</v>
      </c>
      <c r="E89" s="9" t="s">
        <v>364</v>
      </c>
      <c r="F89" s="9" t="s">
        <v>365</v>
      </c>
      <c r="G89" s="9" t="s">
        <v>81</v>
      </c>
      <c r="H89" s="9" t="s">
        <v>366</v>
      </c>
      <c r="I89" s="9" t="s">
        <v>367</v>
      </c>
      <c r="J89" s="9" t="s">
        <v>157</v>
      </c>
      <c r="K89" s="9" t="s">
        <v>198</v>
      </c>
      <c r="L89" s="9" t="s">
        <v>71</v>
      </c>
      <c r="M89" s="11">
        <v>24.2</v>
      </c>
      <c r="N89" s="9" t="s">
        <v>72</v>
      </c>
      <c r="O89" s="9" t="s">
        <v>203</v>
      </c>
      <c r="P89" s="9" t="s">
        <v>86</v>
      </c>
      <c r="Q89" s="11">
        <v>14.04</v>
      </c>
      <c r="R89" s="9" t="s">
        <v>75</v>
      </c>
      <c r="S89" s="9" t="s">
        <v>0</v>
      </c>
      <c r="T89" s="9" t="s">
        <v>0</v>
      </c>
      <c r="U89" s="9" t="s">
        <v>159</v>
      </c>
    </row>
    <row r="90" spans="1:21" x14ac:dyDescent="0.25">
      <c r="A90" s="10" t="s">
        <v>19</v>
      </c>
      <c r="B90" s="10" t="s">
        <v>61</v>
      </c>
      <c r="C90" s="10" t="s">
        <v>77</v>
      </c>
      <c r="D90" s="10" t="s">
        <v>78</v>
      </c>
      <c r="E90" s="10" t="s">
        <v>376</v>
      </c>
      <c r="F90" s="10" t="s">
        <v>377</v>
      </c>
      <c r="G90" s="10" t="s">
        <v>66</v>
      </c>
      <c r="H90" s="10" t="s">
        <v>378</v>
      </c>
      <c r="I90" s="10" t="s">
        <v>68</v>
      </c>
      <c r="J90" s="10" t="s">
        <v>118</v>
      </c>
      <c r="K90" s="10" t="s">
        <v>379</v>
      </c>
      <c r="L90" s="10" t="s">
        <v>71</v>
      </c>
      <c r="M90" s="12">
        <v>22.42</v>
      </c>
      <c r="N90" s="10" t="s">
        <v>72</v>
      </c>
      <c r="O90" s="10" t="s">
        <v>121</v>
      </c>
      <c r="P90" s="10" t="s">
        <v>86</v>
      </c>
      <c r="Q90" s="12">
        <v>0.78</v>
      </c>
      <c r="R90" s="10" t="s">
        <v>75</v>
      </c>
      <c r="S90" s="10" t="s">
        <v>0</v>
      </c>
      <c r="T90" s="10" t="s">
        <v>0</v>
      </c>
      <c r="U90" s="10" t="s">
        <v>122</v>
      </c>
    </row>
    <row r="91" spans="1:21" x14ac:dyDescent="0.25">
      <c r="A91" s="9" t="s">
        <v>18</v>
      </c>
      <c r="B91" s="9" t="s">
        <v>61</v>
      </c>
      <c r="C91" s="9" t="s">
        <v>113</v>
      </c>
      <c r="D91" s="9" t="s">
        <v>114</v>
      </c>
      <c r="E91" s="9" t="s">
        <v>380</v>
      </c>
      <c r="F91" s="9" t="s">
        <v>381</v>
      </c>
      <c r="G91" s="9" t="s">
        <v>66</v>
      </c>
      <c r="H91" s="9" t="s">
        <v>382</v>
      </c>
      <c r="I91" s="9" t="s">
        <v>68</v>
      </c>
      <c r="J91" s="9" t="s">
        <v>383</v>
      </c>
      <c r="K91" s="9" t="s">
        <v>384</v>
      </c>
      <c r="L91" s="9" t="s">
        <v>71</v>
      </c>
      <c r="M91" s="11">
        <v>123.53</v>
      </c>
      <c r="N91" s="9" t="s">
        <v>72</v>
      </c>
      <c r="O91" s="9" t="s">
        <v>385</v>
      </c>
      <c r="P91" s="9" t="s">
        <v>86</v>
      </c>
      <c r="Q91" s="11">
        <v>37.06</v>
      </c>
      <c r="R91" s="9" t="s">
        <v>75</v>
      </c>
      <c r="S91" s="9" t="s">
        <v>0</v>
      </c>
      <c r="T91" s="9" t="s">
        <v>0</v>
      </c>
      <c r="U91" s="9" t="s">
        <v>386</v>
      </c>
    </row>
    <row r="92" spans="1:21" x14ac:dyDescent="0.25">
      <c r="A92" s="10" t="s">
        <v>19</v>
      </c>
      <c r="B92" s="10" t="s">
        <v>165</v>
      </c>
      <c r="C92" s="10" t="s">
        <v>336</v>
      </c>
      <c r="D92" s="10" t="s">
        <v>337</v>
      </c>
      <c r="E92" s="10" t="s">
        <v>338</v>
      </c>
      <c r="F92" s="10" t="s">
        <v>387</v>
      </c>
      <c r="G92" s="10" t="s">
        <v>66</v>
      </c>
      <c r="H92" s="10" t="s">
        <v>340</v>
      </c>
      <c r="I92" s="10" t="s">
        <v>341</v>
      </c>
      <c r="J92" s="10" t="s">
        <v>94</v>
      </c>
      <c r="K92" s="10" t="s">
        <v>169</v>
      </c>
      <c r="L92" s="10" t="s">
        <v>95</v>
      </c>
      <c r="M92" s="12">
        <v>-12.76</v>
      </c>
      <c r="N92" s="10" t="s">
        <v>72</v>
      </c>
      <c r="O92" s="10" t="s">
        <v>388</v>
      </c>
      <c r="P92" s="10" t="s">
        <v>86</v>
      </c>
      <c r="Q92" s="12">
        <v>-1.02</v>
      </c>
      <c r="R92" s="10" t="s">
        <v>289</v>
      </c>
      <c r="S92" s="10" t="s">
        <v>0</v>
      </c>
      <c r="T92" s="10" t="s">
        <v>0</v>
      </c>
      <c r="U92" s="10" t="s">
        <v>97</v>
      </c>
    </row>
    <row r="93" spans="1:21" x14ac:dyDescent="0.25">
      <c r="A93" s="9" t="s">
        <v>18</v>
      </c>
      <c r="B93" s="9" t="s">
        <v>61</v>
      </c>
      <c r="C93" s="9" t="s">
        <v>237</v>
      </c>
      <c r="D93" s="9" t="s">
        <v>238</v>
      </c>
      <c r="E93" s="9" t="s">
        <v>389</v>
      </c>
      <c r="F93" s="9" t="s">
        <v>390</v>
      </c>
      <c r="G93" s="9" t="s">
        <v>66</v>
      </c>
      <c r="H93" s="9" t="s">
        <v>391</v>
      </c>
      <c r="I93" s="9" t="s">
        <v>128</v>
      </c>
      <c r="J93" s="9" t="s">
        <v>69</v>
      </c>
      <c r="K93" s="9" t="s">
        <v>392</v>
      </c>
      <c r="L93" s="9" t="s">
        <v>71</v>
      </c>
      <c r="M93" s="11">
        <v>257.48</v>
      </c>
      <c r="N93" s="9" t="s">
        <v>72</v>
      </c>
      <c r="O93" s="9" t="s">
        <v>393</v>
      </c>
      <c r="P93" s="9" t="s">
        <v>86</v>
      </c>
      <c r="Q93" s="11">
        <v>64.37</v>
      </c>
      <c r="R93" s="9" t="s">
        <v>75</v>
      </c>
      <c r="S93" s="9" t="s">
        <v>0</v>
      </c>
      <c r="T93" s="9" t="s">
        <v>0</v>
      </c>
      <c r="U93" s="9" t="s">
        <v>76</v>
      </c>
    </row>
    <row r="94" spans="1:21" x14ac:dyDescent="0.25">
      <c r="A94" s="10" t="s">
        <v>19</v>
      </c>
      <c r="B94" s="10" t="s">
        <v>61</v>
      </c>
      <c r="C94" s="10" t="s">
        <v>77</v>
      </c>
      <c r="D94" s="10" t="s">
        <v>78</v>
      </c>
      <c r="E94" s="10" t="s">
        <v>394</v>
      </c>
      <c r="F94" s="10" t="s">
        <v>395</v>
      </c>
      <c r="G94" s="10" t="s">
        <v>81</v>
      </c>
      <c r="H94" s="10" t="s">
        <v>396</v>
      </c>
      <c r="I94" s="10" t="s">
        <v>68</v>
      </c>
      <c r="J94" s="10" t="s">
        <v>83</v>
      </c>
      <c r="K94" s="10" t="s">
        <v>396</v>
      </c>
      <c r="L94" s="10" t="s">
        <v>84</v>
      </c>
      <c r="M94" s="12">
        <v>26.05</v>
      </c>
      <c r="N94" s="10" t="s">
        <v>72</v>
      </c>
      <c r="O94" s="10" t="s">
        <v>85</v>
      </c>
      <c r="P94" s="10" t="s">
        <v>86</v>
      </c>
      <c r="Q94" s="12">
        <v>24.75</v>
      </c>
      <c r="R94" s="10" t="s">
        <v>75</v>
      </c>
      <c r="S94" s="10" t="s">
        <v>0</v>
      </c>
      <c r="T94" s="10" t="s">
        <v>0</v>
      </c>
      <c r="U94" s="10" t="s">
        <v>87</v>
      </c>
    </row>
    <row r="95" spans="1:21" x14ac:dyDescent="0.25">
      <c r="A95" s="9" t="s">
        <v>19</v>
      </c>
      <c r="B95" s="9" t="s">
        <v>61</v>
      </c>
      <c r="C95" s="9" t="s">
        <v>247</v>
      </c>
      <c r="D95" s="9" t="s">
        <v>248</v>
      </c>
      <c r="E95" s="9" t="s">
        <v>397</v>
      </c>
      <c r="F95" s="9" t="s">
        <v>398</v>
      </c>
      <c r="G95" s="9" t="s">
        <v>81</v>
      </c>
      <c r="H95" s="9" t="s">
        <v>399</v>
      </c>
      <c r="I95" s="9" t="s">
        <v>108</v>
      </c>
      <c r="J95" s="9" t="s">
        <v>235</v>
      </c>
      <c r="K95" s="9" t="s">
        <v>399</v>
      </c>
      <c r="L95" s="9" t="s">
        <v>278</v>
      </c>
      <c r="M95" s="11">
        <v>16.57</v>
      </c>
      <c r="N95" s="9" t="s">
        <v>72</v>
      </c>
      <c r="O95" s="9" t="s">
        <v>252</v>
      </c>
      <c r="P95" s="9" t="s">
        <v>86</v>
      </c>
      <c r="Q95" s="11">
        <v>17.399999999999999</v>
      </c>
      <c r="R95" s="9" t="s">
        <v>75</v>
      </c>
      <c r="S95" s="9" t="s">
        <v>0</v>
      </c>
      <c r="T95" s="9" t="s">
        <v>0</v>
      </c>
      <c r="U95" s="9" t="s">
        <v>236</v>
      </c>
    </row>
    <row r="96" spans="1:21" x14ac:dyDescent="0.25">
      <c r="A96" s="10" t="s">
        <v>19</v>
      </c>
      <c r="B96" s="10" t="s">
        <v>61</v>
      </c>
      <c r="C96" s="10" t="s">
        <v>77</v>
      </c>
      <c r="D96" s="10" t="s">
        <v>78</v>
      </c>
      <c r="E96" s="10" t="s">
        <v>400</v>
      </c>
      <c r="F96" s="10" t="s">
        <v>401</v>
      </c>
      <c r="G96" s="10" t="s">
        <v>92</v>
      </c>
      <c r="H96" s="10" t="s">
        <v>402</v>
      </c>
      <c r="I96" s="10" t="s">
        <v>68</v>
      </c>
      <c r="J96" s="10" t="s">
        <v>83</v>
      </c>
      <c r="K96" s="10" t="s">
        <v>102</v>
      </c>
      <c r="L96" s="10" t="s">
        <v>102</v>
      </c>
      <c r="M96" s="12">
        <v>48.66</v>
      </c>
      <c r="N96" s="10" t="s">
        <v>72</v>
      </c>
      <c r="O96" s="10" t="s">
        <v>85</v>
      </c>
      <c r="P96" s="10" t="s">
        <v>86</v>
      </c>
      <c r="Q96" s="12">
        <v>46.23</v>
      </c>
      <c r="R96" s="10" t="s">
        <v>75</v>
      </c>
      <c r="S96" s="10" t="s">
        <v>0</v>
      </c>
      <c r="T96" s="10" t="s">
        <v>0</v>
      </c>
      <c r="U96" s="10" t="s">
        <v>87</v>
      </c>
    </row>
    <row r="97" spans="1:21" x14ac:dyDescent="0.25">
      <c r="A97" s="9" t="s">
        <v>19</v>
      </c>
      <c r="B97" s="9" t="s">
        <v>165</v>
      </c>
      <c r="C97" s="9" t="s">
        <v>221</v>
      </c>
      <c r="D97" s="9" t="s">
        <v>222</v>
      </c>
      <c r="E97" s="9" t="s">
        <v>403</v>
      </c>
      <c r="F97" s="9" t="s">
        <v>404</v>
      </c>
      <c r="G97" s="9" t="s">
        <v>66</v>
      </c>
      <c r="H97" s="9" t="s">
        <v>225</v>
      </c>
      <c r="I97" s="9" t="s">
        <v>196</v>
      </c>
      <c r="J97" s="9" t="s">
        <v>94</v>
      </c>
      <c r="K97" s="9" t="s">
        <v>226</v>
      </c>
      <c r="L97" s="9" t="s">
        <v>95</v>
      </c>
      <c r="M97" s="11">
        <v>-78.5</v>
      </c>
      <c r="N97" s="9" t="s">
        <v>72</v>
      </c>
      <c r="O97" s="9" t="s">
        <v>227</v>
      </c>
      <c r="P97" s="9" t="s">
        <v>86</v>
      </c>
      <c r="Q97" s="11">
        <v>-5.89</v>
      </c>
      <c r="R97" s="9" t="s">
        <v>75</v>
      </c>
      <c r="S97" s="9" t="s">
        <v>0</v>
      </c>
      <c r="T97" s="9" t="s">
        <v>0</v>
      </c>
      <c r="U97" s="9" t="s">
        <v>97</v>
      </c>
    </row>
    <row r="98" spans="1:21" x14ac:dyDescent="0.25">
      <c r="A98" s="10" t="s">
        <v>19</v>
      </c>
      <c r="B98" s="10" t="s">
        <v>165</v>
      </c>
      <c r="C98" s="10" t="s">
        <v>221</v>
      </c>
      <c r="D98" s="10" t="s">
        <v>222</v>
      </c>
      <c r="E98" s="10" t="s">
        <v>403</v>
      </c>
      <c r="F98" s="10" t="s">
        <v>405</v>
      </c>
      <c r="G98" s="10" t="s">
        <v>66</v>
      </c>
      <c r="H98" s="10" t="s">
        <v>225</v>
      </c>
      <c r="I98" s="10" t="s">
        <v>196</v>
      </c>
      <c r="J98" s="10" t="s">
        <v>83</v>
      </c>
      <c r="K98" s="10" t="s">
        <v>226</v>
      </c>
      <c r="L98" s="10" t="s">
        <v>95</v>
      </c>
      <c r="M98" s="12">
        <v>-74.75</v>
      </c>
      <c r="N98" s="10" t="s">
        <v>72</v>
      </c>
      <c r="O98" s="10" t="s">
        <v>227</v>
      </c>
      <c r="P98" s="10" t="s">
        <v>86</v>
      </c>
      <c r="Q98" s="12">
        <v>-5.61</v>
      </c>
      <c r="R98" s="10" t="s">
        <v>75</v>
      </c>
      <c r="S98" s="10" t="s">
        <v>0</v>
      </c>
      <c r="T98" s="10" t="s">
        <v>0</v>
      </c>
      <c r="U98" s="10" t="s">
        <v>87</v>
      </c>
    </row>
    <row r="99" spans="1:21" x14ac:dyDescent="0.25">
      <c r="A99" s="9" t="s">
        <v>19</v>
      </c>
      <c r="B99" s="9" t="s">
        <v>61</v>
      </c>
      <c r="C99" s="9" t="s">
        <v>77</v>
      </c>
      <c r="D99" s="9" t="s">
        <v>78</v>
      </c>
      <c r="E99" s="9" t="s">
        <v>406</v>
      </c>
      <c r="F99" s="9" t="s">
        <v>407</v>
      </c>
      <c r="G99" s="9" t="s">
        <v>66</v>
      </c>
      <c r="H99" s="9" t="s">
        <v>378</v>
      </c>
      <c r="I99" s="9" t="s">
        <v>68</v>
      </c>
      <c r="J99" s="9" t="s">
        <v>118</v>
      </c>
      <c r="K99" s="9" t="s">
        <v>379</v>
      </c>
      <c r="L99" s="9" t="s">
        <v>71</v>
      </c>
      <c r="M99" s="11">
        <v>27.63</v>
      </c>
      <c r="N99" s="9" t="s">
        <v>72</v>
      </c>
      <c r="O99" s="9" t="s">
        <v>121</v>
      </c>
      <c r="P99" s="9" t="s">
        <v>86</v>
      </c>
      <c r="Q99" s="11">
        <v>0.97</v>
      </c>
      <c r="R99" s="9" t="s">
        <v>75</v>
      </c>
      <c r="S99" s="9" t="s">
        <v>0</v>
      </c>
      <c r="T99" s="9" t="s">
        <v>0</v>
      </c>
      <c r="U99" s="9" t="s">
        <v>122</v>
      </c>
    </row>
    <row r="100" spans="1:21" x14ac:dyDescent="0.25">
      <c r="A100" s="10" t="s">
        <v>19</v>
      </c>
      <c r="B100" s="10" t="s">
        <v>61</v>
      </c>
      <c r="C100" s="10" t="s">
        <v>77</v>
      </c>
      <c r="D100" s="10" t="s">
        <v>78</v>
      </c>
      <c r="E100" s="10" t="s">
        <v>376</v>
      </c>
      <c r="F100" s="10" t="s">
        <v>408</v>
      </c>
      <c r="G100" s="10" t="s">
        <v>66</v>
      </c>
      <c r="H100" s="10" t="s">
        <v>378</v>
      </c>
      <c r="I100" s="10" t="s">
        <v>68</v>
      </c>
      <c r="J100" s="10" t="s">
        <v>109</v>
      </c>
      <c r="K100" s="10" t="s">
        <v>379</v>
      </c>
      <c r="L100" s="10" t="s">
        <v>71</v>
      </c>
      <c r="M100" s="12">
        <v>12.47</v>
      </c>
      <c r="N100" s="10" t="s">
        <v>72</v>
      </c>
      <c r="O100" s="10" t="s">
        <v>187</v>
      </c>
      <c r="P100" s="10" t="s">
        <v>86</v>
      </c>
      <c r="Q100" s="12">
        <v>1.37</v>
      </c>
      <c r="R100" s="10" t="s">
        <v>75</v>
      </c>
      <c r="S100" s="10" t="s">
        <v>0</v>
      </c>
      <c r="T100" s="10" t="s">
        <v>0</v>
      </c>
      <c r="U100" s="10" t="s">
        <v>112</v>
      </c>
    </row>
    <row r="101" spans="1:21" x14ac:dyDescent="0.25">
      <c r="A101" s="9" t="s">
        <v>19</v>
      </c>
      <c r="B101" s="9" t="s">
        <v>61</v>
      </c>
      <c r="C101" s="9" t="s">
        <v>77</v>
      </c>
      <c r="D101" s="9" t="s">
        <v>78</v>
      </c>
      <c r="E101" s="9" t="s">
        <v>376</v>
      </c>
      <c r="F101" s="9" t="s">
        <v>408</v>
      </c>
      <c r="G101" s="9" t="s">
        <v>66</v>
      </c>
      <c r="H101" s="9" t="s">
        <v>378</v>
      </c>
      <c r="I101" s="9" t="s">
        <v>68</v>
      </c>
      <c r="J101" s="9" t="s">
        <v>109</v>
      </c>
      <c r="K101" s="9" t="s">
        <v>379</v>
      </c>
      <c r="L101" s="9" t="s">
        <v>71</v>
      </c>
      <c r="M101" s="11">
        <v>6.87</v>
      </c>
      <c r="N101" s="9" t="s">
        <v>72</v>
      </c>
      <c r="O101" s="9" t="s">
        <v>187</v>
      </c>
      <c r="P101" s="9" t="s">
        <v>86</v>
      </c>
      <c r="Q101" s="11">
        <v>0.76</v>
      </c>
      <c r="R101" s="9" t="s">
        <v>75</v>
      </c>
      <c r="S101" s="9" t="s">
        <v>0</v>
      </c>
      <c r="T101" s="9" t="s">
        <v>0</v>
      </c>
      <c r="U101" s="9" t="s">
        <v>112</v>
      </c>
    </row>
    <row r="102" spans="1:21" x14ac:dyDescent="0.25">
      <c r="A102" s="10" t="s">
        <v>19</v>
      </c>
      <c r="B102" s="10" t="s">
        <v>61</v>
      </c>
      <c r="C102" s="10" t="s">
        <v>77</v>
      </c>
      <c r="D102" s="10" t="s">
        <v>78</v>
      </c>
      <c r="E102" s="10" t="s">
        <v>376</v>
      </c>
      <c r="F102" s="10" t="s">
        <v>408</v>
      </c>
      <c r="G102" s="10" t="s">
        <v>66</v>
      </c>
      <c r="H102" s="10" t="s">
        <v>378</v>
      </c>
      <c r="I102" s="10" t="s">
        <v>68</v>
      </c>
      <c r="J102" s="10" t="s">
        <v>109</v>
      </c>
      <c r="K102" s="10" t="s">
        <v>379</v>
      </c>
      <c r="L102" s="10" t="s">
        <v>71</v>
      </c>
      <c r="M102" s="12">
        <v>9.85</v>
      </c>
      <c r="N102" s="10" t="s">
        <v>72</v>
      </c>
      <c r="O102" s="10" t="s">
        <v>187</v>
      </c>
      <c r="P102" s="10" t="s">
        <v>86</v>
      </c>
      <c r="Q102" s="12">
        <v>1.08</v>
      </c>
      <c r="R102" s="10" t="s">
        <v>75</v>
      </c>
      <c r="S102" s="10" t="s">
        <v>0</v>
      </c>
      <c r="T102" s="10" t="s">
        <v>0</v>
      </c>
      <c r="U102" s="10" t="s">
        <v>112</v>
      </c>
    </row>
    <row r="103" spans="1:21" x14ac:dyDescent="0.25">
      <c r="A103" s="9" t="s">
        <v>19</v>
      </c>
      <c r="B103" s="9" t="s">
        <v>165</v>
      </c>
      <c r="C103" s="9" t="s">
        <v>336</v>
      </c>
      <c r="D103" s="9" t="s">
        <v>337</v>
      </c>
      <c r="E103" s="9" t="s">
        <v>338</v>
      </c>
      <c r="F103" s="9" t="s">
        <v>409</v>
      </c>
      <c r="G103" s="9" t="s">
        <v>66</v>
      </c>
      <c r="H103" s="9" t="s">
        <v>340</v>
      </c>
      <c r="I103" s="9" t="s">
        <v>341</v>
      </c>
      <c r="J103" s="9" t="s">
        <v>83</v>
      </c>
      <c r="K103" s="9" t="s">
        <v>169</v>
      </c>
      <c r="L103" s="9" t="s">
        <v>95</v>
      </c>
      <c r="M103" s="11">
        <v>-12.61</v>
      </c>
      <c r="N103" s="9" t="s">
        <v>72</v>
      </c>
      <c r="O103" s="9" t="s">
        <v>388</v>
      </c>
      <c r="P103" s="9" t="s">
        <v>86</v>
      </c>
      <c r="Q103" s="11">
        <v>-1.01</v>
      </c>
      <c r="R103" s="9" t="s">
        <v>289</v>
      </c>
      <c r="S103" s="9" t="s">
        <v>0</v>
      </c>
      <c r="T103" s="9" t="s">
        <v>0</v>
      </c>
      <c r="U103" s="9" t="s">
        <v>87</v>
      </c>
    </row>
    <row r="104" spans="1:21" x14ac:dyDescent="0.25">
      <c r="A104" s="10" t="s">
        <v>18</v>
      </c>
      <c r="B104" s="10" t="s">
        <v>61</v>
      </c>
      <c r="C104" s="10" t="s">
        <v>410</v>
      </c>
      <c r="D104" s="10" t="s">
        <v>411</v>
      </c>
      <c r="E104" s="10" t="s">
        <v>412</v>
      </c>
      <c r="F104" s="10" t="s">
        <v>413</v>
      </c>
      <c r="G104" s="10" t="s">
        <v>66</v>
      </c>
      <c r="H104" s="10" t="s">
        <v>414</v>
      </c>
      <c r="I104" s="10" t="s">
        <v>128</v>
      </c>
      <c r="J104" s="10" t="s">
        <v>69</v>
      </c>
      <c r="K104" s="10" t="s">
        <v>415</v>
      </c>
      <c r="L104" s="10" t="s">
        <v>71</v>
      </c>
      <c r="M104" s="12">
        <v>147.52000000000001</v>
      </c>
      <c r="N104" s="10" t="s">
        <v>72</v>
      </c>
      <c r="O104" s="10" t="s">
        <v>393</v>
      </c>
      <c r="P104" s="10" t="s">
        <v>86</v>
      </c>
      <c r="Q104" s="12">
        <v>36.880000000000003</v>
      </c>
      <c r="R104" s="10" t="s">
        <v>75</v>
      </c>
      <c r="S104" s="10" t="s">
        <v>0</v>
      </c>
      <c r="T104" s="10" t="s">
        <v>0</v>
      </c>
      <c r="U104" s="10" t="s">
        <v>76</v>
      </c>
    </row>
    <row r="105" spans="1:21" x14ac:dyDescent="0.25">
      <c r="A105" s="9" t="s">
        <v>19</v>
      </c>
      <c r="B105" s="9" t="s">
        <v>165</v>
      </c>
      <c r="C105" s="9" t="s">
        <v>221</v>
      </c>
      <c r="D105" s="9" t="s">
        <v>222</v>
      </c>
      <c r="E105" s="9" t="s">
        <v>223</v>
      </c>
      <c r="F105" s="9" t="s">
        <v>416</v>
      </c>
      <c r="G105" s="9" t="s">
        <v>66</v>
      </c>
      <c r="H105" s="9" t="s">
        <v>225</v>
      </c>
      <c r="I105" s="9" t="s">
        <v>196</v>
      </c>
      <c r="J105" s="9" t="s">
        <v>83</v>
      </c>
      <c r="K105" s="9" t="s">
        <v>226</v>
      </c>
      <c r="L105" s="9" t="s">
        <v>95</v>
      </c>
      <c r="M105" s="11">
        <v>-101.62</v>
      </c>
      <c r="N105" s="9" t="s">
        <v>72</v>
      </c>
      <c r="O105" s="9" t="s">
        <v>227</v>
      </c>
      <c r="P105" s="9" t="s">
        <v>86</v>
      </c>
      <c r="Q105" s="11">
        <v>-7.62</v>
      </c>
      <c r="R105" s="9" t="s">
        <v>75</v>
      </c>
      <c r="S105" s="9" t="s">
        <v>0</v>
      </c>
      <c r="T105" s="9" t="s">
        <v>0</v>
      </c>
      <c r="U105" s="9" t="s">
        <v>87</v>
      </c>
    </row>
    <row r="106" spans="1:21" x14ac:dyDescent="0.25">
      <c r="A106" s="10" t="s">
        <v>19</v>
      </c>
      <c r="B106" s="10" t="s">
        <v>165</v>
      </c>
      <c r="C106" s="10" t="s">
        <v>221</v>
      </c>
      <c r="D106" s="10" t="s">
        <v>222</v>
      </c>
      <c r="E106" s="10" t="s">
        <v>223</v>
      </c>
      <c r="F106" s="10" t="s">
        <v>417</v>
      </c>
      <c r="G106" s="10" t="s">
        <v>66</v>
      </c>
      <c r="H106" s="10" t="s">
        <v>225</v>
      </c>
      <c r="I106" s="10" t="s">
        <v>196</v>
      </c>
      <c r="J106" s="10" t="s">
        <v>129</v>
      </c>
      <c r="K106" s="10" t="s">
        <v>226</v>
      </c>
      <c r="L106" s="10" t="s">
        <v>95</v>
      </c>
      <c r="M106" s="12">
        <v>-59.78</v>
      </c>
      <c r="N106" s="10" t="s">
        <v>72</v>
      </c>
      <c r="O106" s="10" t="s">
        <v>121</v>
      </c>
      <c r="P106" s="10" t="s">
        <v>86</v>
      </c>
      <c r="Q106" s="12">
        <v>-2.09</v>
      </c>
      <c r="R106" s="10" t="s">
        <v>75</v>
      </c>
      <c r="S106" s="10" t="s">
        <v>0</v>
      </c>
      <c r="T106" s="10" t="s">
        <v>0</v>
      </c>
      <c r="U106" s="10" t="s">
        <v>132</v>
      </c>
    </row>
    <row r="107" spans="1:21" x14ac:dyDescent="0.25">
      <c r="A107" s="9" t="s">
        <v>19</v>
      </c>
      <c r="B107" s="9" t="s">
        <v>165</v>
      </c>
      <c r="C107" s="9" t="s">
        <v>418</v>
      </c>
      <c r="D107" s="9" t="s">
        <v>419</v>
      </c>
      <c r="E107" s="9" t="s">
        <v>420</v>
      </c>
      <c r="F107" s="9" t="s">
        <v>421</v>
      </c>
      <c r="G107" s="9" t="s">
        <v>81</v>
      </c>
      <c r="H107" s="9" t="s">
        <v>422</v>
      </c>
      <c r="I107" s="9" t="s">
        <v>68</v>
      </c>
      <c r="J107" s="9" t="s">
        <v>118</v>
      </c>
      <c r="K107" s="9" t="s">
        <v>198</v>
      </c>
      <c r="L107" s="9" t="s">
        <v>95</v>
      </c>
      <c r="M107" s="11">
        <v>-27.63</v>
      </c>
      <c r="N107" s="9" t="s">
        <v>72</v>
      </c>
      <c r="O107" s="9" t="s">
        <v>199</v>
      </c>
      <c r="P107" s="9" t="s">
        <v>86</v>
      </c>
      <c r="Q107" s="11">
        <v>-15.75</v>
      </c>
      <c r="R107" s="9" t="s">
        <v>75</v>
      </c>
      <c r="S107" s="9" t="s">
        <v>0</v>
      </c>
      <c r="T107" s="9" t="s">
        <v>0</v>
      </c>
      <c r="U107" s="9" t="s">
        <v>122</v>
      </c>
    </row>
    <row r="108" spans="1:21" x14ac:dyDescent="0.25">
      <c r="A108" s="10" t="s">
        <v>19</v>
      </c>
      <c r="B108" s="10" t="s">
        <v>61</v>
      </c>
      <c r="C108" s="10" t="s">
        <v>181</v>
      </c>
      <c r="D108" s="10" t="s">
        <v>182</v>
      </c>
      <c r="E108" s="10" t="s">
        <v>423</v>
      </c>
      <c r="F108" s="10" t="s">
        <v>424</v>
      </c>
      <c r="G108" s="10" t="s">
        <v>66</v>
      </c>
      <c r="H108" s="10" t="s">
        <v>425</v>
      </c>
      <c r="I108" s="10" t="s">
        <v>68</v>
      </c>
      <c r="J108" s="10" t="s">
        <v>118</v>
      </c>
      <c r="K108" s="10" t="s">
        <v>426</v>
      </c>
      <c r="L108" s="10" t="s">
        <v>71</v>
      </c>
      <c r="M108" s="12">
        <v>64.260000000000005</v>
      </c>
      <c r="N108" s="10" t="s">
        <v>72</v>
      </c>
      <c r="O108" s="10" t="s">
        <v>121</v>
      </c>
      <c r="P108" s="10" t="s">
        <v>86</v>
      </c>
      <c r="Q108" s="12">
        <v>2.25</v>
      </c>
      <c r="R108" s="10" t="s">
        <v>75</v>
      </c>
      <c r="S108" s="10" t="s">
        <v>0</v>
      </c>
      <c r="T108" s="10" t="s">
        <v>0</v>
      </c>
      <c r="U108" s="10" t="s">
        <v>122</v>
      </c>
    </row>
    <row r="109" spans="1:21" x14ac:dyDescent="0.25">
      <c r="A109" s="9" t="s">
        <v>19</v>
      </c>
      <c r="B109" s="9" t="s">
        <v>61</v>
      </c>
      <c r="C109" s="9" t="s">
        <v>268</v>
      </c>
      <c r="D109" s="9" t="s">
        <v>269</v>
      </c>
      <c r="E109" s="9" t="s">
        <v>270</v>
      </c>
      <c r="F109" s="9" t="s">
        <v>427</v>
      </c>
      <c r="G109" s="9" t="s">
        <v>81</v>
      </c>
      <c r="H109" s="9" t="s">
        <v>251</v>
      </c>
      <c r="I109" s="9" t="s">
        <v>272</v>
      </c>
      <c r="J109" s="9" t="s">
        <v>83</v>
      </c>
      <c r="K109" s="9" t="s">
        <v>273</v>
      </c>
      <c r="L109" s="9" t="s">
        <v>274</v>
      </c>
      <c r="M109" s="11">
        <v>35.869999999999997</v>
      </c>
      <c r="N109" s="9" t="s">
        <v>72</v>
      </c>
      <c r="O109" s="9" t="s">
        <v>252</v>
      </c>
      <c r="P109" s="9" t="s">
        <v>86</v>
      </c>
      <c r="Q109" s="11">
        <v>37.659999999999997</v>
      </c>
      <c r="R109" s="9" t="s">
        <v>75</v>
      </c>
      <c r="S109" s="9" t="s">
        <v>0</v>
      </c>
      <c r="T109" s="9" t="s">
        <v>0</v>
      </c>
      <c r="U109" s="9" t="s">
        <v>87</v>
      </c>
    </row>
    <row r="110" spans="1:21" x14ac:dyDescent="0.25">
      <c r="A110" s="9" t="s">
        <v>19</v>
      </c>
      <c r="B110" s="9" t="s">
        <v>61</v>
      </c>
      <c r="C110" s="9" t="s">
        <v>331</v>
      </c>
      <c r="D110" s="9" t="s">
        <v>332</v>
      </c>
      <c r="E110" s="9" t="s">
        <v>333</v>
      </c>
      <c r="F110" s="9" t="s">
        <v>334</v>
      </c>
      <c r="G110" s="9" t="s">
        <v>81</v>
      </c>
      <c r="H110" s="9" t="s">
        <v>335</v>
      </c>
      <c r="I110" s="9" t="s">
        <v>108</v>
      </c>
      <c r="J110" s="9" t="s">
        <v>83</v>
      </c>
      <c r="K110" s="9" t="s">
        <v>198</v>
      </c>
      <c r="L110" s="9" t="s">
        <v>436</v>
      </c>
      <c r="M110" s="11">
        <v>44.29</v>
      </c>
      <c r="N110" s="9" t="s">
        <v>72</v>
      </c>
      <c r="O110" s="9" t="s">
        <v>96</v>
      </c>
      <c r="P110" s="9" t="s">
        <v>86</v>
      </c>
      <c r="Q110" s="11">
        <v>44.29</v>
      </c>
      <c r="R110" s="9" t="s">
        <v>75</v>
      </c>
      <c r="S110" s="9" t="s">
        <v>0</v>
      </c>
      <c r="T110" s="9" t="s">
        <v>0</v>
      </c>
      <c r="U110" s="9" t="s">
        <v>87</v>
      </c>
    </row>
    <row r="111" spans="1:21" x14ac:dyDescent="0.25">
      <c r="A111" s="10" t="s">
        <v>19</v>
      </c>
      <c r="B111" s="10" t="s">
        <v>61</v>
      </c>
      <c r="C111" s="10" t="s">
        <v>133</v>
      </c>
      <c r="D111" s="10" t="s">
        <v>134</v>
      </c>
      <c r="E111" s="10" t="s">
        <v>437</v>
      </c>
      <c r="F111" s="10" t="s">
        <v>438</v>
      </c>
      <c r="G111" s="10" t="s">
        <v>81</v>
      </c>
      <c r="H111" s="10" t="s">
        <v>439</v>
      </c>
      <c r="I111" s="10" t="s">
        <v>68</v>
      </c>
      <c r="J111" s="10" t="s">
        <v>94</v>
      </c>
      <c r="K111" s="10" t="s">
        <v>440</v>
      </c>
      <c r="L111" s="10" t="s">
        <v>441</v>
      </c>
      <c r="M111" s="12">
        <v>89.62</v>
      </c>
      <c r="N111" s="10" t="s">
        <v>72</v>
      </c>
      <c r="O111" s="10" t="s">
        <v>85</v>
      </c>
      <c r="P111" s="10" t="s">
        <v>86</v>
      </c>
      <c r="Q111" s="12">
        <v>85.14</v>
      </c>
      <c r="R111" s="10" t="s">
        <v>75</v>
      </c>
      <c r="S111" s="10" t="s">
        <v>0</v>
      </c>
      <c r="T111" s="10" t="s">
        <v>0</v>
      </c>
      <c r="U111" s="10" t="s">
        <v>97</v>
      </c>
    </row>
    <row r="112" spans="1:21" x14ac:dyDescent="0.25">
      <c r="A112" s="9" t="s">
        <v>19</v>
      </c>
      <c r="B112" s="9" t="s">
        <v>61</v>
      </c>
      <c r="C112" s="9" t="s">
        <v>88</v>
      </c>
      <c r="D112" s="9" t="s">
        <v>89</v>
      </c>
      <c r="E112" s="9" t="s">
        <v>442</v>
      </c>
      <c r="F112" s="9" t="s">
        <v>443</v>
      </c>
      <c r="G112" s="9" t="s">
        <v>81</v>
      </c>
      <c r="H112" s="9" t="s">
        <v>444</v>
      </c>
      <c r="I112" s="9" t="s">
        <v>93</v>
      </c>
      <c r="J112" s="9" t="s">
        <v>83</v>
      </c>
      <c r="K112" s="9" t="s">
        <v>445</v>
      </c>
      <c r="L112" s="9" t="s">
        <v>71</v>
      </c>
      <c r="M112" s="11">
        <v>52.7</v>
      </c>
      <c r="N112" s="9" t="s">
        <v>72</v>
      </c>
      <c r="O112" s="9" t="s">
        <v>96</v>
      </c>
      <c r="P112" s="9" t="s">
        <v>86</v>
      </c>
      <c r="Q112" s="11">
        <v>52.7</v>
      </c>
      <c r="R112" s="9" t="s">
        <v>75</v>
      </c>
      <c r="S112" s="9" t="s">
        <v>0</v>
      </c>
      <c r="T112" s="9" t="s">
        <v>0</v>
      </c>
      <c r="U112" s="9" t="s">
        <v>87</v>
      </c>
    </row>
    <row r="113" spans="1:21" x14ac:dyDescent="0.25">
      <c r="A113" s="10" t="s">
        <v>19</v>
      </c>
      <c r="B113" s="10" t="s">
        <v>61</v>
      </c>
      <c r="C113" s="10" t="s">
        <v>221</v>
      </c>
      <c r="D113" s="10" t="s">
        <v>222</v>
      </c>
      <c r="E113" s="10" t="s">
        <v>295</v>
      </c>
      <c r="F113" s="10" t="s">
        <v>296</v>
      </c>
      <c r="G113" s="10" t="s">
        <v>66</v>
      </c>
      <c r="H113" s="10" t="s">
        <v>297</v>
      </c>
      <c r="I113" s="10" t="s">
        <v>292</v>
      </c>
      <c r="J113" s="10" t="s">
        <v>298</v>
      </c>
      <c r="K113" s="10" t="s">
        <v>299</v>
      </c>
      <c r="L113" s="10" t="s">
        <v>71</v>
      </c>
      <c r="M113" s="12">
        <v>28.56</v>
      </c>
      <c r="N113" s="10" t="s">
        <v>72</v>
      </c>
      <c r="O113" s="10" t="s">
        <v>121</v>
      </c>
      <c r="P113" s="10" t="s">
        <v>86</v>
      </c>
      <c r="Q113" s="12">
        <v>1</v>
      </c>
      <c r="R113" s="10" t="s">
        <v>75</v>
      </c>
      <c r="S113" s="10" t="s">
        <v>0</v>
      </c>
      <c r="T113" s="10" t="s">
        <v>0</v>
      </c>
      <c r="U113" s="10" t="s">
        <v>300</v>
      </c>
    </row>
    <row r="114" spans="1:21" x14ac:dyDescent="0.25">
      <c r="A114" s="9" t="s">
        <v>19</v>
      </c>
      <c r="B114" s="9" t="s">
        <v>165</v>
      </c>
      <c r="C114" s="9" t="s">
        <v>446</v>
      </c>
      <c r="D114" s="9" t="s">
        <v>447</v>
      </c>
      <c r="E114" s="9" t="s">
        <v>448</v>
      </c>
      <c r="F114" s="9" t="s">
        <v>449</v>
      </c>
      <c r="G114" s="9" t="s">
        <v>66</v>
      </c>
      <c r="H114" s="9" t="s">
        <v>450</v>
      </c>
      <c r="I114" s="9" t="s">
        <v>68</v>
      </c>
      <c r="J114" s="9" t="s">
        <v>451</v>
      </c>
      <c r="K114" s="9" t="s">
        <v>226</v>
      </c>
      <c r="L114" s="9" t="s">
        <v>95</v>
      </c>
      <c r="M114" s="11">
        <v>-50.62</v>
      </c>
      <c r="N114" s="9" t="s">
        <v>72</v>
      </c>
      <c r="O114" s="9" t="s">
        <v>121</v>
      </c>
      <c r="P114" s="9" t="s">
        <v>86</v>
      </c>
      <c r="Q114" s="11">
        <v>-1.77</v>
      </c>
      <c r="R114" s="9" t="s">
        <v>289</v>
      </c>
      <c r="S114" s="9" t="s">
        <v>0</v>
      </c>
      <c r="T114" s="9" t="s">
        <v>0</v>
      </c>
      <c r="U114" s="9" t="s">
        <v>452</v>
      </c>
    </row>
    <row r="115" spans="1:21" x14ac:dyDescent="0.25">
      <c r="A115" s="10" t="s">
        <v>19</v>
      </c>
      <c r="B115" s="10" t="s">
        <v>61</v>
      </c>
      <c r="C115" s="10" t="s">
        <v>247</v>
      </c>
      <c r="D115" s="10" t="s">
        <v>248</v>
      </c>
      <c r="E115" s="10" t="s">
        <v>453</v>
      </c>
      <c r="F115" s="10" t="s">
        <v>454</v>
      </c>
      <c r="G115" s="10" t="s">
        <v>81</v>
      </c>
      <c r="H115" s="10" t="s">
        <v>455</v>
      </c>
      <c r="I115" s="10" t="s">
        <v>108</v>
      </c>
      <c r="J115" s="10" t="s">
        <v>94</v>
      </c>
      <c r="K115" s="10" t="s">
        <v>455</v>
      </c>
      <c r="L115" s="10" t="s">
        <v>456</v>
      </c>
      <c r="M115" s="12">
        <v>14.13</v>
      </c>
      <c r="N115" s="10" t="s">
        <v>72</v>
      </c>
      <c r="O115" s="10" t="s">
        <v>252</v>
      </c>
      <c r="P115" s="10" t="s">
        <v>86</v>
      </c>
      <c r="Q115" s="12">
        <v>14.84</v>
      </c>
      <c r="R115" s="10" t="s">
        <v>75</v>
      </c>
      <c r="S115" s="10" t="s">
        <v>0</v>
      </c>
      <c r="T115" s="10" t="s">
        <v>0</v>
      </c>
      <c r="U115" s="10" t="s">
        <v>97</v>
      </c>
    </row>
    <row r="116" spans="1:21" x14ac:dyDescent="0.25">
      <c r="A116" s="9" t="s">
        <v>19</v>
      </c>
      <c r="B116" s="9" t="s">
        <v>61</v>
      </c>
      <c r="C116" s="9" t="s">
        <v>133</v>
      </c>
      <c r="D116" s="9" t="s">
        <v>134</v>
      </c>
      <c r="E116" s="9" t="s">
        <v>457</v>
      </c>
      <c r="F116" s="9" t="s">
        <v>458</v>
      </c>
      <c r="G116" s="9" t="s">
        <v>81</v>
      </c>
      <c r="H116" s="9" t="s">
        <v>459</v>
      </c>
      <c r="I116" s="9" t="s">
        <v>68</v>
      </c>
      <c r="J116" s="9" t="s">
        <v>83</v>
      </c>
      <c r="K116" s="9" t="s">
        <v>460</v>
      </c>
      <c r="L116" s="9" t="s">
        <v>461</v>
      </c>
      <c r="M116" s="11">
        <v>101.26</v>
      </c>
      <c r="N116" s="9" t="s">
        <v>72</v>
      </c>
      <c r="O116" s="9" t="s">
        <v>85</v>
      </c>
      <c r="P116" s="9" t="s">
        <v>86</v>
      </c>
      <c r="Q116" s="11">
        <v>96.2</v>
      </c>
      <c r="R116" s="9" t="s">
        <v>75</v>
      </c>
      <c r="S116" s="9" t="s">
        <v>0</v>
      </c>
      <c r="T116" s="9" t="s">
        <v>0</v>
      </c>
      <c r="U116" s="9" t="s">
        <v>87</v>
      </c>
    </row>
    <row r="117" spans="1:21" x14ac:dyDescent="0.25">
      <c r="A117" s="10" t="s">
        <v>19</v>
      </c>
      <c r="B117" s="10" t="s">
        <v>165</v>
      </c>
      <c r="C117" s="10" t="s">
        <v>462</v>
      </c>
      <c r="D117" s="10" t="s">
        <v>463</v>
      </c>
      <c r="E117" s="10" t="s">
        <v>464</v>
      </c>
      <c r="F117" s="10" t="s">
        <v>465</v>
      </c>
      <c r="G117" s="10" t="s">
        <v>66</v>
      </c>
      <c r="H117" s="10" t="s">
        <v>466</v>
      </c>
      <c r="I117" s="10" t="s">
        <v>108</v>
      </c>
      <c r="J117" s="10" t="s">
        <v>197</v>
      </c>
      <c r="K117" s="10" t="s">
        <v>467</v>
      </c>
      <c r="L117" s="10" t="s">
        <v>95</v>
      </c>
      <c r="M117" s="12">
        <v>-36.200000000000003</v>
      </c>
      <c r="N117" s="10" t="s">
        <v>72</v>
      </c>
      <c r="O117" s="10" t="s">
        <v>164</v>
      </c>
      <c r="P117" s="10" t="s">
        <v>86</v>
      </c>
      <c r="Q117" s="12">
        <v>-1.36</v>
      </c>
      <c r="R117" s="10" t="s">
        <v>289</v>
      </c>
      <c r="S117" s="10" t="s">
        <v>0</v>
      </c>
      <c r="T117" s="10" t="s">
        <v>0</v>
      </c>
      <c r="U117" s="10" t="s">
        <v>200</v>
      </c>
    </row>
    <row r="118" spans="1:21" x14ac:dyDescent="0.25">
      <c r="A118" s="9" t="s">
        <v>19</v>
      </c>
      <c r="B118" s="9" t="s">
        <v>165</v>
      </c>
      <c r="C118" s="9" t="s">
        <v>77</v>
      </c>
      <c r="D118" s="9" t="s">
        <v>78</v>
      </c>
      <c r="E118" s="9" t="s">
        <v>468</v>
      </c>
      <c r="F118" s="9" t="s">
        <v>469</v>
      </c>
      <c r="G118" s="9" t="s">
        <v>81</v>
      </c>
      <c r="H118" s="9" t="s">
        <v>470</v>
      </c>
      <c r="I118" s="9" t="s">
        <v>68</v>
      </c>
      <c r="J118" s="9" t="s">
        <v>118</v>
      </c>
      <c r="K118" s="9" t="s">
        <v>198</v>
      </c>
      <c r="L118" s="9" t="s">
        <v>95</v>
      </c>
      <c r="M118" s="11">
        <v>-27.63</v>
      </c>
      <c r="N118" s="9" t="s">
        <v>72</v>
      </c>
      <c r="O118" s="9" t="s">
        <v>199</v>
      </c>
      <c r="P118" s="9" t="s">
        <v>86</v>
      </c>
      <c r="Q118" s="11">
        <v>-15.75</v>
      </c>
      <c r="R118" s="9" t="s">
        <v>289</v>
      </c>
      <c r="S118" s="9" t="s">
        <v>0</v>
      </c>
      <c r="T118" s="9" t="s">
        <v>0</v>
      </c>
      <c r="U118" s="9" t="s">
        <v>122</v>
      </c>
    </row>
    <row r="119" spans="1:21" x14ac:dyDescent="0.25">
      <c r="A119" s="10" t="s">
        <v>19</v>
      </c>
      <c r="B119" s="10" t="s">
        <v>61</v>
      </c>
      <c r="C119" s="10" t="s">
        <v>247</v>
      </c>
      <c r="D119" s="10" t="s">
        <v>248</v>
      </c>
      <c r="E119" s="10" t="s">
        <v>471</v>
      </c>
      <c r="F119" s="10" t="s">
        <v>472</v>
      </c>
      <c r="G119" s="10" t="s">
        <v>81</v>
      </c>
      <c r="H119" s="10" t="s">
        <v>460</v>
      </c>
      <c r="I119" s="10" t="s">
        <v>108</v>
      </c>
      <c r="J119" s="10" t="s">
        <v>83</v>
      </c>
      <c r="K119" s="10" t="s">
        <v>460</v>
      </c>
      <c r="L119" s="10" t="s">
        <v>461</v>
      </c>
      <c r="M119" s="12">
        <v>16.149999999999999</v>
      </c>
      <c r="N119" s="10" t="s">
        <v>72</v>
      </c>
      <c r="O119" s="10" t="s">
        <v>252</v>
      </c>
      <c r="P119" s="10" t="s">
        <v>86</v>
      </c>
      <c r="Q119" s="12">
        <v>16.96</v>
      </c>
      <c r="R119" s="10" t="s">
        <v>75</v>
      </c>
      <c r="S119" s="10" t="s">
        <v>0</v>
      </c>
      <c r="T119" s="10" t="s">
        <v>0</v>
      </c>
      <c r="U119" s="10" t="s">
        <v>87</v>
      </c>
    </row>
    <row r="120" spans="1:21" x14ac:dyDescent="0.25">
      <c r="A120" s="9" t="s">
        <v>19</v>
      </c>
      <c r="B120" s="9" t="s">
        <v>165</v>
      </c>
      <c r="C120" s="9" t="s">
        <v>336</v>
      </c>
      <c r="D120" s="9" t="s">
        <v>337</v>
      </c>
      <c r="E120" s="9" t="s">
        <v>473</v>
      </c>
      <c r="F120" s="9" t="s">
        <v>474</v>
      </c>
      <c r="G120" s="9" t="s">
        <v>66</v>
      </c>
      <c r="H120" s="9" t="s">
        <v>216</v>
      </c>
      <c r="I120" s="9" t="s">
        <v>128</v>
      </c>
      <c r="J120" s="9" t="s">
        <v>94</v>
      </c>
      <c r="K120" s="9" t="s">
        <v>475</v>
      </c>
      <c r="L120" s="9" t="s">
        <v>71</v>
      </c>
      <c r="M120" s="11">
        <v>-17.579999999999998</v>
      </c>
      <c r="N120" s="9" t="s">
        <v>72</v>
      </c>
      <c r="O120" s="9" t="s">
        <v>388</v>
      </c>
      <c r="P120" s="9" t="s">
        <v>86</v>
      </c>
      <c r="Q120" s="11">
        <v>-1.41</v>
      </c>
      <c r="R120" s="9" t="s">
        <v>289</v>
      </c>
      <c r="S120" s="9" t="s">
        <v>0</v>
      </c>
      <c r="T120" s="9" t="s">
        <v>0</v>
      </c>
      <c r="U120" s="9" t="s">
        <v>97</v>
      </c>
    </row>
    <row r="121" spans="1:21" x14ac:dyDescent="0.25">
      <c r="A121" s="10" t="s">
        <v>19</v>
      </c>
      <c r="B121" s="10" t="s">
        <v>165</v>
      </c>
      <c r="C121" s="10" t="s">
        <v>446</v>
      </c>
      <c r="D121" s="10" t="s">
        <v>447</v>
      </c>
      <c r="E121" s="10" t="s">
        <v>448</v>
      </c>
      <c r="F121" s="10" t="s">
        <v>449</v>
      </c>
      <c r="G121" s="10" t="s">
        <v>66</v>
      </c>
      <c r="H121" s="10" t="s">
        <v>450</v>
      </c>
      <c r="I121" s="10" t="s">
        <v>68</v>
      </c>
      <c r="J121" s="10" t="s">
        <v>451</v>
      </c>
      <c r="K121" s="10" t="s">
        <v>226</v>
      </c>
      <c r="L121" s="10" t="s">
        <v>71</v>
      </c>
      <c r="M121" s="12">
        <v>-50.62</v>
      </c>
      <c r="N121" s="10" t="s">
        <v>72</v>
      </c>
      <c r="O121" s="10" t="s">
        <v>121</v>
      </c>
      <c r="P121" s="10" t="s">
        <v>86</v>
      </c>
      <c r="Q121" s="12">
        <v>-1.77</v>
      </c>
      <c r="R121" s="10" t="s">
        <v>289</v>
      </c>
      <c r="S121" s="10" t="s">
        <v>0</v>
      </c>
      <c r="T121" s="10" t="s">
        <v>0</v>
      </c>
      <c r="U121" s="10" t="s">
        <v>452</v>
      </c>
    </row>
    <row r="122" spans="1:21" x14ac:dyDescent="0.25">
      <c r="A122" s="9" t="s">
        <v>19</v>
      </c>
      <c r="B122" s="9" t="s">
        <v>61</v>
      </c>
      <c r="C122" s="9" t="s">
        <v>247</v>
      </c>
      <c r="D122" s="9" t="s">
        <v>248</v>
      </c>
      <c r="E122" s="9" t="s">
        <v>476</v>
      </c>
      <c r="F122" s="9" t="s">
        <v>477</v>
      </c>
      <c r="G122" s="9" t="s">
        <v>66</v>
      </c>
      <c r="H122" s="9" t="s">
        <v>478</v>
      </c>
      <c r="I122" s="9" t="s">
        <v>108</v>
      </c>
      <c r="J122" s="9" t="s">
        <v>83</v>
      </c>
      <c r="K122" s="9" t="s">
        <v>478</v>
      </c>
      <c r="L122" s="9" t="s">
        <v>441</v>
      </c>
      <c r="M122" s="11">
        <v>20.27</v>
      </c>
      <c r="N122" s="9" t="s">
        <v>72</v>
      </c>
      <c r="O122" s="9" t="s">
        <v>479</v>
      </c>
      <c r="P122" s="9" t="s">
        <v>86</v>
      </c>
      <c r="Q122" s="11">
        <v>0.46</v>
      </c>
      <c r="R122" s="9" t="s">
        <v>75</v>
      </c>
      <c r="S122" s="9" t="s">
        <v>0</v>
      </c>
      <c r="T122" s="9" t="s">
        <v>0</v>
      </c>
      <c r="U122" s="9" t="s">
        <v>87</v>
      </c>
    </row>
    <row r="123" spans="1:21" x14ac:dyDescent="0.25">
      <c r="A123" s="10" t="s">
        <v>19</v>
      </c>
      <c r="B123" s="10" t="s">
        <v>61</v>
      </c>
      <c r="C123" s="10" t="s">
        <v>247</v>
      </c>
      <c r="D123" s="10" t="s">
        <v>248</v>
      </c>
      <c r="E123" s="10" t="s">
        <v>480</v>
      </c>
      <c r="F123" s="10" t="s">
        <v>481</v>
      </c>
      <c r="G123" s="10" t="s">
        <v>81</v>
      </c>
      <c r="H123" s="10" t="s">
        <v>460</v>
      </c>
      <c r="I123" s="10" t="s">
        <v>108</v>
      </c>
      <c r="J123" s="10" t="s">
        <v>83</v>
      </c>
      <c r="K123" s="10" t="s">
        <v>460</v>
      </c>
      <c r="L123" s="10" t="s">
        <v>461</v>
      </c>
      <c r="M123" s="12">
        <v>17.93</v>
      </c>
      <c r="N123" s="10" t="s">
        <v>72</v>
      </c>
      <c r="O123" s="10" t="s">
        <v>252</v>
      </c>
      <c r="P123" s="10" t="s">
        <v>86</v>
      </c>
      <c r="Q123" s="12">
        <v>18.829999999999998</v>
      </c>
      <c r="R123" s="10" t="s">
        <v>75</v>
      </c>
      <c r="S123" s="10" t="s">
        <v>0</v>
      </c>
      <c r="T123" s="10" t="s">
        <v>0</v>
      </c>
      <c r="U123" s="10" t="s">
        <v>87</v>
      </c>
    </row>
    <row r="124" spans="1:21" x14ac:dyDescent="0.25">
      <c r="A124" s="9" t="s">
        <v>19</v>
      </c>
      <c r="B124" s="9" t="s">
        <v>165</v>
      </c>
      <c r="C124" s="9" t="s">
        <v>336</v>
      </c>
      <c r="D124" s="9" t="s">
        <v>337</v>
      </c>
      <c r="E124" s="9" t="s">
        <v>473</v>
      </c>
      <c r="F124" s="9" t="s">
        <v>482</v>
      </c>
      <c r="G124" s="9" t="s">
        <v>66</v>
      </c>
      <c r="H124" s="9" t="s">
        <v>216</v>
      </c>
      <c r="I124" s="9" t="s">
        <v>128</v>
      </c>
      <c r="J124" s="9" t="s">
        <v>129</v>
      </c>
      <c r="K124" s="9" t="s">
        <v>475</v>
      </c>
      <c r="L124" s="9" t="s">
        <v>71</v>
      </c>
      <c r="M124" s="11">
        <v>-64.77</v>
      </c>
      <c r="N124" s="9" t="s">
        <v>72</v>
      </c>
      <c r="O124" s="9" t="s">
        <v>164</v>
      </c>
      <c r="P124" s="9" t="s">
        <v>86</v>
      </c>
      <c r="Q124" s="11">
        <v>-2.4300000000000002</v>
      </c>
      <c r="R124" s="9" t="s">
        <v>289</v>
      </c>
      <c r="S124" s="9" t="s">
        <v>0</v>
      </c>
      <c r="T124" s="9" t="s">
        <v>0</v>
      </c>
      <c r="U124" s="9" t="s">
        <v>483</v>
      </c>
    </row>
    <row r="125" spans="1:21" x14ac:dyDescent="0.25">
      <c r="A125" s="10" t="s">
        <v>19</v>
      </c>
      <c r="B125" s="10" t="s">
        <v>165</v>
      </c>
      <c r="C125" s="10" t="s">
        <v>77</v>
      </c>
      <c r="D125" s="10" t="s">
        <v>78</v>
      </c>
      <c r="E125" s="10" t="s">
        <v>468</v>
      </c>
      <c r="F125" s="10" t="s">
        <v>469</v>
      </c>
      <c r="G125" s="10" t="s">
        <v>81</v>
      </c>
      <c r="H125" s="10" t="s">
        <v>470</v>
      </c>
      <c r="I125" s="10" t="s">
        <v>68</v>
      </c>
      <c r="J125" s="10" t="s">
        <v>118</v>
      </c>
      <c r="K125" s="10" t="s">
        <v>198</v>
      </c>
      <c r="L125" s="10" t="s">
        <v>71</v>
      </c>
      <c r="M125" s="12">
        <v>-27.63</v>
      </c>
      <c r="N125" s="10" t="s">
        <v>72</v>
      </c>
      <c r="O125" s="10" t="s">
        <v>199</v>
      </c>
      <c r="P125" s="10" t="s">
        <v>86</v>
      </c>
      <c r="Q125" s="12">
        <v>-15.75</v>
      </c>
      <c r="R125" s="10" t="s">
        <v>289</v>
      </c>
      <c r="S125" s="10" t="s">
        <v>0</v>
      </c>
      <c r="T125" s="10" t="s">
        <v>0</v>
      </c>
      <c r="U125" s="10" t="s">
        <v>122</v>
      </c>
    </row>
    <row r="126" spans="1:21" x14ac:dyDescent="0.25">
      <c r="A126" s="9" t="s">
        <v>19</v>
      </c>
      <c r="B126" s="9" t="s">
        <v>61</v>
      </c>
      <c r="C126" s="9" t="s">
        <v>268</v>
      </c>
      <c r="D126" s="9" t="s">
        <v>269</v>
      </c>
      <c r="E126" s="9" t="s">
        <v>484</v>
      </c>
      <c r="F126" s="9" t="s">
        <v>485</v>
      </c>
      <c r="G126" s="9" t="s">
        <v>92</v>
      </c>
      <c r="H126" s="9" t="s">
        <v>375</v>
      </c>
      <c r="I126" s="9" t="s">
        <v>196</v>
      </c>
      <c r="J126" s="9" t="s">
        <v>157</v>
      </c>
      <c r="K126" s="9" t="s">
        <v>441</v>
      </c>
      <c r="L126" s="9" t="s">
        <v>441</v>
      </c>
      <c r="M126" s="11">
        <v>40</v>
      </c>
      <c r="N126" s="9" t="s">
        <v>72</v>
      </c>
      <c r="O126" s="9" t="s">
        <v>158</v>
      </c>
      <c r="P126" s="9" t="s">
        <v>86</v>
      </c>
      <c r="Q126" s="11">
        <v>26</v>
      </c>
      <c r="R126" s="9" t="s">
        <v>75</v>
      </c>
      <c r="S126" s="9" t="s">
        <v>0</v>
      </c>
      <c r="T126" s="9" t="s">
        <v>0</v>
      </c>
      <c r="U126" s="9" t="s">
        <v>159</v>
      </c>
    </row>
    <row r="127" spans="1:21" x14ac:dyDescent="0.25">
      <c r="A127" s="10" t="s">
        <v>19</v>
      </c>
      <c r="B127" s="10" t="s">
        <v>165</v>
      </c>
      <c r="C127" s="10" t="s">
        <v>221</v>
      </c>
      <c r="D127" s="10" t="s">
        <v>222</v>
      </c>
      <c r="E127" s="10" t="s">
        <v>323</v>
      </c>
      <c r="F127" s="10" t="s">
        <v>324</v>
      </c>
      <c r="G127" s="10" t="s">
        <v>92</v>
      </c>
      <c r="H127" s="10" t="s">
        <v>325</v>
      </c>
      <c r="I127" s="10" t="s">
        <v>292</v>
      </c>
      <c r="J127" s="10" t="s">
        <v>83</v>
      </c>
      <c r="K127" s="10" t="s">
        <v>71</v>
      </c>
      <c r="L127" s="10" t="s">
        <v>95</v>
      </c>
      <c r="M127" s="12">
        <v>-87.75</v>
      </c>
      <c r="N127" s="10" t="s">
        <v>72</v>
      </c>
      <c r="O127" s="10" t="s">
        <v>252</v>
      </c>
      <c r="P127" s="10" t="s">
        <v>86</v>
      </c>
      <c r="Q127" s="12">
        <v>-92.14</v>
      </c>
      <c r="R127" s="10" t="s">
        <v>289</v>
      </c>
      <c r="S127" s="10" t="s">
        <v>0</v>
      </c>
      <c r="T127" s="10" t="s">
        <v>0</v>
      </c>
      <c r="U127" s="10" t="s">
        <v>87</v>
      </c>
    </row>
    <row r="128" spans="1:21" x14ac:dyDescent="0.25">
      <c r="A128" s="9" t="s">
        <v>19</v>
      </c>
      <c r="B128" s="9" t="s">
        <v>61</v>
      </c>
      <c r="C128" s="9" t="s">
        <v>247</v>
      </c>
      <c r="D128" s="9" t="s">
        <v>248</v>
      </c>
      <c r="E128" s="9" t="s">
        <v>486</v>
      </c>
      <c r="F128" s="9" t="s">
        <v>487</v>
      </c>
      <c r="G128" s="9" t="s">
        <v>81</v>
      </c>
      <c r="H128" s="9" t="s">
        <v>488</v>
      </c>
      <c r="I128" s="9" t="s">
        <v>108</v>
      </c>
      <c r="J128" s="9" t="s">
        <v>157</v>
      </c>
      <c r="K128" s="9" t="s">
        <v>266</v>
      </c>
      <c r="L128" s="9" t="s">
        <v>180</v>
      </c>
      <c r="M128" s="11">
        <v>35.4</v>
      </c>
      <c r="N128" s="9" t="s">
        <v>72</v>
      </c>
      <c r="O128" s="9" t="s">
        <v>158</v>
      </c>
      <c r="P128" s="9" t="s">
        <v>86</v>
      </c>
      <c r="Q128" s="11">
        <v>23.01</v>
      </c>
      <c r="R128" s="9" t="s">
        <v>75</v>
      </c>
      <c r="S128" s="9" t="s">
        <v>0</v>
      </c>
      <c r="T128" s="9" t="s">
        <v>0</v>
      </c>
      <c r="U128" s="9" t="s">
        <v>159</v>
      </c>
    </row>
    <row r="129" spans="1:21" x14ac:dyDescent="0.25">
      <c r="A129" s="10" t="s">
        <v>18</v>
      </c>
      <c r="B129" s="10" t="s">
        <v>61</v>
      </c>
      <c r="C129" s="10" t="s">
        <v>489</v>
      </c>
      <c r="D129" s="10" t="s">
        <v>490</v>
      </c>
      <c r="E129" s="10" t="s">
        <v>491</v>
      </c>
      <c r="F129" s="10" t="s">
        <v>492</v>
      </c>
      <c r="G129" s="10" t="s">
        <v>81</v>
      </c>
      <c r="H129" s="10" t="s">
        <v>493</v>
      </c>
      <c r="I129" s="10" t="s">
        <v>108</v>
      </c>
      <c r="J129" s="10" t="s">
        <v>69</v>
      </c>
      <c r="K129" s="10" t="s">
        <v>198</v>
      </c>
      <c r="L129" s="10" t="s">
        <v>71</v>
      </c>
      <c r="M129" s="12">
        <v>139.6</v>
      </c>
      <c r="N129" s="10" t="s">
        <v>72</v>
      </c>
      <c r="O129" s="10" t="s">
        <v>393</v>
      </c>
      <c r="P129" s="10" t="s">
        <v>86</v>
      </c>
      <c r="Q129" s="12">
        <v>34.9</v>
      </c>
      <c r="R129" s="10" t="s">
        <v>75</v>
      </c>
      <c r="S129" s="10" t="s">
        <v>0</v>
      </c>
      <c r="T129" s="10" t="s">
        <v>0</v>
      </c>
      <c r="U129" s="10" t="s">
        <v>76</v>
      </c>
    </row>
    <row r="130" spans="1:21" x14ac:dyDescent="0.25">
      <c r="A130" s="9" t="s">
        <v>19</v>
      </c>
      <c r="B130" s="9" t="s">
        <v>61</v>
      </c>
      <c r="C130" s="9" t="s">
        <v>494</v>
      </c>
      <c r="D130" s="9" t="s">
        <v>495</v>
      </c>
      <c r="E130" s="9" t="s">
        <v>496</v>
      </c>
      <c r="F130" s="9" t="s">
        <v>497</v>
      </c>
      <c r="G130" s="9" t="s">
        <v>81</v>
      </c>
      <c r="H130" s="9" t="s">
        <v>498</v>
      </c>
      <c r="I130" s="9" t="s">
        <v>68</v>
      </c>
      <c r="J130" s="9" t="s">
        <v>94</v>
      </c>
      <c r="K130" s="9" t="s">
        <v>498</v>
      </c>
      <c r="L130" s="9" t="s">
        <v>441</v>
      </c>
      <c r="M130" s="11">
        <v>89.62</v>
      </c>
      <c r="N130" s="9" t="s">
        <v>72</v>
      </c>
      <c r="O130" s="9" t="s">
        <v>85</v>
      </c>
      <c r="P130" s="9" t="s">
        <v>86</v>
      </c>
      <c r="Q130" s="11">
        <v>85.14</v>
      </c>
      <c r="R130" s="9" t="s">
        <v>75</v>
      </c>
      <c r="S130" s="9" t="s">
        <v>0</v>
      </c>
      <c r="T130" s="9" t="s">
        <v>0</v>
      </c>
      <c r="U130" s="9" t="s">
        <v>97</v>
      </c>
    </row>
    <row r="131" spans="1:21" x14ac:dyDescent="0.25">
      <c r="A131" s="10" t="s">
        <v>19</v>
      </c>
      <c r="B131" s="10" t="s">
        <v>61</v>
      </c>
      <c r="C131" s="10" t="s">
        <v>62</v>
      </c>
      <c r="D131" s="10" t="s">
        <v>63</v>
      </c>
      <c r="E131" s="10" t="s">
        <v>499</v>
      </c>
      <c r="F131" s="10" t="s">
        <v>500</v>
      </c>
      <c r="G131" s="10" t="s">
        <v>66</v>
      </c>
      <c r="H131" s="10" t="s">
        <v>299</v>
      </c>
      <c r="I131" s="10" t="s">
        <v>68</v>
      </c>
      <c r="J131" s="10" t="s">
        <v>217</v>
      </c>
      <c r="K131" s="10" t="s">
        <v>501</v>
      </c>
      <c r="L131" s="10" t="s">
        <v>180</v>
      </c>
      <c r="M131" s="12">
        <v>29.71</v>
      </c>
      <c r="N131" s="10" t="s">
        <v>72</v>
      </c>
      <c r="O131" s="10" t="s">
        <v>121</v>
      </c>
      <c r="P131" s="10" t="s">
        <v>86</v>
      </c>
      <c r="Q131" s="12">
        <v>1.04</v>
      </c>
      <c r="R131" s="10" t="s">
        <v>75</v>
      </c>
      <c r="S131" s="10" t="s">
        <v>0</v>
      </c>
      <c r="T131" s="10" t="s">
        <v>0</v>
      </c>
      <c r="U131" s="10" t="s">
        <v>220</v>
      </c>
    </row>
    <row r="132" spans="1:21" x14ac:dyDescent="0.25">
      <c r="A132" s="9" t="s">
        <v>19</v>
      </c>
      <c r="B132" s="9" t="s">
        <v>61</v>
      </c>
      <c r="C132" s="9" t="s">
        <v>133</v>
      </c>
      <c r="D132" s="9" t="s">
        <v>134</v>
      </c>
      <c r="E132" s="9" t="s">
        <v>502</v>
      </c>
      <c r="F132" s="9" t="s">
        <v>503</v>
      </c>
      <c r="G132" s="9" t="s">
        <v>81</v>
      </c>
      <c r="H132" s="9" t="s">
        <v>504</v>
      </c>
      <c r="I132" s="9" t="s">
        <v>68</v>
      </c>
      <c r="J132" s="9" t="s">
        <v>235</v>
      </c>
      <c r="K132" s="9" t="s">
        <v>505</v>
      </c>
      <c r="L132" s="9" t="s">
        <v>180</v>
      </c>
      <c r="M132" s="11">
        <v>111.58</v>
      </c>
      <c r="N132" s="9" t="s">
        <v>72</v>
      </c>
      <c r="O132" s="9" t="s">
        <v>85</v>
      </c>
      <c r="P132" s="9" t="s">
        <v>86</v>
      </c>
      <c r="Q132" s="11">
        <v>106</v>
      </c>
      <c r="R132" s="9" t="s">
        <v>75</v>
      </c>
      <c r="S132" s="9" t="s">
        <v>0</v>
      </c>
      <c r="T132" s="9" t="s">
        <v>0</v>
      </c>
      <c r="U132" s="9" t="s">
        <v>236</v>
      </c>
    </row>
    <row r="133" spans="1:21" x14ac:dyDescent="0.25">
      <c r="A133" s="10" t="s">
        <v>19</v>
      </c>
      <c r="B133" s="10" t="s">
        <v>61</v>
      </c>
      <c r="C133" s="10" t="s">
        <v>506</v>
      </c>
      <c r="D133" s="10" t="s">
        <v>507</v>
      </c>
      <c r="E133" s="10" t="s">
        <v>508</v>
      </c>
      <c r="F133" s="10" t="s">
        <v>509</v>
      </c>
      <c r="G133" s="10" t="s">
        <v>81</v>
      </c>
      <c r="H133" s="10" t="s">
        <v>510</v>
      </c>
      <c r="I133" s="10" t="s">
        <v>108</v>
      </c>
      <c r="J133" s="10" t="s">
        <v>293</v>
      </c>
      <c r="K133" s="10" t="s">
        <v>511</v>
      </c>
      <c r="L133" s="10" t="s">
        <v>512</v>
      </c>
      <c r="M133" s="12">
        <v>80.150000000000006</v>
      </c>
      <c r="N133" s="10" t="s">
        <v>72</v>
      </c>
      <c r="O133" s="10" t="s">
        <v>203</v>
      </c>
      <c r="P133" s="10" t="s">
        <v>86</v>
      </c>
      <c r="Q133" s="12">
        <v>46.49</v>
      </c>
      <c r="R133" s="10" t="s">
        <v>75</v>
      </c>
      <c r="S133" s="10" t="s">
        <v>0</v>
      </c>
      <c r="T133" s="10" t="s">
        <v>0</v>
      </c>
      <c r="U133" s="10" t="s">
        <v>294</v>
      </c>
    </row>
    <row r="134" spans="1:21" x14ac:dyDescent="0.25">
      <c r="A134" s="9" t="s">
        <v>19</v>
      </c>
      <c r="B134" s="9" t="s">
        <v>61</v>
      </c>
      <c r="C134" s="9" t="s">
        <v>279</v>
      </c>
      <c r="D134" s="9" t="s">
        <v>280</v>
      </c>
      <c r="E134" s="9" t="s">
        <v>513</v>
      </c>
      <c r="F134" s="9" t="s">
        <v>514</v>
      </c>
      <c r="G134" s="9" t="s">
        <v>66</v>
      </c>
      <c r="H134" s="9" t="s">
        <v>515</v>
      </c>
      <c r="I134" s="9" t="s">
        <v>516</v>
      </c>
      <c r="J134" s="9" t="s">
        <v>157</v>
      </c>
      <c r="K134" s="9" t="s">
        <v>169</v>
      </c>
      <c r="L134" s="9" t="s">
        <v>71</v>
      </c>
      <c r="M134" s="11">
        <v>56.67</v>
      </c>
      <c r="N134" s="9" t="s">
        <v>72</v>
      </c>
      <c r="O134" s="9" t="s">
        <v>517</v>
      </c>
      <c r="P134" s="9" t="s">
        <v>86</v>
      </c>
      <c r="Q134" s="11">
        <v>9.6300000000000008</v>
      </c>
      <c r="R134" s="9" t="s">
        <v>75</v>
      </c>
      <c r="S134" s="9" t="s">
        <v>0</v>
      </c>
      <c r="T134" s="9" t="s">
        <v>0</v>
      </c>
      <c r="U134" s="9" t="s">
        <v>159</v>
      </c>
    </row>
    <row r="135" spans="1:21" x14ac:dyDescent="0.25">
      <c r="A135" s="10" t="s">
        <v>19</v>
      </c>
      <c r="B135" s="10" t="s">
        <v>61</v>
      </c>
      <c r="C135" s="10" t="s">
        <v>279</v>
      </c>
      <c r="D135" s="10" t="s">
        <v>280</v>
      </c>
      <c r="E135" s="10" t="s">
        <v>513</v>
      </c>
      <c r="F135" s="10" t="s">
        <v>514</v>
      </c>
      <c r="G135" s="10" t="s">
        <v>66</v>
      </c>
      <c r="H135" s="10" t="s">
        <v>515</v>
      </c>
      <c r="I135" s="10" t="s">
        <v>516</v>
      </c>
      <c r="J135" s="10" t="s">
        <v>157</v>
      </c>
      <c r="K135" s="10" t="s">
        <v>169</v>
      </c>
      <c r="L135" s="10" t="s">
        <v>71</v>
      </c>
      <c r="M135" s="12">
        <v>5.25</v>
      </c>
      <c r="N135" s="10" t="s">
        <v>72</v>
      </c>
      <c r="O135" s="10" t="s">
        <v>517</v>
      </c>
      <c r="P135" s="10" t="s">
        <v>86</v>
      </c>
      <c r="Q135" s="12">
        <v>0.89</v>
      </c>
      <c r="R135" s="10" t="s">
        <v>75</v>
      </c>
      <c r="S135" s="10" t="s">
        <v>0</v>
      </c>
      <c r="T135" s="10" t="s">
        <v>0</v>
      </c>
      <c r="U135" s="10" t="s">
        <v>159</v>
      </c>
    </row>
    <row r="136" spans="1:21" x14ac:dyDescent="0.25">
      <c r="A136" s="9" t="s">
        <v>19</v>
      </c>
      <c r="B136" s="9" t="s">
        <v>61</v>
      </c>
      <c r="C136" s="9" t="s">
        <v>279</v>
      </c>
      <c r="D136" s="9" t="s">
        <v>280</v>
      </c>
      <c r="E136" s="9" t="s">
        <v>513</v>
      </c>
      <c r="F136" s="9" t="s">
        <v>514</v>
      </c>
      <c r="G136" s="9" t="s">
        <v>66</v>
      </c>
      <c r="H136" s="9" t="s">
        <v>515</v>
      </c>
      <c r="I136" s="9" t="s">
        <v>516</v>
      </c>
      <c r="J136" s="9" t="s">
        <v>157</v>
      </c>
      <c r="K136" s="9" t="s">
        <v>169</v>
      </c>
      <c r="L136" s="9" t="s">
        <v>71</v>
      </c>
      <c r="M136" s="11">
        <v>15.8</v>
      </c>
      <c r="N136" s="9" t="s">
        <v>72</v>
      </c>
      <c r="O136" s="9" t="s">
        <v>517</v>
      </c>
      <c r="P136" s="9" t="s">
        <v>86</v>
      </c>
      <c r="Q136" s="11">
        <v>2.69</v>
      </c>
      <c r="R136" s="9" t="s">
        <v>75</v>
      </c>
      <c r="S136" s="9" t="s">
        <v>0</v>
      </c>
      <c r="T136" s="9" t="s">
        <v>0</v>
      </c>
      <c r="U136" s="9" t="s">
        <v>159</v>
      </c>
    </row>
    <row r="137" spans="1:21" x14ac:dyDescent="0.25">
      <c r="A137" s="10" t="s">
        <v>19</v>
      </c>
      <c r="B137" s="10" t="s">
        <v>61</v>
      </c>
      <c r="C137" s="10" t="s">
        <v>279</v>
      </c>
      <c r="D137" s="10" t="s">
        <v>280</v>
      </c>
      <c r="E137" s="10" t="s">
        <v>513</v>
      </c>
      <c r="F137" s="10" t="s">
        <v>514</v>
      </c>
      <c r="G137" s="10" t="s">
        <v>66</v>
      </c>
      <c r="H137" s="10" t="s">
        <v>515</v>
      </c>
      <c r="I137" s="10" t="s">
        <v>516</v>
      </c>
      <c r="J137" s="10" t="s">
        <v>157</v>
      </c>
      <c r="K137" s="10" t="s">
        <v>169</v>
      </c>
      <c r="L137" s="10" t="s">
        <v>71</v>
      </c>
      <c r="M137" s="12">
        <v>11.04</v>
      </c>
      <c r="N137" s="10" t="s">
        <v>72</v>
      </c>
      <c r="O137" s="10" t="s">
        <v>517</v>
      </c>
      <c r="P137" s="10" t="s">
        <v>86</v>
      </c>
      <c r="Q137" s="12">
        <v>1.88</v>
      </c>
      <c r="R137" s="10" t="s">
        <v>75</v>
      </c>
      <c r="S137" s="10" t="s">
        <v>0</v>
      </c>
      <c r="T137" s="10" t="s">
        <v>0</v>
      </c>
      <c r="U137" s="10" t="s">
        <v>159</v>
      </c>
    </row>
    <row r="138" spans="1:21" x14ac:dyDescent="0.25">
      <c r="A138" s="9" t="s">
        <v>19</v>
      </c>
      <c r="B138" s="9" t="s">
        <v>61</v>
      </c>
      <c r="C138" s="9" t="s">
        <v>279</v>
      </c>
      <c r="D138" s="9" t="s">
        <v>280</v>
      </c>
      <c r="E138" s="9" t="s">
        <v>513</v>
      </c>
      <c r="F138" s="9" t="s">
        <v>514</v>
      </c>
      <c r="G138" s="9" t="s">
        <v>66</v>
      </c>
      <c r="H138" s="9" t="s">
        <v>515</v>
      </c>
      <c r="I138" s="9" t="s">
        <v>516</v>
      </c>
      <c r="J138" s="9" t="s">
        <v>157</v>
      </c>
      <c r="K138" s="9" t="s">
        <v>169</v>
      </c>
      <c r="L138" s="9" t="s">
        <v>71</v>
      </c>
      <c r="M138" s="11">
        <v>12.77</v>
      </c>
      <c r="N138" s="9" t="s">
        <v>72</v>
      </c>
      <c r="O138" s="9" t="s">
        <v>517</v>
      </c>
      <c r="P138" s="9" t="s">
        <v>86</v>
      </c>
      <c r="Q138" s="11">
        <v>2.17</v>
      </c>
      <c r="R138" s="9" t="s">
        <v>75</v>
      </c>
      <c r="S138" s="9" t="s">
        <v>0</v>
      </c>
      <c r="T138" s="9" t="s">
        <v>0</v>
      </c>
      <c r="U138" s="9" t="s">
        <v>159</v>
      </c>
    </row>
    <row r="139" spans="1:21" x14ac:dyDescent="0.25">
      <c r="A139" s="10" t="s">
        <v>19</v>
      </c>
      <c r="B139" s="10" t="s">
        <v>61</v>
      </c>
      <c r="C139" s="10" t="s">
        <v>279</v>
      </c>
      <c r="D139" s="10" t="s">
        <v>280</v>
      </c>
      <c r="E139" s="10" t="s">
        <v>513</v>
      </c>
      <c r="F139" s="10" t="s">
        <v>514</v>
      </c>
      <c r="G139" s="10" t="s">
        <v>66</v>
      </c>
      <c r="H139" s="10" t="s">
        <v>515</v>
      </c>
      <c r="I139" s="10" t="s">
        <v>516</v>
      </c>
      <c r="J139" s="10" t="s">
        <v>157</v>
      </c>
      <c r="K139" s="10" t="s">
        <v>169</v>
      </c>
      <c r="L139" s="10" t="s">
        <v>71</v>
      </c>
      <c r="M139" s="12">
        <v>23.8</v>
      </c>
      <c r="N139" s="10" t="s">
        <v>72</v>
      </c>
      <c r="O139" s="10" t="s">
        <v>517</v>
      </c>
      <c r="P139" s="10" t="s">
        <v>86</v>
      </c>
      <c r="Q139" s="12">
        <v>4.05</v>
      </c>
      <c r="R139" s="10" t="s">
        <v>75</v>
      </c>
      <c r="S139" s="10" t="s">
        <v>0</v>
      </c>
      <c r="T139" s="10" t="s">
        <v>0</v>
      </c>
      <c r="U139" s="10" t="s">
        <v>159</v>
      </c>
    </row>
    <row r="140" spans="1:21" x14ac:dyDescent="0.25">
      <c r="A140" s="9" t="s">
        <v>19</v>
      </c>
      <c r="B140" s="9" t="s">
        <v>165</v>
      </c>
      <c r="C140" s="9" t="s">
        <v>284</v>
      </c>
      <c r="D140" s="9" t="s">
        <v>285</v>
      </c>
      <c r="E140" s="9" t="s">
        <v>286</v>
      </c>
      <c r="F140" s="9" t="s">
        <v>287</v>
      </c>
      <c r="G140" s="9" t="s">
        <v>66</v>
      </c>
      <c r="H140" s="9" t="s">
        <v>288</v>
      </c>
      <c r="I140" s="9" t="s">
        <v>68</v>
      </c>
      <c r="J140" s="9" t="s">
        <v>118</v>
      </c>
      <c r="K140" s="9" t="s">
        <v>213</v>
      </c>
      <c r="L140" s="9" t="s">
        <v>95</v>
      </c>
      <c r="M140" s="11">
        <v>-27.63</v>
      </c>
      <c r="N140" s="9" t="s">
        <v>72</v>
      </c>
      <c r="O140" s="9" t="s">
        <v>121</v>
      </c>
      <c r="P140" s="9" t="s">
        <v>86</v>
      </c>
      <c r="Q140" s="11">
        <v>-0.97</v>
      </c>
      <c r="R140" s="9" t="s">
        <v>289</v>
      </c>
      <c r="S140" s="9" t="s">
        <v>0</v>
      </c>
      <c r="T140" s="9" t="s">
        <v>0</v>
      </c>
      <c r="U140" s="9" t="s">
        <v>122</v>
      </c>
    </row>
    <row r="141" spans="1:21" x14ac:dyDescent="0.25">
      <c r="A141" s="10" t="s">
        <v>19</v>
      </c>
      <c r="B141" s="10" t="s">
        <v>61</v>
      </c>
      <c r="C141" s="10" t="s">
        <v>242</v>
      </c>
      <c r="D141" s="10" t="s">
        <v>243</v>
      </c>
      <c r="E141" s="10" t="s">
        <v>518</v>
      </c>
      <c r="F141" s="10" t="s">
        <v>519</v>
      </c>
      <c r="G141" s="10" t="s">
        <v>66</v>
      </c>
      <c r="H141" s="10" t="s">
        <v>520</v>
      </c>
      <c r="I141" s="10" t="s">
        <v>108</v>
      </c>
      <c r="J141" s="10" t="s">
        <v>83</v>
      </c>
      <c r="K141" s="10" t="s">
        <v>467</v>
      </c>
      <c r="L141" s="10" t="s">
        <v>71</v>
      </c>
      <c r="M141" s="12">
        <v>35.869999999999997</v>
      </c>
      <c r="N141" s="10" t="s">
        <v>72</v>
      </c>
      <c r="O141" s="10" t="s">
        <v>388</v>
      </c>
      <c r="P141" s="10" t="s">
        <v>86</v>
      </c>
      <c r="Q141" s="12">
        <v>2.87</v>
      </c>
      <c r="R141" s="10" t="s">
        <v>75</v>
      </c>
      <c r="S141" s="10" t="s">
        <v>0</v>
      </c>
      <c r="T141" s="10" t="s">
        <v>0</v>
      </c>
      <c r="U141" s="10" t="s">
        <v>87</v>
      </c>
    </row>
    <row r="142" spans="1:21" x14ac:dyDescent="0.25">
      <c r="A142" s="9" t="s">
        <v>18</v>
      </c>
      <c r="B142" s="9" t="s">
        <v>61</v>
      </c>
      <c r="C142" s="9" t="s">
        <v>336</v>
      </c>
      <c r="D142" s="9" t="s">
        <v>337</v>
      </c>
      <c r="E142" s="9" t="s">
        <v>521</v>
      </c>
      <c r="F142" s="9" t="s">
        <v>522</v>
      </c>
      <c r="G142" s="9" t="s">
        <v>66</v>
      </c>
      <c r="H142" s="9" t="s">
        <v>523</v>
      </c>
      <c r="I142" s="9" t="s">
        <v>68</v>
      </c>
      <c r="J142" s="9" t="s">
        <v>383</v>
      </c>
      <c r="K142" s="9" t="s">
        <v>169</v>
      </c>
      <c r="L142" s="9" t="s">
        <v>71</v>
      </c>
      <c r="M142" s="11">
        <v>117.2</v>
      </c>
      <c r="N142" s="9" t="s">
        <v>72</v>
      </c>
      <c r="O142" s="9" t="s">
        <v>385</v>
      </c>
      <c r="P142" s="9" t="s">
        <v>86</v>
      </c>
      <c r="Q142" s="11">
        <v>35.159999999999997</v>
      </c>
      <c r="R142" s="9" t="s">
        <v>75</v>
      </c>
      <c r="S142" s="9" t="s">
        <v>0</v>
      </c>
      <c r="T142" s="9" t="s">
        <v>0</v>
      </c>
      <c r="U142" s="9" t="s">
        <v>386</v>
      </c>
    </row>
    <row r="143" spans="1:21" x14ac:dyDescent="0.25">
      <c r="A143" s="10" t="s">
        <v>19</v>
      </c>
      <c r="B143" s="10" t="s">
        <v>61</v>
      </c>
      <c r="C143" s="10" t="s">
        <v>181</v>
      </c>
      <c r="D143" s="10" t="s">
        <v>182</v>
      </c>
      <c r="E143" s="10" t="s">
        <v>524</v>
      </c>
      <c r="F143" s="10" t="s">
        <v>525</v>
      </c>
      <c r="G143" s="10" t="s">
        <v>66</v>
      </c>
      <c r="H143" s="10" t="s">
        <v>526</v>
      </c>
      <c r="I143" s="10" t="s">
        <v>68</v>
      </c>
      <c r="J143" s="10" t="s">
        <v>118</v>
      </c>
      <c r="K143" s="10" t="s">
        <v>526</v>
      </c>
      <c r="L143" s="10" t="s">
        <v>180</v>
      </c>
      <c r="M143" s="12">
        <v>32.130000000000003</v>
      </c>
      <c r="N143" s="10" t="s">
        <v>72</v>
      </c>
      <c r="O143" s="10" t="s">
        <v>121</v>
      </c>
      <c r="P143" s="10" t="s">
        <v>86</v>
      </c>
      <c r="Q143" s="12">
        <v>1.1200000000000001</v>
      </c>
      <c r="R143" s="10" t="s">
        <v>75</v>
      </c>
      <c r="S143" s="10" t="s">
        <v>0</v>
      </c>
      <c r="T143" s="10" t="s">
        <v>0</v>
      </c>
      <c r="U143" s="10" t="s">
        <v>122</v>
      </c>
    </row>
    <row r="144" spans="1:21" x14ac:dyDescent="0.25">
      <c r="A144" s="9" t="s">
        <v>19</v>
      </c>
      <c r="B144" s="9" t="s">
        <v>61</v>
      </c>
      <c r="C144" s="9" t="s">
        <v>247</v>
      </c>
      <c r="D144" s="9" t="s">
        <v>248</v>
      </c>
      <c r="E144" s="9" t="s">
        <v>527</v>
      </c>
      <c r="F144" s="9" t="s">
        <v>528</v>
      </c>
      <c r="G144" s="9" t="s">
        <v>81</v>
      </c>
      <c r="H144" s="9" t="s">
        <v>529</v>
      </c>
      <c r="I144" s="9" t="s">
        <v>108</v>
      </c>
      <c r="J144" s="9" t="s">
        <v>157</v>
      </c>
      <c r="K144" s="9" t="s">
        <v>529</v>
      </c>
      <c r="L144" s="9" t="s">
        <v>278</v>
      </c>
      <c r="M144" s="11">
        <v>39.75</v>
      </c>
      <c r="N144" s="9" t="s">
        <v>72</v>
      </c>
      <c r="O144" s="9" t="s">
        <v>158</v>
      </c>
      <c r="P144" s="9" t="s">
        <v>86</v>
      </c>
      <c r="Q144" s="11">
        <v>25.84</v>
      </c>
      <c r="R144" s="9" t="s">
        <v>75</v>
      </c>
      <c r="S144" s="9" t="s">
        <v>0</v>
      </c>
      <c r="T144" s="9" t="s">
        <v>0</v>
      </c>
      <c r="U144" s="9" t="s">
        <v>159</v>
      </c>
    </row>
    <row r="145" spans="1:21" x14ac:dyDescent="0.25">
      <c r="A145" s="10" t="s">
        <v>19</v>
      </c>
      <c r="B145" s="10" t="s">
        <v>61</v>
      </c>
      <c r="C145" s="10" t="s">
        <v>247</v>
      </c>
      <c r="D145" s="10" t="s">
        <v>248</v>
      </c>
      <c r="E145" s="10" t="s">
        <v>530</v>
      </c>
      <c r="F145" s="10" t="s">
        <v>531</v>
      </c>
      <c r="G145" s="10" t="s">
        <v>81</v>
      </c>
      <c r="H145" s="10" t="s">
        <v>529</v>
      </c>
      <c r="I145" s="10" t="s">
        <v>108</v>
      </c>
      <c r="J145" s="10" t="s">
        <v>157</v>
      </c>
      <c r="K145" s="10" t="s">
        <v>529</v>
      </c>
      <c r="L145" s="10" t="s">
        <v>278</v>
      </c>
      <c r="M145" s="12">
        <v>33.5</v>
      </c>
      <c r="N145" s="10" t="s">
        <v>72</v>
      </c>
      <c r="O145" s="10" t="s">
        <v>158</v>
      </c>
      <c r="P145" s="10" t="s">
        <v>86</v>
      </c>
      <c r="Q145" s="12">
        <v>21.78</v>
      </c>
      <c r="R145" s="10" t="s">
        <v>75</v>
      </c>
      <c r="S145" s="10" t="s">
        <v>0</v>
      </c>
      <c r="T145" s="10" t="s">
        <v>0</v>
      </c>
      <c r="U145" s="10" t="s">
        <v>159</v>
      </c>
    </row>
    <row r="146" spans="1:21" x14ac:dyDescent="0.25">
      <c r="A146" s="9" t="s">
        <v>19</v>
      </c>
      <c r="B146" s="9" t="s">
        <v>61</v>
      </c>
      <c r="C146" s="9" t="s">
        <v>532</v>
      </c>
      <c r="D146" s="9" t="s">
        <v>533</v>
      </c>
      <c r="E146" s="9" t="s">
        <v>534</v>
      </c>
      <c r="F146" s="9" t="s">
        <v>535</v>
      </c>
      <c r="G146" s="9" t="s">
        <v>66</v>
      </c>
      <c r="H146" s="9" t="s">
        <v>536</v>
      </c>
      <c r="I146" s="9" t="s">
        <v>108</v>
      </c>
      <c r="J146" s="9" t="s">
        <v>537</v>
      </c>
      <c r="K146" s="9" t="s">
        <v>467</v>
      </c>
      <c r="L146" s="9" t="s">
        <v>71</v>
      </c>
      <c r="M146" s="11">
        <v>2.33</v>
      </c>
      <c r="N146" s="9" t="s">
        <v>72</v>
      </c>
      <c r="O146" s="9" t="s">
        <v>517</v>
      </c>
      <c r="P146" s="9" t="s">
        <v>86</v>
      </c>
      <c r="Q146" s="11">
        <v>0.4</v>
      </c>
      <c r="R146" s="9" t="s">
        <v>75</v>
      </c>
      <c r="S146" s="9" t="s">
        <v>0</v>
      </c>
      <c r="T146" s="9" t="s">
        <v>0</v>
      </c>
      <c r="U146" s="9" t="s">
        <v>538</v>
      </c>
    </row>
    <row r="147" spans="1:21" x14ac:dyDescent="0.25">
      <c r="A147" s="10" t="s">
        <v>19</v>
      </c>
      <c r="B147" s="10" t="s">
        <v>61</v>
      </c>
      <c r="C147" s="10" t="s">
        <v>532</v>
      </c>
      <c r="D147" s="10" t="s">
        <v>533</v>
      </c>
      <c r="E147" s="10" t="s">
        <v>534</v>
      </c>
      <c r="F147" s="10" t="s">
        <v>535</v>
      </c>
      <c r="G147" s="10" t="s">
        <v>66</v>
      </c>
      <c r="H147" s="10" t="s">
        <v>536</v>
      </c>
      <c r="I147" s="10" t="s">
        <v>108</v>
      </c>
      <c r="J147" s="10" t="s">
        <v>537</v>
      </c>
      <c r="K147" s="10" t="s">
        <v>467</v>
      </c>
      <c r="L147" s="10" t="s">
        <v>71</v>
      </c>
      <c r="M147" s="12">
        <v>53.6</v>
      </c>
      <c r="N147" s="10" t="s">
        <v>72</v>
      </c>
      <c r="O147" s="10" t="s">
        <v>517</v>
      </c>
      <c r="P147" s="10" t="s">
        <v>86</v>
      </c>
      <c r="Q147" s="12">
        <v>9.11</v>
      </c>
      <c r="R147" s="10" t="s">
        <v>75</v>
      </c>
      <c r="S147" s="10" t="s">
        <v>0</v>
      </c>
      <c r="T147" s="10" t="s">
        <v>0</v>
      </c>
      <c r="U147" s="10" t="s">
        <v>538</v>
      </c>
    </row>
    <row r="148" spans="1:21" x14ac:dyDescent="0.25">
      <c r="A148" s="9" t="s">
        <v>19</v>
      </c>
      <c r="B148" s="9" t="s">
        <v>61</v>
      </c>
      <c r="C148" s="9" t="s">
        <v>174</v>
      </c>
      <c r="D148" s="9" t="s">
        <v>175</v>
      </c>
      <c r="E148" s="9" t="s">
        <v>539</v>
      </c>
      <c r="F148" s="9" t="s">
        <v>540</v>
      </c>
      <c r="G148" s="9" t="s">
        <v>66</v>
      </c>
      <c r="H148" s="9" t="s">
        <v>541</v>
      </c>
      <c r="I148" s="9" t="s">
        <v>68</v>
      </c>
      <c r="J148" s="9" t="s">
        <v>118</v>
      </c>
      <c r="K148" s="9" t="s">
        <v>542</v>
      </c>
      <c r="L148" s="9" t="s">
        <v>345</v>
      </c>
      <c r="M148" s="11">
        <v>32.130000000000003</v>
      </c>
      <c r="N148" s="9" t="s">
        <v>72</v>
      </c>
      <c r="O148" s="9" t="s">
        <v>121</v>
      </c>
      <c r="P148" s="9" t="s">
        <v>86</v>
      </c>
      <c r="Q148" s="11">
        <v>1.1200000000000001</v>
      </c>
      <c r="R148" s="9" t="s">
        <v>75</v>
      </c>
      <c r="S148" s="9" t="s">
        <v>0</v>
      </c>
      <c r="T148" s="9" t="s">
        <v>0</v>
      </c>
      <c r="U148" s="9" t="s">
        <v>122</v>
      </c>
    </row>
    <row r="149" spans="1:21" x14ac:dyDescent="0.25">
      <c r="A149" s="10" t="s">
        <v>19</v>
      </c>
      <c r="B149" s="10" t="s">
        <v>165</v>
      </c>
      <c r="C149" s="10" t="s">
        <v>284</v>
      </c>
      <c r="D149" s="10" t="s">
        <v>285</v>
      </c>
      <c r="E149" s="10" t="s">
        <v>321</v>
      </c>
      <c r="F149" s="10" t="s">
        <v>322</v>
      </c>
      <c r="G149" s="10" t="s">
        <v>66</v>
      </c>
      <c r="H149" s="10" t="s">
        <v>288</v>
      </c>
      <c r="I149" s="10" t="s">
        <v>68</v>
      </c>
      <c r="J149" s="10" t="s">
        <v>118</v>
      </c>
      <c r="K149" s="10" t="s">
        <v>213</v>
      </c>
      <c r="L149" s="10" t="s">
        <v>95</v>
      </c>
      <c r="M149" s="12">
        <v>-22.42</v>
      </c>
      <c r="N149" s="10" t="s">
        <v>72</v>
      </c>
      <c r="O149" s="10" t="s">
        <v>121</v>
      </c>
      <c r="P149" s="10" t="s">
        <v>86</v>
      </c>
      <c r="Q149" s="12">
        <v>-0.78</v>
      </c>
      <c r="R149" s="10" t="s">
        <v>289</v>
      </c>
      <c r="S149" s="10" t="s">
        <v>0</v>
      </c>
      <c r="T149" s="10" t="s">
        <v>0</v>
      </c>
      <c r="U149" s="10" t="s">
        <v>122</v>
      </c>
    </row>
    <row r="150" spans="1:21" x14ac:dyDescent="0.25">
      <c r="A150" s="9" t="s">
        <v>19</v>
      </c>
      <c r="B150" s="9" t="s">
        <v>61</v>
      </c>
      <c r="C150" s="9" t="s">
        <v>77</v>
      </c>
      <c r="D150" s="9" t="s">
        <v>78</v>
      </c>
      <c r="E150" s="9" t="s">
        <v>543</v>
      </c>
      <c r="F150" s="9" t="s">
        <v>544</v>
      </c>
      <c r="G150" s="9" t="s">
        <v>66</v>
      </c>
      <c r="H150" s="9" t="s">
        <v>545</v>
      </c>
      <c r="I150" s="9" t="s">
        <v>68</v>
      </c>
      <c r="J150" s="9" t="s">
        <v>118</v>
      </c>
      <c r="K150" s="9" t="s">
        <v>545</v>
      </c>
      <c r="L150" s="9" t="s">
        <v>546</v>
      </c>
      <c r="M150" s="11">
        <v>22.42</v>
      </c>
      <c r="N150" s="9" t="s">
        <v>72</v>
      </c>
      <c r="O150" s="9" t="s">
        <v>164</v>
      </c>
      <c r="P150" s="9" t="s">
        <v>86</v>
      </c>
      <c r="Q150" s="11">
        <v>0.84</v>
      </c>
      <c r="R150" s="9" t="s">
        <v>75</v>
      </c>
      <c r="S150" s="9" t="s">
        <v>0</v>
      </c>
      <c r="T150" s="9" t="s">
        <v>0</v>
      </c>
      <c r="U150" s="9" t="s">
        <v>122</v>
      </c>
    </row>
    <row r="151" spans="1:21" x14ac:dyDescent="0.25">
      <c r="A151" s="10" t="s">
        <v>19</v>
      </c>
      <c r="B151" s="10" t="s">
        <v>61</v>
      </c>
      <c r="C151" s="10" t="s">
        <v>77</v>
      </c>
      <c r="D151" s="10" t="s">
        <v>78</v>
      </c>
      <c r="E151" s="10" t="s">
        <v>547</v>
      </c>
      <c r="F151" s="10" t="s">
        <v>548</v>
      </c>
      <c r="G151" s="10" t="s">
        <v>66</v>
      </c>
      <c r="H151" s="10" t="s">
        <v>545</v>
      </c>
      <c r="I151" s="10" t="s">
        <v>68</v>
      </c>
      <c r="J151" s="10" t="s">
        <v>118</v>
      </c>
      <c r="K151" s="10" t="s">
        <v>545</v>
      </c>
      <c r="L151" s="10" t="s">
        <v>546</v>
      </c>
      <c r="M151" s="12">
        <v>64.260000000000005</v>
      </c>
      <c r="N151" s="10" t="s">
        <v>72</v>
      </c>
      <c r="O151" s="10" t="s">
        <v>164</v>
      </c>
      <c r="P151" s="10" t="s">
        <v>86</v>
      </c>
      <c r="Q151" s="12">
        <v>2.41</v>
      </c>
      <c r="R151" s="10" t="s">
        <v>75</v>
      </c>
      <c r="S151" s="10" t="s">
        <v>0</v>
      </c>
      <c r="T151" s="10" t="s">
        <v>0</v>
      </c>
      <c r="U151" s="10" t="s">
        <v>122</v>
      </c>
    </row>
    <row r="152" spans="1:21" x14ac:dyDescent="0.25">
      <c r="A152" s="9" t="s">
        <v>19</v>
      </c>
      <c r="B152" s="9" t="s">
        <v>61</v>
      </c>
      <c r="C152" s="9" t="s">
        <v>77</v>
      </c>
      <c r="D152" s="9" t="s">
        <v>78</v>
      </c>
      <c r="E152" s="9" t="s">
        <v>549</v>
      </c>
      <c r="F152" s="9" t="s">
        <v>550</v>
      </c>
      <c r="G152" s="9" t="s">
        <v>66</v>
      </c>
      <c r="H152" s="9" t="s">
        <v>545</v>
      </c>
      <c r="I152" s="9" t="s">
        <v>68</v>
      </c>
      <c r="J152" s="9" t="s">
        <v>118</v>
      </c>
      <c r="K152" s="9" t="s">
        <v>545</v>
      </c>
      <c r="L152" s="9" t="s">
        <v>546</v>
      </c>
      <c r="M152" s="11">
        <v>27.63</v>
      </c>
      <c r="N152" s="9" t="s">
        <v>72</v>
      </c>
      <c r="O152" s="9" t="s">
        <v>164</v>
      </c>
      <c r="P152" s="9" t="s">
        <v>86</v>
      </c>
      <c r="Q152" s="11">
        <v>1.04</v>
      </c>
      <c r="R152" s="9" t="s">
        <v>75</v>
      </c>
      <c r="S152" s="9" t="s">
        <v>0</v>
      </c>
      <c r="T152" s="9" t="s">
        <v>0</v>
      </c>
      <c r="U152" s="9" t="s">
        <v>122</v>
      </c>
    </row>
    <row r="153" spans="1:21" x14ac:dyDescent="0.25">
      <c r="A153" s="10" t="s">
        <v>19</v>
      </c>
      <c r="B153" s="10" t="s">
        <v>61</v>
      </c>
      <c r="C153" s="10" t="s">
        <v>133</v>
      </c>
      <c r="D153" s="10" t="s">
        <v>134</v>
      </c>
      <c r="E153" s="10" t="s">
        <v>502</v>
      </c>
      <c r="F153" s="10" t="s">
        <v>551</v>
      </c>
      <c r="G153" s="10" t="s">
        <v>81</v>
      </c>
      <c r="H153" s="10" t="s">
        <v>504</v>
      </c>
      <c r="I153" s="10" t="s">
        <v>68</v>
      </c>
      <c r="J153" s="10" t="s">
        <v>94</v>
      </c>
      <c r="K153" s="10" t="s">
        <v>505</v>
      </c>
      <c r="L153" s="10" t="s">
        <v>180</v>
      </c>
      <c r="M153" s="12">
        <v>123.75</v>
      </c>
      <c r="N153" s="10" t="s">
        <v>72</v>
      </c>
      <c r="O153" s="10" t="s">
        <v>85</v>
      </c>
      <c r="P153" s="10" t="s">
        <v>86</v>
      </c>
      <c r="Q153" s="12">
        <v>117.56</v>
      </c>
      <c r="R153" s="10" t="s">
        <v>75</v>
      </c>
      <c r="S153" s="10" t="s">
        <v>0</v>
      </c>
      <c r="T153" s="10" t="s">
        <v>0</v>
      </c>
      <c r="U153" s="10" t="s">
        <v>97</v>
      </c>
    </row>
    <row r="154" spans="1:21" x14ac:dyDescent="0.25">
      <c r="A154" s="9" t="s">
        <v>18</v>
      </c>
      <c r="B154" s="9" t="s">
        <v>61</v>
      </c>
      <c r="C154" s="9" t="s">
        <v>552</v>
      </c>
      <c r="D154" s="9" t="s">
        <v>553</v>
      </c>
      <c r="E154" s="9" t="s">
        <v>554</v>
      </c>
      <c r="F154" s="9" t="s">
        <v>555</v>
      </c>
      <c r="G154" s="9" t="s">
        <v>66</v>
      </c>
      <c r="H154" s="9" t="s">
        <v>556</v>
      </c>
      <c r="I154" s="9" t="s">
        <v>128</v>
      </c>
      <c r="J154" s="9" t="s">
        <v>69</v>
      </c>
      <c r="K154" s="9" t="s">
        <v>379</v>
      </c>
      <c r="L154" s="9" t="s">
        <v>71</v>
      </c>
      <c r="M154" s="11">
        <v>142.69</v>
      </c>
      <c r="N154" s="9" t="s">
        <v>72</v>
      </c>
      <c r="O154" s="9" t="s">
        <v>557</v>
      </c>
      <c r="P154" s="9" t="s">
        <v>86</v>
      </c>
      <c r="Q154" s="11">
        <v>2.86</v>
      </c>
      <c r="R154" s="9" t="s">
        <v>75</v>
      </c>
      <c r="S154" s="9" t="s">
        <v>0</v>
      </c>
      <c r="T154" s="9" t="s">
        <v>0</v>
      </c>
      <c r="U154" s="9" t="s">
        <v>76</v>
      </c>
    </row>
    <row r="155" spans="1:21" x14ac:dyDescent="0.25">
      <c r="A155" s="10" t="s">
        <v>19</v>
      </c>
      <c r="B155" s="10" t="s">
        <v>61</v>
      </c>
      <c r="C155" s="10" t="s">
        <v>247</v>
      </c>
      <c r="D155" s="10" t="s">
        <v>248</v>
      </c>
      <c r="E155" s="10" t="s">
        <v>558</v>
      </c>
      <c r="F155" s="10" t="s">
        <v>559</v>
      </c>
      <c r="G155" s="10" t="s">
        <v>81</v>
      </c>
      <c r="H155" s="10" t="s">
        <v>560</v>
      </c>
      <c r="I155" s="10" t="s">
        <v>108</v>
      </c>
      <c r="J155" s="10" t="s">
        <v>235</v>
      </c>
      <c r="K155" s="10" t="s">
        <v>560</v>
      </c>
      <c r="L155" s="10" t="s">
        <v>375</v>
      </c>
      <c r="M155" s="12">
        <v>59.16</v>
      </c>
      <c r="N155" s="10" t="s">
        <v>72</v>
      </c>
      <c r="O155" s="10" t="s">
        <v>252</v>
      </c>
      <c r="P155" s="10" t="s">
        <v>86</v>
      </c>
      <c r="Q155" s="12">
        <v>62.12</v>
      </c>
      <c r="R155" s="10" t="s">
        <v>75</v>
      </c>
      <c r="S155" s="10" t="s">
        <v>0</v>
      </c>
      <c r="T155" s="10" t="s">
        <v>0</v>
      </c>
      <c r="U155" s="10" t="s">
        <v>236</v>
      </c>
    </row>
    <row r="156" spans="1:21" x14ac:dyDescent="0.25">
      <c r="A156" s="9" t="s">
        <v>19</v>
      </c>
      <c r="B156" s="9" t="s">
        <v>61</v>
      </c>
      <c r="C156" s="9" t="s">
        <v>237</v>
      </c>
      <c r="D156" s="9" t="s">
        <v>238</v>
      </c>
      <c r="E156" s="9" t="s">
        <v>561</v>
      </c>
      <c r="F156" s="9" t="s">
        <v>562</v>
      </c>
      <c r="G156" s="9" t="s">
        <v>81</v>
      </c>
      <c r="H156" s="9" t="s">
        <v>563</v>
      </c>
      <c r="I156" s="9" t="s">
        <v>128</v>
      </c>
      <c r="J156" s="9" t="s">
        <v>83</v>
      </c>
      <c r="K156" s="9" t="s">
        <v>445</v>
      </c>
      <c r="L156" s="9" t="s">
        <v>71</v>
      </c>
      <c r="M156" s="11">
        <v>53.15</v>
      </c>
      <c r="N156" s="9" t="s">
        <v>72</v>
      </c>
      <c r="O156" s="9" t="s">
        <v>252</v>
      </c>
      <c r="P156" s="9" t="s">
        <v>86</v>
      </c>
      <c r="Q156" s="11">
        <v>55.81</v>
      </c>
      <c r="R156" s="9" t="s">
        <v>75</v>
      </c>
      <c r="S156" s="9" t="s">
        <v>0</v>
      </c>
      <c r="T156" s="9" t="s">
        <v>0</v>
      </c>
      <c r="U156" s="9" t="s">
        <v>87</v>
      </c>
    </row>
    <row r="157" spans="1:21" x14ac:dyDescent="0.25">
      <c r="A157" s="10" t="s">
        <v>19</v>
      </c>
      <c r="B157" s="10" t="s">
        <v>165</v>
      </c>
      <c r="C157" s="10" t="s">
        <v>221</v>
      </c>
      <c r="D157" s="10" t="s">
        <v>222</v>
      </c>
      <c r="E157" s="10" t="s">
        <v>564</v>
      </c>
      <c r="F157" s="10" t="s">
        <v>565</v>
      </c>
      <c r="G157" s="10" t="s">
        <v>66</v>
      </c>
      <c r="H157" s="10" t="s">
        <v>566</v>
      </c>
      <c r="I157" s="10" t="s">
        <v>196</v>
      </c>
      <c r="J157" s="10" t="s">
        <v>83</v>
      </c>
      <c r="K157" s="10" t="s">
        <v>226</v>
      </c>
      <c r="L157" s="10" t="s">
        <v>71</v>
      </c>
      <c r="M157" s="12">
        <v>-147.58000000000001</v>
      </c>
      <c r="N157" s="10" t="s">
        <v>72</v>
      </c>
      <c r="O157" s="10" t="s">
        <v>227</v>
      </c>
      <c r="P157" s="10" t="s">
        <v>86</v>
      </c>
      <c r="Q157" s="12">
        <v>-11.07</v>
      </c>
      <c r="R157" s="10" t="s">
        <v>289</v>
      </c>
      <c r="S157" s="10" t="s">
        <v>0</v>
      </c>
      <c r="T157" s="10" t="s">
        <v>0</v>
      </c>
      <c r="U157" s="10" t="s">
        <v>87</v>
      </c>
    </row>
    <row r="158" spans="1:21" x14ac:dyDescent="0.25">
      <c r="A158" s="9" t="s">
        <v>19</v>
      </c>
      <c r="B158" s="9" t="s">
        <v>61</v>
      </c>
      <c r="C158" s="9" t="s">
        <v>221</v>
      </c>
      <c r="D158" s="9" t="s">
        <v>222</v>
      </c>
      <c r="E158" s="9" t="s">
        <v>567</v>
      </c>
      <c r="F158" s="9" t="s">
        <v>568</v>
      </c>
      <c r="G158" s="9" t="s">
        <v>92</v>
      </c>
      <c r="H158" s="9" t="s">
        <v>461</v>
      </c>
      <c r="I158" s="9" t="s">
        <v>569</v>
      </c>
      <c r="J158" s="9" t="s">
        <v>83</v>
      </c>
      <c r="K158" s="9" t="s">
        <v>95</v>
      </c>
      <c r="L158" s="9" t="s">
        <v>95</v>
      </c>
      <c r="M158" s="11">
        <v>168.74</v>
      </c>
      <c r="N158" s="9" t="s">
        <v>72</v>
      </c>
      <c r="O158" s="9" t="s">
        <v>252</v>
      </c>
      <c r="P158" s="9" t="s">
        <v>86</v>
      </c>
      <c r="Q158" s="11">
        <v>177.18</v>
      </c>
      <c r="R158" s="9" t="s">
        <v>75</v>
      </c>
      <c r="S158" s="9" t="s">
        <v>0</v>
      </c>
      <c r="T158" s="9" t="s">
        <v>0</v>
      </c>
      <c r="U158" s="9" t="s">
        <v>87</v>
      </c>
    </row>
    <row r="159" spans="1:21" x14ac:dyDescent="0.25">
      <c r="A159" s="10" t="s">
        <v>19</v>
      </c>
      <c r="B159" s="10" t="s">
        <v>165</v>
      </c>
      <c r="C159" s="10" t="s">
        <v>221</v>
      </c>
      <c r="D159" s="10" t="s">
        <v>222</v>
      </c>
      <c r="E159" s="10" t="s">
        <v>564</v>
      </c>
      <c r="F159" s="10" t="s">
        <v>565</v>
      </c>
      <c r="G159" s="10" t="s">
        <v>66</v>
      </c>
      <c r="H159" s="10" t="s">
        <v>566</v>
      </c>
      <c r="I159" s="10" t="s">
        <v>196</v>
      </c>
      <c r="J159" s="10" t="s">
        <v>83</v>
      </c>
      <c r="K159" s="10" t="s">
        <v>226</v>
      </c>
      <c r="L159" s="10" t="s">
        <v>95</v>
      </c>
      <c r="M159" s="12">
        <v>-147.58000000000001</v>
      </c>
      <c r="N159" s="10" t="s">
        <v>72</v>
      </c>
      <c r="O159" s="10" t="s">
        <v>227</v>
      </c>
      <c r="P159" s="10" t="s">
        <v>86</v>
      </c>
      <c r="Q159" s="12">
        <v>-11.07</v>
      </c>
      <c r="R159" s="10" t="s">
        <v>289</v>
      </c>
      <c r="S159" s="10" t="s">
        <v>0</v>
      </c>
      <c r="T159" s="10" t="s">
        <v>0</v>
      </c>
      <c r="U159" s="10" t="s">
        <v>87</v>
      </c>
    </row>
    <row r="160" spans="1:21" x14ac:dyDescent="0.25">
      <c r="A160" s="9" t="s">
        <v>19</v>
      </c>
      <c r="B160" s="9" t="s">
        <v>61</v>
      </c>
      <c r="C160" s="9" t="s">
        <v>191</v>
      </c>
      <c r="D160" s="9" t="s">
        <v>192</v>
      </c>
      <c r="E160" s="9" t="s">
        <v>570</v>
      </c>
      <c r="F160" s="9" t="s">
        <v>571</v>
      </c>
      <c r="G160" s="9" t="s">
        <v>81</v>
      </c>
      <c r="H160" s="9" t="s">
        <v>572</v>
      </c>
      <c r="I160" s="9" t="s">
        <v>516</v>
      </c>
      <c r="J160" s="9" t="s">
        <v>109</v>
      </c>
      <c r="K160" s="9" t="s">
        <v>198</v>
      </c>
      <c r="L160" s="9" t="s">
        <v>71</v>
      </c>
      <c r="M160" s="11">
        <v>22.7</v>
      </c>
      <c r="N160" s="9" t="s">
        <v>72</v>
      </c>
      <c r="O160" s="9" t="s">
        <v>111</v>
      </c>
      <c r="P160" s="9" t="s">
        <v>86</v>
      </c>
      <c r="Q160" s="11">
        <v>14.19</v>
      </c>
      <c r="R160" s="9" t="s">
        <v>75</v>
      </c>
      <c r="S160" s="9" t="s">
        <v>0</v>
      </c>
      <c r="T160" s="9" t="s">
        <v>0</v>
      </c>
      <c r="U160" s="9" t="s">
        <v>112</v>
      </c>
    </row>
    <row r="161" spans="1:21" x14ac:dyDescent="0.25">
      <c r="A161" s="10" t="s">
        <v>19</v>
      </c>
      <c r="B161" s="10" t="s">
        <v>61</v>
      </c>
      <c r="C161" s="10" t="s">
        <v>191</v>
      </c>
      <c r="D161" s="10" t="s">
        <v>192</v>
      </c>
      <c r="E161" s="10" t="s">
        <v>570</v>
      </c>
      <c r="F161" s="10" t="s">
        <v>571</v>
      </c>
      <c r="G161" s="10" t="s">
        <v>81</v>
      </c>
      <c r="H161" s="10" t="s">
        <v>572</v>
      </c>
      <c r="I161" s="10" t="s">
        <v>516</v>
      </c>
      <c r="J161" s="10" t="s">
        <v>109</v>
      </c>
      <c r="K161" s="10" t="s">
        <v>198</v>
      </c>
      <c r="L161" s="10" t="s">
        <v>71</v>
      </c>
      <c r="M161" s="12">
        <v>86.93</v>
      </c>
      <c r="N161" s="10" t="s">
        <v>72</v>
      </c>
      <c r="O161" s="10" t="s">
        <v>111</v>
      </c>
      <c r="P161" s="10" t="s">
        <v>86</v>
      </c>
      <c r="Q161" s="12">
        <v>54.33</v>
      </c>
      <c r="R161" s="10" t="s">
        <v>75</v>
      </c>
      <c r="S161" s="10" t="s">
        <v>0</v>
      </c>
      <c r="T161" s="10" t="s">
        <v>0</v>
      </c>
      <c r="U161" s="10" t="s">
        <v>112</v>
      </c>
    </row>
    <row r="162" spans="1:21" x14ac:dyDescent="0.25">
      <c r="A162" s="9" t="s">
        <v>19</v>
      </c>
      <c r="B162" s="9" t="s">
        <v>61</v>
      </c>
      <c r="C162" s="9" t="s">
        <v>62</v>
      </c>
      <c r="D162" s="9" t="s">
        <v>63</v>
      </c>
      <c r="E162" s="9" t="s">
        <v>573</v>
      </c>
      <c r="F162" s="9" t="s">
        <v>574</v>
      </c>
      <c r="G162" s="9" t="s">
        <v>81</v>
      </c>
      <c r="H162" s="9" t="s">
        <v>575</v>
      </c>
      <c r="I162" s="9" t="s">
        <v>68</v>
      </c>
      <c r="J162" s="9" t="s">
        <v>451</v>
      </c>
      <c r="K162" s="9" t="s">
        <v>576</v>
      </c>
      <c r="L162" s="9" t="s">
        <v>577</v>
      </c>
      <c r="M162" s="11">
        <v>56.91</v>
      </c>
      <c r="N162" s="9" t="s">
        <v>72</v>
      </c>
      <c r="O162" s="9" t="s">
        <v>199</v>
      </c>
      <c r="P162" s="9" t="s">
        <v>86</v>
      </c>
      <c r="Q162" s="11">
        <v>32.44</v>
      </c>
      <c r="R162" s="9" t="s">
        <v>75</v>
      </c>
      <c r="S162" s="9" t="s">
        <v>0</v>
      </c>
      <c r="T162" s="9" t="s">
        <v>0</v>
      </c>
      <c r="U162" s="9" t="s">
        <v>452</v>
      </c>
    </row>
    <row r="163" spans="1:21" x14ac:dyDescent="0.25">
      <c r="A163" s="10" t="s">
        <v>19</v>
      </c>
      <c r="B163" s="10" t="s">
        <v>165</v>
      </c>
      <c r="C163" s="10" t="s">
        <v>221</v>
      </c>
      <c r="D163" s="10" t="s">
        <v>222</v>
      </c>
      <c r="E163" s="10" t="s">
        <v>564</v>
      </c>
      <c r="F163" s="10" t="s">
        <v>578</v>
      </c>
      <c r="G163" s="10" t="s">
        <v>66</v>
      </c>
      <c r="H163" s="10" t="s">
        <v>566</v>
      </c>
      <c r="I163" s="10" t="s">
        <v>196</v>
      </c>
      <c r="J163" s="10" t="s">
        <v>94</v>
      </c>
      <c r="K163" s="10" t="s">
        <v>226</v>
      </c>
      <c r="L163" s="10" t="s">
        <v>71</v>
      </c>
      <c r="M163" s="12">
        <v>-143.38</v>
      </c>
      <c r="N163" s="10" t="s">
        <v>72</v>
      </c>
      <c r="O163" s="10" t="s">
        <v>227</v>
      </c>
      <c r="P163" s="10" t="s">
        <v>86</v>
      </c>
      <c r="Q163" s="12">
        <v>-10.75</v>
      </c>
      <c r="R163" s="10" t="s">
        <v>289</v>
      </c>
      <c r="S163" s="10" t="s">
        <v>0</v>
      </c>
      <c r="T163" s="10" t="s">
        <v>0</v>
      </c>
      <c r="U163" s="10" t="s">
        <v>97</v>
      </c>
    </row>
    <row r="164" spans="1:21" x14ac:dyDescent="0.25">
      <c r="A164" s="9" t="s">
        <v>19</v>
      </c>
      <c r="B164" s="9" t="s">
        <v>165</v>
      </c>
      <c r="C164" s="9" t="s">
        <v>221</v>
      </c>
      <c r="D164" s="9" t="s">
        <v>222</v>
      </c>
      <c r="E164" s="9" t="s">
        <v>564</v>
      </c>
      <c r="F164" s="9" t="s">
        <v>578</v>
      </c>
      <c r="G164" s="9" t="s">
        <v>66</v>
      </c>
      <c r="H164" s="9" t="s">
        <v>566</v>
      </c>
      <c r="I164" s="9" t="s">
        <v>196</v>
      </c>
      <c r="J164" s="9" t="s">
        <v>94</v>
      </c>
      <c r="K164" s="9" t="s">
        <v>226</v>
      </c>
      <c r="L164" s="9" t="s">
        <v>95</v>
      </c>
      <c r="M164" s="11">
        <v>-143.38</v>
      </c>
      <c r="N164" s="9" t="s">
        <v>72</v>
      </c>
      <c r="O164" s="9" t="s">
        <v>227</v>
      </c>
      <c r="P164" s="9" t="s">
        <v>86</v>
      </c>
      <c r="Q164" s="11">
        <v>-10.75</v>
      </c>
      <c r="R164" s="9" t="s">
        <v>289</v>
      </c>
      <c r="S164" s="9" t="s">
        <v>0</v>
      </c>
      <c r="T164" s="9" t="s">
        <v>0</v>
      </c>
      <c r="U164" s="9" t="s">
        <v>97</v>
      </c>
    </row>
    <row r="165" spans="1:21" x14ac:dyDescent="0.25">
      <c r="A165" s="10" t="s">
        <v>19</v>
      </c>
      <c r="B165" s="10" t="s">
        <v>165</v>
      </c>
      <c r="C165" s="10" t="s">
        <v>418</v>
      </c>
      <c r="D165" s="10" t="s">
        <v>419</v>
      </c>
      <c r="E165" s="10" t="s">
        <v>579</v>
      </c>
      <c r="F165" s="10" t="s">
        <v>580</v>
      </c>
      <c r="G165" s="10" t="s">
        <v>81</v>
      </c>
      <c r="H165" s="10" t="s">
        <v>581</v>
      </c>
      <c r="I165" s="10" t="s">
        <v>68</v>
      </c>
      <c r="J165" s="10" t="s">
        <v>118</v>
      </c>
      <c r="K165" s="10" t="s">
        <v>198</v>
      </c>
      <c r="L165" s="10" t="s">
        <v>71</v>
      </c>
      <c r="M165" s="12">
        <v>-104.59</v>
      </c>
      <c r="N165" s="10" t="s">
        <v>72</v>
      </c>
      <c r="O165" s="10" t="s">
        <v>199</v>
      </c>
      <c r="P165" s="10" t="s">
        <v>86</v>
      </c>
      <c r="Q165" s="12">
        <v>-59.62</v>
      </c>
      <c r="R165" s="10" t="s">
        <v>289</v>
      </c>
      <c r="S165" s="10" t="s">
        <v>0</v>
      </c>
      <c r="T165" s="10" t="s">
        <v>0</v>
      </c>
      <c r="U165" s="10" t="s">
        <v>122</v>
      </c>
    </row>
    <row r="166" spans="1:21" x14ac:dyDescent="0.25">
      <c r="A166" s="9" t="s">
        <v>19</v>
      </c>
      <c r="B166" s="9" t="s">
        <v>61</v>
      </c>
      <c r="C166" s="9" t="s">
        <v>77</v>
      </c>
      <c r="D166" s="9" t="s">
        <v>78</v>
      </c>
      <c r="E166" s="9" t="s">
        <v>582</v>
      </c>
      <c r="F166" s="9" t="s">
        <v>583</v>
      </c>
      <c r="G166" s="9" t="s">
        <v>66</v>
      </c>
      <c r="H166" s="9" t="s">
        <v>584</v>
      </c>
      <c r="I166" s="9" t="s">
        <v>68</v>
      </c>
      <c r="J166" s="9" t="s">
        <v>118</v>
      </c>
      <c r="K166" s="9" t="s">
        <v>584</v>
      </c>
      <c r="L166" s="9" t="s">
        <v>461</v>
      </c>
      <c r="M166" s="11">
        <v>22.42</v>
      </c>
      <c r="N166" s="9" t="s">
        <v>72</v>
      </c>
      <c r="O166" s="9" t="s">
        <v>121</v>
      </c>
      <c r="P166" s="9" t="s">
        <v>86</v>
      </c>
      <c r="Q166" s="11">
        <v>0.78</v>
      </c>
      <c r="R166" s="9" t="s">
        <v>75</v>
      </c>
      <c r="S166" s="9" t="s">
        <v>0</v>
      </c>
      <c r="T166" s="9" t="s">
        <v>0</v>
      </c>
      <c r="U166" s="9" t="s">
        <v>122</v>
      </c>
    </row>
    <row r="167" spans="1:21" x14ac:dyDescent="0.25">
      <c r="A167" s="10" t="s">
        <v>19</v>
      </c>
      <c r="B167" s="10" t="s">
        <v>61</v>
      </c>
      <c r="C167" s="10" t="s">
        <v>247</v>
      </c>
      <c r="D167" s="10" t="s">
        <v>248</v>
      </c>
      <c r="E167" s="10" t="s">
        <v>585</v>
      </c>
      <c r="F167" s="10" t="s">
        <v>586</v>
      </c>
      <c r="G167" s="10" t="s">
        <v>92</v>
      </c>
      <c r="H167" s="10" t="s">
        <v>441</v>
      </c>
      <c r="I167" s="10" t="s">
        <v>108</v>
      </c>
      <c r="J167" s="10" t="s">
        <v>157</v>
      </c>
      <c r="K167" s="10" t="s">
        <v>441</v>
      </c>
      <c r="L167" s="10" t="s">
        <v>441</v>
      </c>
      <c r="M167" s="12">
        <v>15.83</v>
      </c>
      <c r="N167" s="10" t="s">
        <v>72</v>
      </c>
      <c r="O167" s="10" t="s">
        <v>158</v>
      </c>
      <c r="P167" s="10" t="s">
        <v>86</v>
      </c>
      <c r="Q167" s="12">
        <v>10.29</v>
      </c>
      <c r="R167" s="10" t="s">
        <v>75</v>
      </c>
      <c r="S167" s="10" t="s">
        <v>0</v>
      </c>
      <c r="T167" s="10" t="s">
        <v>0</v>
      </c>
      <c r="U167" s="10" t="s">
        <v>159</v>
      </c>
    </row>
    <row r="168" spans="1:21" x14ac:dyDescent="0.25">
      <c r="A168" s="9" t="s">
        <v>19</v>
      </c>
      <c r="B168" s="9" t="s">
        <v>61</v>
      </c>
      <c r="C168" s="9" t="s">
        <v>247</v>
      </c>
      <c r="D168" s="9" t="s">
        <v>248</v>
      </c>
      <c r="E168" s="9" t="s">
        <v>587</v>
      </c>
      <c r="F168" s="9" t="s">
        <v>588</v>
      </c>
      <c r="G168" s="9" t="s">
        <v>66</v>
      </c>
      <c r="H168" s="9" t="s">
        <v>589</v>
      </c>
      <c r="I168" s="9" t="s">
        <v>108</v>
      </c>
      <c r="J168" s="9" t="s">
        <v>83</v>
      </c>
      <c r="K168" s="9" t="s">
        <v>590</v>
      </c>
      <c r="L168" s="9" t="s">
        <v>591</v>
      </c>
      <c r="M168" s="11">
        <v>32.299999999999997</v>
      </c>
      <c r="N168" s="9" t="s">
        <v>72</v>
      </c>
      <c r="O168" s="9" t="s">
        <v>388</v>
      </c>
      <c r="P168" s="9" t="s">
        <v>86</v>
      </c>
      <c r="Q168" s="11">
        <v>2.58</v>
      </c>
      <c r="R168" s="9" t="s">
        <v>75</v>
      </c>
      <c r="S168" s="9" t="s">
        <v>0</v>
      </c>
      <c r="T168" s="9" t="s">
        <v>0</v>
      </c>
      <c r="U168" s="9" t="s">
        <v>87</v>
      </c>
    </row>
    <row r="169" spans="1:21" x14ac:dyDescent="0.25">
      <c r="A169" s="10" t="s">
        <v>19</v>
      </c>
      <c r="B169" s="10" t="s">
        <v>61</v>
      </c>
      <c r="C169" s="10" t="s">
        <v>268</v>
      </c>
      <c r="D169" s="10" t="s">
        <v>269</v>
      </c>
      <c r="E169" s="10" t="s">
        <v>484</v>
      </c>
      <c r="F169" s="10" t="s">
        <v>485</v>
      </c>
      <c r="G169" s="10" t="s">
        <v>92</v>
      </c>
      <c r="H169" s="10" t="s">
        <v>375</v>
      </c>
      <c r="I169" s="10" t="s">
        <v>196</v>
      </c>
      <c r="J169" s="10" t="s">
        <v>157</v>
      </c>
      <c r="K169" s="10" t="s">
        <v>441</v>
      </c>
      <c r="L169" s="10" t="s">
        <v>441</v>
      </c>
      <c r="M169" s="12">
        <v>2.63</v>
      </c>
      <c r="N169" s="10" t="s">
        <v>72</v>
      </c>
      <c r="O169" s="10" t="s">
        <v>158</v>
      </c>
      <c r="P169" s="10" t="s">
        <v>86</v>
      </c>
      <c r="Q169" s="12">
        <v>1.71</v>
      </c>
      <c r="R169" s="10" t="s">
        <v>75</v>
      </c>
      <c r="S169" s="10" t="s">
        <v>0</v>
      </c>
      <c r="T169" s="10" t="s">
        <v>0</v>
      </c>
      <c r="U169" s="10" t="s">
        <v>159</v>
      </c>
    </row>
    <row r="170" spans="1:21" x14ac:dyDescent="0.25">
      <c r="A170" s="9" t="s">
        <v>19</v>
      </c>
      <c r="B170" s="9" t="s">
        <v>61</v>
      </c>
      <c r="C170" s="9" t="s">
        <v>268</v>
      </c>
      <c r="D170" s="9" t="s">
        <v>269</v>
      </c>
      <c r="E170" s="9" t="s">
        <v>484</v>
      </c>
      <c r="F170" s="9" t="s">
        <v>485</v>
      </c>
      <c r="G170" s="9" t="s">
        <v>92</v>
      </c>
      <c r="H170" s="9" t="s">
        <v>375</v>
      </c>
      <c r="I170" s="9" t="s">
        <v>196</v>
      </c>
      <c r="J170" s="9" t="s">
        <v>157</v>
      </c>
      <c r="K170" s="9" t="s">
        <v>441</v>
      </c>
      <c r="L170" s="9" t="s">
        <v>441</v>
      </c>
      <c r="M170" s="11">
        <v>7.08</v>
      </c>
      <c r="N170" s="9" t="s">
        <v>72</v>
      </c>
      <c r="O170" s="9" t="s">
        <v>158</v>
      </c>
      <c r="P170" s="9" t="s">
        <v>86</v>
      </c>
      <c r="Q170" s="11">
        <v>4.5999999999999996</v>
      </c>
      <c r="R170" s="9" t="s">
        <v>75</v>
      </c>
      <c r="S170" s="9" t="s">
        <v>0</v>
      </c>
      <c r="T170" s="9" t="s">
        <v>0</v>
      </c>
      <c r="U170" s="9" t="s">
        <v>159</v>
      </c>
    </row>
    <row r="171" spans="1:21" x14ac:dyDescent="0.25">
      <c r="A171" s="10" t="s">
        <v>19</v>
      </c>
      <c r="B171" s="10" t="s">
        <v>61</v>
      </c>
      <c r="C171" s="10" t="s">
        <v>247</v>
      </c>
      <c r="D171" s="10" t="s">
        <v>248</v>
      </c>
      <c r="E171" s="10" t="s">
        <v>592</v>
      </c>
      <c r="F171" s="10" t="s">
        <v>593</v>
      </c>
      <c r="G171" s="10" t="s">
        <v>92</v>
      </c>
      <c r="H171" s="10" t="s">
        <v>594</v>
      </c>
      <c r="I171" s="10" t="s">
        <v>108</v>
      </c>
      <c r="J171" s="10" t="s">
        <v>157</v>
      </c>
      <c r="K171" s="10" t="s">
        <v>95</v>
      </c>
      <c r="L171" s="10" t="s">
        <v>95</v>
      </c>
      <c r="M171" s="12">
        <v>18.48</v>
      </c>
      <c r="N171" s="10" t="s">
        <v>72</v>
      </c>
      <c r="O171" s="10" t="s">
        <v>158</v>
      </c>
      <c r="P171" s="10" t="s">
        <v>86</v>
      </c>
      <c r="Q171" s="12">
        <v>12.01</v>
      </c>
      <c r="R171" s="10" t="s">
        <v>75</v>
      </c>
      <c r="S171" s="10" t="s">
        <v>0</v>
      </c>
      <c r="T171" s="10" t="s">
        <v>0</v>
      </c>
      <c r="U171" s="10" t="s">
        <v>159</v>
      </c>
    </row>
    <row r="172" spans="1:21" x14ac:dyDescent="0.25">
      <c r="A172" s="9" t="s">
        <v>19</v>
      </c>
      <c r="B172" s="9" t="s">
        <v>61</v>
      </c>
      <c r="C172" s="9" t="s">
        <v>247</v>
      </c>
      <c r="D172" s="9" t="s">
        <v>248</v>
      </c>
      <c r="E172" s="9" t="s">
        <v>592</v>
      </c>
      <c r="F172" s="9" t="s">
        <v>593</v>
      </c>
      <c r="G172" s="9" t="s">
        <v>92</v>
      </c>
      <c r="H172" s="9" t="s">
        <v>594</v>
      </c>
      <c r="I172" s="9" t="s">
        <v>108</v>
      </c>
      <c r="J172" s="9" t="s">
        <v>157</v>
      </c>
      <c r="K172" s="9" t="s">
        <v>95</v>
      </c>
      <c r="L172" s="9" t="s">
        <v>95</v>
      </c>
      <c r="M172" s="11">
        <v>11.87</v>
      </c>
      <c r="N172" s="9" t="s">
        <v>72</v>
      </c>
      <c r="O172" s="9" t="s">
        <v>158</v>
      </c>
      <c r="P172" s="9" t="s">
        <v>86</v>
      </c>
      <c r="Q172" s="11">
        <v>7.72</v>
      </c>
      <c r="R172" s="9" t="s">
        <v>75</v>
      </c>
      <c r="S172" s="9" t="s">
        <v>0</v>
      </c>
      <c r="T172" s="9" t="s">
        <v>0</v>
      </c>
      <c r="U172" s="9" t="s">
        <v>159</v>
      </c>
    </row>
    <row r="173" spans="1:21" x14ac:dyDescent="0.25">
      <c r="A173" s="10" t="s">
        <v>19</v>
      </c>
      <c r="B173" s="10" t="s">
        <v>165</v>
      </c>
      <c r="C173" s="10" t="s">
        <v>336</v>
      </c>
      <c r="D173" s="10" t="s">
        <v>337</v>
      </c>
      <c r="E173" s="10" t="s">
        <v>473</v>
      </c>
      <c r="F173" s="10" t="s">
        <v>595</v>
      </c>
      <c r="G173" s="10" t="s">
        <v>66</v>
      </c>
      <c r="H173" s="10" t="s">
        <v>216</v>
      </c>
      <c r="I173" s="10" t="s">
        <v>128</v>
      </c>
      <c r="J173" s="10" t="s">
        <v>83</v>
      </c>
      <c r="K173" s="10" t="s">
        <v>475</v>
      </c>
      <c r="L173" s="10" t="s">
        <v>71</v>
      </c>
      <c r="M173" s="12">
        <v>-17.72</v>
      </c>
      <c r="N173" s="10" t="s">
        <v>72</v>
      </c>
      <c r="O173" s="10" t="s">
        <v>388</v>
      </c>
      <c r="P173" s="10" t="s">
        <v>86</v>
      </c>
      <c r="Q173" s="12">
        <v>-1.42</v>
      </c>
      <c r="R173" s="10" t="s">
        <v>289</v>
      </c>
      <c r="S173" s="10" t="s">
        <v>0</v>
      </c>
      <c r="T173" s="10" t="s">
        <v>0</v>
      </c>
      <c r="U173" s="10" t="s">
        <v>87</v>
      </c>
    </row>
    <row r="174" spans="1:21" x14ac:dyDescent="0.25">
      <c r="A174" s="9" t="s">
        <v>19</v>
      </c>
      <c r="B174" s="9" t="s">
        <v>61</v>
      </c>
      <c r="C174" s="9" t="s">
        <v>596</v>
      </c>
      <c r="D174" s="9" t="s">
        <v>597</v>
      </c>
      <c r="E174" s="9" t="s">
        <v>598</v>
      </c>
      <c r="F174" s="9" t="s">
        <v>599</v>
      </c>
      <c r="G174" s="9" t="s">
        <v>92</v>
      </c>
      <c r="H174" s="9" t="s">
        <v>441</v>
      </c>
      <c r="I174" s="9" t="s">
        <v>108</v>
      </c>
      <c r="J174" s="9" t="s">
        <v>157</v>
      </c>
      <c r="K174" s="9" t="s">
        <v>95</v>
      </c>
      <c r="L174" s="9" t="s">
        <v>95</v>
      </c>
      <c r="M174" s="11">
        <v>105.11</v>
      </c>
      <c r="N174" s="9" t="s">
        <v>72</v>
      </c>
      <c r="O174" s="9" t="s">
        <v>158</v>
      </c>
      <c r="P174" s="9" t="s">
        <v>86</v>
      </c>
      <c r="Q174" s="11">
        <v>68.319999999999993</v>
      </c>
      <c r="R174" s="9" t="s">
        <v>75</v>
      </c>
      <c r="S174" s="9" t="s">
        <v>0</v>
      </c>
      <c r="T174" s="9" t="s">
        <v>0</v>
      </c>
      <c r="U174" s="9" t="s">
        <v>159</v>
      </c>
    </row>
    <row r="175" spans="1:21" x14ac:dyDescent="0.25">
      <c r="A175" s="10" t="s">
        <v>19</v>
      </c>
      <c r="B175" s="10" t="s">
        <v>61</v>
      </c>
      <c r="C175" s="10" t="s">
        <v>596</v>
      </c>
      <c r="D175" s="10" t="s">
        <v>597</v>
      </c>
      <c r="E175" s="10" t="s">
        <v>598</v>
      </c>
      <c r="F175" s="10" t="s">
        <v>599</v>
      </c>
      <c r="G175" s="10" t="s">
        <v>92</v>
      </c>
      <c r="H175" s="10" t="s">
        <v>441</v>
      </c>
      <c r="I175" s="10" t="s">
        <v>108</v>
      </c>
      <c r="J175" s="10" t="s">
        <v>157</v>
      </c>
      <c r="K175" s="10" t="s">
        <v>95</v>
      </c>
      <c r="L175" s="10" t="s">
        <v>95</v>
      </c>
      <c r="M175" s="12">
        <v>31.67</v>
      </c>
      <c r="N175" s="10" t="s">
        <v>72</v>
      </c>
      <c r="O175" s="10" t="s">
        <v>158</v>
      </c>
      <c r="P175" s="10" t="s">
        <v>86</v>
      </c>
      <c r="Q175" s="12">
        <v>20.59</v>
      </c>
      <c r="R175" s="10" t="s">
        <v>75</v>
      </c>
      <c r="S175" s="10" t="s">
        <v>0</v>
      </c>
      <c r="T175" s="10" t="s">
        <v>0</v>
      </c>
      <c r="U175" s="10" t="s">
        <v>159</v>
      </c>
    </row>
    <row r="176" spans="1:21" x14ac:dyDescent="0.25">
      <c r="A176" s="9" t="s">
        <v>19</v>
      </c>
      <c r="B176" s="9" t="s">
        <v>61</v>
      </c>
      <c r="C176" s="9" t="s">
        <v>596</v>
      </c>
      <c r="D176" s="9" t="s">
        <v>597</v>
      </c>
      <c r="E176" s="9" t="s">
        <v>598</v>
      </c>
      <c r="F176" s="9" t="s">
        <v>599</v>
      </c>
      <c r="G176" s="9" t="s">
        <v>92</v>
      </c>
      <c r="H176" s="9" t="s">
        <v>441</v>
      </c>
      <c r="I176" s="9" t="s">
        <v>108</v>
      </c>
      <c r="J176" s="9" t="s">
        <v>157</v>
      </c>
      <c r="K176" s="9" t="s">
        <v>95</v>
      </c>
      <c r="L176" s="9" t="s">
        <v>95</v>
      </c>
      <c r="M176" s="11">
        <v>18.48</v>
      </c>
      <c r="N176" s="9" t="s">
        <v>72</v>
      </c>
      <c r="O176" s="9" t="s">
        <v>158</v>
      </c>
      <c r="P176" s="9" t="s">
        <v>86</v>
      </c>
      <c r="Q176" s="11">
        <v>12.01</v>
      </c>
      <c r="R176" s="9" t="s">
        <v>75</v>
      </c>
      <c r="S176" s="9" t="s">
        <v>0</v>
      </c>
      <c r="T176" s="9" t="s">
        <v>0</v>
      </c>
      <c r="U176" s="9" t="s">
        <v>159</v>
      </c>
    </row>
    <row r="177" spans="1:21" x14ac:dyDescent="0.25">
      <c r="A177" s="10" t="s">
        <v>19</v>
      </c>
      <c r="B177" s="10" t="s">
        <v>61</v>
      </c>
      <c r="C177" s="10" t="s">
        <v>247</v>
      </c>
      <c r="D177" s="10" t="s">
        <v>248</v>
      </c>
      <c r="E177" s="10" t="s">
        <v>585</v>
      </c>
      <c r="F177" s="10" t="s">
        <v>586</v>
      </c>
      <c r="G177" s="10" t="s">
        <v>92</v>
      </c>
      <c r="H177" s="10" t="s">
        <v>441</v>
      </c>
      <c r="I177" s="10" t="s">
        <v>108</v>
      </c>
      <c r="J177" s="10" t="s">
        <v>157</v>
      </c>
      <c r="K177" s="10" t="s">
        <v>441</v>
      </c>
      <c r="L177" s="10" t="s">
        <v>441</v>
      </c>
      <c r="M177" s="12">
        <v>27.07</v>
      </c>
      <c r="N177" s="10" t="s">
        <v>72</v>
      </c>
      <c r="O177" s="10" t="s">
        <v>158</v>
      </c>
      <c r="P177" s="10" t="s">
        <v>86</v>
      </c>
      <c r="Q177" s="12">
        <v>17.600000000000001</v>
      </c>
      <c r="R177" s="10" t="s">
        <v>75</v>
      </c>
      <c r="S177" s="10" t="s">
        <v>0</v>
      </c>
      <c r="T177" s="10" t="s">
        <v>0</v>
      </c>
      <c r="U177" s="10" t="s">
        <v>159</v>
      </c>
    </row>
    <row r="178" spans="1:21" x14ac:dyDescent="0.25">
      <c r="A178" s="9" t="s">
        <v>19</v>
      </c>
      <c r="B178" s="9" t="s">
        <v>61</v>
      </c>
      <c r="C178" s="9" t="s">
        <v>133</v>
      </c>
      <c r="D178" s="9" t="s">
        <v>134</v>
      </c>
      <c r="E178" s="9" t="s">
        <v>600</v>
      </c>
      <c r="F178" s="9" t="s">
        <v>601</v>
      </c>
      <c r="G178" s="9" t="s">
        <v>66</v>
      </c>
      <c r="H178" s="9" t="s">
        <v>602</v>
      </c>
      <c r="I178" s="9" t="s">
        <v>68</v>
      </c>
      <c r="J178" s="9" t="s">
        <v>118</v>
      </c>
      <c r="K178" s="9" t="s">
        <v>603</v>
      </c>
      <c r="L178" s="9" t="s">
        <v>461</v>
      </c>
      <c r="M178" s="11">
        <v>27.63</v>
      </c>
      <c r="N178" s="9" t="s">
        <v>72</v>
      </c>
      <c r="O178" s="9" t="s">
        <v>164</v>
      </c>
      <c r="P178" s="9" t="s">
        <v>86</v>
      </c>
      <c r="Q178" s="11">
        <v>1.04</v>
      </c>
      <c r="R178" s="9" t="s">
        <v>75</v>
      </c>
      <c r="S178" s="9" t="s">
        <v>0</v>
      </c>
      <c r="T178" s="9" t="s">
        <v>0</v>
      </c>
      <c r="U178" s="9" t="s">
        <v>122</v>
      </c>
    </row>
    <row r="179" spans="1:21" x14ac:dyDescent="0.25">
      <c r="A179" s="10" t="s">
        <v>19</v>
      </c>
      <c r="B179" s="10" t="s">
        <v>61</v>
      </c>
      <c r="C179" s="10" t="s">
        <v>604</v>
      </c>
      <c r="D179" s="10" t="s">
        <v>605</v>
      </c>
      <c r="E179" s="10" t="s">
        <v>606</v>
      </c>
      <c r="F179" s="10" t="s">
        <v>607</v>
      </c>
      <c r="G179" s="10" t="s">
        <v>92</v>
      </c>
      <c r="H179" s="10" t="s">
        <v>102</v>
      </c>
      <c r="I179" s="10" t="s">
        <v>108</v>
      </c>
      <c r="J179" s="10" t="s">
        <v>83</v>
      </c>
      <c r="K179" s="10" t="s">
        <v>7</v>
      </c>
      <c r="L179" s="10" t="s">
        <v>7</v>
      </c>
      <c r="M179" s="12">
        <v>96.9</v>
      </c>
      <c r="N179" s="10" t="s">
        <v>72</v>
      </c>
      <c r="O179" s="10" t="s">
        <v>252</v>
      </c>
      <c r="P179" s="10" t="s">
        <v>86</v>
      </c>
      <c r="Q179" s="12">
        <v>101.75</v>
      </c>
      <c r="R179" s="10" t="s">
        <v>75</v>
      </c>
      <c r="S179" s="10" t="s">
        <v>0</v>
      </c>
      <c r="T179" s="10" t="s">
        <v>0</v>
      </c>
      <c r="U179" s="10" t="s">
        <v>87</v>
      </c>
    </row>
    <row r="180" spans="1:21" x14ac:dyDescent="0.25">
      <c r="A180" s="9" t="s">
        <v>19</v>
      </c>
      <c r="B180" s="9" t="s">
        <v>61</v>
      </c>
      <c r="C180" s="9" t="s">
        <v>596</v>
      </c>
      <c r="D180" s="9" t="s">
        <v>597</v>
      </c>
      <c r="E180" s="9" t="s">
        <v>598</v>
      </c>
      <c r="F180" s="9" t="s">
        <v>599</v>
      </c>
      <c r="G180" s="9" t="s">
        <v>92</v>
      </c>
      <c r="H180" s="9" t="s">
        <v>441</v>
      </c>
      <c r="I180" s="9" t="s">
        <v>108</v>
      </c>
      <c r="J180" s="9" t="s">
        <v>157</v>
      </c>
      <c r="K180" s="9" t="s">
        <v>95</v>
      </c>
      <c r="L180" s="9" t="s">
        <v>95</v>
      </c>
      <c r="M180" s="11">
        <v>22.55</v>
      </c>
      <c r="N180" s="9" t="s">
        <v>72</v>
      </c>
      <c r="O180" s="9" t="s">
        <v>158</v>
      </c>
      <c r="P180" s="9" t="s">
        <v>86</v>
      </c>
      <c r="Q180" s="11">
        <v>14.66</v>
      </c>
      <c r="R180" s="9" t="s">
        <v>75</v>
      </c>
      <c r="S180" s="9" t="s">
        <v>0</v>
      </c>
      <c r="T180" s="9" t="s">
        <v>0</v>
      </c>
      <c r="U180" s="9" t="s">
        <v>159</v>
      </c>
    </row>
    <row r="181" spans="1:21" x14ac:dyDescent="0.25">
      <c r="A181" s="10" t="s">
        <v>19</v>
      </c>
      <c r="B181" s="10" t="s">
        <v>61</v>
      </c>
      <c r="C181" s="10" t="s">
        <v>596</v>
      </c>
      <c r="D181" s="10" t="s">
        <v>597</v>
      </c>
      <c r="E181" s="10" t="s">
        <v>598</v>
      </c>
      <c r="F181" s="10" t="s">
        <v>599</v>
      </c>
      <c r="G181" s="10" t="s">
        <v>92</v>
      </c>
      <c r="H181" s="10" t="s">
        <v>441</v>
      </c>
      <c r="I181" s="10" t="s">
        <v>108</v>
      </c>
      <c r="J181" s="10" t="s">
        <v>157</v>
      </c>
      <c r="K181" s="10" t="s">
        <v>95</v>
      </c>
      <c r="L181" s="10" t="s">
        <v>95</v>
      </c>
      <c r="M181" s="12">
        <v>12.17</v>
      </c>
      <c r="N181" s="10" t="s">
        <v>72</v>
      </c>
      <c r="O181" s="10" t="s">
        <v>158</v>
      </c>
      <c r="P181" s="10" t="s">
        <v>86</v>
      </c>
      <c r="Q181" s="12">
        <v>7.91</v>
      </c>
      <c r="R181" s="10" t="s">
        <v>75</v>
      </c>
      <c r="S181" s="10" t="s">
        <v>0</v>
      </c>
      <c r="T181" s="10" t="s">
        <v>0</v>
      </c>
      <c r="U181" s="10" t="s">
        <v>159</v>
      </c>
    </row>
    <row r="182" spans="1:21" x14ac:dyDescent="0.25">
      <c r="A182" s="9" t="s">
        <v>19</v>
      </c>
      <c r="B182" s="9" t="s">
        <v>165</v>
      </c>
      <c r="C182" s="9" t="s">
        <v>77</v>
      </c>
      <c r="D182" s="9" t="s">
        <v>78</v>
      </c>
      <c r="E182" s="9" t="s">
        <v>608</v>
      </c>
      <c r="F182" s="9" t="s">
        <v>609</v>
      </c>
      <c r="G182" s="9" t="s">
        <v>66</v>
      </c>
      <c r="H182" s="9" t="s">
        <v>610</v>
      </c>
      <c r="I182" s="9" t="s">
        <v>68</v>
      </c>
      <c r="J182" s="9" t="s">
        <v>118</v>
      </c>
      <c r="K182" s="9" t="s">
        <v>415</v>
      </c>
      <c r="L182" s="9" t="s">
        <v>71</v>
      </c>
      <c r="M182" s="11">
        <v>-22.42</v>
      </c>
      <c r="N182" s="9" t="s">
        <v>72</v>
      </c>
      <c r="O182" s="9" t="s">
        <v>164</v>
      </c>
      <c r="P182" s="9" t="s">
        <v>86</v>
      </c>
      <c r="Q182" s="11">
        <v>-0.84</v>
      </c>
      <c r="R182" s="9" t="s">
        <v>289</v>
      </c>
      <c r="S182" s="9" t="s">
        <v>0</v>
      </c>
      <c r="T182" s="9" t="s">
        <v>0</v>
      </c>
      <c r="U182" s="9" t="s">
        <v>122</v>
      </c>
    </row>
    <row r="183" spans="1:21" x14ac:dyDescent="0.25">
      <c r="A183" s="10" t="s">
        <v>19</v>
      </c>
      <c r="B183" s="10" t="s">
        <v>61</v>
      </c>
      <c r="C183" s="10" t="s">
        <v>77</v>
      </c>
      <c r="D183" s="10" t="s">
        <v>78</v>
      </c>
      <c r="E183" s="10" t="s">
        <v>611</v>
      </c>
      <c r="F183" s="10" t="s">
        <v>612</v>
      </c>
      <c r="G183" s="10" t="s">
        <v>66</v>
      </c>
      <c r="H183" s="10" t="s">
        <v>613</v>
      </c>
      <c r="I183" s="10" t="s">
        <v>68</v>
      </c>
      <c r="J183" s="10" t="s">
        <v>118</v>
      </c>
      <c r="K183" s="10" t="s">
        <v>613</v>
      </c>
      <c r="L183" s="10" t="s">
        <v>461</v>
      </c>
      <c r="M183" s="12">
        <v>32.130000000000003</v>
      </c>
      <c r="N183" s="10" t="s">
        <v>72</v>
      </c>
      <c r="O183" s="10" t="s">
        <v>164</v>
      </c>
      <c r="P183" s="10" t="s">
        <v>86</v>
      </c>
      <c r="Q183" s="12">
        <v>1.2</v>
      </c>
      <c r="R183" s="10" t="s">
        <v>75</v>
      </c>
      <c r="S183" s="10" t="s">
        <v>0</v>
      </c>
      <c r="T183" s="10" t="s">
        <v>0</v>
      </c>
      <c r="U183" s="10" t="s">
        <v>122</v>
      </c>
    </row>
    <row r="184" spans="1:21" x14ac:dyDescent="0.25">
      <c r="A184" s="9" t="s">
        <v>19</v>
      </c>
      <c r="B184" s="9" t="s">
        <v>61</v>
      </c>
      <c r="C184" s="9" t="s">
        <v>247</v>
      </c>
      <c r="D184" s="9" t="s">
        <v>248</v>
      </c>
      <c r="E184" s="9" t="s">
        <v>592</v>
      </c>
      <c r="F184" s="9" t="s">
        <v>593</v>
      </c>
      <c r="G184" s="9" t="s">
        <v>92</v>
      </c>
      <c r="H184" s="9" t="s">
        <v>594</v>
      </c>
      <c r="I184" s="9" t="s">
        <v>108</v>
      </c>
      <c r="J184" s="9" t="s">
        <v>157</v>
      </c>
      <c r="K184" s="9" t="s">
        <v>95</v>
      </c>
      <c r="L184" s="9" t="s">
        <v>95</v>
      </c>
      <c r="M184" s="11">
        <v>44.67</v>
      </c>
      <c r="N184" s="9" t="s">
        <v>72</v>
      </c>
      <c r="O184" s="9" t="s">
        <v>158</v>
      </c>
      <c r="P184" s="9" t="s">
        <v>86</v>
      </c>
      <c r="Q184" s="11">
        <v>29.04</v>
      </c>
      <c r="R184" s="9" t="s">
        <v>75</v>
      </c>
      <c r="S184" s="9" t="s">
        <v>0</v>
      </c>
      <c r="T184" s="9" t="s">
        <v>0</v>
      </c>
      <c r="U184" s="9" t="s">
        <v>159</v>
      </c>
    </row>
    <row r="185" spans="1:21" x14ac:dyDescent="0.25">
      <c r="A185" s="10" t="s">
        <v>19</v>
      </c>
      <c r="B185" s="10" t="s">
        <v>61</v>
      </c>
      <c r="C185" s="10" t="s">
        <v>221</v>
      </c>
      <c r="D185" s="10" t="s">
        <v>222</v>
      </c>
      <c r="E185" s="10" t="s">
        <v>223</v>
      </c>
      <c r="F185" s="10" t="s">
        <v>416</v>
      </c>
      <c r="G185" s="10" t="s">
        <v>66</v>
      </c>
      <c r="H185" s="10" t="s">
        <v>225</v>
      </c>
      <c r="I185" s="10" t="s">
        <v>196</v>
      </c>
      <c r="J185" s="10" t="s">
        <v>83</v>
      </c>
      <c r="K185" s="10" t="s">
        <v>226</v>
      </c>
      <c r="L185" s="10" t="s">
        <v>71</v>
      </c>
      <c r="M185" s="12">
        <v>101.62</v>
      </c>
      <c r="N185" s="10" t="s">
        <v>72</v>
      </c>
      <c r="O185" s="10" t="s">
        <v>227</v>
      </c>
      <c r="P185" s="10" t="s">
        <v>86</v>
      </c>
      <c r="Q185" s="12">
        <v>7.62</v>
      </c>
      <c r="R185" s="10" t="s">
        <v>75</v>
      </c>
      <c r="S185" s="10" t="s">
        <v>0</v>
      </c>
      <c r="T185" s="10" t="s">
        <v>0</v>
      </c>
      <c r="U185" s="10" t="s">
        <v>87</v>
      </c>
    </row>
    <row r="186" spans="1:21" x14ac:dyDescent="0.25">
      <c r="A186" s="9" t="s">
        <v>19</v>
      </c>
      <c r="B186" s="9" t="s">
        <v>61</v>
      </c>
      <c r="C186" s="9" t="s">
        <v>221</v>
      </c>
      <c r="D186" s="9" t="s">
        <v>222</v>
      </c>
      <c r="E186" s="9" t="s">
        <v>223</v>
      </c>
      <c r="F186" s="9" t="s">
        <v>417</v>
      </c>
      <c r="G186" s="9" t="s">
        <v>66</v>
      </c>
      <c r="H186" s="9" t="s">
        <v>225</v>
      </c>
      <c r="I186" s="9" t="s">
        <v>196</v>
      </c>
      <c r="J186" s="9" t="s">
        <v>129</v>
      </c>
      <c r="K186" s="9" t="s">
        <v>226</v>
      </c>
      <c r="L186" s="9" t="s">
        <v>71</v>
      </c>
      <c r="M186" s="11">
        <v>59.78</v>
      </c>
      <c r="N186" s="9" t="s">
        <v>72</v>
      </c>
      <c r="O186" s="9" t="s">
        <v>121</v>
      </c>
      <c r="P186" s="9" t="s">
        <v>86</v>
      </c>
      <c r="Q186" s="11">
        <v>2.09</v>
      </c>
      <c r="R186" s="9" t="s">
        <v>75</v>
      </c>
      <c r="S186" s="9" t="s">
        <v>0</v>
      </c>
      <c r="T186" s="9" t="s">
        <v>0</v>
      </c>
      <c r="U186" s="9" t="s">
        <v>132</v>
      </c>
    </row>
    <row r="187" spans="1:21" x14ac:dyDescent="0.25">
      <c r="A187" s="10" t="s">
        <v>19</v>
      </c>
      <c r="B187" s="10" t="s">
        <v>61</v>
      </c>
      <c r="C187" s="10" t="s">
        <v>221</v>
      </c>
      <c r="D187" s="10" t="s">
        <v>222</v>
      </c>
      <c r="E187" s="10" t="s">
        <v>403</v>
      </c>
      <c r="F187" s="10" t="s">
        <v>404</v>
      </c>
      <c r="G187" s="10" t="s">
        <v>66</v>
      </c>
      <c r="H187" s="10" t="s">
        <v>225</v>
      </c>
      <c r="I187" s="10" t="s">
        <v>196</v>
      </c>
      <c r="J187" s="10" t="s">
        <v>94</v>
      </c>
      <c r="K187" s="10" t="s">
        <v>226</v>
      </c>
      <c r="L187" s="10" t="s">
        <v>71</v>
      </c>
      <c r="M187" s="12">
        <v>78.5</v>
      </c>
      <c r="N187" s="10" t="s">
        <v>72</v>
      </c>
      <c r="O187" s="10" t="s">
        <v>227</v>
      </c>
      <c r="P187" s="10" t="s">
        <v>86</v>
      </c>
      <c r="Q187" s="12">
        <v>5.89</v>
      </c>
      <c r="R187" s="10" t="s">
        <v>75</v>
      </c>
      <c r="S187" s="10" t="s">
        <v>0</v>
      </c>
      <c r="T187" s="10" t="s">
        <v>0</v>
      </c>
      <c r="U187" s="10" t="s">
        <v>97</v>
      </c>
    </row>
    <row r="188" spans="1:21" x14ac:dyDescent="0.25">
      <c r="A188" s="9" t="s">
        <v>19</v>
      </c>
      <c r="B188" s="9" t="s">
        <v>61</v>
      </c>
      <c r="C188" s="9" t="s">
        <v>279</v>
      </c>
      <c r="D188" s="9" t="s">
        <v>280</v>
      </c>
      <c r="E188" s="9" t="s">
        <v>614</v>
      </c>
      <c r="F188" s="9" t="s">
        <v>615</v>
      </c>
      <c r="G188" s="9" t="s">
        <v>81</v>
      </c>
      <c r="H188" s="9" t="s">
        <v>616</v>
      </c>
      <c r="I188" s="9" t="s">
        <v>196</v>
      </c>
      <c r="J188" s="9" t="s">
        <v>617</v>
      </c>
      <c r="K188" s="9" t="s">
        <v>616</v>
      </c>
      <c r="L188" s="9" t="s">
        <v>441</v>
      </c>
      <c r="M188" s="11">
        <v>45.76</v>
      </c>
      <c r="N188" s="9" t="s">
        <v>72</v>
      </c>
      <c r="O188" s="9" t="s">
        <v>203</v>
      </c>
      <c r="P188" s="9" t="s">
        <v>86</v>
      </c>
      <c r="Q188" s="11">
        <v>26.54</v>
      </c>
      <c r="R188" s="9" t="s">
        <v>75</v>
      </c>
      <c r="S188" s="9" t="s">
        <v>0</v>
      </c>
      <c r="T188" s="9" t="s">
        <v>0</v>
      </c>
      <c r="U188" s="9" t="s">
        <v>618</v>
      </c>
    </row>
    <row r="189" spans="1:21" x14ac:dyDescent="0.25">
      <c r="A189" s="10" t="s">
        <v>19</v>
      </c>
      <c r="B189" s="10" t="s">
        <v>61</v>
      </c>
      <c r="C189" s="10" t="s">
        <v>221</v>
      </c>
      <c r="D189" s="10" t="s">
        <v>222</v>
      </c>
      <c r="E189" s="10" t="s">
        <v>223</v>
      </c>
      <c r="F189" s="10" t="s">
        <v>224</v>
      </c>
      <c r="G189" s="10" t="s">
        <v>66</v>
      </c>
      <c r="H189" s="10" t="s">
        <v>225</v>
      </c>
      <c r="I189" s="10" t="s">
        <v>196</v>
      </c>
      <c r="J189" s="10" t="s">
        <v>94</v>
      </c>
      <c r="K189" s="10" t="s">
        <v>226</v>
      </c>
      <c r="L189" s="10" t="s">
        <v>71</v>
      </c>
      <c r="M189" s="12">
        <v>103.25</v>
      </c>
      <c r="N189" s="10" t="s">
        <v>72</v>
      </c>
      <c r="O189" s="10" t="s">
        <v>227</v>
      </c>
      <c r="P189" s="10" t="s">
        <v>86</v>
      </c>
      <c r="Q189" s="12">
        <v>7.74</v>
      </c>
      <c r="R189" s="10" t="s">
        <v>75</v>
      </c>
      <c r="S189" s="10" t="s">
        <v>0</v>
      </c>
      <c r="T189" s="10" t="s">
        <v>0</v>
      </c>
      <c r="U189" s="10" t="s">
        <v>97</v>
      </c>
    </row>
    <row r="190" spans="1:21" x14ac:dyDescent="0.25">
      <c r="A190" s="9" t="s">
        <v>19</v>
      </c>
      <c r="B190" s="9" t="s">
        <v>165</v>
      </c>
      <c r="C190" s="9" t="s">
        <v>418</v>
      </c>
      <c r="D190" s="9" t="s">
        <v>419</v>
      </c>
      <c r="E190" s="9" t="s">
        <v>579</v>
      </c>
      <c r="F190" s="9" t="s">
        <v>580</v>
      </c>
      <c r="G190" s="9" t="s">
        <v>81</v>
      </c>
      <c r="H190" s="9" t="s">
        <v>581</v>
      </c>
      <c r="I190" s="9" t="s">
        <v>68</v>
      </c>
      <c r="J190" s="9" t="s">
        <v>118</v>
      </c>
      <c r="K190" s="9" t="s">
        <v>198</v>
      </c>
      <c r="L190" s="9" t="s">
        <v>95</v>
      </c>
      <c r="M190" s="11">
        <v>-104.59</v>
      </c>
      <c r="N190" s="9" t="s">
        <v>72</v>
      </c>
      <c r="O190" s="9" t="s">
        <v>199</v>
      </c>
      <c r="P190" s="9" t="s">
        <v>86</v>
      </c>
      <c r="Q190" s="11">
        <v>-59.62</v>
      </c>
      <c r="R190" s="9" t="s">
        <v>289</v>
      </c>
      <c r="S190" s="9" t="s">
        <v>0</v>
      </c>
      <c r="T190" s="9" t="s">
        <v>0</v>
      </c>
      <c r="U190" s="9" t="s">
        <v>122</v>
      </c>
    </row>
    <row r="191" spans="1:21" x14ac:dyDescent="0.25">
      <c r="A191" s="10" t="s">
        <v>19</v>
      </c>
      <c r="B191" s="10" t="s">
        <v>165</v>
      </c>
      <c r="C191" s="10" t="s">
        <v>336</v>
      </c>
      <c r="D191" s="10" t="s">
        <v>337</v>
      </c>
      <c r="E191" s="10" t="s">
        <v>473</v>
      </c>
      <c r="F191" s="10" t="s">
        <v>595</v>
      </c>
      <c r="G191" s="10" t="s">
        <v>66</v>
      </c>
      <c r="H191" s="10" t="s">
        <v>216</v>
      </c>
      <c r="I191" s="10" t="s">
        <v>128</v>
      </c>
      <c r="J191" s="10" t="s">
        <v>83</v>
      </c>
      <c r="K191" s="10" t="s">
        <v>475</v>
      </c>
      <c r="L191" s="10" t="s">
        <v>95</v>
      </c>
      <c r="M191" s="12">
        <v>-17.72</v>
      </c>
      <c r="N191" s="10" t="s">
        <v>72</v>
      </c>
      <c r="O191" s="10" t="s">
        <v>388</v>
      </c>
      <c r="P191" s="10" t="s">
        <v>86</v>
      </c>
      <c r="Q191" s="12">
        <v>-1.42</v>
      </c>
      <c r="R191" s="10" t="s">
        <v>289</v>
      </c>
      <c r="S191" s="10" t="s">
        <v>0</v>
      </c>
      <c r="T191" s="10" t="s">
        <v>0</v>
      </c>
      <c r="U191" s="10" t="s">
        <v>87</v>
      </c>
    </row>
    <row r="192" spans="1:21" x14ac:dyDescent="0.25">
      <c r="A192" s="9" t="s">
        <v>19</v>
      </c>
      <c r="B192" s="9" t="s">
        <v>165</v>
      </c>
      <c r="C192" s="9" t="s">
        <v>336</v>
      </c>
      <c r="D192" s="9" t="s">
        <v>337</v>
      </c>
      <c r="E192" s="9" t="s">
        <v>473</v>
      </c>
      <c r="F192" s="9" t="s">
        <v>482</v>
      </c>
      <c r="G192" s="9" t="s">
        <v>66</v>
      </c>
      <c r="H192" s="9" t="s">
        <v>216</v>
      </c>
      <c r="I192" s="9" t="s">
        <v>128</v>
      </c>
      <c r="J192" s="9" t="s">
        <v>129</v>
      </c>
      <c r="K192" s="9" t="s">
        <v>475</v>
      </c>
      <c r="L192" s="9" t="s">
        <v>95</v>
      </c>
      <c r="M192" s="11">
        <v>-64.77</v>
      </c>
      <c r="N192" s="9" t="s">
        <v>72</v>
      </c>
      <c r="O192" s="9" t="s">
        <v>164</v>
      </c>
      <c r="P192" s="9" t="s">
        <v>86</v>
      </c>
      <c r="Q192" s="11">
        <v>-2.4300000000000002</v>
      </c>
      <c r="R192" s="9" t="s">
        <v>289</v>
      </c>
      <c r="S192" s="9" t="s">
        <v>0</v>
      </c>
      <c r="T192" s="9" t="s">
        <v>0</v>
      </c>
      <c r="U192" s="9" t="s">
        <v>483</v>
      </c>
    </row>
    <row r="193" spans="1:21" x14ac:dyDescent="0.25">
      <c r="A193" s="10" t="s">
        <v>19</v>
      </c>
      <c r="B193" s="10" t="s">
        <v>61</v>
      </c>
      <c r="C193" s="10" t="s">
        <v>247</v>
      </c>
      <c r="D193" s="10" t="s">
        <v>248</v>
      </c>
      <c r="E193" s="10" t="s">
        <v>619</v>
      </c>
      <c r="F193" s="10" t="s">
        <v>620</v>
      </c>
      <c r="G193" s="10" t="s">
        <v>81</v>
      </c>
      <c r="H193" s="10" t="s">
        <v>498</v>
      </c>
      <c r="I193" s="10" t="s">
        <v>108</v>
      </c>
      <c r="J193" s="10" t="s">
        <v>83</v>
      </c>
      <c r="K193" s="10" t="s">
        <v>498</v>
      </c>
      <c r="L193" s="10" t="s">
        <v>441</v>
      </c>
      <c r="M193" s="12">
        <v>35.869999999999997</v>
      </c>
      <c r="N193" s="10" t="s">
        <v>72</v>
      </c>
      <c r="O193" s="10" t="s">
        <v>252</v>
      </c>
      <c r="P193" s="10" t="s">
        <v>86</v>
      </c>
      <c r="Q193" s="12">
        <v>37.659999999999997</v>
      </c>
      <c r="R193" s="10" t="s">
        <v>75</v>
      </c>
      <c r="S193" s="10" t="s">
        <v>0</v>
      </c>
      <c r="T193" s="10" t="s">
        <v>0</v>
      </c>
      <c r="U193" s="10" t="s">
        <v>87</v>
      </c>
    </row>
    <row r="194" spans="1:21" x14ac:dyDescent="0.25">
      <c r="A194" s="9" t="s">
        <v>19</v>
      </c>
      <c r="B194" s="9" t="s">
        <v>61</v>
      </c>
      <c r="C194" s="9" t="s">
        <v>418</v>
      </c>
      <c r="D194" s="9" t="s">
        <v>419</v>
      </c>
      <c r="E194" s="9" t="s">
        <v>420</v>
      </c>
      <c r="F194" s="9" t="s">
        <v>421</v>
      </c>
      <c r="G194" s="9" t="s">
        <v>81</v>
      </c>
      <c r="H194" s="9" t="s">
        <v>422</v>
      </c>
      <c r="I194" s="9" t="s">
        <v>68</v>
      </c>
      <c r="J194" s="9" t="s">
        <v>118</v>
      </c>
      <c r="K194" s="9" t="s">
        <v>198</v>
      </c>
      <c r="L194" s="9" t="s">
        <v>71</v>
      </c>
      <c r="M194" s="11">
        <v>27.63</v>
      </c>
      <c r="N194" s="9" t="s">
        <v>72</v>
      </c>
      <c r="O194" s="9" t="s">
        <v>199</v>
      </c>
      <c r="P194" s="9" t="s">
        <v>86</v>
      </c>
      <c r="Q194" s="11">
        <v>15.75</v>
      </c>
      <c r="R194" s="9" t="s">
        <v>75</v>
      </c>
      <c r="S194" s="9" t="s">
        <v>0</v>
      </c>
      <c r="T194" s="9" t="s">
        <v>0</v>
      </c>
      <c r="U194" s="9" t="s">
        <v>122</v>
      </c>
    </row>
    <row r="195" spans="1:21" x14ac:dyDescent="0.25">
      <c r="A195" s="10" t="s">
        <v>19</v>
      </c>
      <c r="B195" s="10" t="s">
        <v>61</v>
      </c>
      <c r="C195" s="10" t="s">
        <v>77</v>
      </c>
      <c r="D195" s="10" t="s">
        <v>78</v>
      </c>
      <c r="E195" s="10" t="s">
        <v>166</v>
      </c>
      <c r="F195" s="10" t="s">
        <v>167</v>
      </c>
      <c r="G195" s="10" t="s">
        <v>66</v>
      </c>
      <c r="H195" s="10" t="s">
        <v>168</v>
      </c>
      <c r="I195" s="10" t="s">
        <v>68</v>
      </c>
      <c r="J195" s="10" t="s">
        <v>118</v>
      </c>
      <c r="K195" s="10" t="s">
        <v>169</v>
      </c>
      <c r="L195" s="10" t="s">
        <v>71</v>
      </c>
      <c r="M195" s="12">
        <v>22.42</v>
      </c>
      <c r="N195" s="10" t="s">
        <v>72</v>
      </c>
      <c r="O195" s="10" t="s">
        <v>164</v>
      </c>
      <c r="P195" s="10" t="s">
        <v>86</v>
      </c>
      <c r="Q195" s="12">
        <v>0.84</v>
      </c>
      <c r="R195" s="10" t="s">
        <v>75</v>
      </c>
      <c r="S195" s="10" t="s">
        <v>0</v>
      </c>
      <c r="T195" s="10" t="s">
        <v>0</v>
      </c>
      <c r="U195" s="10" t="s">
        <v>122</v>
      </c>
    </row>
    <row r="196" spans="1:21" x14ac:dyDescent="0.25">
      <c r="A196" s="9" t="s">
        <v>19</v>
      </c>
      <c r="B196" s="9" t="s">
        <v>61</v>
      </c>
      <c r="C196" s="9" t="s">
        <v>247</v>
      </c>
      <c r="D196" s="9" t="s">
        <v>248</v>
      </c>
      <c r="E196" s="9" t="s">
        <v>621</v>
      </c>
      <c r="F196" s="9" t="s">
        <v>622</v>
      </c>
      <c r="G196" s="9" t="s">
        <v>81</v>
      </c>
      <c r="H196" s="9" t="s">
        <v>498</v>
      </c>
      <c r="I196" s="9" t="s">
        <v>516</v>
      </c>
      <c r="J196" s="9" t="s">
        <v>157</v>
      </c>
      <c r="K196" s="9" t="s">
        <v>436</v>
      </c>
      <c r="L196" s="9" t="s">
        <v>71</v>
      </c>
      <c r="M196" s="11">
        <v>32.380000000000003</v>
      </c>
      <c r="N196" s="9" t="s">
        <v>72</v>
      </c>
      <c r="O196" s="9" t="s">
        <v>158</v>
      </c>
      <c r="P196" s="9" t="s">
        <v>86</v>
      </c>
      <c r="Q196" s="11">
        <v>21.05</v>
      </c>
      <c r="R196" s="9" t="s">
        <v>75</v>
      </c>
      <c r="S196" s="9" t="s">
        <v>0</v>
      </c>
      <c r="T196" s="9" t="s">
        <v>0</v>
      </c>
      <c r="U196" s="9" t="s">
        <v>159</v>
      </c>
    </row>
    <row r="197" spans="1:21" x14ac:dyDescent="0.25">
      <c r="A197" s="10" t="s">
        <v>19</v>
      </c>
      <c r="B197" s="10" t="s">
        <v>61</v>
      </c>
      <c r="C197" s="10" t="s">
        <v>247</v>
      </c>
      <c r="D197" s="10" t="s">
        <v>248</v>
      </c>
      <c r="E197" s="10" t="s">
        <v>619</v>
      </c>
      <c r="F197" s="10" t="s">
        <v>623</v>
      </c>
      <c r="G197" s="10" t="s">
        <v>81</v>
      </c>
      <c r="H197" s="10" t="s">
        <v>498</v>
      </c>
      <c r="I197" s="10" t="s">
        <v>108</v>
      </c>
      <c r="J197" s="10" t="s">
        <v>94</v>
      </c>
      <c r="K197" s="10" t="s">
        <v>498</v>
      </c>
      <c r="L197" s="10" t="s">
        <v>441</v>
      </c>
      <c r="M197" s="12">
        <v>41.28</v>
      </c>
      <c r="N197" s="10" t="s">
        <v>72</v>
      </c>
      <c r="O197" s="10" t="s">
        <v>252</v>
      </c>
      <c r="P197" s="10" t="s">
        <v>86</v>
      </c>
      <c r="Q197" s="12">
        <v>43.34</v>
      </c>
      <c r="R197" s="10" t="s">
        <v>75</v>
      </c>
      <c r="S197" s="10" t="s">
        <v>0</v>
      </c>
      <c r="T197" s="10" t="s">
        <v>0</v>
      </c>
      <c r="U197" s="10" t="s">
        <v>97</v>
      </c>
    </row>
    <row r="198" spans="1:21" x14ac:dyDescent="0.25">
      <c r="A198" s="9" t="s">
        <v>19</v>
      </c>
      <c r="B198" s="9" t="s">
        <v>61</v>
      </c>
      <c r="C198" s="9" t="s">
        <v>77</v>
      </c>
      <c r="D198" s="9" t="s">
        <v>78</v>
      </c>
      <c r="E198" s="9" t="s">
        <v>210</v>
      </c>
      <c r="F198" s="9" t="s">
        <v>211</v>
      </c>
      <c r="G198" s="9" t="s">
        <v>66</v>
      </c>
      <c r="H198" s="9" t="s">
        <v>212</v>
      </c>
      <c r="I198" s="9" t="s">
        <v>68</v>
      </c>
      <c r="J198" s="9" t="s">
        <v>118</v>
      </c>
      <c r="K198" s="9" t="s">
        <v>213</v>
      </c>
      <c r="L198" s="9" t="s">
        <v>71</v>
      </c>
      <c r="M198" s="11">
        <v>27.63</v>
      </c>
      <c r="N198" s="9" t="s">
        <v>72</v>
      </c>
      <c r="O198" s="9" t="s">
        <v>121</v>
      </c>
      <c r="P198" s="9" t="s">
        <v>86</v>
      </c>
      <c r="Q198" s="11">
        <v>0.97</v>
      </c>
      <c r="R198" s="9" t="s">
        <v>75</v>
      </c>
      <c r="S198" s="9" t="s">
        <v>0</v>
      </c>
      <c r="T198" s="9" t="s">
        <v>0</v>
      </c>
      <c r="U198" s="9" t="s">
        <v>122</v>
      </c>
    </row>
    <row r="199" spans="1:21" x14ac:dyDescent="0.25">
      <c r="A199" s="10" t="s">
        <v>19</v>
      </c>
      <c r="B199" s="10" t="s">
        <v>61</v>
      </c>
      <c r="C199" s="10" t="s">
        <v>221</v>
      </c>
      <c r="D199" s="10" t="s">
        <v>222</v>
      </c>
      <c r="E199" s="10" t="s">
        <v>403</v>
      </c>
      <c r="F199" s="10" t="s">
        <v>405</v>
      </c>
      <c r="G199" s="10" t="s">
        <v>66</v>
      </c>
      <c r="H199" s="10" t="s">
        <v>225</v>
      </c>
      <c r="I199" s="10" t="s">
        <v>196</v>
      </c>
      <c r="J199" s="10" t="s">
        <v>83</v>
      </c>
      <c r="K199" s="10" t="s">
        <v>226</v>
      </c>
      <c r="L199" s="10" t="s">
        <v>71</v>
      </c>
      <c r="M199" s="12">
        <v>74.75</v>
      </c>
      <c r="N199" s="10" t="s">
        <v>72</v>
      </c>
      <c r="O199" s="10" t="s">
        <v>227</v>
      </c>
      <c r="P199" s="10" t="s">
        <v>86</v>
      </c>
      <c r="Q199" s="12">
        <v>5.61</v>
      </c>
      <c r="R199" s="10" t="s">
        <v>75</v>
      </c>
      <c r="S199" s="10" t="s">
        <v>0</v>
      </c>
      <c r="T199" s="10" t="s">
        <v>0</v>
      </c>
      <c r="U199" s="10" t="s">
        <v>87</v>
      </c>
    </row>
    <row r="200" spans="1:21" x14ac:dyDescent="0.25">
      <c r="A200" s="9" t="s">
        <v>19</v>
      </c>
      <c r="B200" s="9" t="s">
        <v>61</v>
      </c>
      <c r="C200" s="9" t="s">
        <v>279</v>
      </c>
      <c r="D200" s="9" t="s">
        <v>280</v>
      </c>
      <c r="E200" s="9" t="s">
        <v>624</v>
      </c>
      <c r="F200" s="9" t="s">
        <v>625</v>
      </c>
      <c r="G200" s="9" t="s">
        <v>66</v>
      </c>
      <c r="H200" s="9" t="s">
        <v>626</v>
      </c>
      <c r="I200" s="9" t="s">
        <v>108</v>
      </c>
      <c r="J200" s="9" t="s">
        <v>157</v>
      </c>
      <c r="K200" s="9" t="s">
        <v>626</v>
      </c>
      <c r="L200" s="9" t="s">
        <v>441</v>
      </c>
      <c r="M200" s="11">
        <v>70</v>
      </c>
      <c r="N200" s="9" t="s">
        <v>72</v>
      </c>
      <c r="O200" s="9" t="s">
        <v>517</v>
      </c>
      <c r="P200" s="9" t="s">
        <v>86</v>
      </c>
      <c r="Q200" s="11">
        <v>11.9</v>
      </c>
      <c r="R200" s="9" t="s">
        <v>75</v>
      </c>
      <c r="S200" s="9" t="s">
        <v>0</v>
      </c>
      <c r="T200" s="9" t="s">
        <v>0</v>
      </c>
      <c r="U200" s="9" t="s">
        <v>159</v>
      </c>
    </row>
    <row r="201" spans="1:21" x14ac:dyDescent="0.25">
      <c r="A201" s="10" t="s">
        <v>19</v>
      </c>
      <c r="B201" s="10" t="s">
        <v>61</v>
      </c>
      <c r="C201" s="10" t="s">
        <v>279</v>
      </c>
      <c r="D201" s="10" t="s">
        <v>280</v>
      </c>
      <c r="E201" s="10" t="s">
        <v>624</v>
      </c>
      <c r="F201" s="10" t="s">
        <v>625</v>
      </c>
      <c r="G201" s="10" t="s">
        <v>66</v>
      </c>
      <c r="H201" s="10" t="s">
        <v>626</v>
      </c>
      <c r="I201" s="10" t="s">
        <v>108</v>
      </c>
      <c r="J201" s="10" t="s">
        <v>157</v>
      </c>
      <c r="K201" s="10" t="s">
        <v>626</v>
      </c>
      <c r="L201" s="10" t="s">
        <v>441</v>
      </c>
      <c r="M201" s="12">
        <v>5.25</v>
      </c>
      <c r="N201" s="10" t="s">
        <v>72</v>
      </c>
      <c r="O201" s="10" t="s">
        <v>517</v>
      </c>
      <c r="P201" s="10" t="s">
        <v>86</v>
      </c>
      <c r="Q201" s="12">
        <v>0.89</v>
      </c>
      <c r="R201" s="10" t="s">
        <v>75</v>
      </c>
      <c r="S201" s="10" t="s">
        <v>0</v>
      </c>
      <c r="T201" s="10" t="s">
        <v>0</v>
      </c>
      <c r="U201" s="10" t="s">
        <v>159</v>
      </c>
    </row>
    <row r="202" spans="1:21" x14ac:dyDescent="0.25">
      <c r="A202" s="9" t="s">
        <v>19</v>
      </c>
      <c r="B202" s="9" t="s">
        <v>61</v>
      </c>
      <c r="C202" s="9" t="s">
        <v>279</v>
      </c>
      <c r="D202" s="9" t="s">
        <v>280</v>
      </c>
      <c r="E202" s="9" t="s">
        <v>624</v>
      </c>
      <c r="F202" s="9" t="s">
        <v>625</v>
      </c>
      <c r="G202" s="9" t="s">
        <v>66</v>
      </c>
      <c r="H202" s="9" t="s">
        <v>626</v>
      </c>
      <c r="I202" s="9" t="s">
        <v>108</v>
      </c>
      <c r="J202" s="9" t="s">
        <v>157</v>
      </c>
      <c r="K202" s="9" t="s">
        <v>626</v>
      </c>
      <c r="L202" s="9" t="s">
        <v>441</v>
      </c>
      <c r="M202" s="11">
        <v>21.52</v>
      </c>
      <c r="N202" s="9" t="s">
        <v>72</v>
      </c>
      <c r="O202" s="9" t="s">
        <v>517</v>
      </c>
      <c r="P202" s="9" t="s">
        <v>86</v>
      </c>
      <c r="Q202" s="11">
        <v>3.66</v>
      </c>
      <c r="R202" s="9" t="s">
        <v>75</v>
      </c>
      <c r="S202" s="9" t="s">
        <v>0</v>
      </c>
      <c r="T202" s="9" t="s">
        <v>0</v>
      </c>
      <c r="U202" s="9" t="s">
        <v>159</v>
      </c>
    </row>
    <row r="203" spans="1:21" x14ac:dyDescent="0.25">
      <c r="A203" s="10" t="s">
        <v>19</v>
      </c>
      <c r="B203" s="10" t="s">
        <v>61</v>
      </c>
      <c r="C203" s="10" t="s">
        <v>279</v>
      </c>
      <c r="D203" s="10" t="s">
        <v>280</v>
      </c>
      <c r="E203" s="10" t="s">
        <v>624</v>
      </c>
      <c r="F203" s="10" t="s">
        <v>625</v>
      </c>
      <c r="G203" s="10" t="s">
        <v>66</v>
      </c>
      <c r="H203" s="10" t="s">
        <v>626</v>
      </c>
      <c r="I203" s="10" t="s">
        <v>108</v>
      </c>
      <c r="J203" s="10" t="s">
        <v>157</v>
      </c>
      <c r="K203" s="10" t="s">
        <v>626</v>
      </c>
      <c r="L203" s="10" t="s">
        <v>441</v>
      </c>
      <c r="M203" s="12">
        <v>11.87</v>
      </c>
      <c r="N203" s="10" t="s">
        <v>72</v>
      </c>
      <c r="O203" s="10" t="s">
        <v>517</v>
      </c>
      <c r="P203" s="10" t="s">
        <v>86</v>
      </c>
      <c r="Q203" s="12">
        <v>2.02</v>
      </c>
      <c r="R203" s="10" t="s">
        <v>75</v>
      </c>
      <c r="S203" s="10" t="s">
        <v>0</v>
      </c>
      <c r="T203" s="10" t="s">
        <v>0</v>
      </c>
      <c r="U203" s="10" t="s">
        <v>159</v>
      </c>
    </row>
    <row r="204" spans="1:21" x14ac:dyDescent="0.25">
      <c r="A204" s="9" t="s">
        <v>19</v>
      </c>
      <c r="B204" s="9" t="s">
        <v>61</v>
      </c>
      <c r="C204" s="9" t="s">
        <v>279</v>
      </c>
      <c r="D204" s="9" t="s">
        <v>280</v>
      </c>
      <c r="E204" s="9" t="s">
        <v>624</v>
      </c>
      <c r="F204" s="9" t="s">
        <v>625</v>
      </c>
      <c r="G204" s="9" t="s">
        <v>66</v>
      </c>
      <c r="H204" s="9" t="s">
        <v>626</v>
      </c>
      <c r="I204" s="9" t="s">
        <v>108</v>
      </c>
      <c r="J204" s="9" t="s">
        <v>157</v>
      </c>
      <c r="K204" s="9" t="s">
        <v>626</v>
      </c>
      <c r="L204" s="9" t="s">
        <v>441</v>
      </c>
      <c r="M204" s="11">
        <v>35.520000000000003</v>
      </c>
      <c r="N204" s="9" t="s">
        <v>72</v>
      </c>
      <c r="O204" s="9" t="s">
        <v>517</v>
      </c>
      <c r="P204" s="9" t="s">
        <v>86</v>
      </c>
      <c r="Q204" s="11">
        <v>6.04</v>
      </c>
      <c r="R204" s="9" t="s">
        <v>75</v>
      </c>
      <c r="S204" s="9" t="s">
        <v>0</v>
      </c>
      <c r="T204" s="9" t="s">
        <v>0</v>
      </c>
      <c r="U204" s="9" t="s">
        <v>159</v>
      </c>
    </row>
    <row r="205" spans="1:21" x14ac:dyDescent="0.25">
      <c r="A205" s="10" t="s">
        <v>19</v>
      </c>
      <c r="B205" s="10" t="s">
        <v>61</v>
      </c>
      <c r="C205" s="10" t="s">
        <v>279</v>
      </c>
      <c r="D205" s="10" t="s">
        <v>280</v>
      </c>
      <c r="E205" s="10" t="s">
        <v>624</v>
      </c>
      <c r="F205" s="10" t="s">
        <v>625</v>
      </c>
      <c r="G205" s="10" t="s">
        <v>66</v>
      </c>
      <c r="H205" s="10" t="s">
        <v>626</v>
      </c>
      <c r="I205" s="10" t="s">
        <v>108</v>
      </c>
      <c r="J205" s="10" t="s">
        <v>157</v>
      </c>
      <c r="K205" s="10" t="s">
        <v>626</v>
      </c>
      <c r="L205" s="10" t="s">
        <v>441</v>
      </c>
      <c r="M205" s="12">
        <v>26.5</v>
      </c>
      <c r="N205" s="10" t="s">
        <v>72</v>
      </c>
      <c r="O205" s="10" t="s">
        <v>517</v>
      </c>
      <c r="P205" s="10" t="s">
        <v>86</v>
      </c>
      <c r="Q205" s="12">
        <v>4.51</v>
      </c>
      <c r="R205" s="10" t="s">
        <v>75</v>
      </c>
      <c r="S205" s="10" t="s">
        <v>0</v>
      </c>
      <c r="T205" s="10" t="s">
        <v>0</v>
      </c>
      <c r="U205" s="10" t="s">
        <v>159</v>
      </c>
    </row>
    <row r="206" spans="1:21" x14ac:dyDescent="0.25">
      <c r="A206" s="9" t="s">
        <v>19</v>
      </c>
      <c r="B206" s="9" t="s">
        <v>165</v>
      </c>
      <c r="C206" s="9" t="s">
        <v>77</v>
      </c>
      <c r="D206" s="9" t="s">
        <v>78</v>
      </c>
      <c r="E206" s="9" t="s">
        <v>608</v>
      </c>
      <c r="F206" s="9" t="s">
        <v>609</v>
      </c>
      <c r="G206" s="9" t="s">
        <v>66</v>
      </c>
      <c r="H206" s="9" t="s">
        <v>610</v>
      </c>
      <c r="I206" s="9" t="s">
        <v>68</v>
      </c>
      <c r="J206" s="9" t="s">
        <v>118</v>
      </c>
      <c r="K206" s="9" t="s">
        <v>415</v>
      </c>
      <c r="L206" s="9" t="s">
        <v>95</v>
      </c>
      <c r="M206" s="11">
        <v>-22.42</v>
      </c>
      <c r="N206" s="9" t="s">
        <v>72</v>
      </c>
      <c r="O206" s="9" t="s">
        <v>164</v>
      </c>
      <c r="P206" s="9" t="s">
        <v>86</v>
      </c>
      <c r="Q206" s="11">
        <v>-0.84</v>
      </c>
      <c r="R206" s="9" t="s">
        <v>289</v>
      </c>
      <c r="S206" s="9" t="s">
        <v>0</v>
      </c>
      <c r="T206" s="9" t="s">
        <v>0</v>
      </c>
      <c r="U206" s="9" t="s">
        <v>122</v>
      </c>
    </row>
    <row r="207" spans="1:21" x14ac:dyDescent="0.25">
      <c r="A207" s="10" t="s">
        <v>19</v>
      </c>
      <c r="B207" s="10" t="s">
        <v>165</v>
      </c>
      <c r="C207" s="10" t="s">
        <v>336</v>
      </c>
      <c r="D207" s="10" t="s">
        <v>337</v>
      </c>
      <c r="E207" s="10" t="s">
        <v>473</v>
      </c>
      <c r="F207" s="10" t="s">
        <v>474</v>
      </c>
      <c r="G207" s="10" t="s">
        <v>66</v>
      </c>
      <c r="H207" s="10" t="s">
        <v>216</v>
      </c>
      <c r="I207" s="10" t="s">
        <v>128</v>
      </c>
      <c r="J207" s="10" t="s">
        <v>94</v>
      </c>
      <c r="K207" s="10" t="s">
        <v>475</v>
      </c>
      <c r="L207" s="10" t="s">
        <v>95</v>
      </c>
      <c r="M207" s="12">
        <v>-17.579999999999998</v>
      </c>
      <c r="N207" s="10" t="s">
        <v>72</v>
      </c>
      <c r="O207" s="10" t="s">
        <v>388</v>
      </c>
      <c r="P207" s="10" t="s">
        <v>86</v>
      </c>
      <c r="Q207" s="12">
        <v>-1.41</v>
      </c>
      <c r="R207" s="10" t="s">
        <v>289</v>
      </c>
      <c r="S207" s="10" t="s">
        <v>0</v>
      </c>
      <c r="T207" s="10" t="s">
        <v>0</v>
      </c>
      <c r="U207" s="10" t="s">
        <v>97</v>
      </c>
    </row>
    <row r="208" spans="1:21" x14ac:dyDescent="0.25">
      <c r="A208" s="9" t="s">
        <v>19</v>
      </c>
      <c r="B208" s="9" t="s">
        <v>61</v>
      </c>
      <c r="C208" s="9" t="s">
        <v>494</v>
      </c>
      <c r="D208" s="9" t="s">
        <v>495</v>
      </c>
      <c r="E208" s="9" t="s">
        <v>627</v>
      </c>
      <c r="F208" s="9" t="s">
        <v>628</v>
      </c>
      <c r="G208" s="9" t="s">
        <v>81</v>
      </c>
      <c r="H208" s="9" t="s">
        <v>362</v>
      </c>
      <c r="I208" s="9" t="s">
        <v>68</v>
      </c>
      <c r="J208" s="9" t="s">
        <v>94</v>
      </c>
      <c r="K208" s="9" t="s">
        <v>362</v>
      </c>
      <c r="L208" s="9" t="s">
        <v>71</v>
      </c>
      <c r="M208" s="11">
        <v>12.37</v>
      </c>
      <c r="N208" s="9" t="s">
        <v>72</v>
      </c>
      <c r="O208" s="9" t="s">
        <v>85</v>
      </c>
      <c r="P208" s="9" t="s">
        <v>86</v>
      </c>
      <c r="Q208" s="11">
        <v>11.75</v>
      </c>
      <c r="R208" s="9" t="s">
        <v>75</v>
      </c>
      <c r="S208" s="9" t="s">
        <v>0</v>
      </c>
      <c r="T208" s="9" t="s">
        <v>0</v>
      </c>
      <c r="U208" s="9" t="s">
        <v>97</v>
      </c>
    </row>
    <row r="209" spans="1:21" x14ac:dyDescent="0.25">
      <c r="A209" s="10" t="s">
        <v>19</v>
      </c>
      <c r="B209" s="10" t="s">
        <v>61</v>
      </c>
      <c r="C209" s="10" t="s">
        <v>494</v>
      </c>
      <c r="D209" s="10" t="s">
        <v>495</v>
      </c>
      <c r="E209" s="10" t="s">
        <v>627</v>
      </c>
      <c r="F209" s="10" t="s">
        <v>629</v>
      </c>
      <c r="G209" s="10" t="s">
        <v>81</v>
      </c>
      <c r="H209" s="10" t="s">
        <v>362</v>
      </c>
      <c r="I209" s="10" t="s">
        <v>68</v>
      </c>
      <c r="J209" s="10" t="s">
        <v>83</v>
      </c>
      <c r="K209" s="10" t="s">
        <v>362</v>
      </c>
      <c r="L209" s="10" t="s">
        <v>71</v>
      </c>
      <c r="M209" s="12">
        <v>73</v>
      </c>
      <c r="N209" s="10" t="s">
        <v>72</v>
      </c>
      <c r="O209" s="10" t="s">
        <v>85</v>
      </c>
      <c r="P209" s="10" t="s">
        <v>86</v>
      </c>
      <c r="Q209" s="12">
        <v>69.349999999999994</v>
      </c>
      <c r="R209" s="10" t="s">
        <v>75</v>
      </c>
      <c r="S209" s="10" t="s">
        <v>0</v>
      </c>
      <c r="T209" s="10" t="s">
        <v>0</v>
      </c>
      <c r="U209" s="10" t="s">
        <v>87</v>
      </c>
    </row>
    <row r="210" spans="1:21" x14ac:dyDescent="0.25">
      <c r="A210" s="9" t="s">
        <v>19</v>
      </c>
      <c r="B210" s="9" t="s">
        <v>61</v>
      </c>
      <c r="C210" s="9" t="s">
        <v>331</v>
      </c>
      <c r="D210" s="9" t="s">
        <v>332</v>
      </c>
      <c r="E210" s="9" t="s">
        <v>630</v>
      </c>
      <c r="F210" s="9" t="s">
        <v>631</v>
      </c>
      <c r="G210" s="9" t="s">
        <v>81</v>
      </c>
      <c r="H210" s="9" t="s">
        <v>373</v>
      </c>
      <c r="I210" s="9" t="s">
        <v>108</v>
      </c>
      <c r="J210" s="9" t="s">
        <v>83</v>
      </c>
      <c r="K210" s="9" t="s">
        <v>374</v>
      </c>
      <c r="L210" s="9" t="s">
        <v>375</v>
      </c>
      <c r="M210" s="11">
        <v>133.96</v>
      </c>
      <c r="N210" s="9" t="s">
        <v>72</v>
      </c>
      <c r="O210" s="9" t="s">
        <v>252</v>
      </c>
      <c r="P210" s="9" t="s">
        <v>86</v>
      </c>
      <c r="Q210" s="11">
        <v>140.66</v>
      </c>
      <c r="R210" s="9" t="s">
        <v>75</v>
      </c>
      <c r="S210" s="9" t="s">
        <v>0</v>
      </c>
      <c r="T210" s="9" t="s">
        <v>0</v>
      </c>
      <c r="U210" s="9" t="s">
        <v>87</v>
      </c>
    </row>
    <row r="211" spans="1:21" x14ac:dyDescent="0.25">
      <c r="A211" s="10" t="s">
        <v>19</v>
      </c>
      <c r="B211" s="10" t="s">
        <v>61</v>
      </c>
      <c r="C211" s="10" t="s">
        <v>133</v>
      </c>
      <c r="D211" s="10" t="s">
        <v>134</v>
      </c>
      <c r="E211" s="10" t="s">
        <v>632</v>
      </c>
      <c r="F211" s="10" t="s">
        <v>633</v>
      </c>
      <c r="G211" s="10" t="s">
        <v>66</v>
      </c>
      <c r="H211" s="10" t="s">
        <v>626</v>
      </c>
      <c r="I211" s="10" t="s">
        <v>68</v>
      </c>
      <c r="J211" s="10" t="s">
        <v>109</v>
      </c>
      <c r="K211" s="10" t="s">
        <v>626</v>
      </c>
      <c r="L211" s="10" t="s">
        <v>441</v>
      </c>
      <c r="M211" s="12">
        <v>94.8</v>
      </c>
      <c r="N211" s="10" t="s">
        <v>72</v>
      </c>
      <c r="O211" s="10" t="s">
        <v>634</v>
      </c>
      <c r="P211" s="10" t="s">
        <v>86</v>
      </c>
      <c r="Q211" s="12">
        <v>11.38</v>
      </c>
      <c r="R211" s="10" t="s">
        <v>75</v>
      </c>
      <c r="S211" s="10" t="s">
        <v>0</v>
      </c>
      <c r="T211" s="10" t="s">
        <v>0</v>
      </c>
      <c r="U211" s="10" t="s">
        <v>112</v>
      </c>
    </row>
    <row r="212" spans="1:21" x14ac:dyDescent="0.25">
      <c r="A212" s="9" t="s">
        <v>19</v>
      </c>
      <c r="B212" s="9" t="s">
        <v>61</v>
      </c>
      <c r="C212" s="9" t="s">
        <v>77</v>
      </c>
      <c r="D212" s="9" t="s">
        <v>78</v>
      </c>
      <c r="E212" s="9" t="s">
        <v>635</v>
      </c>
      <c r="F212" s="9" t="s">
        <v>636</v>
      </c>
      <c r="G212" s="9" t="s">
        <v>66</v>
      </c>
      <c r="H212" s="9" t="s">
        <v>637</v>
      </c>
      <c r="I212" s="9" t="s">
        <v>68</v>
      </c>
      <c r="J212" s="9" t="s">
        <v>118</v>
      </c>
      <c r="K212" s="9" t="s">
        <v>637</v>
      </c>
      <c r="L212" s="9" t="s">
        <v>375</v>
      </c>
      <c r="M212" s="11">
        <v>27.63</v>
      </c>
      <c r="N212" s="9" t="s">
        <v>72</v>
      </c>
      <c r="O212" s="9" t="s">
        <v>164</v>
      </c>
      <c r="P212" s="9" t="s">
        <v>86</v>
      </c>
      <c r="Q212" s="11">
        <v>1.04</v>
      </c>
      <c r="R212" s="9" t="s">
        <v>75</v>
      </c>
      <c r="S212" s="9" t="s">
        <v>0</v>
      </c>
      <c r="T212" s="9" t="s">
        <v>0</v>
      </c>
      <c r="U212" s="9" t="s">
        <v>122</v>
      </c>
    </row>
    <row r="213" spans="1:21" x14ac:dyDescent="0.25">
      <c r="A213" s="10" t="s">
        <v>19</v>
      </c>
      <c r="B213" s="10" t="s">
        <v>61</v>
      </c>
      <c r="C213" s="10" t="s">
        <v>88</v>
      </c>
      <c r="D213" s="10" t="s">
        <v>89</v>
      </c>
      <c r="E213" s="10" t="s">
        <v>442</v>
      </c>
      <c r="F213" s="10" t="s">
        <v>638</v>
      </c>
      <c r="G213" s="10" t="s">
        <v>81</v>
      </c>
      <c r="H213" s="10" t="s">
        <v>444</v>
      </c>
      <c r="I213" s="10" t="s">
        <v>93</v>
      </c>
      <c r="J213" s="10" t="s">
        <v>94</v>
      </c>
      <c r="K213" s="10" t="s">
        <v>445</v>
      </c>
      <c r="L213" s="10" t="s">
        <v>71</v>
      </c>
      <c r="M213" s="12">
        <v>31.42</v>
      </c>
      <c r="N213" s="10" t="s">
        <v>72</v>
      </c>
      <c r="O213" s="10" t="s">
        <v>96</v>
      </c>
      <c r="P213" s="10" t="s">
        <v>86</v>
      </c>
      <c r="Q213" s="12">
        <v>31.42</v>
      </c>
      <c r="R213" s="10" t="s">
        <v>75</v>
      </c>
      <c r="S213" s="10" t="s">
        <v>0</v>
      </c>
      <c r="T213" s="10" t="s">
        <v>0</v>
      </c>
      <c r="U213" s="10" t="s">
        <v>97</v>
      </c>
    </row>
    <row r="214" spans="1:21" x14ac:dyDescent="0.25">
      <c r="A214" s="9" t="s">
        <v>19</v>
      </c>
      <c r="B214" s="9" t="s">
        <v>61</v>
      </c>
      <c r="C214" s="9" t="s">
        <v>331</v>
      </c>
      <c r="D214" s="9" t="s">
        <v>332</v>
      </c>
      <c r="E214" s="9" t="s">
        <v>639</v>
      </c>
      <c r="F214" s="9" t="s">
        <v>640</v>
      </c>
      <c r="G214" s="9" t="s">
        <v>81</v>
      </c>
      <c r="H214" s="9" t="s">
        <v>641</v>
      </c>
      <c r="I214" s="9" t="s">
        <v>108</v>
      </c>
      <c r="J214" s="9" t="s">
        <v>94</v>
      </c>
      <c r="K214" s="9" t="s">
        <v>642</v>
      </c>
      <c r="L214" s="9" t="s">
        <v>375</v>
      </c>
      <c r="M214" s="11">
        <v>32.700000000000003</v>
      </c>
      <c r="N214" s="9" t="s">
        <v>72</v>
      </c>
      <c r="O214" s="9" t="s">
        <v>96</v>
      </c>
      <c r="P214" s="9" t="s">
        <v>86</v>
      </c>
      <c r="Q214" s="11">
        <v>32.700000000000003</v>
      </c>
      <c r="R214" s="9" t="s">
        <v>75</v>
      </c>
      <c r="S214" s="9" t="s">
        <v>0</v>
      </c>
      <c r="T214" s="9" t="s">
        <v>0</v>
      </c>
      <c r="U214" s="9" t="s">
        <v>97</v>
      </c>
    </row>
    <row r="215" spans="1:21" x14ac:dyDescent="0.25">
      <c r="A215" s="10" t="s">
        <v>19</v>
      </c>
      <c r="B215" s="10" t="s">
        <v>61</v>
      </c>
      <c r="C215" s="10" t="s">
        <v>77</v>
      </c>
      <c r="D215" s="10" t="s">
        <v>78</v>
      </c>
      <c r="E215" s="10" t="s">
        <v>314</v>
      </c>
      <c r="F215" s="10" t="s">
        <v>315</v>
      </c>
      <c r="G215" s="10" t="s">
        <v>66</v>
      </c>
      <c r="H215" s="10" t="s">
        <v>316</v>
      </c>
      <c r="I215" s="10" t="s">
        <v>317</v>
      </c>
      <c r="J215" s="10" t="s">
        <v>118</v>
      </c>
      <c r="K215" s="10" t="s">
        <v>299</v>
      </c>
      <c r="L215" s="10" t="s">
        <v>71</v>
      </c>
      <c r="M215" s="12">
        <v>42.6</v>
      </c>
      <c r="N215" s="10" t="s">
        <v>72</v>
      </c>
      <c r="O215" s="10" t="s">
        <v>121</v>
      </c>
      <c r="P215" s="10" t="s">
        <v>86</v>
      </c>
      <c r="Q215" s="12">
        <v>1.49</v>
      </c>
      <c r="R215" s="10" t="s">
        <v>75</v>
      </c>
      <c r="S215" s="10" t="s">
        <v>0</v>
      </c>
      <c r="T215" s="10" t="s">
        <v>0</v>
      </c>
      <c r="U215" s="10" t="s">
        <v>318</v>
      </c>
    </row>
    <row r="216" spans="1:21" x14ac:dyDescent="0.25">
      <c r="A216" s="9" t="s">
        <v>19</v>
      </c>
      <c r="B216" s="9" t="s">
        <v>61</v>
      </c>
      <c r="C216" s="9" t="s">
        <v>133</v>
      </c>
      <c r="D216" s="9" t="s">
        <v>134</v>
      </c>
      <c r="E216" s="9" t="s">
        <v>437</v>
      </c>
      <c r="F216" s="9" t="s">
        <v>643</v>
      </c>
      <c r="G216" s="9" t="s">
        <v>81</v>
      </c>
      <c r="H216" s="9" t="s">
        <v>439</v>
      </c>
      <c r="I216" s="9" t="s">
        <v>68</v>
      </c>
      <c r="J216" s="9" t="s">
        <v>109</v>
      </c>
      <c r="K216" s="9" t="s">
        <v>440</v>
      </c>
      <c r="L216" s="9" t="s">
        <v>441</v>
      </c>
      <c r="M216" s="11">
        <v>66.260000000000005</v>
      </c>
      <c r="N216" s="9" t="s">
        <v>72</v>
      </c>
      <c r="O216" s="9" t="s">
        <v>143</v>
      </c>
      <c r="P216" s="9" t="s">
        <v>86</v>
      </c>
      <c r="Q216" s="11">
        <v>39.76</v>
      </c>
      <c r="R216" s="9" t="s">
        <v>75</v>
      </c>
      <c r="S216" s="9" t="s">
        <v>0</v>
      </c>
      <c r="T216" s="9" t="s">
        <v>0</v>
      </c>
      <c r="U216" s="9" t="s">
        <v>112</v>
      </c>
    </row>
    <row r="217" spans="1:21" x14ac:dyDescent="0.25">
      <c r="A217" s="10" t="s">
        <v>19</v>
      </c>
      <c r="B217" s="10" t="s">
        <v>61</v>
      </c>
      <c r="C217" s="10" t="s">
        <v>133</v>
      </c>
      <c r="D217" s="10" t="s">
        <v>134</v>
      </c>
      <c r="E217" s="10" t="s">
        <v>437</v>
      </c>
      <c r="F217" s="10" t="s">
        <v>644</v>
      </c>
      <c r="G217" s="10" t="s">
        <v>81</v>
      </c>
      <c r="H217" s="10" t="s">
        <v>439</v>
      </c>
      <c r="I217" s="10" t="s">
        <v>68</v>
      </c>
      <c r="J217" s="10" t="s">
        <v>83</v>
      </c>
      <c r="K217" s="10" t="s">
        <v>440</v>
      </c>
      <c r="L217" s="10" t="s">
        <v>441</v>
      </c>
      <c r="M217" s="12">
        <v>88.62</v>
      </c>
      <c r="N217" s="10" t="s">
        <v>72</v>
      </c>
      <c r="O217" s="10" t="s">
        <v>85</v>
      </c>
      <c r="P217" s="10" t="s">
        <v>86</v>
      </c>
      <c r="Q217" s="12">
        <v>84.19</v>
      </c>
      <c r="R217" s="10" t="s">
        <v>75</v>
      </c>
      <c r="S217" s="10" t="s">
        <v>0</v>
      </c>
      <c r="T217" s="10" t="s">
        <v>0</v>
      </c>
      <c r="U217" s="10" t="s">
        <v>87</v>
      </c>
    </row>
    <row r="218" spans="1:21" x14ac:dyDescent="0.25">
      <c r="A218" s="9" t="s">
        <v>19</v>
      </c>
      <c r="B218" s="9" t="s">
        <v>61</v>
      </c>
      <c r="C218" s="9" t="s">
        <v>331</v>
      </c>
      <c r="D218" s="9" t="s">
        <v>332</v>
      </c>
      <c r="E218" s="9" t="s">
        <v>639</v>
      </c>
      <c r="F218" s="9" t="s">
        <v>645</v>
      </c>
      <c r="G218" s="9" t="s">
        <v>81</v>
      </c>
      <c r="H218" s="9" t="s">
        <v>641</v>
      </c>
      <c r="I218" s="9" t="s">
        <v>108</v>
      </c>
      <c r="J218" s="9" t="s">
        <v>83</v>
      </c>
      <c r="K218" s="9" t="s">
        <v>642</v>
      </c>
      <c r="L218" s="9" t="s">
        <v>375</v>
      </c>
      <c r="M218" s="11">
        <v>33.75</v>
      </c>
      <c r="N218" s="9" t="s">
        <v>72</v>
      </c>
      <c r="O218" s="9" t="s">
        <v>96</v>
      </c>
      <c r="P218" s="9" t="s">
        <v>86</v>
      </c>
      <c r="Q218" s="11">
        <v>33.75</v>
      </c>
      <c r="R218" s="9" t="s">
        <v>75</v>
      </c>
      <c r="S218" s="9" t="s">
        <v>0</v>
      </c>
      <c r="T218" s="9" t="s">
        <v>0</v>
      </c>
      <c r="U218" s="9" t="s">
        <v>87</v>
      </c>
    </row>
    <row r="219" spans="1:21" x14ac:dyDescent="0.25">
      <c r="A219" s="10" t="s">
        <v>19</v>
      </c>
      <c r="B219" s="10" t="s">
        <v>61</v>
      </c>
      <c r="C219" s="10" t="s">
        <v>221</v>
      </c>
      <c r="D219" s="10" t="s">
        <v>222</v>
      </c>
      <c r="E219" s="10" t="s">
        <v>323</v>
      </c>
      <c r="F219" s="10" t="s">
        <v>324</v>
      </c>
      <c r="G219" s="10" t="s">
        <v>92</v>
      </c>
      <c r="H219" s="10" t="s">
        <v>325</v>
      </c>
      <c r="I219" s="10" t="s">
        <v>292</v>
      </c>
      <c r="J219" s="10" t="s">
        <v>83</v>
      </c>
      <c r="K219" s="10" t="s">
        <v>71</v>
      </c>
      <c r="L219" s="10" t="s">
        <v>71</v>
      </c>
      <c r="M219" s="12">
        <v>87.75</v>
      </c>
      <c r="N219" s="10" t="s">
        <v>72</v>
      </c>
      <c r="O219" s="10" t="s">
        <v>252</v>
      </c>
      <c r="P219" s="10" t="s">
        <v>86</v>
      </c>
      <c r="Q219" s="12">
        <v>92.14</v>
      </c>
      <c r="R219" s="10" t="s">
        <v>289</v>
      </c>
      <c r="S219" s="10" t="s">
        <v>0</v>
      </c>
      <c r="T219" s="10" t="s">
        <v>0</v>
      </c>
      <c r="U219" s="10" t="s">
        <v>87</v>
      </c>
    </row>
  </sheetData>
  <mergeCells count="1"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F8453-5A78-4CEA-9F40-1B3435921280}">
  <dimension ref="A1:X217"/>
  <sheetViews>
    <sheetView workbookViewId="0">
      <selection activeCell="A2" sqref="A2"/>
    </sheetView>
  </sheetViews>
  <sheetFormatPr defaultRowHeight="15" x14ac:dyDescent="0.25"/>
  <cols>
    <col min="1" max="1" width="16.140625" style="15" customWidth="1"/>
    <col min="2" max="2" width="16.5703125" style="15" customWidth="1"/>
    <col min="3" max="3" width="11" style="15" customWidth="1"/>
    <col min="4" max="4" width="12.7109375" style="15" customWidth="1"/>
    <col min="5" max="5" width="11.42578125" style="15" customWidth="1"/>
    <col min="6" max="6" width="10" style="15" customWidth="1"/>
    <col min="7" max="7" width="39.140625" style="15" customWidth="1"/>
    <col min="8" max="9" width="13.7109375" style="15" customWidth="1"/>
    <col min="10" max="10" width="7" style="15" customWidth="1"/>
    <col min="11" max="12" width="9.28515625" style="15" customWidth="1"/>
    <col min="13" max="13" width="12" style="15" customWidth="1"/>
    <col min="14" max="14" width="10" style="15" customWidth="1"/>
    <col min="15" max="15" width="12.28515625" style="15" customWidth="1"/>
    <col min="16" max="16" width="34.42578125" style="15" bestFit="1" customWidth="1"/>
    <col min="17" max="16384" width="9.140625" style="15"/>
  </cols>
  <sheetData>
    <row r="1" spans="1:24" x14ac:dyDescent="0.25">
      <c r="A1" s="14" t="s">
        <v>42</v>
      </c>
      <c r="B1" s="14" t="s">
        <v>43</v>
      </c>
      <c r="C1" s="14" t="s">
        <v>44</v>
      </c>
      <c r="D1" s="14" t="s">
        <v>45</v>
      </c>
      <c r="E1" s="14" t="s">
        <v>46</v>
      </c>
      <c r="F1" s="14" t="s">
        <v>48</v>
      </c>
      <c r="G1" s="14" t="s">
        <v>49</v>
      </c>
      <c r="H1" s="14" t="s">
        <v>50</v>
      </c>
      <c r="I1" s="14" t="s">
        <v>51</v>
      </c>
      <c r="J1" s="14"/>
      <c r="K1" s="14"/>
      <c r="L1" s="14"/>
      <c r="M1" s="14" t="s">
        <v>52</v>
      </c>
      <c r="N1" s="14" t="s">
        <v>54</v>
      </c>
      <c r="O1" s="14" t="s">
        <v>56</v>
      </c>
      <c r="P1" s="14" t="s">
        <v>60</v>
      </c>
    </row>
    <row r="2" spans="1:24" x14ac:dyDescent="0.25">
      <c r="A2" s="19" t="s">
        <v>653</v>
      </c>
      <c r="B2" s="19" t="s">
        <v>605</v>
      </c>
      <c r="C2" s="19" t="s">
        <v>606</v>
      </c>
      <c r="D2" s="19" t="s">
        <v>607</v>
      </c>
      <c r="E2" s="19" t="s">
        <v>92</v>
      </c>
      <c r="F2" s="19" t="s">
        <v>108</v>
      </c>
      <c r="G2" s="19" t="s">
        <v>83</v>
      </c>
      <c r="H2" s="19" t="s">
        <v>7</v>
      </c>
      <c r="I2" s="19" t="s">
        <v>7</v>
      </c>
      <c r="J2" s="19">
        <f t="shared" ref="J2:J65" si="0">DATEDIF(H2,I2,"M")</f>
        <v>0</v>
      </c>
      <c r="K2" s="19" t="s">
        <v>655</v>
      </c>
      <c r="L2" s="19" t="s">
        <v>656</v>
      </c>
      <c r="M2" s="20">
        <v>96.9</v>
      </c>
      <c r="N2" s="21">
        <v>1.05</v>
      </c>
      <c r="O2" s="20">
        <v>101.75</v>
      </c>
      <c r="P2" s="19" t="s">
        <v>87</v>
      </c>
      <c r="Q2" s="22" t="s">
        <v>660</v>
      </c>
      <c r="R2" s="22"/>
      <c r="S2" s="22"/>
      <c r="T2" s="22"/>
      <c r="U2" s="22"/>
      <c r="V2" s="22"/>
      <c r="W2" s="22"/>
      <c r="X2" s="22"/>
    </row>
    <row r="3" spans="1:24" x14ac:dyDescent="0.25">
      <c r="A3" s="19" t="s">
        <v>650</v>
      </c>
      <c r="B3" s="19" t="s">
        <v>597</v>
      </c>
      <c r="C3" s="19" t="s">
        <v>598</v>
      </c>
      <c r="D3" s="19" t="s">
        <v>599</v>
      </c>
      <c r="E3" s="19" t="s">
        <v>92</v>
      </c>
      <c r="F3" s="19" t="s">
        <v>108</v>
      </c>
      <c r="G3" s="19" t="s">
        <v>157</v>
      </c>
      <c r="H3" s="19" t="s">
        <v>95</v>
      </c>
      <c r="I3" s="19" t="s">
        <v>95</v>
      </c>
      <c r="J3" s="19">
        <f t="shared" si="0"/>
        <v>0</v>
      </c>
      <c r="K3" s="19" t="s">
        <v>655</v>
      </c>
      <c r="L3" s="19" t="s">
        <v>656</v>
      </c>
      <c r="M3" s="20">
        <v>105.11</v>
      </c>
      <c r="N3" s="21">
        <v>0.65</v>
      </c>
      <c r="O3" s="20">
        <v>68.319999999999993</v>
      </c>
      <c r="P3" s="19" t="s">
        <v>159</v>
      </c>
      <c r="Q3" s="22" t="s">
        <v>669</v>
      </c>
      <c r="R3" s="22"/>
      <c r="S3" s="22"/>
      <c r="T3" s="22"/>
      <c r="U3" s="22"/>
      <c r="V3" s="22"/>
      <c r="W3" s="22"/>
      <c r="X3" s="22"/>
    </row>
    <row r="4" spans="1:24" x14ac:dyDescent="0.25">
      <c r="A4" s="19" t="s">
        <v>650</v>
      </c>
      <c r="B4" s="19" t="s">
        <v>597</v>
      </c>
      <c r="C4" s="19" t="s">
        <v>598</v>
      </c>
      <c r="D4" s="19" t="s">
        <v>599</v>
      </c>
      <c r="E4" s="19" t="s">
        <v>92</v>
      </c>
      <c r="F4" s="19" t="s">
        <v>108</v>
      </c>
      <c r="G4" s="19" t="s">
        <v>157</v>
      </c>
      <c r="H4" s="19" t="s">
        <v>95</v>
      </c>
      <c r="I4" s="19" t="s">
        <v>95</v>
      </c>
      <c r="J4" s="19">
        <f t="shared" si="0"/>
        <v>0</v>
      </c>
      <c r="K4" s="19" t="s">
        <v>655</v>
      </c>
      <c r="L4" s="19" t="s">
        <v>656</v>
      </c>
      <c r="M4" s="20">
        <v>31.67</v>
      </c>
      <c r="N4" s="21">
        <v>0.65</v>
      </c>
      <c r="O4" s="20">
        <v>20.59</v>
      </c>
      <c r="P4" s="19" t="s">
        <v>159</v>
      </c>
      <c r="Q4" s="22" t="s">
        <v>669</v>
      </c>
      <c r="R4" s="22"/>
      <c r="S4" s="22"/>
      <c r="T4" s="22"/>
      <c r="U4" s="22"/>
      <c r="V4" s="22"/>
      <c r="W4" s="22"/>
      <c r="X4" s="22"/>
    </row>
    <row r="5" spans="1:24" x14ac:dyDescent="0.25">
      <c r="A5" s="19" t="s">
        <v>650</v>
      </c>
      <c r="B5" s="19" t="s">
        <v>597</v>
      </c>
      <c r="C5" s="19" t="s">
        <v>598</v>
      </c>
      <c r="D5" s="19" t="s">
        <v>599</v>
      </c>
      <c r="E5" s="19" t="s">
        <v>92</v>
      </c>
      <c r="F5" s="19" t="s">
        <v>108</v>
      </c>
      <c r="G5" s="19" t="s">
        <v>157</v>
      </c>
      <c r="H5" s="19" t="s">
        <v>95</v>
      </c>
      <c r="I5" s="19" t="s">
        <v>95</v>
      </c>
      <c r="J5" s="19">
        <f t="shared" si="0"/>
        <v>0</v>
      </c>
      <c r="K5" s="19" t="s">
        <v>655</v>
      </c>
      <c r="L5" s="19" t="s">
        <v>656</v>
      </c>
      <c r="M5" s="20">
        <v>18.48</v>
      </c>
      <c r="N5" s="21">
        <v>0.65</v>
      </c>
      <c r="O5" s="20">
        <v>12.01</v>
      </c>
      <c r="P5" s="19" t="s">
        <v>159</v>
      </c>
      <c r="Q5" s="22" t="s">
        <v>669</v>
      </c>
      <c r="R5" s="22"/>
      <c r="S5" s="22"/>
      <c r="T5" s="22"/>
      <c r="U5" s="22"/>
      <c r="V5" s="22"/>
      <c r="W5" s="22"/>
      <c r="X5" s="22"/>
    </row>
    <row r="6" spans="1:24" x14ac:dyDescent="0.25">
      <c r="A6" s="19" t="s">
        <v>650</v>
      </c>
      <c r="B6" s="19" t="s">
        <v>597</v>
      </c>
      <c r="C6" s="19" t="s">
        <v>598</v>
      </c>
      <c r="D6" s="19" t="s">
        <v>599</v>
      </c>
      <c r="E6" s="19" t="s">
        <v>92</v>
      </c>
      <c r="F6" s="19" t="s">
        <v>108</v>
      </c>
      <c r="G6" s="19" t="s">
        <v>157</v>
      </c>
      <c r="H6" s="19" t="s">
        <v>95</v>
      </c>
      <c r="I6" s="19" t="s">
        <v>95</v>
      </c>
      <c r="J6" s="19">
        <f t="shared" si="0"/>
        <v>0</v>
      </c>
      <c r="K6" s="19" t="s">
        <v>655</v>
      </c>
      <c r="L6" s="19" t="s">
        <v>656</v>
      </c>
      <c r="M6" s="20">
        <v>22.55</v>
      </c>
      <c r="N6" s="21">
        <v>0.65</v>
      </c>
      <c r="O6" s="20">
        <v>14.66</v>
      </c>
      <c r="P6" s="19" t="s">
        <v>159</v>
      </c>
      <c r="Q6" s="22" t="s">
        <v>669</v>
      </c>
      <c r="R6" s="22"/>
      <c r="S6" s="22"/>
      <c r="T6" s="22"/>
      <c r="U6" s="22"/>
      <c r="V6" s="22"/>
      <c r="W6" s="22"/>
      <c r="X6" s="22"/>
    </row>
    <row r="7" spans="1:24" x14ac:dyDescent="0.25">
      <c r="A7" s="19" t="s">
        <v>650</v>
      </c>
      <c r="B7" s="19" t="s">
        <v>597</v>
      </c>
      <c r="C7" s="19" t="s">
        <v>598</v>
      </c>
      <c r="D7" s="19" t="s">
        <v>599</v>
      </c>
      <c r="E7" s="19" t="s">
        <v>92</v>
      </c>
      <c r="F7" s="19" t="s">
        <v>108</v>
      </c>
      <c r="G7" s="19" t="s">
        <v>157</v>
      </c>
      <c r="H7" s="19" t="s">
        <v>95</v>
      </c>
      <c r="I7" s="19" t="s">
        <v>95</v>
      </c>
      <c r="J7" s="19">
        <f t="shared" si="0"/>
        <v>0</v>
      </c>
      <c r="K7" s="19" t="s">
        <v>655</v>
      </c>
      <c r="L7" s="19" t="s">
        <v>656</v>
      </c>
      <c r="M7" s="20">
        <v>12.17</v>
      </c>
      <c r="N7" s="21">
        <v>0.65</v>
      </c>
      <c r="O7" s="20">
        <v>7.91</v>
      </c>
      <c r="P7" s="19" t="s">
        <v>159</v>
      </c>
      <c r="Q7" s="22" t="s">
        <v>669</v>
      </c>
      <c r="R7" s="22"/>
      <c r="S7" s="22"/>
      <c r="T7" s="22"/>
      <c r="U7" s="22"/>
      <c r="V7" s="22"/>
      <c r="W7" s="22"/>
      <c r="X7" s="22"/>
    </row>
    <row r="8" spans="1:24" x14ac:dyDescent="0.25">
      <c r="A8" s="19" t="s">
        <v>652</v>
      </c>
      <c r="B8" s="19" t="s">
        <v>280</v>
      </c>
      <c r="C8" s="19" t="s">
        <v>281</v>
      </c>
      <c r="D8" s="19" t="s">
        <v>282</v>
      </c>
      <c r="E8" s="19" t="s">
        <v>92</v>
      </c>
      <c r="F8" s="19" t="s">
        <v>108</v>
      </c>
      <c r="G8" s="19" t="s">
        <v>157</v>
      </c>
      <c r="H8" s="19" t="s">
        <v>71</v>
      </c>
      <c r="I8" s="19" t="s">
        <v>71</v>
      </c>
      <c r="J8" s="19">
        <f t="shared" si="0"/>
        <v>0</v>
      </c>
      <c r="K8" s="19" t="s">
        <v>655</v>
      </c>
      <c r="L8" s="19" t="s">
        <v>656</v>
      </c>
      <c r="M8" s="20">
        <v>6.04</v>
      </c>
      <c r="N8" s="21">
        <v>0.65</v>
      </c>
      <c r="O8" s="20">
        <v>3.93</v>
      </c>
      <c r="P8" s="19" t="s">
        <v>159</v>
      </c>
      <c r="Q8" s="22" t="s">
        <v>669</v>
      </c>
      <c r="R8" s="22"/>
      <c r="S8" s="22"/>
      <c r="T8" s="22"/>
      <c r="U8" s="22"/>
      <c r="V8" s="22"/>
      <c r="W8" s="22"/>
      <c r="X8" s="22"/>
    </row>
    <row r="9" spans="1:24" x14ac:dyDescent="0.25">
      <c r="A9" s="19" t="s">
        <v>652</v>
      </c>
      <c r="B9" s="19" t="s">
        <v>280</v>
      </c>
      <c r="C9" s="19" t="s">
        <v>281</v>
      </c>
      <c r="D9" s="19" t="s">
        <v>282</v>
      </c>
      <c r="E9" s="19" t="s">
        <v>92</v>
      </c>
      <c r="F9" s="19" t="s">
        <v>108</v>
      </c>
      <c r="G9" s="19" t="s">
        <v>157</v>
      </c>
      <c r="H9" s="19" t="s">
        <v>71</v>
      </c>
      <c r="I9" s="19" t="s">
        <v>71</v>
      </c>
      <c r="J9" s="19">
        <f t="shared" si="0"/>
        <v>0</v>
      </c>
      <c r="K9" s="19" t="s">
        <v>655</v>
      </c>
      <c r="L9" s="19" t="s">
        <v>656</v>
      </c>
      <c r="M9" s="20">
        <v>21.52</v>
      </c>
      <c r="N9" s="21">
        <v>0.65</v>
      </c>
      <c r="O9" s="20">
        <v>13.99</v>
      </c>
      <c r="P9" s="19" t="s">
        <v>159</v>
      </c>
      <c r="Q9" s="22" t="s">
        <v>669</v>
      </c>
      <c r="R9" s="22"/>
      <c r="S9" s="22"/>
      <c r="T9" s="22"/>
      <c r="U9" s="22"/>
      <c r="V9" s="22"/>
      <c r="W9" s="22"/>
      <c r="X9" s="22"/>
    </row>
    <row r="10" spans="1:24" x14ac:dyDescent="0.25">
      <c r="A10" s="19" t="s">
        <v>652</v>
      </c>
      <c r="B10" s="19" t="s">
        <v>280</v>
      </c>
      <c r="C10" s="19" t="s">
        <v>281</v>
      </c>
      <c r="D10" s="19" t="s">
        <v>282</v>
      </c>
      <c r="E10" s="19" t="s">
        <v>92</v>
      </c>
      <c r="F10" s="19" t="s">
        <v>108</v>
      </c>
      <c r="G10" s="19" t="s">
        <v>157</v>
      </c>
      <c r="H10" s="19" t="s">
        <v>71</v>
      </c>
      <c r="I10" s="19" t="s">
        <v>71</v>
      </c>
      <c r="J10" s="19">
        <f t="shared" si="0"/>
        <v>0</v>
      </c>
      <c r="K10" s="19" t="s">
        <v>655</v>
      </c>
      <c r="L10" s="19" t="s">
        <v>656</v>
      </c>
      <c r="M10" s="20">
        <v>18.329999999999998</v>
      </c>
      <c r="N10" s="21">
        <v>0.65</v>
      </c>
      <c r="O10" s="20">
        <v>11.91</v>
      </c>
      <c r="P10" s="19" t="s">
        <v>159</v>
      </c>
      <c r="Q10" s="22" t="s">
        <v>669</v>
      </c>
      <c r="R10" s="22"/>
      <c r="S10" s="22"/>
      <c r="T10" s="22"/>
      <c r="U10" s="22"/>
      <c r="V10" s="22"/>
      <c r="W10" s="22"/>
      <c r="X10" s="22"/>
    </row>
    <row r="11" spans="1:24" x14ac:dyDescent="0.25">
      <c r="A11" s="19" t="s">
        <v>652</v>
      </c>
      <c r="B11" s="19" t="s">
        <v>280</v>
      </c>
      <c r="C11" s="19" t="s">
        <v>281</v>
      </c>
      <c r="D11" s="19" t="s">
        <v>282</v>
      </c>
      <c r="E11" s="19" t="s">
        <v>92</v>
      </c>
      <c r="F11" s="19" t="s">
        <v>108</v>
      </c>
      <c r="G11" s="19" t="s">
        <v>157</v>
      </c>
      <c r="H11" s="19" t="s">
        <v>71</v>
      </c>
      <c r="I11" s="19" t="s">
        <v>71</v>
      </c>
      <c r="J11" s="19">
        <f t="shared" si="0"/>
        <v>0</v>
      </c>
      <c r="K11" s="19" t="s">
        <v>655</v>
      </c>
      <c r="L11" s="19" t="s">
        <v>656</v>
      </c>
      <c r="M11" s="20">
        <v>53</v>
      </c>
      <c r="N11" s="21">
        <v>0.65</v>
      </c>
      <c r="O11" s="20">
        <v>34.450000000000003</v>
      </c>
      <c r="P11" s="19" t="s">
        <v>159</v>
      </c>
      <c r="Q11" s="22" t="s">
        <v>669</v>
      </c>
      <c r="R11" s="22"/>
      <c r="S11" s="22"/>
      <c r="T11" s="22"/>
      <c r="U11" s="22"/>
      <c r="V11" s="22"/>
      <c r="W11" s="22"/>
      <c r="X11" s="22"/>
    </row>
    <row r="12" spans="1:24" x14ac:dyDescent="0.25">
      <c r="A12" s="19" t="s">
        <v>652</v>
      </c>
      <c r="B12" s="19" t="s">
        <v>280</v>
      </c>
      <c r="C12" s="19" t="s">
        <v>281</v>
      </c>
      <c r="D12" s="19" t="s">
        <v>282</v>
      </c>
      <c r="E12" s="19" t="s">
        <v>92</v>
      </c>
      <c r="F12" s="19" t="s">
        <v>108</v>
      </c>
      <c r="G12" s="19" t="s">
        <v>157</v>
      </c>
      <c r="H12" s="19" t="s">
        <v>71</v>
      </c>
      <c r="I12" s="19" t="s">
        <v>71</v>
      </c>
      <c r="J12" s="19">
        <f t="shared" si="0"/>
        <v>0</v>
      </c>
      <c r="K12" s="19" t="s">
        <v>655</v>
      </c>
      <c r="L12" s="19" t="s">
        <v>656</v>
      </c>
      <c r="M12" s="20">
        <v>23.75</v>
      </c>
      <c r="N12" s="21">
        <v>0.65</v>
      </c>
      <c r="O12" s="20">
        <v>15.44</v>
      </c>
      <c r="P12" s="19" t="s">
        <v>159</v>
      </c>
      <c r="Q12" s="22" t="s">
        <v>669</v>
      </c>
      <c r="R12" s="22"/>
      <c r="S12" s="22"/>
      <c r="T12" s="22"/>
      <c r="U12" s="22"/>
      <c r="V12" s="22"/>
      <c r="W12" s="22"/>
      <c r="X12" s="22"/>
    </row>
    <row r="13" spans="1:24" x14ac:dyDescent="0.25">
      <c r="A13" s="19" t="s">
        <v>654</v>
      </c>
      <c r="B13" s="19" t="s">
        <v>269</v>
      </c>
      <c r="C13" s="19" t="s">
        <v>484</v>
      </c>
      <c r="D13" s="19" t="s">
        <v>485</v>
      </c>
      <c r="E13" s="19" t="s">
        <v>92</v>
      </c>
      <c r="F13" s="19" t="s">
        <v>196</v>
      </c>
      <c r="G13" s="19" t="s">
        <v>157</v>
      </c>
      <c r="H13" s="19" t="s">
        <v>441</v>
      </c>
      <c r="I13" s="19" t="s">
        <v>441</v>
      </c>
      <c r="J13" s="19">
        <f t="shared" si="0"/>
        <v>0</v>
      </c>
      <c r="K13" s="19" t="s">
        <v>655</v>
      </c>
      <c r="L13" s="19" t="s">
        <v>656</v>
      </c>
      <c r="M13" s="20">
        <v>40</v>
      </c>
      <c r="N13" s="21">
        <v>0.65</v>
      </c>
      <c r="O13" s="20">
        <v>26</v>
      </c>
      <c r="P13" s="19" t="s">
        <v>159</v>
      </c>
      <c r="Q13" s="22" t="s">
        <v>669</v>
      </c>
      <c r="R13" s="22"/>
      <c r="S13" s="22"/>
      <c r="T13" s="22"/>
      <c r="U13" s="22"/>
      <c r="V13" s="22"/>
      <c r="W13" s="22"/>
      <c r="X13" s="22"/>
    </row>
    <row r="14" spans="1:24" x14ac:dyDescent="0.25">
      <c r="A14" s="19" t="s">
        <v>654</v>
      </c>
      <c r="B14" s="19" t="s">
        <v>269</v>
      </c>
      <c r="C14" s="19" t="s">
        <v>484</v>
      </c>
      <c r="D14" s="19" t="s">
        <v>485</v>
      </c>
      <c r="E14" s="19" t="s">
        <v>92</v>
      </c>
      <c r="F14" s="19" t="s">
        <v>196</v>
      </c>
      <c r="G14" s="19" t="s">
        <v>157</v>
      </c>
      <c r="H14" s="19" t="s">
        <v>441</v>
      </c>
      <c r="I14" s="19" t="s">
        <v>441</v>
      </c>
      <c r="J14" s="19">
        <f t="shared" si="0"/>
        <v>0</v>
      </c>
      <c r="K14" s="19" t="s">
        <v>655</v>
      </c>
      <c r="L14" s="19" t="s">
        <v>656</v>
      </c>
      <c r="M14" s="20">
        <v>2.63</v>
      </c>
      <c r="N14" s="21">
        <v>0.65</v>
      </c>
      <c r="O14" s="20">
        <v>1.71</v>
      </c>
      <c r="P14" s="19" t="s">
        <v>159</v>
      </c>
      <c r="Q14" s="22" t="s">
        <v>669</v>
      </c>
      <c r="R14" s="22"/>
      <c r="S14" s="22"/>
      <c r="T14" s="22"/>
      <c r="U14" s="22"/>
      <c r="V14" s="22"/>
      <c r="W14" s="22"/>
      <c r="X14" s="22"/>
    </row>
    <row r="15" spans="1:24" x14ac:dyDescent="0.25">
      <c r="A15" s="19" t="s">
        <v>654</v>
      </c>
      <c r="B15" s="19" t="s">
        <v>269</v>
      </c>
      <c r="C15" s="19" t="s">
        <v>484</v>
      </c>
      <c r="D15" s="19" t="s">
        <v>485</v>
      </c>
      <c r="E15" s="19" t="s">
        <v>92</v>
      </c>
      <c r="F15" s="19" t="s">
        <v>196</v>
      </c>
      <c r="G15" s="19" t="s">
        <v>157</v>
      </c>
      <c r="H15" s="19" t="s">
        <v>441</v>
      </c>
      <c r="I15" s="19" t="s">
        <v>441</v>
      </c>
      <c r="J15" s="19">
        <f t="shared" si="0"/>
        <v>0</v>
      </c>
      <c r="K15" s="19" t="s">
        <v>655</v>
      </c>
      <c r="L15" s="19" t="s">
        <v>656</v>
      </c>
      <c r="M15" s="20">
        <v>7.08</v>
      </c>
      <c r="N15" s="21">
        <v>0.65</v>
      </c>
      <c r="O15" s="20">
        <v>4.5999999999999996</v>
      </c>
      <c r="P15" s="19" t="s">
        <v>159</v>
      </c>
      <c r="Q15" s="22" t="s">
        <v>669</v>
      </c>
      <c r="R15" s="22"/>
      <c r="S15" s="22"/>
      <c r="T15" s="22"/>
      <c r="U15" s="22"/>
      <c r="V15" s="22"/>
      <c r="W15" s="22"/>
      <c r="X15" s="22"/>
    </row>
    <row r="16" spans="1:24" x14ac:dyDescent="0.25">
      <c r="A16" s="19">
        <v>19645587</v>
      </c>
      <c r="B16" s="19" t="s">
        <v>269</v>
      </c>
      <c r="C16" s="19" t="s">
        <v>270</v>
      </c>
      <c r="D16" s="19" t="s">
        <v>427</v>
      </c>
      <c r="E16" s="19" t="s">
        <v>81</v>
      </c>
      <c r="F16" s="19" t="s">
        <v>272</v>
      </c>
      <c r="G16" s="19" t="s">
        <v>83</v>
      </c>
      <c r="H16" s="19" t="s">
        <v>273</v>
      </c>
      <c r="I16" s="19" t="s">
        <v>274</v>
      </c>
      <c r="J16" s="19">
        <f t="shared" si="0"/>
        <v>2</v>
      </c>
      <c r="K16" s="19" t="s">
        <v>657</v>
      </c>
      <c r="L16" s="19" t="s">
        <v>658</v>
      </c>
      <c r="M16" s="20">
        <v>35.869999999999997</v>
      </c>
      <c r="N16" s="21">
        <v>1.05</v>
      </c>
      <c r="O16" s="20">
        <v>37.659999999999997</v>
      </c>
      <c r="P16" s="19" t="s">
        <v>87</v>
      </c>
      <c r="Q16" s="22" t="s">
        <v>660</v>
      </c>
      <c r="R16" s="22"/>
      <c r="S16" s="22"/>
      <c r="T16" s="22"/>
      <c r="U16" s="22"/>
      <c r="V16" s="22"/>
      <c r="W16" s="22"/>
      <c r="X16" s="22"/>
    </row>
    <row r="17" spans="1:24" x14ac:dyDescent="0.25">
      <c r="A17" s="19">
        <v>19681796</v>
      </c>
      <c r="B17" s="19" t="s">
        <v>507</v>
      </c>
      <c r="C17" s="19" t="s">
        <v>508</v>
      </c>
      <c r="D17" s="19" t="s">
        <v>509</v>
      </c>
      <c r="E17" s="19" t="s">
        <v>81</v>
      </c>
      <c r="F17" s="19" t="s">
        <v>108</v>
      </c>
      <c r="G17" s="19" t="s">
        <v>293</v>
      </c>
      <c r="H17" s="19" t="s">
        <v>511</v>
      </c>
      <c r="I17" s="19" t="s">
        <v>512</v>
      </c>
      <c r="J17" s="19">
        <f t="shared" si="0"/>
        <v>2</v>
      </c>
      <c r="K17" s="19" t="s">
        <v>657</v>
      </c>
      <c r="L17" s="19" t="s">
        <v>658</v>
      </c>
      <c r="M17" s="20">
        <v>80.150000000000006</v>
      </c>
      <c r="N17" s="21">
        <v>0.57999999999999996</v>
      </c>
      <c r="O17" s="20">
        <v>46.49</v>
      </c>
      <c r="P17" s="19" t="s">
        <v>294</v>
      </c>
      <c r="Q17" s="22" t="s">
        <v>666</v>
      </c>
      <c r="R17" s="22"/>
      <c r="S17" s="22"/>
      <c r="T17" s="22"/>
      <c r="U17" s="22"/>
      <c r="V17" s="22"/>
      <c r="W17" s="22"/>
      <c r="X17" s="22"/>
    </row>
    <row r="18" spans="1:24" x14ac:dyDescent="0.25">
      <c r="A18" s="19">
        <v>8325282</v>
      </c>
      <c r="B18" s="19" t="s">
        <v>370</v>
      </c>
      <c r="C18" s="19" t="s">
        <v>371</v>
      </c>
      <c r="D18" s="19" t="s">
        <v>372</v>
      </c>
      <c r="E18" s="19" t="s">
        <v>81</v>
      </c>
      <c r="F18" s="19" t="s">
        <v>108</v>
      </c>
      <c r="G18" s="19" t="s">
        <v>293</v>
      </c>
      <c r="H18" s="19" t="s">
        <v>374</v>
      </c>
      <c r="I18" s="19" t="s">
        <v>375</v>
      </c>
      <c r="J18" s="19">
        <f t="shared" si="0"/>
        <v>2</v>
      </c>
      <c r="K18" s="19" t="s">
        <v>657</v>
      </c>
      <c r="L18" s="19" t="s">
        <v>658</v>
      </c>
      <c r="M18" s="20">
        <v>75.010000000000005</v>
      </c>
      <c r="N18" s="21">
        <v>0.57999999999999996</v>
      </c>
      <c r="O18" s="20">
        <v>43.51</v>
      </c>
      <c r="P18" s="19" t="s">
        <v>294</v>
      </c>
      <c r="Q18" s="22" t="s">
        <v>666</v>
      </c>
      <c r="R18" s="22"/>
      <c r="S18" s="22"/>
      <c r="T18" s="22"/>
      <c r="U18" s="22"/>
      <c r="V18" s="22"/>
      <c r="W18" s="22"/>
      <c r="X18" s="22"/>
    </row>
    <row r="19" spans="1:24" x14ac:dyDescent="0.25">
      <c r="A19" s="19">
        <v>17554531</v>
      </c>
      <c r="B19" s="19" t="s">
        <v>495</v>
      </c>
      <c r="C19" s="19" t="s">
        <v>496</v>
      </c>
      <c r="D19" s="19" t="s">
        <v>497</v>
      </c>
      <c r="E19" s="19" t="s">
        <v>81</v>
      </c>
      <c r="F19" s="19" t="s">
        <v>68</v>
      </c>
      <c r="G19" s="19" t="s">
        <v>94</v>
      </c>
      <c r="H19" s="19" t="s">
        <v>498</v>
      </c>
      <c r="I19" s="19" t="s">
        <v>441</v>
      </c>
      <c r="J19" s="19">
        <f t="shared" si="0"/>
        <v>2</v>
      </c>
      <c r="K19" s="19" t="s">
        <v>657</v>
      </c>
      <c r="L19" s="19" t="s">
        <v>658</v>
      </c>
      <c r="M19" s="20">
        <v>89.62</v>
      </c>
      <c r="N19" s="21">
        <v>0.95</v>
      </c>
      <c r="O19" s="20">
        <v>85.14</v>
      </c>
      <c r="P19" s="19" t="s">
        <v>97</v>
      </c>
      <c r="Q19" s="22" t="s">
        <v>668</v>
      </c>
      <c r="R19" s="22"/>
      <c r="S19" s="22"/>
      <c r="T19" s="22"/>
      <c r="U19" s="22"/>
      <c r="V19" s="22"/>
      <c r="W19" s="22"/>
      <c r="X19" s="22"/>
    </row>
    <row r="20" spans="1:24" x14ac:dyDescent="0.25">
      <c r="A20" s="19">
        <v>19645587</v>
      </c>
      <c r="B20" s="19" t="s">
        <v>269</v>
      </c>
      <c r="C20" s="19" t="s">
        <v>270</v>
      </c>
      <c r="D20" s="19" t="s">
        <v>271</v>
      </c>
      <c r="E20" s="19" t="s">
        <v>81</v>
      </c>
      <c r="F20" s="19" t="s">
        <v>272</v>
      </c>
      <c r="G20" s="19" t="s">
        <v>157</v>
      </c>
      <c r="H20" s="19" t="s">
        <v>273</v>
      </c>
      <c r="I20" s="19" t="s">
        <v>274</v>
      </c>
      <c r="J20" s="19">
        <f t="shared" si="0"/>
        <v>2</v>
      </c>
      <c r="K20" s="19" t="s">
        <v>657</v>
      </c>
      <c r="L20" s="19" t="s">
        <v>658</v>
      </c>
      <c r="M20" s="20">
        <v>49.5</v>
      </c>
      <c r="N20" s="21">
        <v>0.65</v>
      </c>
      <c r="O20" s="20">
        <v>32.18</v>
      </c>
      <c r="P20" s="19" t="s">
        <v>275</v>
      </c>
      <c r="Q20" s="22" t="s">
        <v>669</v>
      </c>
      <c r="R20" s="22"/>
      <c r="S20" s="22"/>
      <c r="T20" s="22"/>
      <c r="U20" s="22"/>
      <c r="V20" s="22"/>
      <c r="W20" s="22"/>
      <c r="X20" s="22"/>
    </row>
    <row r="21" spans="1:24" x14ac:dyDescent="0.25">
      <c r="A21" s="19">
        <v>19586992</v>
      </c>
      <c r="B21" s="19" t="s">
        <v>358</v>
      </c>
      <c r="C21" s="19" t="s">
        <v>359</v>
      </c>
      <c r="D21" s="19" t="s">
        <v>360</v>
      </c>
      <c r="E21" s="19" t="s">
        <v>81</v>
      </c>
      <c r="F21" s="19" t="s">
        <v>108</v>
      </c>
      <c r="G21" s="19" t="s">
        <v>235</v>
      </c>
      <c r="H21" s="19" t="s">
        <v>362</v>
      </c>
      <c r="I21" s="19" t="s">
        <v>71</v>
      </c>
      <c r="J21" s="19">
        <f t="shared" si="0"/>
        <v>4</v>
      </c>
      <c r="K21" s="19" t="s">
        <v>657</v>
      </c>
      <c r="L21" s="19" t="s">
        <v>658</v>
      </c>
      <c r="M21" s="20">
        <v>88.75</v>
      </c>
      <c r="N21" s="21">
        <v>1.05</v>
      </c>
      <c r="O21" s="20">
        <v>93.19</v>
      </c>
      <c r="P21" s="19" t="s">
        <v>236</v>
      </c>
      <c r="Q21" s="22" t="s">
        <v>660</v>
      </c>
      <c r="R21" s="22"/>
      <c r="S21" s="22"/>
      <c r="T21" s="22"/>
      <c r="U21" s="22"/>
      <c r="V21" s="22"/>
      <c r="W21" s="22"/>
      <c r="X21" s="22"/>
    </row>
    <row r="22" spans="1:24" x14ac:dyDescent="0.25">
      <c r="A22" s="19">
        <v>17554531</v>
      </c>
      <c r="B22" s="19" t="s">
        <v>495</v>
      </c>
      <c r="C22" s="19" t="s">
        <v>627</v>
      </c>
      <c r="D22" s="19" t="s">
        <v>629</v>
      </c>
      <c r="E22" s="19" t="s">
        <v>81</v>
      </c>
      <c r="F22" s="19" t="s">
        <v>68</v>
      </c>
      <c r="G22" s="19" t="s">
        <v>83</v>
      </c>
      <c r="H22" s="19" t="s">
        <v>362</v>
      </c>
      <c r="I22" s="19" t="s">
        <v>71</v>
      </c>
      <c r="J22" s="19">
        <f t="shared" si="0"/>
        <v>4</v>
      </c>
      <c r="K22" s="19" t="s">
        <v>657</v>
      </c>
      <c r="L22" s="19" t="s">
        <v>658</v>
      </c>
      <c r="M22" s="20">
        <v>73</v>
      </c>
      <c r="N22" s="21">
        <v>0.95</v>
      </c>
      <c r="O22" s="20">
        <v>69.349999999999994</v>
      </c>
      <c r="P22" s="19" t="s">
        <v>87</v>
      </c>
      <c r="Q22" s="22" t="s">
        <v>662</v>
      </c>
      <c r="R22" s="22"/>
      <c r="S22" s="22"/>
      <c r="T22" s="22"/>
      <c r="U22" s="22"/>
      <c r="V22" s="22"/>
      <c r="W22" s="22"/>
      <c r="X22" s="22"/>
    </row>
    <row r="23" spans="1:24" x14ac:dyDescent="0.25">
      <c r="A23" s="19">
        <v>17554531</v>
      </c>
      <c r="B23" s="19" t="s">
        <v>495</v>
      </c>
      <c r="C23" s="19" t="s">
        <v>627</v>
      </c>
      <c r="D23" s="19" t="s">
        <v>628</v>
      </c>
      <c r="E23" s="19" t="s">
        <v>81</v>
      </c>
      <c r="F23" s="19" t="s">
        <v>68</v>
      </c>
      <c r="G23" s="19" t="s">
        <v>94</v>
      </c>
      <c r="H23" s="19" t="s">
        <v>362</v>
      </c>
      <c r="I23" s="19" t="s">
        <v>71</v>
      </c>
      <c r="J23" s="19">
        <f t="shared" si="0"/>
        <v>4</v>
      </c>
      <c r="K23" s="19" t="s">
        <v>657</v>
      </c>
      <c r="L23" s="19" t="s">
        <v>658</v>
      </c>
      <c r="M23" s="20">
        <v>12.37</v>
      </c>
      <c r="N23" s="21">
        <v>0.95</v>
      </c>
      <c r="O23" s="20">
        <v>11.75</v>
      </c>
      <c r="P23" s="19" t="s">
        <v>97</v>
      </c>
      <c r="Q23" s="22" t="s">
        <v>668</v>
      </c>
      <c r="R23" s="22"/>
      <c r="S23" s="22"/>
      <c r="T23" s="22"/>
      <c r="U23" s="22"/>
      <c r="V23" s="22"/>
      <c r="W23" s="22"/>
      <c r="X23" s="22"/>
    </row>
    <row r="24" spans="1:24" x14ac:dyDescent="0.25">
      <c r="A24" s="19">
        <v>19200754</v>
      </c>
      <c r="B24" s="19" t="s">
        <v>280</v>
      </c>
      <c r="C24" s="19" t="s">
        <v>614</v>
      </c>
      <c r="D24" s="19" t="s">
        <v>615</v>
      </c>
      <c r="E24" s="19" t="s">
        <v>81</v>
      </c>
      <c r="F24" s="19" t="s">
        <v>196</v>
      </c>
      <c r="G24" s="19" t="s">
        <v>617</v>
      </c>
      <c r="H24" s="19" t="s">
        <v>616</v>
      </c>
      <c r="I24" s="19" t="s">
        <v>441</v>
      </c>
      <c r="J24" s="19">
        <f t="shared" si="0"/>
        <v>5</v>
      </c>
      <c r="K24" s="19" t="s">
        <v>657</v>
      </c>
      <c r="L24" s="19" t="s">
        <v>658</v>
      </c>
      <c r="M24" s="20">
        <v>45.76</v>
      </c>
      <c r="N24" s="21">
        <v>0.57999999999999996</v>
      </c>
      <c r="O24" s="20">
        <v>26.54</v>
      </c>
      <c r="P24" s="19" t="s">
        <v>618</v>
      </c>
      <c r="Q24" s="22" t="s">
        <v>666</v>
      </c>
      <c r="R24" s="22"/>
      <c r="S24" s="22"/>
      <c r="T24" s="22"/>
      <c r="U24" s="22"/>
      <c r="V24" s="22"/>
      <c r="W24" s="22"/>
      <c r="X24" s="22"/>
    </row>
    <row r="25" spans="1:24" x14ac:dyDescent="0.25">
      <c r="A25" s="19">
        <v>19645587</v>
      </c>
      <c r="B25" s="19" t="s">
        <v>269</v>
      </c>
      <c r="C25" s="19" t="s">
        <v>342</v>
      </c>
      <c r="D25" s="19" t="s">
        <v>343</v>
      </c>
      <c r="E25" s="19" t="s">
        <v>81</v>
      </c>
      <c r="F25" s="19" t="s">
        <v>108</v>
      </c>
      <c r="G25" s="19" t="s">
        <v>157</v>
      </c>
      <c r="H25" s="19" t="s">
        <v>261</v>
      </c>
      <c r="I25" s="19" t="s">
        <v>345</v>
      </c>
      <c r="J25" s="19">
        <f t="shared" si="0"/>
        <v>7</v>
      </c>
      <c r="K25" s="19" t="s">
        <v>657</v>
      </c>
      <c r="L25" s="19" t="s">
        <v>658</v>
      </c>
      <c r="M25" s="20">
        <v>7.08</v>
      </c>
      <c r="N25" s="21">
        <v>0.65</v>
      </c>
      <c r="O25" s="20">
        <v>4.5999999999999996</v>
      </c>
      <c r="P25" s="19" t="s">
        <v>159</v>
      </c>
      <c r="Q25" s="22" t="s">
        <v>669</v>
      </c>
      <c r="R25" s="22"/>
      <c r="S25" s="22"/>
      <c r="T25" s="22"/>
      <c r="U25" s="22"/>
      <c r="V25" s="22"/>
      <c r="W25" s="22"/>
      <c r="X25" s="22"/>
    </row>
    <row r="26" spans="1:24" x14ac:dyDescent="0.25">
      <c r="A26" s="19">
        <v>19645587</v>
      </c>
      <c r="B26" s="19" t="s">
        <v>269</v>
      </c>
      <c r="C26" s="19" t="s">
        <v>342</v>
      </c>
      <c r="D26" s="19" t="s">
        <v>343</v>
      </c>
      <c r="E26" s="19" t="s">
        <v>81</v>
      </c>
      <c r="F26" s="19" t="s">
        <v>108</v>
      </c>
      <c r="G26" s="19" t="s">
        <v>157</v>
      </c>
      <c r="H26" s="19" t="s">
        <v>261</v>
      </c>
      <c r="I26" s="19" t="s">
        <v>345</v>
      </c>
      <c r="J26" s="19">
        <f t="shared" si="0"/>
        <v>7</v>
      </c>
      <c r="K26" s="19" t="s">
        <v>657</v>
      </c>
      <c r="L26" s="19" t="s">
        <v>658</v>
      </c>
      <c r="M26" s="20">
        <v>34.42</v>
      </c>
      <c r="N26" s="21">
        <v>0.65</v>
      </c>
      <c r="O26" s="20">
        <v>22.37</v>
      </c>
      <c r="P26" s="19" t="s">
        <v>159</v>
      </c>
      <c r="Q26" s="22" t="s">
        <v>669</v>
      </c>
      <c r="R26" s="22"/>
      <c r="S26" s="22"/>
      <c r="T26" s="22"/>
      <c r="U26" s="22"/>
      <c r="V26" s="22"/>
      <c r="W26" s="22"/>
      <c r="X26" s="22"/>
    </row>
    <row r="27" spans="1:24" x14ac:dyDescent="0.25">
      <c r="A27" s="19">
        <v>17126004</v>
      </c>
      <c r="B27" s="19" t="s">
        <v>104</v>
      </c>
      <c r="C27" s="19" t="s">
        <v>105</v>
      </c>
      <c r="D27" s="19" t="s">
        <v>234</v>
      </c>
      <c r="E27" s="19" t="s">
        <v>81</v>
      </c>
      <c r="F27" s="19" t="s">
        <v>108</v>
      </c>
      <c r="G27" s="19" t="s">
        <v>235</v>
      </c>
      <c r="H27" s="19" t="s">
        <v>110</v>
      </c>
      <c r="I27" s="19" t="s">
        <v>102</v>
      </c>
      <c r="J27" s="19">
        <f t="shared" si="0"/>
        <v>11</v>
      </c>
      <c r="K27" s="19" t="s">
        <v>657</v>
      </c>
      <c r="L27" s="19" t="s">
        <v>659</v>
      </c>
      <c r="M27" s="20">
        <v>38.25</v>
      </c>
      <c r="N27" s="21">
        <v>1</v>
      </c>
      <c r="O27" s="20">
        <v>38.25</v>
      </c>
      <c r="P27" s="19" t="s">
        <v>236</v>
      </c>
      <c r="Q27" s="22" t="s">
        <v>661</v>
      </c>
      <c r="R27" s="22"/>
      <c r="S27" s="22"/>
      <c r="T27" s="22"/>
      <c r="U27" s="22"/>
      <c r="V27" s="22"/>
      <c r="W27" s="22"/>
      <c r="X27" s="22"/>
    </row>
    <row r="28" spans="1:24" x14ac:dyDescent="0.25">
      <c r="A28" s="19">
        <v>16509456</v>
      </c>
      <c r="B28" s="19" t="s">
        <v>148</v>
      </c>
      <c r="C28" s="19" t="s">
        <v>350</v>
      </c>
      <c r="D28" s="19" t="s">
        <v>355</v>
      </c>
      <c r="E28" s="19" t="s">
        <v>81</v>
      </c>
      <c r="F28" s="19" t="s">
        <v>317</v>
      </c>
      <c r="G28" s="19" t="s">
        <v>83</v>
      </c>
      <c r="H28" s="19" t="s">
        <v>198</v>
      </c>
      <c r="I28" s="19" t="s">
        <v>71</v>
      </c>
      <c r="J28" s="19">
        <f t="shared" si="0"/>
        <v>11</v>
      </c>
      <c r="K28" s="19" t="s">
        <v>657</v>
      </c>
      <c r="L28" s="19" t="s">
        <v>659</v>
      </c>
      <c r="M28" s="20">
        <v>55.25</v>
      </c>
      <c r="N28" s="21">
        <v>0.91</v>
      </c>
      <c r="O28" s="20">
        <v>50.28</v>
      </c>
      <c r="P28" s="19" t="s">
        <v>356</v>
      </c>
      <c r="Q28" s="22" t="s">
        <v>663</v>
      </c>
      <c r="R28" s="22"/>
      <c r="S28" s="22"/>
      <c r="T28" s="22"/>
      <c r="U28" s="22"/>
      <c r="V28" s="22"/>
      <c r="W28" s="22"/>
      <c r="X28" s="22"/>
    </row>
    <row r="29" spans="1:24" x14ac:dyDescent="0.25">
      <c r="A29" s="19">
        <v>16202925</v>
      </c>
      <c r="B29" s="19" t="s">
        <v>63</v>
      </c>
      <c r="C29" s="19" t="s">
        <v>573</v>
      </c>
      <c r="D29" s="19" t="s">
        <v>574</v>
      </c>
      <c r="E29" s="19" t="s">
        <v>81</v>
      </c>
      <c r="F29" s="19" t="s">
        <v>68</v>
      </c>
      <c r="G29" s="19" t="s">
        <v>451</v>
      </c>
      <c r="H29" s="19" t="s">
        <v>576</v>
      </c>
      <c r="I29" s="19" t="s">
        <v>577</v>
      </c>
      <c r="J29" s="19">
        <f t="shared" si="0"/>
        <v>11</v>
      </c>
      <c r="K29" s="19" t="s">
        <v>657</v>
      </c>
      <c r="L29" s="19" t="s">
        <v>659</v>
      </c>
      <c r="M29" s="20">
        <v>56.91</v>
      </c>
      <c r="N29" s="21">
        <v>0.56999999999999995</v>
      </c>
      <c r="O29" s="20">
        <v>32.44</v>
      </c>
      <c r="P29" s="19" t="s">
        <v>452</v>
      </c>
      <c r="Q29" s="22" t="s">
        <v>664</v>
      </c>
      <c r="R29" s="22"/>
      <c r="S29" s="22"/>
      <c r="T29" s="22"/>
      <c r="U29" s="22"/>
      <c r="V29" s="22"/>
      <c r="W29" s="22"/>
      <c r="X29" s="22"/>
    </row>
    <row r="30" spans="1:24" x14ac:dyDescent="0.25">
      <c r="A30" s="19">
        <v>17126004</v>
      </c>
      <c r="B30" s="19" t="s">
        <v>104</v>
      </c>
      <c r="C30" s="19" t="s">
        <v>105</v>
      </c>
      <c r="D30" s="19" t="s">
        <v>231</v>
      </c>
      <c r="E30" s="19" t="s">
        <v>81</v>
      </c>
      <c r="F30" s="19" t="s">
        <v>108</v>
      </c>
      <c r="G30" s="19" t="s">
        <v>232</v>
      </c>
      <c r="H30" s="19" t="s">
        <v>110</v>
      </c>
      <c r="I30" s="19" t="s">
        <v>102</v>
      </c>
      <c r="J30" s="19">
        <f t="shared" si="0"/>
        <v>11</v>
      </c>
      <c r="K30" s="19" t="s">
        <v>657</v>
      </c>
      <c r="L30" s="19" t="s">
        <v>659</v>
      </c>
      <c r="M30" s="20">
        <v>37.5</v>
      </c>
      <c r="N30" s="21">
        <v>1</v>
      </c>
      <c r="O30" s="20">
        <v>37.5</v>
      </c>
      <c r="P30" s="19" t="s">
        <v>233</v>
      </c>
      <c r="Q30" s="22" t="s">
        <v>661</v>
      </c>
      <c r="R30" s="22"/>
      <c r="S30" s="22"/>
      <c r="T30" s="22"/>
      <c r="U30" s="22"/>
      <c r="V30" s="22"/>
      <c r="W30" s="22"/>
      <c r="X30" s="22"/>
    </row>
    <row r="31" spans="1:24" x14ac:dyDescent="0.25">
      <c r="A31" s="19">
        <v>16509456</v>
      </c>
      <c r="B31" s="19" t="s">
        <v>148</v>
      </c>
      <c r="C31" s="19" t="s">
        <v>350</v>
      </c>
      <c r="D31" s="19" t="s">
        <v>351</v>
      </c>
      <c r="E31" s="19" t="s">
        <v>81</v>
      </c>
      <c r="F31" s="19" t="s">
        <v>317</v>
      </c>
      <c r="G31" s="19" t="s">
        <v>232</v>
      </c>
      <c r="H31" s="19" t="s">
        <v>198</v>
      </c>
      <c r="I31" s="19" t="s">
        <v>71</v>
      </c>
      <c r="J31" s="19">
        <f t="shared" si="0"/>
        <v>11</v>
      </c>
      <c r="K31" s="19" t="s">
        <v>657</v>
      </c>
      <c r="L31" s="19" t="s">
        <v>659</v>
      </c>
      <c r="M31" s="20">
        <v>26.42</v>
      </c>
      <c r="N31" s="21">
        <v>0.91</v>
      </c>
      <c r="O31" s="20">
        <v>24.04</v>
      </c>
      <c r="P31" s="19" t="s">
        <v>354</v>
      </c>
      <c r="Q31" s="22" t="s">
        <v>663</v>
      </c>
      <c r="R31" s="22"/>
      <c r="S31" s="22"/>
      <c r="T31" s="22"/>
      <c r="U31" s="22"/>
      <c r="V31" s="22"/>
      <c r="W31" s="22"/>
      <c r="X31" s="22"/>
    </row>
    <row r="32" spans="1:24" x14ac:dyDescent="0.25">
      <c r="A32" s="19">
        <v>16912722</v>
      </c>
      <c r="B32" s="19" t="s">
        <v>243</v>
      </c>
      <c r="C32" s="19" t="s">
        <v>244</v>
      </c>
      <c r="D32" s="19" t="s">
        <v>245</v>
      </c>
      <c r="E32" s="19" t="s">
        <v>81</v>
      </c>
      <c r="F32" s="19" t="s">
        <v>108</v>
      </c>
      <c r="G32" s="19" t="s">
        <v>157</v>
      </c>
      <c r="H32" s="19" t="s">
        <v>198</v>
      </c>
      <c r="I32" s="19" t="s">
        <v>71</v>
      </c>
      <c r="J32" s="19">
        <f t="shared" si="0"/>
        <v>11</v>
      </c>
      <c r="K32" s="19" t="s">
        <v>657</v>
      </c>
      <c r="L32" s="19" t="s">
        <v>659</v>
      </c>
      <c r="M32" s="20">
        <v>9.24</v>
      </c>
      <c r="N32" s="21">
        <v>0.625</v>
      </c>
      <c r="O32" s="20">
        <v>5.78</v>
      </c>
      <c r="P32" s="19" t="s">
        <v>159</v>
      </c>
      <c r="Q32" s="22" t="s">
        <v>157</v>
      </c>
      <c r="R32" s="22"/>
      <c r="S32" s="22"/>
      <c r="T32" s="22"/>
      <c r="U32" s="22"/>
      <c r="V32" s="22"/>
      <c r="W32" s="22"/>
      <c r="X32" s="22"/>
    </row>
    <row r="33" spans="1:24" x14ac:dyDescent="0.25">
      <c r="A33" s="19">
        <v>16912722</v>
      </c>
      <c r="B33" s="19" t="s">
        <v>243</v>
      </c>
      <c r="C33" s="19" t="s">
        <v>244</v>
      </c>
      <c r="D33" s="19" t="s">
        <v>245</v>
      </c>
      <c r="E33" s="19" t="s">
        <v>81</v>
      </c>
      <c r="F33" s="19" t="s">
        <v>108</v>
      </c>
      <c r="G33" s="19" t="s">
        <v>157</v>
      </c>
      <c r="H33" s="19" t="s">
        <v>198</v>
      </c>
      <c r="I33" s="19" t="s">
        <v>71</v>
      </c>
      <c r="J33" s="19">
        <f t="shared" si="0"/>
        <v>11</v>
      </c>
      <c r="K33" s="19" t="s">
        <v>657</v>
      </c>
      <c r="L33" s="19" t="s">
        <v>659</v>
      </c>
      <c r="M33" s="20">
        <v>11.87</v>
      </c>
      <c r="N33" s="21">
        <v>0.625</v>
      </c>
      <c r="O33" s="20">
        <v>7.42</v>
      </c>
      <c r="P33" s="19" t="s">
        <v>159</v>
      </c>
      <c r="Q33" s="22" t="s">
        <v>157</v>
      </c>
      <c r="R33" s="22"/>
      <c r="S33" s="22"/>
      <c r="T33" s="22"/>
      <c r="U33" s="22"/>
      <c r="V33" s="22"/>
      <c r="W33" s="22"/>
      <c r="X33" s="22"/>
    </row>
    <row r="34" spans="1:24" x14ac:dyDescent="0.25">
      <c r="A34" s="19">
        <v>16912722</v>
      </c>
      <c r="B34" s="19" t="s">
        <v>243</v>
      </c>
      <c r="C34" s="19" t="s">
        <v>244</v>
      </c>
      <c r="D34" s="19" t="s">
        <v>245</v>
      </c>
      <c r="E34" s="19" t="s">
        <v>81</v>
      </c>
      <c r="F34" s="19" t="s">
        <v>108</v>
      </c>
      <c r="G34" s="19" t="s">
        <v>157</v>
      </c>
      <c r="H34" s="19" t="s">
        <v>198</v>
      </c>
      <c r="I34" s="19" t="s">
        <v>71</v>
      </c>
      <c r="J34" s="19">
        <f t="shared" si="0"/>
        <v>11</v>
      </c>
      <c r="K34" s="19" t="s">
        <v>657</v>
      </c>
      <c r="L34" s="19" t="s">
        <v>659</v>
      </c>
      <c r="M34" s="20">
        <v>24.17</v>
      </c>
      <c r="N34" s="21">
        <v>0.625</v>
      </c>
      <c r="O34" s="20">
        <v>15.11</v>
      </c>
      <c r="P34" s="19" t="s">
        <v>159</v>
      </c>
      <c r="Q34" s="22" t="s">
        <v>157</v>
      </c>
      <c r="R34" s="22"/>
      <c r="S34" s="22"/>
      <c r="T34" s="22"/>
      <c r="U34" s="22"/>
      <c r="V34" s="22"/>
      <c r="W34" s="22"/>
      <c r="X34" s="22"/>
    </row>
    <row r="35" spans="1:24" x14ac:dyDescent="0.25">
      <c r="A35" s="19">
        <v>17126004</v>
      </c>
      <c r="B35" s="19" t="s">
        <v>104</v>
      </c>
      <c r="C35" s="19" t="s">
        <v>105</v>
      </c>
      <c r="D35" s="19" t="s">
        <v>106</v>
      </c>
      <c r="E35" s="19" t="s">
        <v>81</v>
      </c>
      <c r="F35" s="19" t="s">
        <v>108</v>
      </c>
      <c r="G35" s="19" t="s">
        <v>109</v>
      </c>
      <c r="H35" s="19" t="s">
        <v>110</v>
      </c>
      <c r="I35" s="19" t="s">
        <v>102</v>
      </c>
      <c r="J35" s="19">
        <f t="shared" si="0"/>
        <v>11</v>
      </c>
      <c r="K35" s="19" t="s">
        <v>657</v>
      </c>
      <c r="L35" s="19" t="s">
        <v>659</v>
      </c>
      <c r="M35" s="20">
        <v>7.82</v>
      </c>
      <c r="N35" s="21">
        <v>0.625</v>
      </c>
      <c r="O35" s="20">
        <v>4.8899999999999997</v>
      </c>
      <c r="P35" s="19" t="s">
        <v>112</v>
      </c>
      <c r="Q35" s="22" t="s">
        <v>157</v>
      </c>
      <c r="R35" s="22"/>
      <c r="S35" s="22"/>
      <c r="T35" s="22"/>
      <c r="U35" s="22"/>
      <c r="V35" s="22"/>
      <c r="W35" s="22"/>
      <c r="X35" s="22"/>
    </row>
    <row r="36" spans="1:24" x14ac:dyDescent="0.25">
      <c r="A36" s="19">
        <v>17126004</v>
      </c>
      <c r="B36" s="19" t="s">
        <v>104</v>
      </c>
      <c r="C36" s="19" t="s">
        <v>105</v>
      </c>
      <c r="D36" s="19" t="s">
        <v>106</v>
      </c>
      <c r="E36" s="19" t="s">
        <v>81</v>
      </c>
      <c r="F36" s="19" t="s">
        <v>108</v>
      </c>
      <c r="G36" s="19" t="s">
        <v>109</v>
      </c>
      <c r="H36" s="19" t="s">
        <v>110</v>
      </c>
      <c r="I36" s="19" t="s">
        <v>102</v>
      </c>
      <c r="J36" s="19">
        <f t="shared" si="0"/>
        <v>11</v>
      </c>
      <c r="K36" s="19" t="s">
        <v>657</v>
      </c>
      <c r="L36" s="19" t="s">
        <v>659</v>
      </c>
      <c r="M36" s="20">
        <v>6.04</v>
      </c>
      <c r="N36" s="21">
        <v>0.625</v>
      </c>
      <c r="O36" s="20">
        <v>3.78</v>
      </c>
      <c r="P36" s="19" t="s">
        <v>112</v>
      </c>
      <c r="Q36" s="22" t="s">
        <v>157</v>
      </c>
      <c r="R36" s="22"/>
      <c r="S36" s="22"/>
      <c r="T36" s="22"/>
      <c r="U36" s="22"/>
      <c r="V36" s="22"/>
      <c r="W36" s="22"/>
      <c r="X36" s="22"/>
    </row>
    <row r="37" spans="1:24" x14ac:dyDescent="0.25">
      <c r="A37" s="19">
        <v>8244481</v>
      </c>
      <c r="B37" s="19" t="s">
        <v>490</v>
      </c>
      <c r="C37" s="19" t="s">
        <v>491</v>
      </c>
      <c r="D37" s="19" t="s">
        <v>492</v>
      </c>
      <c r="E37" s="19" t="s">
        <v>81</v>
      </c>
      <c r="F37" s="19" t="s">
        <v>108</v>
      </c>
      <c r="G37" s="19" t="s">
        <v>69</v>
      </c>
      <c r="H37" s="19" t="s">
        <v>198</v>
      </c>
      <c r="I37" s="19" t="s">
        <v>71</v>
      </c>
      <c r="J37" s="19">
        <f t="shared" si="0"/>
        <v>11</v>
      </c>
      <c r="K37" s="19" t="s">
        <v>657</v>
      </c>
      <c r="L37" s="19" t="s">
        <v>659</v>
      </c>
      <c r="M37" s="20">
        <v>139.6</v>
      </c>
      <c r="N37" s="21">
        <v>0.25</v>
      </c>
      <c r="O37" s="20">
        <v>34.9</v>
      </c>
      <c r="P37" s="19" t="s">
        <v>76</v>
      </c>
      <c r="Q37" s="22" t="s">
        <v>672</v>
      </c>
      <c r="R37" s="22"/>
      <c r="S37" s="22"/>
      <c r="T37" s="22"/>
      <c r="U37" s="22"/>
      <c r="V37" s="22"/>
      <c r="W37" s="22"/>
      <c r="X37" s="22"/>
    </row>
    <row r="38" spans="1:24" x14ac:dyDescent="0.25">
      <c r="A38" s="19">
        <v>16912722</v>
      </c>
      <c r="B38" s="19" t="s">
        <v>243</v>
      </c>
      <c r="C38" s="19" t="s">
        <v>518</v>
      </c>
      <c r="D38" s="19" t="s">
        <v>519</v>
      </c>
      <c r="E38" s="19" t="s">
        <v>66</v>
      </c>
      <c r="F38" s="19" t="s">
        <v>108</v>
      </c>
      <c r="G38" s="19" t="s">
        <v>83</v>
      </c>
      <c r="H38" s="19" t="s">
        <v>467</v>
      </c>
      <c r="I38" s="19" t="s">
        <v>71</v>
      </c>
      <c r="J38" s="19">
        <f t="shared" si="0"/>
        <v>13</v>
      </c>
      <c r="K38" s="19" t="s">
        <v>657</v>
      </c>
      <c r="L38" s="19" t="s">
        <v>659</v>
      </c>
      <c r="M38" s="20">
        <v>35.869999999999997</v>
      </c>
      <c r="N38" s="21">
        <v>0.08</v>
      </c>
      <c r="O38" s="20">
        <v>2.87</v>
      </c>
      <c r="P38" s="19" t="s">
        <v>87</v>
      </c>
      <c r="Q38" s="22" t="s">
        <v>661</v>
      </c>
      <c r="R38" s="22"/>
      <c r="S38" s="22"/>
      <c r="T38" s="22"/>
      <c r="U38" s="22"/>
      <c r="V38" s="22"/>
      <c r="W38" s="22"/>
      <c r="X38" s="22"/>
    </row>
    <row r="39" spans="1:24" x14ac:dyDescent="0.25">
      <c r="A39" s="19">
        <v>8814784</v>
      </c>
      <c r="B39" s="19" t="s">
        <v>533</v>
      </c>
      <c r="C39" s="19" t="s">
        <v>534</v>
      </c>
      <c r="D39" s="19" t="s">
        <v>535</v>
      </c>
      <c r="E39" s="19" t="s">
        <v>66</v>
      </c>
      <c r="F39" s="19" t="s">
        <v>108</v>
      </c>
      <c r="G39" s="19" t="s">
        <v>537</v>
      </c>
      <c r="H39" s="19" t="s">
        <v>467</v>
      </c>
      <c r="I39" s="19" t="s">
        <v>71</v>
      </c>
      <c r="J39" s="19">
        <f t="shared" si="0"/>
        <v>13</v>
      </c>
      <c r="K39" s="19" t="s">
        <v>657</v>
      </c>
      <c r="L39" s="19" t="s">
        <v>659</v>
      </c>
      <c r="M39" s="20">
        <v>2.33</v>
      </c>
      <c r="N39" s="21">
        <v>0.17</v>
      </c>
      <c r="O39" s="20">
        <v>0.4</v>
      </c>
      <c r="P39" s="19" t="s">
        <v>538</v>
      </c>
      <c r="Q39" s="22" t="s">
        <v>157</v>
      </c>
      <c r="R39" s="22"/>
      <c r="S39" s="22"/>
      <c r="T39" s="22"/>
      <c r="U39" s="22"/>
      <c r="V39" s="22"/>
      <c r="W39" s="22"/>
      <c r="X39" s="22"/>
    </row>
    <row r="40" spans="1:24" s="22" customFormat="1" x14ac:dyDescent="0.25">
      <c r="A40" s="19">
        <v>8814784</v>
      </c>
      <c r="B40" s="19" t="s">
        <v>533</v>
      </c>
      <c r="C40" s="19" t="s">
        <v>534</v>
      </c>
      <c r="D40" s="19" t="s">
        <v>535</v>
      </c>
      <c r="E40" s="19" t="s">
        <v>66</v>
      </c>
      <c r="F40" s="19" t="s">
        <v>108</v>
      </c>
      <c r="G40" s="19" t="s">
        <v>537</v>
      </c>
      <c r="H40" s="19" t="s">
        <v>467</v>
      </c>
      <c r="I40" s="19" t="s">
        <v>71</v>
      </c>
      <c r="J40" s="19">
        <f t="shared" si="0"/>
        <v>13</v>
      </c>
      <c r="K40" s="19" t="s">
        <v>657</v>
      </c>
      <c r="L40" s="19" t="s">
        <v>659</v>
      </c>
      <c r="M40" s="20">
        <v>53.6</v>
      </c>
      <c r="N40" s="21">
        <v>0.17</v>
      </c>
      <c r="O40" s="20">
        <v>9.11</v>
      </c>
      <c r="P40" s="19" t="s">
        <v>538</v>
      </c>
      <c r="Q40" s="22" t="s">
        <v>157</v>
      </c>
    </row>
    <row r="41" spans="1:24" s="22" customFormat="1" x14ac:dyDescent="0.25">
      <c r="A41" s="19">
        <v>7470776</v>
      </c>
      <c r="B41" s="19" t="s">
        <v>463</v>
      </c>
      <c r="C41" s="19" t="s">
        <v>464</v>
      </c>
      <c r="D41" s="19" t="s">
        <v>465</v>
      </c>
      <c r="E41" s="19" t="s">
        <v>66</v>
      </c>
      <c r="F41" s="19" t="s">
        <v>108</v>
      </c>
      <c r="G41" s="19" t="s">
        <v>197</v>
      </c>
      <c r="H41" s="19" t="s">
        <v>467</v>
      </c>
      <c r="I41" s="19" t="s">
        <v>95</v>
      </c>
      <c r="J41" s="19">
        <f t="shared" si="0"/>
        <v>14</v>
      </c>
      <c r="K41" s="19" t="s">
        <v>657</v>
      </c>
      <c r="L41" s="19" t="s">
        <v>659</v>
      </c>
      <c r="M41" s="20">
        <v>-36.200000000000003</v>
      </c>
      <c r="N41" s="21">
        <v>3.7499999999999999E-2</v>
      </c>
      <c r="O41" s="20">
        <v>-1.36</v>
      </c>
      <c r="P41" s="19" t="s">
        <v>200</v>
      </c>
      <c r="Q41" s="22" t="s">
        <v>664</v>
      </c>
    </row>
    <row r="42" spans="1:24" s="22" customFormat="1" x14ac:dyDescent="0.25">
      <c r="A42" s="19">
        <v>19200754</v>
      </c>
      <c r="B42" s="19" t="s">
        <v>280</v>
      </c>
      <c r="C42" s="19" t="s">
        <v>513</v>
      </c>
      <c r="D42" s="19" t="s">
        <v>514</v>
      </c>
      <c r="E42" s="19" t="s">
        <v>66</v>
      </c>
      <c r="F42" s="19" t="s">
        <v>516</v>
      </c>
      <c r="G42" s="19" t="s">
        <v>157</v>
      </c>
      <c r="H42" s="19" t="s">
        <v>169</v>
      </c>
      <c r="I42" s="19" t="s">
        <v>71</v>
      </c>
      <c r="J42" s="19">
        <f t="shared" si="0"/>
        <v>14</v>
      </c>
      <c r="K42" s="19" t="s">
        <v>657</v>
      </c>
      <c r="L42" s="19" t="s">
        <v>659</v>
      </c>
      <c r="M42" s="20">
        <v>56.67</v>
      </c>
      <c r="N42" s="21">
        <v>0.17</v>
      </c>
      <c r="O42" s="20">
        <v>9.6300000000000008</v>
      </c>
      <c r="P42" s="19" t="s">
        <v>159</v>
      </c>
      <c r="Q42" s="22" t="s">
        <v>157</v>
      </c>
    </row>
    <row r="43" spans="1:24" s="22" customFormat="1" x14ac:dyDescent="0.25">
      <c r="A43" s="19">
        <v>19200754</v>
      </c>
      <c r="B43" s="19" t="s">
        <v>280</v>
      </c>
      <c r="C43" s="19" t="s">
        <v>513</v>
      </c>
      <c r="D43" s="19" t="s">
        <v>514</v>
      </c>
      <c r="E43" s="19" t="s">
        <v>66</v>
      </c>
      <c r="F43" s="19" t="s">
        <v>516</v>
      </c>
      <c r="G43" s="19" t="s">
        <v>157</v>
      </c>
      <c r="H43" s="19" t="s">
        <v>169</v>
      </c>
      <c r="I43" s="19" t="s">
        <v>71</v>
      </c>
      <c r="J43" s="19">
        <f t="shared" si="0"/>
        <v>14</v>
      </c>
      <c r="K43" s="19" t="s">
        <v>657</v>
      </c>
      <c r="L43" s="19" t="s">
        <v>659</v>
      </c>
      <c r="M43" s="20">
        <v>5.25</v>
      </c>
      <c r="N43" s="21">
        <v>0.17</v>
      </c>
      <c r="O43" s="20">
        <v>0.89</v>
      </c>
      <c r="P43" s="19" t="s">
        <v>159</v>
      </c>
      <c r="Q43" s="22" t="s">
        <v>157</v>
      </c>
    </row>
    <row r="44" spans="1:24" s="22" customFormat="1" x14ac:dyDescent="0.25">
      <c r="A44" s="19">
        <v>19200754</v>
      </c>
      <c r="B44" s="19" t="s">
        <v>280</v>
      </c>
      <c r="C44" s="19" t="s">
        <v>513</v>
      </c>
      <c r="D44" s="19" t="s">
        <v>514</v>
      </c>
      <c r="E44" s="19" t="s">
        <v>66</v>
      </c>
      <c r="F44" s="19" t="s">
        <v>516</v>
      </c>
      <c r="G44" s="19" t="s">
        <v>157</v>
      </c>
      <c r="H44" s="19" t="s">
        <v>169</v>
      </c>
      <c r="I44" s="19" t="s">
        <v>71</v>
      </c>
      <c r="J44" s="19">
        <f t="shared" si="0"/>
        <v>14</v>
      </c>
      <c r="K44" s="19" t="s">
        <v>657</v>
      </c>
      <c r="L44" s="19" t="s">
        <v>659</v>
      </c>
      <c r="M44" s="20">
        <v>15.8</v>
      </c>
      <c r="N44" s="21">
        <v>0.17</v>
      </c>
      <c r="O44" s="20">
        <v>2.69</v>
      </c>
      <c r="P44" s="19" t="s">
        <v>159</v>
      </c>
      <c r="Q44" s="22" t="s">
        <v>157</v>
      </c>
    </row>
    <row r="45" spans="1:24" x14ac:dyDescent="0.25">
      <c r="A45" s="19">
        <v>19200754</v>
      </c>
      <c r="B45" s="19" t="s">
        <v>280</v>
      </c>
      <c r="C45" s="19" t="s">
        <v>513</v>
      </c>
      <c r="D45" s="19" t="s">
        <v>514</v>
      </c>
      <c r="E45" s="19" t="s">
        <v>66</v>
      </c>
      <c r="F45" s="19" t="s">
        <v>516</v>
      </c>
      <c r="G45" s="19" t="s">
        <v>157</v>
      </c>
      <c r="H45" s="19" t="s">
        <v>169</v>
      </c>
      <c r="I45" s="19" t="s">
        <v>71</v>
      </c>
      <c r="J45" s="19">
        <f t="shared" si="0"/>
        <v>14</v>
      </c>
      <c r="K45" s="19" t="s">
        <v>657</v>
      </c>
      <c r="L45" s="19" t="s">
        <v>659</v>
      </c>
      <c r="M45" s="20">
        <v>11.04</v>
      </c>
      <c r="N45" s="21">
        <v>0.17</v>
      </c>
      <c r="O45" s="20">
        <v>1.88</v>
      </c>
      <c r="P45" s="19" t="s">
        <v>159</v>
      </c>
      <c r="Q45" s="22" t="s">
        <v>157</v>
      </c>
      <c r="R45" s="22"/>
      <c r="S45" s="22"/>
      <c r="T45" s="22"/>
      <c r="U45" s="22"/>
      <c r="V45" s="22"/>
      <c r="W45" s="22"/>
      <c r="X45" s="22"/>
    </row>
    <row r="46" spans="1:24" s="22" customFormat="1" x14ac:dyDescent="0.25">
      <c r="A46" s="19">
        <v>19200754</v>
      </c>
      <c r="B46" s="19" t="s">
        <v>280</v>
      </c>
      <c r="C46" s="19" t="s">
        <v>513</v>
      </c>
      <c r="D46" s="19" t="s">
        <v>514</v>
      </c>
      <c r="E46" s="19" t="s">
        <v>66</v>
      </c>
      <c r="F46" s="19" t="s">
        <v>516</v>
      </c>
      <c r="G46" s="19" t="s">
        <v>157</v>
      </c>
      <c r="H46" s="19" t="s">
        <v>169</v>
      </c>
      <c r="I46" s="19" t="s">
        <v>71</v>
      </c>
      <c r="J46" s="19">
        <f t="shared" si="0"/>
        <v>14</v>
      </c>
      <c r="K46" s="19" t="s">
        <v>657</v>
      </c>
      <c r="L46" s="19" t="s">
        <v>659</v>
      </c>
      <c r="M46" s="20">
        <v>12.77</v>
      </c>
      <c r="N46" s="21">
        <v>0.17</v>
      </c>
      <c r="O46" s="20">
        <v>2.17</v>
      </c>
      <c r="P46" s="19" t="s">
        <v>159</v>
      </c>
      <c r="Q46" s="22" t="s">
        <v>157</v>
      </c>
    </row>
    <row r="47" spans="1:24" s="22" customFormat="1" x14ac:dyDescent="0.25">
      <c r="A47" s="19">
        <v>19200754</v>
      </c>
      <c r="B47" s="19" t="s">
        <v>280</v>
      </c>
      <c r="C47" s="19" t="s">
        <v>513</v>
      </c>
      <c r="D47" s="19" t="s">
        <v>514</v>
      </c>
      <c r="E47" s="19" t="s">
        <v>66</v>
      </c>
      <c r="F47" s="19" t="s">
        <v>516</v>
      </c>
      <c r="G47" s="19" t="s">
        <v>157</v>
      </c>
      <c r="H47" s="19" t="s">
        <v>169</v>
      </c>
      <c r="I47" s="19" t="s">
        <v>71</v>
      </c>
      <c r="J47" s="19">
        <f t="shared" si="0"/>
        <v>14</v>
      </c>
      <c r="K47" s="19" t="s">
        <v>657</v>
      </c>
      <c r="L47" s="19" t="s">
        <v>659</v>
      </c>
      <c r="M47" s="20">
        <v>23.8</v>
      </c>
      <c r="N47" s="21">
        <v>0.17</v>
      </c>
      <c r="O47" s="20">
        <v>4.05</v>
      </c>
      <c r="P47" s="19" t="s">
        <v>159</v>
      </c>
      <c r="Q47" s="22" t="s">
        <v>157</v>
      </c>
    </row>
    <row r="48" spans="1:24" s="22" customFormat="1" x14ac:dyDescent="0.25">
      <c r="A48" s="19">
        <v>19200754</v>
      </c>
      <c r="B48" s="19" t="s">
        <v>280</v>
      </c>
      <c r="C48" s="19" t="s">
        <v>624</v>
      </c>
      <c r="D48" s="19" t="s">
        <v>625</v>
      </c>
      <c r="E48" s="19" t="s">
        <v>66</v>
      </c>
      <c r="F48" s="19" t="s">
        <v>108</v>
      </c>
      <c r="G48" s="19" t="s">
        <v>157</v>
      </c>
      <c r="H48" s="19" t="s">
        <v>626</v>
      </c>
      <c r="I48" s="19" t="s">
        <v>441</v>
      </c>
      <c r="J48" s="19">
        <f t="shared" si="0"/>
        <v>14</v>
      </c>
      <c r="K48" s="19" t="s">
        <v>657</v>
      </c>
      <c r="L48" s="19" t="s">
        <v>659</v>
      </c>
      <c r="M48" s="20">
        <v>70</v>
      </c>
      <c r="N48" s="21">
        <v>0.17</v>
      </c>
      <c r="O48" s="20">
        <v>11.9</v>
      </c>
      <c r="P48" s="19" t="s">
        <v>159</v>
      </c>
      <c r="Q48" s="22" t="s">
        <v>157</v>
      </c>
    </row>
    <row r="49" spans="1:24" s="22" customFormat="1" x14ac:dyDescent="0.25">
      <c r="A49" s="19">
        <v>19200754</v>
      </c>
      <c r="B49" s="19" t="s">
        <v>280</v>
      </c>
      <c r="C49" s="19" t="s">
        <v>624</v>
      </c>
      <c r="D49" s="19" t="s">
        <v>625</v>
      </c>
      <c r="E49" s="19" t="s">
        <v>66</v>
      </c>
      <c r="F49" s="19" t="s">
        <v>108</v>
      </c>
      <c r="G49" s="19" t="s">
        <v>157</v>
      </c>
      <c r="H49" s="19" t="s">
        <v>626</v>
      </c>
      <c r="I49" s="19" t="s">
        <v>441</v>
      </c>
      <c r="J49" s="19">
        <f t="shared" si="0"/>
        <v>14</v>
      </c>
      <c r="K49" s="19" t="s">
        <v>657</v>
      </c>
      <c r="L49" s="19" t="s">
        <v>659</v>
      </c>
      <c r="M49" s="20">
        <v>5.25</v>
      </c>
      <c r="N49" s="21">
        <v>0.17</v>
      </c>
      <c r="O49" s="20">
        <v>0.89</v>
      </c>
      <c r="P49" s="19" t="s">
        <v>159</v>
      </c>
      <c r="Q49" s="22" t="s">
        <v>157</v>
      </c>
    </row>
    <row r="50" spans="1:24" x14ac:dyDescent="0.25">
      <c r="A50" s="19">
        <v>19200754</v>
      </c>
      <c r="B50" s="19" t="s">
        <v>280</v>
      </c>
      <c r="C50" s="19" t="s">
        <v>624</v>
      </c>
      <c r="D50" s="19" t="s">
        <v>625</v>
      </c>
      <c r="E50" s="19" t="s">
        <v>66</v>
      </c>
      <c r="F50" s="19" t="s">
        <v>108</v>
      </c>
      <c r="G50" s="19" t="s">
        <v>157</v>
      </c>
      <c r="H50" s="19" t="s">
        <v>626</v>
      </c>
      <c r="I50" s="19" t="s">
        <v>441</v>
      </c>
      <c r="J50" s="19">
        <f t="shared" si="0"/>
        <v>14</v>
      </c>
      <c r="K50" s="19" t="s">
        <v>657</v>
      </c>
      <c r="L50" s="19" t="s">
        <v>659</v>
      </c>
      <c r="M50" s="20">
        <v>21.52</v>
      </c>
      <c r="N50" s="21">
        <v>0.17</v>
      </c>
      <c r="O50" s="20">
        <v>3.66</v>
      </c>
      <c r="P50" s="19" t="s">
        <v>159</v>
      </c>
      <c r="Q50" s="22" t="s">
        <v>157</v>
      </c>
      <c r="R50" s="22"/>
      <c r="S50" s="22"/>
      <c r="T50" s="22"/>
      <c r="U50" s="22"/>
      <c r="V50" s="22"/>
      <c r="W50" s="22"/>
      <c r="X50" s="22"/>
    </row>
    <row r="51" spans="1:24" x14ac:dyDescent="0.25">
      <c r="A51" s="19">
        <v>19200754</v>
      </c>
      <c r="B51" s="19" t="s">
        <v>280</v>
      </c>
      <c r="C51" s="19" t="s">
        <v>624</v>
      </c>
      <c r="D51" s="19" t="s">
        <v>625</v>
      </c>
      <c r="E51" s="19" t="s">
        <v>66</v>
      </c>
      <c r="F51" s="19" t="s">
        <v>108</v>
      </c>
      <c r="G51" s="19" t="s">
        <v>157</v>
      </c>
      <c r="H51" s="19" t="s">
        <v>626</v>
      </c>
      <c r="I51" s="19" t="s">
        <v>441</v>
      </c>
      <c r="J51" s="19">
        <f t="shared" si="0"/>
        <v>14</v>
      </c>
      <c r="K51" s="19" t="s">
        <v>657</v>
      </c>
      <c r="L51" s="19" t="s">
        <v>659</v>
      </c>
      <c r="M51" s="20">
        <v>11.87</v>
      </c>
      <c r="N51" s="21">
        <v>0.17</v>
      </c>
      <c r="O51" s="20">
        <v>2.02</v>
      </c>
      <c r="P51" s="19" t="s">
        <v>159</v>
      </c>
      <c r="Q51" s="22" t="s">
        <v>157</v>
      </c>
      <c r="R51" s="22"/>
      <c r="S51" s="22"/>
      <c r="T51" s="22"/>
      <c r="U51" s="22"/>
      <c r="V51" s="22"/>
      <c r="W51" s="22"/>
      <c r="X51" s="22"/>
    </row>
    <row r="52" spans="1:24" x14ac:dyDescent="0.25">
      <c r="A52" s="19">
        <v>19200754</v>
      </c>
      <c r="B52" s="19" t="s">
        <v>280</v>
      </c>
      <c r="C52" s="19" t="s">
        <v>624</v>
      </c>
      <c r="D52" s="19" t="s">
        <v>625</v>
      </c>
      <c r="E52" s="19" t="s">
        <v>66</v>
      </c>
      <c r="F52" s="19" t="s">
        <v>108</v>
      </c>
      <c r="G52" s="19" t="s">
        <v>157</v>
      </c>
      <c r="H52" s="19" t="s">
        <v>626</v>
      </c>
      <c r="I52" s="19" t="s">
        <v>441</v>
      </c>
      <c r="J52" s="19">
        <f t="shared" si="0"/>
        <v>14</v>
      </c>
      <c r="K52" s="19" t="s">
        <v>657</v>
      </c>
      <c r="L52" s="19" t="s">
        <v>659</v>
      </c>
      <c r="M52" s="20">
        <v>35.520000000000003</v>
      </c>
      <c r="N52" s="21">
        <v>0.17</v>
      </c>
      <c r="O52" s="20">
        <v>6.04</v>
      </c>
      <c r="P52" s="19" t="s">
        <v>159</v>
      </c>
      <c r="Q52" s="22" t="s">
        <v>157</v>
      </c>
      <c r="R52" s="22"/>
      <c r="S52" s="22"/>
      <c r="T52" s="22"/>
      <c r="U52" s="22"/>
      <c r="V52" s="22"/>
      <c r="W52" s="22"/>
      <c r="X52" s="22"/>
    </row>
    <row r="53" spans="1:24" x14ac:dyDescent="0.25">
      <c r="A53" s="19">
        <v>19200754</v>
      </c>
      <c r="B53" s="19" t="s">
        <v>280</v>
      </c>
      <c r="C53" s="19" t="s">
        <v>624</v>
      </c>
      <c r="D53" s="19" t="s">
        <v>625</v>
      </c>
      <c r="E53" s="19" t="s">
        <v>66</v>
      </c>
      <c r="F53" s="19" t="s">
        <v>108</v>
      </c>
      <c r="G53" s="19" t="s">
        <v>157</v>
      </c>
      <c r="H53" s="19" t="s">
        <v>626</v>
      </c>
      <c r="I53" s="19" t="s">
        <v>441</v>
      </c>
      <c r="J53" s="19">
        <f t="shared" si="0"/>
        <v>14</v>
      </c>
      <c r="K53" s="19" t="s">
        <v>657</v>
      </c>
      <c r="L53" s="19" t="s">
        <v>659</v>
      </c>
      <c r="M53" s="20">
        <v>26.5</v>
      </c>
      <c r="N53" s="21">
        <v>0.17</v>
      </c>
      <c r="O53" s="20">
        <v>4.51</v>
      </c>
      <c r="P53" s="19" t="s">
        <v>159</v>
      </c>
      <c r="Q53" s="22" t="s">
        <v>157</v>
      </c>
      <c r="R53" s="22"/>
      <c r="S53" s="22"/>
      <c r="T53" s="22"/>
      <c r="U53" s="22"/>
      <c r="V53" s="22"/>
      <c r="W53" s="22"/>
      <c r="X53" s="22"/>
    </row>
    <row r="54" spans="1:24" x14ac:dyDescent="0.25">
      <c r="A54" s="19">
        <v>16202925</v>
      </c>
      <c r="B54" s="19" t="s">
        <v>63</v>
      </c>
      <c r="C54" s="19" t="s">
        <v>64</v>
      </c>
      <c r="D54" s="19" t="s">
        <v>65</v>
      </c>
      <c r="E54" s="19" t="s">
        <v>66</v>
      </c>
      <c r="F54" s="19" t="s">
        <v>68</v>
      </c>
      <c r="G54" s="19" t="s">
        <v>69</v>
      </c>
      <c r="H54" s="19" t="s">
        <v>70</v>
      </c>
      <c r="I54" s="19" t="s">
        <v>71</v>
      </c>
      <c r="J54" s="19">
        <f t="shared" si="0"/>
        <v>15</v>
      </c>
      <c r="K54" s="19" t="s">
        <v>657</v>
      </c>
      <c r="L54" s="19" t="s">
        <v>659</v>
      </c>
      <c r="M54" s="20">
        <v>181.68</v>
      </c>
      <c r="N54" s="21">
        <v>1.4999999999999999E-2</v>
      </c>
      <c r="O54" s="20">
        <v>2.73</v>
      </c>
      <c r="P54" s="19" t="s">
        <v>76</v>
      </c>
      <c r="Q54" s="22" t="s">
        <v>673</v>
      </c>
      <c r="R54" s="22"/>
      <c r="S54" s="22"/>
      <c r="T54" s="22"/>
      <c r="U54" s="22"/>
      <c r="V54" s="22"/>
      <c r="W54" s="22"/>
      <c r="X54" s="22"/>
    </row>
    <row r="55" spans="1:24" x14ac:dyDescent="0.25">
      <c r="A55" s="19">
        <v>16202925</v>
      </c>
      <c r="B55" s="19" t="s">
        <v>63</v>
      </c>
      <c r="C55" s="19" t="s">
        <v>214</v>
      </c>
      <c r="D55" s="19" t="s">
        <v>215</v>
      </c>
      <c r="E55" s="19" t="s">
        <v>66</v>
      </c>
      <c r="F55" s="19" t="s">
        <v>68</v>
      </c>
      <c r="G55" s="19" t="s">
        <v>217</v>
      </c>
      <c r="H55" s="19" t="s">
        <v>218</v>
      </c>
      <c r="I55" s="19" t="s">
        <v>219</v>
      </c>
      <c r="J55" s="19">
        <f t="shared" si="0"/>
        <v>16</v>
      </c>
      <c r="K55" s="19" t="s">
        <v>657</v>
      </c>
      <c r="L55" s="19" t="s">
        <v>659</v>
      </c>
      <c r="M55" s="20">
        <v>29.71</v>
      </c>
      <c r="N55" s="21">
        <v>3.7499999999999999E-2</v>
      </c>
      <c r="O55" s="20">
        <v>1.1100000000000001</v>
      </c>
      <c r="P55" s="19" t="s">
        <v>220</v>
      </c>
      <c r="Q55" s="22" t="s">
        <v>664</v>
      </c>
      <c r="R55" s="22"/>
      <c r="S55" s="22"/>
      <c r="T55" s="22"/>
      <c r="U55" s="22"/>
      <c r="V55" s="22"/>
      <c r="W55" s="22"/>
      <c r="X55" s="22"/>
    </row>
    <row r="56" spans="1:24" x14ac:dyDescent="0.25">
      <c r="A56" s="19">
        <v>16509456</v>
      </c>
      <c r="B56" s="19" t="s">
        <v>148</v>
      </c>
      <c r="C56" s="19" t="s">
        <v>346</v>
      </c>
      <c r="D56" s="19" t="s">
        <v>347</v>
      </c>
      <c r="E56" s="19" t="s">
        <v>66</v>
      </c>
      <c r="F56" s="19" t="s">
        <v>128</v>
      </c>
      <c r="G56" s="19" t="s">
        <v>197</v>
      </c>
      <c r="H56" s="19" t="s">
        <v>349</v>
      </c>
      <c r="I56" s="19" t="s">
        <v>71</v>
      </c>
      <c r="J56" s="19">
        <f t="shared" si="0"/>
        <v>18</v>
      </c>
      <c r="K56" s="19" t="s">
        <v>657</v>
      </c>
      <c r="L56" s="19" t="s">
        <v>659</v>
      </c>
      <c r="M56" s="20">
        <v>45</v>
      </c>
      <c r="N56" s="21">
        <v>3.7499999999999999E-2</v>
      </c>
      <c r="O56" s="20">
        <v>1.69</v>
      </c>
      <c r="P56" s="19" t="s">
        <v>329</v>
      </c>
      <c r="Q56" s="22" t="s">
        <v>664</v>
      </c>
      <c r="R56" s="22"/>
      <c r="S56" s="22"/>
      <c r="T56" s="22"/>
      <c r="U56" s="22"/>
      <c r="V56" s="22"/>
      <c r="W56" s="22"/>
      <c r="X56" s="22"/>
    </row>
    <row r="57" spans="1:24" x14ac:dyDescent="0.25">
      <c r="A57" s="19">
        <v>16202925</v>
      </c>
      <c r="B57" s="19" t="s">
        <v>63</v>
      </c>
      <c r="C57" s="19" t="s">
        <v>499</v>
      </c>
      <c r="D57" s="19" t="s">
        <v>500</v>
      </c>
      <c r="E57" s="19" t="s">
        <v>66</v>
      </c>
      <c r="F57" s="19" t="s">
        <v>68</v>
      </c>
      <c r="G57" s="19" t="s">
        <v>217</v>
      </c>
      <c r="H57" s="19" t="s">
        <v>501</v>
      </c>
      <c r="I57" s="19" t="s">
        <v>180</v>
      </c>
      <c r="J57" s="19">
        <f t="shared" si="0"/>
        <v>22</v>
      </c>
      <c r="K57" s="19" t="s">
        <v>657</v>
      </c>
      <c r="L57" s="19" t="s">
        <v>659</v>
      </c>
      <c r="M57" s="20">
        <v>29.71</v>
      </c>
      <c r="N57" s="21">
        <v>3.5000000000000003E-2</v>
      </c>
      <c r="O57" s="20">
        <v>1.04</v>
      </c>
      <c r="P57" s="19" t="s">
        <v>220</v>
      </c>
      <c r="Q57" s="22" t="s">
        <v>451</v>
      </c>
      <c r="R57" s="22"/>
      <c r="S57" s="22"/>
      <c r="T57" s="22"/>
      <c r="U57" s="22"/>
      <c r="V57" s="22"/>
      <c r="W57" s="22"/>
      <c r="X57" s="22"/>
    </row>
    <row r="58" spans="1:24" x14ac:dyDescent="0.25">
      <c r="A58" s="19">
        <v>16509456</v>
      </c>
      <c r="B58" s="19" t="s">
        <v>148</v>
      </c>
      <c r="C58" s="19" t="s">
        <v>326</v>
      </c>
      <c r="D58" s="19" t="s">
        <v>327</v>
      </c>
      <c r="E58" s="19" t="s">
        <v>66</v>
      </c>
      <c r="F58" s="19" t="s">
        <v>128</v>
      </c>
      <c r="G58" s="19" t="s">
        <v>197</v>
      </c>
      <c r="H58" s="19" t="s">
        <v>226</v>
      </c>
      <c r="I58" s="19" t="s">
        <v>95</v>
      </c>
      <c r="J58" s="19">
        <f t="shared" si="0"/>
        <v>24</v>
      </c>
      <c r="K58" s="19" t="s">
        <v>657</v>
      </c>
      <c r="L58" s="19" t="s">
        <v>659</v>
      </c>
      <c r="M58" s="20">
        <v>-45</v>
      </c>
      <c r="N58" s="21">
        <v>3.5000000000000003E-2</v>
      </c>
      <c r="O58" s="20">
        <v>-1.58</v>
      </c>
      <c r="P58" s="19" t="s">
        <v>329</v>
      </c>
      <c r="Q58" s="22" t="s">
        <v>665</v>
      </c>
      <c r="R58" s="22"/>
      <c r="S58" s="22"/>
      <c r="T58" s="22"/>
      <c r="U58" s="22"/>
      <c r="V58" s="22"/>
      <c r="W58" s="22"/>
      <c r="X58" s="22"/>
    </row>
    <row r="59" spans="1:24" x14ac:dyDescent="0.25">
      <c r="A59" s="16">
        <v>1706194</v>
      </c>
      <c r="B59" s="16" t="s">
        <v>222</v>
      </c>
      <c r="C59" s="16" t="s">
        <v>567</v>
      </c>
      <c r="D59" s="16" t="s">
        <v>568</v>
      </c>
      <c r="E59" s="16" t="s">
        <v>92</v>
      </c>
      <c r="F59" s="16" t="s">
        <v>569</v>
      </c>
      <c r="G59" s="16" t="s">
        <v>83</v>
      </c>
      <c r="H59" s="16" t="s">
        <v>95</v>
      </c>
      <c r="I59" s="16" t="s">
        <v>95</v>
      </c>
      <c r="J59" s="16">
        <f t="shared" si="0"/>
        <v>0</v>
      </c>
      <c r="K59" s="16" t="s">
        <v>657</v>
      </c>
      <c r="L59" s="16" t="s">
        <v>659</v>
      </c>
      <c r="M59" s="17">
        <v>168.74</v>
      </c>
      <c r="N59" s="18">
        <v>1.05</v>
      </c>
      <c r="O59" s="17">
        <v>177.18</v>
      </c>
      <c r="P59" s="16" t="s">
        <v>87</v>
      </c>
      <c r="Q59" s="15" t="s">
        <v>660</v>
      </c>
    </row>
    <row r="60" spans="1:24" x14ac:dyDescent="0.25">
      <c r="A60" s="16">
        <v>1706194</v>
      </c>
      <c r="B60" s="16" t="s">
        <v>222</v>
      </c>
      <c r="C60" s="16" t="s">
        <v>323</v>
      </c>
      <c r="D60" s="16" t="s">
        <v>324</v>
      </c>
      <c r="E60" s="16" t="s">
        <v>92</v>
      </c>
      <c r="F60" s="16" t="s">
        <v>292</v>
      </c>
      <c r="G60" s="16" t="s">
        <v>83</v>
      </c>
      <c r="H60" s="16" t="s">
        <v>71</v>
      </c>
      <c r="I60" s="16" t="s">
        <v>71</v>
      </c>
      <c r="J60" s="16">
        <f t="shared" si="0"/>
        <v>0</v>
      </c>
      <c r="K60" s="16" t="s">
        <v>657</v>
      </c>
      <c r="L60" s="16" t="s">
        <v>659</v>
      </c>
      <c r="M60" s="17">
        <v>87.75</v>
      </c>
      <c r="N60" s="18">
        <v>1.05</v>
      </c>
      <c r="O60" s="17">
        <v>92.14</v>
      </c>
      <c r="P60" s="16" t="s">
        <v>87</v>
      </c>
      <c r="Q60" s="15" t="s">
        <v>660</v>
      </c>
    </row>
    <row r="61" spans="1:24" x14ac:dyDescent="0.25">
      <c r="A61" s="16">
        <v>21564088</v>
      </c>
      <c r="B61" s="16" t="s">
        <v>89</v>
      </c>
      <c r="C61" s="16" t="s">
        <v>90</v>
      </c>
      <c r="D61" s="16" t="s">
        <v>170</v>
      </c>
      <c r="E61" s="16" t="s">
        <v>92</v>
      </c>
      <c r="F61" s="16" t="s">
        <v>93</v>
      </c>
      <c r="G61" s="16" t="s">
        <v>83</v>
      </c>
      <c r="H61" s="16" t="s">
        <v>95</v>
      </c>
      <c r="I61" s="16" t="s">
        <v>95</v>
      </c>
      <c r="J61" s="16">
        <f t="shared" si="0"/>
        <v>0</v>
      </c>
      <c r="K61" s="16" t="s">
        <v>657</v>
      </c>
      <c r="L61" s="16" t="s">
        <v>659</v>
      </c>
      <c r="M61" s="17">
        <v>37.22</v>
      </c>
      <c r="N61" s="18">
        <v>1</v>
      </c>
      <c r="O61" s="17">
        <v>37.22</v>
      </c>
      <c r="P61" s="16" t="s">
        <v>87</v>
      </c>
      <c r="Q61" s="15" t="s">
        <v>661</v>
      </c>
    </row>
    <row r="62" spans="1:24" x14ac:dyDescent="0.25">
      <c r="A62" s="16">
        <v>9079571</v>
      </c>
      <c r="B62" s="16" t="s">
        <v>78</v>
      </c>
      <c r="C62" s="16" t="s">
        <v>400</v>
      </c>
      <c r="D62" s="16" t="s">
        <v>401</v>
      </c>
      <c r="E62" s="16" t="s">
        <v>92</v>
      </c>
      <c r="F62" s="16" t="s">
        <v>68</v>
      </c>
      <c r="G62" s="16" t="s">
        <v>83</v>
      </c>
      <c r="H62" s="16" t="s">
        <v>102</v>
      </c>
      <c r="I62" s="16" t="s">
        <v>102</v>
      </c>
      <c r="J62" s="16">
        <f t="shared" si="0"/>
        <v>0</v>
      </c>
      <c r="K62" s="16" t="s">
        <v>657</v>
      </c>
      <c r="L62" s="16" t="s">
        <v>659</v>
      </c>
      <c r="M62" s="17">
        <v>48.66</v>
      </c>
      <c r="N62" s="18">
        <v>0.95</v>
      </c>
      <c r="O62" s="17">
        <v>46.23</v>
      </c>
      <c r="P62" s="16" t="s">
        <v>87</v>
      </c>
      <c r="Q62" s="15" t="s">
        <v>662</v>
      </c>
    </row>
    <row r="63" spans="1:24" x14ac:dyDescent="0.25">
      <c r="A63" s="16">
        <v>9213293</v>
      </c>
      <c r="B63" s="16" t="s">
        <v>248</v>
      </c>
      <c r="C63" s="16" t="s">
        <v>290</v>
      </c>
      <c r="D63" s="16" t="s">
        <v>291</v>
      </c>
      <c r="E63" s="16" t="s">
        <v>92</v>
      </c>
      <c r="F63" s="16" t="s">
        <v>292</v>
      </c>
      <c r="G63" s="16" t="s">
        <v>293</v>
      </c>
      <c r="H63" s="16" t="s">
        <v>95</v>
      </c>
      <c r="I63" s="16" t="s">
        <v>95</v>
      </c>
      <c r="J63" s="16">
        <f t="shared" si="0"/>
        <v>0</v>
      </c>
      <c r="K63" s="16" t="s">
        <v>657</v>
      </c>
      <c r="L63" s="16" t="s">
        <v>659</v>
      </c>
      <c r="M63" s="17">
        <v>61.48</v>
      </c>
      <c r="N63" s="18">
        <v>0.57999999999999996</v>
      </c>
      <c r="O63" s="17">
        <v>35.659999999999997</v>
      </c>
      <c r="P63" s="16" t="s">
        <v>294</v>
      </c>
      <c r="Q63" s="15" t="s">
        <v>666</v>
      </c>
    </row>
    <row r="64" spans="1:24" x14ac:dyDescent="0.25">
      <c r="A64" s="16">
        <v>21564088</v>
      </c>
      <c r="B64" s="16" t="s">
        <v>89</v>
      </c>
      <c r="C64" s="16" t="s">
        <v>90</v>
      </c>
      <c r="D64" s="16" t="s">
        <v>91</v>
      </c>
      <c r="E64" s="16" t="s">
        <v>92</v>
      </c>
      <c r="F64" s="16" t="s">
        <v>93</v>
      </c>
      <c r="G64" s="16" t="s">
        <v>94</v>
      </c>
      <c r="H64" s="16" t="s">
        <v>95</v>
      </c>
      <c r="I64" s="16" t="s">
        <v>95</v>
      </c>
      <c r="J64" s="16">
        <f t="shared" si="0"/>
        <v>0</v>
      </c>
      <c r="K64" s="16" t="s">
        <v>657</v>
      </c>
      <c r="L64" s="16" t="s">
        <v>659</v>
      </c>
      <c r="M64" s="17">
        <v>38.549999999999997</v>
      </c>
      <c r="N64" s="18">
        <v>1</v>
      </c>
      <c r="O64" s="17">
        <v>38.549999999999997</v>
      </c>
      <c r="P64" s="16" t="s">
        <v>97</v>
      </c>
      <c r="Q64" s="15" t="s">
        <v>661</v>
      </c>
    </row>
    <row r="65" spans="1:17" x14ac:dyDescent="0.25">
      <c r="A65" s="16">
        <v>17425766</v>
      </c>
      <c r="B65" s="16" t="s">
        <v>154</v>
      </c>
      <c r="C65" s="16" t="s">
        <v>155</v>
      </c>
      <c r="D65" s="16" t="s">
        <v>156</v>
      </c>
      <c r="E65" s="16" t="s">
        <v>92</v>
      </c>
      <c r="F65" s="16" t="s">
        <v>128</v>
      </c>
      <c r="G65" s="16" t="s">
        <v>157</v>
      </c>
      <c r="H65" s="16" t="s">
        <v>95</v>
      </c>
      <c r="I65" s="16" t="s">
        <v>95</v>
      </c>
      <c r="J65" s="16">
        <f t="shared" si="0"/>
        <v>0</v>
      </c>
      <c r="K65" s="16" t="s">
        <v>657</v>
      </c>
      <c r="L65" s="16" t="s">
        <v>659</v>
      </c>
      <c r="M65" s="17">
        <v>3.3</v>
      </c>
      <c r="N65" s="18">
        <v>0.65</v>
      </c>
      <c r="O65" s="17">
        <v>2.15</v>
      </c>
      <c r="P65" s="16" t="s">
        <v>159</v>
      </c>
      <c r="Q65" s="15" t="s">
        <v>669</v>
      </c>
    </row>
    <row r="66" spans="1:17" x14ac:dyDescent="0.25">
      <c r="A66" s="16">
        <v>17425766</v>
      </c>
      <c r="B66" s="16" t="s">
        <v>154</v>
      </c>
      <c r="C66" s="16" t="s">
        <v>155</v>
      </c>
      <c r="D66" s="16" t="s">
        <v>156</v>
      </c>
      <c r="E66" s="16" t="s">
        <v>92</v>
      </c>
      <c r="F66" s="16" t="s">
        <v>128</v>
      </c>
      <c r="G66" s="16" t="s">
        <v>157</v>
      </c>
      <c r="H66" s="16" t="s">
        <v>95</v>
      </c>
      <c r="I66" s="16" t="s">
        <v>95</v>
      </c>
      <c r="J66" s="16">
        <f t="shared" ref="J66:J129" si="1">DATEDIF(H66,I66,"M")</f>
        <v>0</v>
      </c>
      <c r="K66" s="16" t="s">
        <v>657</v>
      </c>
      <c r="L66" s="16" t="s">
        <v>659</v>
      </c>
      <c r="M66" s="17">
        <v>31.67</v>
      </c>
      <c r="N66" s="18">
        <v>0.65</v>
      </c>
      <c r="O66" s="17">
        <v>20.59</v>
      </c>
      <c r="P66" s="16" t="s">
        <v>159</v>
      </c>
      <c r="Q66" s="15" t="s">
        <v>669</v>
      </c>
    </row>
    <row r="67" spans="1:17" x14ac:dyDescent="0.25">
      <c r="A67" s="16">
        <v>17425766</v>
      </c>
      <c r="B67" s="16" t="s">
        <v>154</v>
      </c>
      <c r="C67" s="16" t="s">
        <v>155</v>
      </c>
      <c r="D67" s="16" t="s">
        <v>156</v>
      </c>
      <c r="E67" s="16" t="s">
        <v>92</v>
      </c>
      <c r="F67" s="16" t="s">
        <v>128</v>
      </c>
      <c r="G67" s="16" t="s">
        <v>157</v>
      </c>
      <c r="H67" s="16" t="s">
        <v>95</v>
      </c>
      <c r="I67" s="16" t="s">
        <v>95</v>
      </c>
      <c r="J67" s="16">
        <f t="shared" si="1"/>
        <v>0</v>
      </c>
      <c r="K67" s="16" t="s">
        <v>657</v>
      </c>
      <c r="L67" s="16" t="s">
        <v>659</v>
      </c>
      <c r="M67" s="17">
        <v>20.5</v>
      </c>
      <c r="N67" s="18">
        <v>0.65</v>
      </c>
      <c r="O67" s="17">
        <v>13.33</v>
      </c>
      <c r="P67" s="16" t="s">
        <v>159</v>
      </c>
      <c r="Q67" s="15" t="s">
        <v>669</v>
      </c>
    </row>
    <row r="68" spans="1:17" x14ac:dyDescent="0.25">
      <c r="A68" s="16">
        <v>17425766</v>
      </c>
      <c r="B68" s="16" t="s">
        <v>154</v>
      </c>
      <c r="C68" s="16" t="s">
        <v>155</v>
      </c>
      <c r="D68" s="16" t="s">
        <v>156</v>
      </c>
      <c r="E68" s="16" t="s">
        <v>92</v>
      </c>
      <c r="F68" s="16" t="s">
        <v>128</v>
      </c>
      <c r="G68" s="16" t="s">
        <v>157</v>
      </c>
      <c r="H68" s="16" t="s">
        <v>95</v>
      </c>
      <c r="I68" s="16" t="s">
        <v>95</v>
      </c>
      <c r="J68" s="16">
        <f t="shared" si="1"/>
        <v>0</v>
      </c>
      <c r="K68" s="16" t="s">
        <v>657</v>
      </c>
      <c r="L68" s="16" t="s">
        <v>659</v>
      </c>
      <c r="M68" s="17">
        <v>33.729999999999997</v>
      </c>
      <c r="N68" s="18">
        <v>0.65</v>
      </c>
      <c r="O68" s="17">
        <v>21.92</v>
      </c>
      <c r="P68" s="16" t="s">
        <v>159</v>
      </c>
      <c r="Q68" s="15" t="s">
        <v>669</v>
      </c>
    </row>
    <row r="69" spans="1:17" x14ac:dyDescent="0.25">
      <c r="A69" s="16">
        <v>9213293</v>
      </c>
      <c r="B69" s="16" t="s">
        <v>248</v>
      </c>
      <c r="C69" s="16" t="s">
        <v>276</v>
      </c>
      <c r="D69" s="16" t="s">
        <v>277</v>
      </c>
      <c r="E69" s="16" t="s">
        <v>92</v>
      </c>
      <c r="F69" s="16" t="s">
        <v>108</v>
      </c>
      <c r="G69" s="16" t="s">
        <v>157</v>
      </c>
      <c r="H69" s="16" t="s">
        <v>95</v>
      </c>
      <c r="I69" s="16" t="s">
        <v>95</v>
      </c>
      <c r="J69" s="16">
        <f t="shared" si="1"/>
        <v>0</v>
      </c>
      <c r="K69" s="16" t="s">
        <v>657</v>
      </c>
      <c r="L69" s="16" t="s">
        <v>659</v>
      </c>
      <c r="M69" s="17">
        <v>9.24</v>
      </c>
      <c r="N69" s="18">
        <v>0.65</v>
      </c>
      <c r="O69" s="17">
        <v>6.01</v>
      </c>
      <c r="P69" s="16" t="s">
        <v>159</v>
      </c>
      <c r="Q69" s="15" t="s">
        <v>669</v>
      </c>
    </row>
    <row r="70" spans="1:17" x14ac:dyDescent="0.25">
      <c r="A70" s="16">
        <v>9213293</v>
      </c>
      <c r="B70" s="16" t="s">
        <v>248</v>
      </c>
      <c r="C70" s="16" t="s">
        <v>276</v>
      </c>
      <c r="D70" s="16" t="s">
        <v>277</v>
      </c>
      <c r="E70" s="16" t="s">
        <v>92</v>
      </c>
      <c r="F70" s="16" t="s">
        <v>108</v>
      </c>
      <c r="G70" s="16" t="s">
        <v>157</v>
      </c>
      <c r="H70" s="16" t="s">
        <v>95</v>
      </c>
      <c r="I70" s="16" t="s">
        <v>95</v>
      </c>
      <c r="J70" s="16">
        <f t="shared" si="1"/>
        <v>0</v>
      </c>
      <c r="K70" s="16" t="s">
        <v>657</v>
      </c>
      <c r="L70" s="16" t="s">
        <v>659</v>
      </c>
      <c r="M70" s="17">
        <v>33.5</v>
      </c>
      <c r="N70" s="18">
        <v>0.65</v>
      </c>
      <c r="O70" s="17">
        <v>21.78</v>
      </c>
      <c r="P70" s="16" t="s">
        <v>159</v>
      </c>
      <c r="Q70" s="15" t="s">
        <v>669</v>
      </c>
    </row>
    <row r="71" spans="1:17" x14ac:dyDescent="0.25">
      <c r="A71" s="16">
        <v>9213293</v>
      </c>
      <c r="B71" s="16" t="s">
        <v>248</v>
      </c>
      <c r="C71" s="16" t="s">
        <v>585</v>
      </c>
      <c r="D71" s="16" t="s">
        <v>586</v>
      </c>
      <c r="E71" s="16" t="s">
        <v>92</v>
      </c>
      <c r="F71" s="16" t="s">
        <v>108</v>
      </c>
      <c r="G71" s="16" t="s">
        <v>157</v>
      </c>
      <c r="H71" s="16" t="s">
        <v>441</v>
      </c>
      <c r="I71" s="16" t="s">
        <v>441</v>
      </c>
      <c r="J71" s="16">
        <f t="shared" si="1"/>
        <v>0</v>
      </c>
      <c r="K71" s="16" t="s">
        <v>657</v>
      </c>
      <c r="L71" s="16" t="s">
        <v>659</v>
      </c>
      <c r="M71" s="17">
        <v>15.83</v>
      </c>
      <c r="N71" s="18">
        <v>0.65</v>
      </c>
      <c r="O71" s="17">
        <v>10.29</v>
      </c>
      <c r="P71" s="16" t="s">
        <v>159</v>
      </c>
      <c r="Q71" s="15" t="s">
        <v>669</v>
      </c>
    </row>
    <row r="72" spans="1:17" x14ac:dyDescent="0.25">
      <c r="A72" s="16">
        <v>9213293</v>
      </c>
      <c r="B72" s="16" t="s">
        <v>248</v>
      </c>
      <c r="C72" s="16" t="s">
        <v>592</v>
      </c>
      <c r="D72" s="16" t="s">
        <v>593</v>
      </c>
      <c r="E72" s="16" t="s">
        <v>92</v>
      </c>
      <c r="F72" s="16" t="s">
        <v>108</v>
      </c>
      <c r="G72" s="16" t="s">
        <v>157</v>
      </c>
      <c r="H72" s="16" t="s">
        <v>95</v>
      </c>
      <c r="I72" s="16" t="s">
        <v>95</v>
      </c>
      <c r="J72" s="16">
        <f t="shared" si="1"/>
        <v>0</v>
      </c>
      <c r="K72" s="16" t="s">
        <v>657</v>
      </c>
      <c r="L72" s="16" t="s">
        <v>659</v>
      </c>
      <c r="M72" s="17">
        <v>18.48</v>
      </c>
      <c r="N72" s="18">
        <v>0.65</v>
      </c>
      <c r="O72" s="17">
        <v>12.01</v>
      </c>
      <c r="P72" s="16" t="s">
        <v>159</v>
      </c>
      <c r="Q72" s="15" t="s">
        <v>669</v>
      </c>
    </row>
    <row r="73" spans="1:17" x14ac:dyDescent="0.25">
      <c r="A73" s="16">
        <v>9213293</v>
      </c>
      <c r="B73" s="16" t="s">
        <v>248</v>
      </c>
      <c r="C73" s="16" t="s">
        <v>592</v>
      </c>
      <c r="D73" s="16" t="s">
        <v>593</v>
      </c>
      <c r="E73" s="16" t="s">
        <v>92</v>
      </c>
      <c r="F73" s="16" t="s">
        <v>108</v>
      </c>
      <c r="G73" s="16" t="s">
        <v>157</v>
      </c>
      <c r="H73" s="16" t="s">
        <v>95</v>
      </c>
      <c r="I73" s="16" t="s">
        <v>95</v>
      </c>
      <c r="J73" s="16">
        <f t="shared" si="1"/>
        <v>0</v>
      </c>
      <c r="K73" s="16" t="s">
        <v>657</v>
      </c>
      <c r="L73" s="16" t="s">
        <v>659</v>
      </c>
      <c r="M73" s="17">
        <v>11.87</v>
      </c>
      <c r="N73" s="18">
        <v>0.65</v>
      </c>
      <c r="O73" s="17">
        <v>7.72</v>
      </c>
      <c r="P73" s="16" t="s">
        <v>159</v>
      </c>
      <c r="Q73" s="15" t="s">
        <v>669</v>
      </c>
    </row>
    <row r="74" spans="1:17" x14ac:dyDescent="0.25">
      <c r="A74" s="16">
        <v>9213293</v>
      </c>
      <c r="B74" s="16" t="s">
        <v>248</v>
      </c>
      <c r="C74" s="16" t="s">
        <v>585</v>
      </c>
      <c r="D74" s="16" t="s">
        <v>586</v>
      </c>
      <c r="E74" s="16" t="s">
        <v>92</v>
      </c>
      <c r="F74" s="16" t="s">
        <v>108</v>
      </c>
      <c r="G74" s="16" t="s">
        <v>157</v>
      </c>
      <c r="H74" s="16" t="s">
        <v>441</v>
      </c>
      <c r="I74" s="16" t="s">
        <v>441</v>
      </c>
      <c r="J74" s="16">
        <f t="shared" si="1"/>
        <v>0</v>
      </c>
      <c r="K74" s="16" t="s">
        <v>657</v>
      </c>
      <c r="L74" s="16" t="s">
        <v>659</v>
      </c>
      <c r="M74" s="17">
        <v>27.07</v>
      </c>
      <c r="N74" s="18">
        <v>0.65</v>
      </c>
      <c r="O74" s="17">
        <v>17.600000000000001</v>
      </c>
      <c r="P74" s="16" t="s">
        <v>159</v>
      </c>
      <c r="Q74" s="15" t="s">
        <v>669</v>
      </c>
    </row>
    <row r="75" spans="1:17" x14ac:dyDescent="0.25">
      <c r="A75" s="16">
        <v>9213293</v>
      </c>
      <c r="B75" s="16" t="s">
        <v>248</v>
      </c>
      <c r="C75" s="16" t="s">
        <v>592</v>
      </c>
      <c r="D75" s="16" t="s">
        <v>593</v>
      </c>
      <c r="E75" s="16" t="s">
        <v>92</v>
      </c>
      <c r="F75" s="16" t="s">
        <v>108</v>
      </c>
      <c r="G75" s="16" t="s">
        <v>157</v>
      </c>
      <c r="H75" s="16" t="s">
        <v>95</v>
      </c>
      <c r="I75" s="16" t="s">
        <v>95</v>
      </c>
      <c r="J75" s="16">
        <f t="shared" si="1"/>
        <v>0</v>
      </c>
      <c r="K75" s="16" t="s">
        <v>657</v>
      </c>
      <c r="L75" s="16" t="s">
        <v>659</v>
      </c>
      <c r="M75" s="17">
        <v>44.67</v>
      </c>
      <c r="N75" s="18">
        <v>0.65</v>
      </c>
      <c r="O75" s="17">
        <v>29.04</v>
      </c>
      <c r="P75" s="16" t="s">
        <v>159</v>
      </c>
      <c r="Q75" s="15" t="s">
        <v>669</v>
      </c>
    </row>
    <row r="76" spans="1:17" x14ac:dyDescent="0.25">
      <c r="A76" s="16">
        <v>9213293</v>
      </c>
      <c r="B76" s="16" t="s">
        <v>248</v>
      </c>
      <c r="C76" s="16" t="s">
        <v>397</v>
      </c>
      <c r="D76" s="16" t="s">
        <v>398</v>
      </c>
      <c r="E76" s="16" t="s">
        <v>81</v>
      </c>
      <c r="F76" s="16" t="s">
        <v>108</v>
      </c>
      <c r="G76" s="16" t="s">
        <v>235</v>
      </c>
      <c r="H76" s="16" t="s">
        <v>399</v>
      </c>
      <c r="I76" s="16" t="s">
        <v>278</v>
      </c>
      <c r="J76" s="16">
        <f t="shared" si="1"/>
        <v>1</v>
      </c>
      <c r="K76" s="16" t="s">
        <v>657</v>
      </c>
      <c r="L76" s="16" t="s">
        <v>659</v>
      </c>
      <c r="M76" s="17">
        <v>16.57</v>
      </c>
      <c r="N76" s="18">
        <v>1.05</v>
      </c>
      <c r="O76" s="17">
        <v>17.399999999999999</v>
      </c>
      <c r="P76" s="16" t="s">
        <v>236</v>
      </c>
      <c r="Q76" s="15" t="s">
        <v>660</v>
      </c>
    </row>
    <row r="77" spans="1:17" x14ac:dyDescent="0.25">
      <c r="A77" s="16">
        <v>9213293</v>
      </c>
      <c r="B77" s="16" t="s">
        <v>248</v>
      </c>
      <c r="C77" s="16" t="s">
        <v>558</v>
      </c>
      <c r="D77" s="16" t="s">
        <v>559</v>
      </c>
      <c r="E77" s="16" t="s">
        <v>81</v>
      </c>
      <c r="F77" s="16" t="s">
        <v>108</v>
      </c>
      <c r="G77" s="16" t="s">
        <v>235</v>
      </c>
      <c r="H77" s="16" t="s">
        <v>560</v>
      </c>
      <c r="I77" s="16" t="s">
        <v>375</v>
      </c>
      <c r="J77" s="16">
        <f t="shared" si="1"/>
        <v>1</v>
      </c>
      <c r="K77" s="16" t="s">
        <v>657</v>
      </c>
      <c r="L77" s="16" t="s">
        <v>659</v>
      </c>
      <c r="M77" s="17">
        <v>59.16</v>
      </c>
      <c r="N77" s="18">
        <v>1.05</v>
      </c>
      <c r="O77" s="17">
        <v>62.12</v>
      </c>
      <c r="P77" s="16" t="s">
        <v>236</v>
      </c>
      <c r="Q77" s="15" t="s">
        <v>660</v>
      </c>
    </row>
    <row r="78" spans="1:17" x14ac:dyDescent="0.25">
      <c r="A78" s="16">
        <v>1706194</v>
      </c>
      <c r="B78" s="16" t="s">
        <v>222</v>
      </c>
      <c r="C78" s="16" t="s">
        <v>323</v>
      </c>
      <c r="D78" s="16" t="s">
        <v>324</v>
      </c>
      <c r="E78" s="16" t="s">
        <v>92</v>
      </c>
      <c r="F78" s="16" t="s">
        <v>292</v>
      </c>
      <c r="G78" s="16" t="s">
        <v>83</v>
      </c>
      <c r="H78" s="16" t="s">
        <v>71</v>
      </c>
      <c r="I78" s="16" t="s">
        <v>95</v>
      </c>
      <c r="J78" s="16">
        <f t="shared" si="1"/>
        <v>1</v>
      </c>
      <c r="K78" s="16" t="s">
        <v>657</v>
      </c>
      <c r="L78" s="16" t="s">
        <v>659</v>
      </c>
      <c r="M78" s="17">
        <v>-87.75</v>
      </c>
      <c r="N78" s="18">
        <v>1.05</v>
      </c>
      <c r="O78" s="17">
        <v>-92.14</v>
      </c>
      <c r="P78" s="16" t="s">
        <v>87</v>
      </c>
      <c r="Q78" s="15" t="s">
        <v>660</v>
      </c>
    </row>
    <row r="79" spans="1:17" x14ac:dyDescent="0.25">
      <c r="A79" s="16">
        <v>1706194</v>
      </c>
      <c r="B79" s="16" t="s">
        <v>222</v>
      </c>
      <c r="C79" s="16" t="s">
        <v>323</v>
      </c>
      <c r="D79" s="16" t="s">
        <v>324</v>
      </c>
      <c r="E79" s="16" t="s">
        <v>92</v>
      </c>
      <c r="F79" s="16" t="s">
        <v>292</v>
      </c>
      <c r="G79" s="16" t="s">
        <v>83</v>
      </c>
      <c r="H79" s="16" t="s">
        <v>71</v>
      </c>
      <c r="I79" s="16" t="s">
        <v>95</v>
      </c>
      <c r="J79" s="16">
        <f t="shared" si="1"/>
        <v>1</v>
      </c>
      <c r="K79" s="16" t="s">
        <v>657</v>
      </c>
      <c r="L79" s="16" t="s">
        <v>659</v>
      </c>
      <c r="M79" s="17">
        <v>-87.75</v>
      </c>
      <c r="N79" s="18">
        <v>1.05</v>
      </c>
      <c r="O79" s="17">
        <v>-92.14</v>
      </c>
      <c r="P79" s="16" t="s">
        <v>87</v>
      </c>
      <c r="Q79" s="15" t="s">
        <v>660</v>
      </c>
    </row>
    <row r="80" spans="1:17" x14ac:dyDescent="0.25">
      <c r="A80" s="16">
        <v>5442438</v>
      </c>
      <c r="B80" s="16" t="s">
        <v>134</v>
      </c>
      <c r="C80" s="16" t="s">
        <v>264</v>
      </c>
      <c r="D80" s="16" t="s">
        <v>265</v>
      </c>
      <c r="E80" s="16" t="s">
        <v>92</v>
      </c>
      <c r="F80" s="16" t="s">
        <v>68</v>
      </c>
      <c r="G80" s="16" t="s">
        <v>83</v>
      </c>
      <c r="H80" s="16" t="s">
        <v>151</v>
      </c>
      <c r="I80" s="16" t="s">
        <v>267</v>
      </c>
      <c r="J80" s="16">
        <f t="shared" si="1"/>
        <v>1</v>
      </c>
      <c r="K80" s="16" t="s">
        <v>657</v>
      </c>
      <c r="L80" s="16" t="s">
        <v>659</v>
      </c>
      <c r="M80" s="17">
        <v>-116.12</v>
      </c>
      <c r="N80" s="18">
        <v>0.95</v>
      </c>
      <c r="O80" s="17">
        <v>-110.31</v>
      </c>
      <c r="P80" s="16" t="s">
        <v>87</v>
      </c>
      <c r="Q80" s="15" t="s">
        <v>662</v>
      </c>
    </row>
    <row r="81" spans="1:17" x14ac:dyDescent="0.25">
      <c r="A81" s="16">
        <v>9213293</v>
      </c>
      <c r="B81" s="16" t="s">
        <v>248</v>
      </c>
      <c r="C81" s="16" t="s">
        <v>486</v>
      </c>
      <c r="D81" s="16" t="s">
        <v>487</v>
      </c>
      <c r="E81" s="16" t="s">
        <v>81</v>
      </c>
      <c r="F81" s="16" t="s">
        <v>108</v>
      </c>
      <c r="G81" s="16" t="s">
        <v>157</v>
      </c>
      <c r="H81" s="16" t="s">
        <v>266</v>
      </c>
      <c r="I81" s="16" t="s">
        <v>180</v>
      </c>
      <c r="J81" s="16">
        <f t="shared" si="1"/>
        <v>1</v>
      </c>
      <c r="K81" s="16" t="s">
        <v>657</v>
      </c>
      <c r="L81" s="16" t="s">
        <v>659</v>
      </c>
      <c r="M81" s="17">
        <v>35.4</v>
      </c>
      <c r="N81" s="18">
        <v>0.65</v>
      </c>
      <c r="O81" s="17">
        <v>23.01</v>
      </c>
      <c r="P81" s="16" t="s">
        <v>159</v>
      </c>
      <c r="Q81" s="15" t="s">
        <v>669</v>
      </c>
    </row>
    <row r="82" spans="1:17" x14ac:dyDescent="0.25">
      <c r="A82" s="16">
        <v>9213293</v>
      </c>
      <c r="B82" s="16" t="s">
        <v>248</v>
      </c>
      <c r="C82" s="16" t="s">
        <v>621</v>
      </c>
      <c r="D82" s="16" t="s">
        <v>622</v>
      </c>
      <c r="E82" s="16" t="s">
        <v>81</v>
      </c>
      <c r="F82" s="16" t="s">
        <v>516</v>
      </c>
      <c r="G82" s="16" t="s">
        <v>157</v>
      </c>
      <c r="H82" s="16" t="s">
        <v>436</v>
      </c>
      <c r="I82" s="16" t="s">
        <v>71</v>
      </c>
      <c r="J82" s="16">
        <f t="shared" si="1"/>
        <v>1</v>
      </c>
      <c r="K82" s="16" t="s">
        <v>657</v>
      </c>
      <c r="L82" s="16" t="s">
        <v>659</v>
      </c>
      <c r="M82" s="17">
        <v>32.380000000000003</v>
      </c>
      <c r="N82" s="18">
        <v>0.65</v>
      </c>
      <c r="O82" s="17">
        <v>21.05</v>
      </c>
      <c r="P82" s="16" t="s">
        <v>159</v>
      </c>
      <c r="Q82" s="15" t="s">
        <v>669</v>
      </c>
    </row>
    <row r="83" spans="1:17" x14ac:dyDescent="0.25">
      <c r="A83" s="16">
        <v>9213293</v>
      </c>
      <c r="B83" s="16" t="s">
        <v>248</v>
      </c>
      <c r="C83" s="16" t="s">
        <v>619</v>
      </c>
      <c r="D83" s="16" t="s">
        <v>620</v>
      </c>
      <c r="E83" s="16" t="s">
        <v>81</v>
      </c>
      <c r="F83" s="16" t="s">
        <v>108</v>
      </c>
      <c r="G83" s="16" t="s">
        <v>83</v>
      </c>
      <c r="H83" s="16" t="s">
        <v>498</v>
      </c>
      <c r="I83" s="16" t="s">
        <v>441</v>
      </c>
      <c r="J83" s="16">
        <f t="shared" si="1"/>
        <v>2</v>
      </c>
      <c r="K83" s="16" t="s">
        <v>657</v>
      </c>
      <c r="L83" s="16" t="s">
        <v>659</v>
      </c>
      <c r="M83" s="17">
        <v>35.869999999999997</v>
      </c>
      <c r="N83" s="18">
        <v>1.05</v>
      </c>
      <c r="O83" s="17">
        <v>37.659999999999997</v>
      </c>
      <c r="P83" s="16" t="s">
        <v>87</v>
      </c>
      <c r="Q83" s="15" t="s">
        <v>660</v>
      </c>
    </row>
    <row r="84" spans="1:17" x14ac:dyDescent="0.25">
      <c r="A84" s="16">
        <v>18754354</v>
      </c>
      <c r="B84" s="16" t="s">
        <v>332</v>
      </c>
      <c r="C84" s="16" t="s">
        <v>630</v>
      </c>
      <c r="D84" s="16" t="s">
        <v>631</v>
      </c>
      <c r="E84" s="16" t="s">
        <v>81</v>
      </c>
      <c r="F84" s="16" t="s">
        <v>108</v>
      </c>
      <c r="G84" s="16" t="s">
        <v>83</v>
      </c>
      <c r="H84" s="16" t="s">
        <v>374</v>
      </c>
      <c r="I84" s="16" t="s">
        <v>375</v>
      </c>
      <c r="J84" s="16">
        <f t="shared" si="1"/>
        <v>2</v>
      </c>
      <c r="K84" s="16" t="s">
        <v>657</v>
      </c>
      <c r="L84" s="16" t="s">
        <v>659</v>
      </c>
      <c r="M84" s="17">
        <v>133.96</v>
      </c>
      <c r="N84" s="18">
        <v>1.05</v>
      </c>
      <c r="O84" s="17">
        <v>140.66</v>
      </c>
      <c r="P84" s="16" t="s">
        <v>87</v>
      </c>
      <c r="Q84" s="15" t="s">
        <v>660</v>
      </c>
    </row>
    <row r="85" spans="1:17" x14ac:dyDescent="0.25">
      <c r="A85" s="16">
        <v>9213293</v>
      </c>
      <c r="B85" s="16" t="s">
        <v>248</v>
      </c>
      <c r="C85" s="16" t="s">
        <v>249</v>
      </c>
      <c r="D85" s="16" t="s">
        <v>250</v>
      </c>
      <c r="E85" s="16" t="s">
        <v>81</v>
      </c>
      <c r="F85" s="16" t="s">
        <v>108</v>
      </c>
      <c r="G85" s="16" t="s">
        <v>94</v>
      </c>
      <c r="H85" s="16" t="s">
        <v>251</v>
      </c>
      <c r="I85" s="16" t="s">
        <v>120</v>
      </c>
      <c r="J85" s="16">
        <f t="shared" si="1"/>
        <v>2</v>
      </c>
      <c r="K85" s="16" t="s">
        <v>657</v>
      </c>
      <c r="L85" s="16" t="s">
        <v>659</v>
      </c>
      <c r="M85" s="17">
        <v>17.28</v>
      </c>
      <c r="N85" s="18">
        <v>1.05</v>
      </c>
      <c r="O85" s="17">
        <v>18.14</v>
      </c>
      <c r="P85" s="16" t="s">
        <v>97</v>
      </c>
      <c r="Q85" s="15" t="s">
        <v>660</v>
      </c>
    </row>
    <row r="86" spans="1:17" x14ac:dyDescent="0.25">
      <c r="A86" s="16">
        <v>9213293</v>
      </c>
      <c r="B86" s="16" t="s">
        <v>248</v>
      </c>
      <c r="C86" s="16" t="s">
        <v>619</v>
      </c>
      <c r="D86" s="16" t="s">
        <v>623</v>
      </c>
      <c r="E86" s="16" t="s">
        <v>81</v>
      </c>
      <c r="F86" s="16" t="s">
        <v>108</v>
      </c>
      <c r="G86" s="16" t="s">
        <v>94</v>
      </c>
      <c r="H86" s="16" t="s">
        <v>498</v>
      </c>
      <c r="I86" s="16" t="s">
        <v>441</v>
      </c>
      <c r="J86" s="16">
        <f t="shared" si="1"/>
        <v>2</v>
      </c>
      <c r="K86" s="16" t="s">
        <v>657</v>
      </c>
      <c r="L86" s="16" t="s">
        <v>659</v>
      </c>
      <c r="M86" s="17">
        <v>41.28</v>
      </c>
      <c r="N86" s="18">
        <v>1.05</v>
      </c>
      <c r="O86" s="17">
        <v>43.34</v>
      </c>
      <c r="P86" s="16" t="s">
        <v>97</v>
      </c>
      <c r="Q86" s="15" t="s">
        <v>660</v>
      </c>
    </row>
    <row r="87" spans="1:17" x14ac:dyDescent="0.25">
      <c r="A87" s="16">
        <v>9213293</v>
      </c>
      <c r="B87" s="16" t="s">
        <v>248</v>
      </c>
      <c r="C87" s="16" t="s">
        <v>301</v>
      </c>
      <c r="D87" s="16" t="s">
        <v>302</v>
      </c>
      <c r="E87" s="16" t="s">
        <v>81</v>
      </c>
      <c r="F87" s="16" t="s">
        <v>304</v>
      </c>
      <c r="G87" s="16" t="s">
        <v>109</v>
      </c>
      <c r="H87" s="16" t="s">
        <v>305</v>
      </c>
      <c r="I87" s="16" t="s">
        <v>71</v>
      </c>
      <c r="J87" s="16">
        <f t="shared" si="1"/>
        <v>2</v>
      </c>
      <c r="K87" s="16" t="s">
        <v>657</v>
      </c>
      <c r="L87" s="16" t="s">
        <v>659</v>
      </c>
      <c r="M87" s="17">
        <v>104.26</v>
      </c>
      <c r="N87" s="18">
        <v>0.6</v>
      </c>
      <c r="O87" s="17">
        <v>62.56</v>
      </c>
      <c r="P87" s="16" t="s">
        <v>112</v>
      </c>
      <c r="Q87" s="15" t="s">
        <v>670</v>
      </c>
    </row>
    <row r="88" spans="1:17" x14ac:dyDescent="0.25">
      <c r="A88" s="16">
        <v>9213293</v>
      </c>
      <c r="B88" s="16" t="s">
        <v>248</v>
      </c>
      <c r="C88" s="16" t="s">
        <v>471</v>
      </c>
      <c r="D88" s="16" t="s">
        <v>472</v>
      </c>
      <c r="E88" s="16" t="s">
        <v>81</v>
      </c>
      <c r="F88" s="16" t="s">
        <v>108</v>
      </c>
      <c r="G88" s="16" t="s">
        <v>83</v>
      </c>
      <c r="H88" s="16" t="s">
        <v>460</v>
      </c>
      <c r="I88" s="16" t="s">
        <v>461</v>
      </c>
      <c r="J88" s="16">
        <f t="shared" si="1"/>
        <v>3</v>
      </c>
      <c r="K88" s="16" t="s">
        <v>657</v>
      </c>
      <c r="L88" s="16" t="s">
        <v>659</v>
      </c>
      <c r="M88" s="17">
        <v>16.149999999999999</v>
      </c>
      <c r="N88" s="18">
        <v>1.05</v>
      </c>
      <c r="O88" s="17">
        <v>16.96</v>
      </c>
      <c r="P88" s="16" t="s">
        <v>87</v>
      </c>
      <c r="Q88" s="15" t="s">
        <v>660</v>
      </c>
    </row>
    <row r="89" spans="1:17" x14ac:dyDescent="0.25">
      <c r="A89" s="16">
        <v>9213293</v>
      </c>
      <c r="B89" s="16" t="s">
        <v>248</v>
      </c>
      <c r="C89" s="16" t="s">
        <v>480</v>
      </c>
      <c r="D89" s="16" t="s">
        <v>481</v>
      </c>
      <c r="E89" s="16" t="s">
        <v>81</v>
      </c>
      <c r="F89" s="16" t="s">
        <v>108</v>
      </c>
      <c r="G89" s="16" t="s">
        <v>83</v>
      </c>
      <c r="H89" s="16" t="s">
        <v>460</v>
      </c>
      <c r="I89" s="16" t="s">
        <v>461</v>
      </c>
      <c r="J89" s="16">
        <f t="shared" si="1"/>
        <v>3</v>
      </c>
      <c r="K89" s="16" t="s">
        <v>657</v>
      </c>
      <c r="L89" s="16" t="s">
        <v>659</v>
      </c>
      <c r="M89" s="17">
        <v>17.93</v>
      </c>
      <c r="N89" s="18">
        <v>1.05</v>
      </c>
      <c r="O89" s="17">
        <v>18.829999999999998</v>
      </c>
      <c r="P89" s="16" t="s">
        <v>87</v>
      </c>
      <c r="Q89" s="15" t="s">
        <v>660</v>
      </c>
    </row>
    <row r="90" spans="1:17" x14ac:dyDescent="0.25">
      <c r="A90" s="16">
        <v>9079571</v>
      </c>
      <c r="B90" s="16" t="s">
        <v>78</v>
      </c>
      <c r="C90" s="16" t="s">
        <v>98</v>
      </c>
      <c r="D90" s="16" t="s">
        <v>99</v>
      </c>
      <c r="E90" s="16" t="s">
        <v>81</v>
      </c>
      <c r="F90" s="16" t="s">
        <v>68</v>
      </c>
      <c r="G90" s="16" t="s">
        <v>83</v>
      </c>
      <c r="H90" s="16" t="s">
        <v>101</v>
      </c>
      <c r="I90" s="16" t="s">
        <v>102</v>
      </c>
      <c r="J90" s="16">
        <f t="shared" si="1"/>
        <v>3</v>
      </c>
      <c r="K90" s="16" t="s">
        <v>657</v>
      </c>
      <c r="L90" s="16" t="s">
        <v>659</v>
      </c>
      <c r="M90" s="17">
        <v>17.72</v>
      </c>
      <c r="N90" s="18">
        <v>0.95</v>
      </c>
      <c r="O90" s="17">
        <v>16.829999999999998</v>
      </c>
      <c r="P90" s="16" t="s">
        <v>87</v>
      </c>
      <c r="Q90" s="15" t="s">
        <v>662</v>
      </c>
    </row>
    <row r="91" spans="1:17" x14ac:dyDescent="0.25">
      <c r="A91" s="16">
        <v>5442438</v>
      </c>
      <c r="B91" s="16" t="s">
        <v>134</v>
      </c>
      <c r="C91" s="16" t="s">
        <v>457</v>
      </c>
      <c r="D91" s="16" t="s">
        <v>458</v>
      </c>
      <c r="E91" s="16" t="s">
        <v>81</v>
      </c>
      <c r="F91" s="16" t="s">
        <v>68</v>
      </c>
      <c r="G91" s="16" t="s">
        <v>83</v>
      </c>
      <c r="H91" s="16" t="s">
        <v>460</v>
      </c>
      <c r="I91" s="16" t="s">
        <v>461</v>
      </c>
      <c r="J91" s="16">
        <f t="shared" si="1"/>
        <v>3</v>
      </c>
      <c r="K91" s="16" t="s">
        <v>657</v>
      </c>
      <c r="L91" s="16" t="s">
        <v>659</v>
      </c>
      <c r="M91" s="17">
        <v>101.26</v>
      </c>
      <c r="N91" s="18">
        <v>0.95</v>
      </c>
      <c r="O91" s="17">
        <v>96.2</v>
      </c>
      <c r="P91" s="16" t="s">
        <v>87</v>
      </c>
      <c r="Q91" s="15" t="s">
        <v>662</v>
      </c>
    </row>
    <row r="92" spans="1:17" x14ac:dyDescent="0.25">
      <c r="A92" s="16">
        <v>9213293</v>
      </c>
      <c r="B92" s="16" t="s">
        <v>248</v>
      </c>
      <c r="C92" s="16" t="s">
        <v>306</v>
      </c>
      <c r="D92" s="16" t="s">
        <v>307</v>
      </c>
      <c r="E92" s="16" t="s">
        <v>81</v>
      </c>
      <c r="F92" s="16" t="s">
        <v>108</v>
      </c>
      <c r="G92" s="16" t="s">
        <v>157</v>
      </c>
      <c r="H92" s="16" t="s">
        <v>309</v>
      </c>
      <c r="I92" s="16" t="s">
        <v>71</v>
      </c>
      <c r="J92" s="16">
        <f t="shared" si="1"/>
        <v>3</v>
      </c>
      <c r="K92" s="16" t="s">
        <v>657</v>
      </c>
      <c r="L92" s="16" t="s">
        <v>659</v>
      </c>
      <c r="M92" s="17">
        <v>11.04</v>
      </c>
      <c r="N92" s="18">
        <v>0.65</v>
      </c>
      <c r="O92" s="17">
        <v>7.18</v>
      </c>
      <c r="P92" s="16" t="s">
        <v>159</v>
      </c>
      <c r="Q92" s="15" t="s">
        <v>669</v>
      </c>
    </row>
    <row r="93" spans="1:17" x14ac:dyDescent="0.25">
      <c r="A93" s="16">
        <v>9213293</v>
      </c>
      <c r="B93" s="16" t="s">
        <v>248</v>
      </c>
      <c r="C93" s="16" t="s">
        <v>306</v>
      </c>
      <c r="D93" s="16" t="s">
        <v>307</v>
      </c>
      <c r="E93" s="16" t="s">
        <v>81</v>
      </c>
      <c r="F93" s="16" t="s">
        <v>108</v>
      </c>
      <c r="G93" s="16" t="s">
        <v>157</v>
      </c>
      <c r="H93" s="16" t="s">
        <v>309</v>
      </c>
      <c r="I93" s="16" t="s">
        <v>71</v>
      </c>
      <c r="J93" s="16">
        <f t="shared" si="1"/>
        <v>3</v>
      </c>
      <c r="K93" s="16" t="s">
        <v>657</v>
      </c>
      <c r="L93" s="16" t="s">
        <v>659</v>
      </c>
      <c r="M93" s="17">
        <v>29.5</v>
      </c>
      <c r="N93" s="18">
        <v>0.65</v>
      </c>
      <c r="O93" s="17">
        <v>19.18</v>
      </c>
      <c r="P93" s="16" t="s">
        <v>159</v>
      </c>
      <c r="Q93" s="15" t="s">
        <v>669</v>
      </c>
    </row>
    <row r="94" spans="1:17" x14ac:dyDescent="0.25">
      <c r="A94" s="16">
        <v>9213293</v>
      </c>
      <c r="B94" s="16" t="s">
        <v>248</v>
      </c>
      <c r="C94" s="16" t="s">
        <v>306</v>
      </c>
      <c r="D94" s="16" t="s">
        <v>307</v>
      </c>
      <c r="E94" s="16" t="s">
        <v>81</v>
      </c>
      <c r="F94" s="16" t="s">
        <v>108</v>
      </c>
      <c r="G94" s="16" t="s">
        <v>157</v>
      </c>
      <c r="H94" s="16" t="s">
        <v>309</v>
      </c>
      <c r="I94" s="16" t="s">
        <v>71</v>
      </c>
      <c r="J94" s="16">
        <f t="shared" si="1"/>
        <v>3</v>
      </c>
      <c r="K94" s="16" t="s">
        <v>657</v>
      </c>
      <c r="L94" s="16" t="s">
        <v>659</v>
      </c>
      <c r="M94" s="17">
        <v>14.17</v>
      </c>
      <c r="N94" s="18">
        <v>0.65</v>
      </c>
      <c r="O94" s="17">
        <v>9.2100000000000009</v>
      </c>
      <c r="P94" s="16" t="s">
        <v>159</v>
      </c>
      <c r="Q94" s="15" t="s">
        <v>669</v>
      </c>
    </row>
    <row r="95" spans="1:17" x14ac:dyDescent="0.25">
      <c r="A95" s="16">
        <v>9213293</v>
      </c>
      <c r="B95" s="16" t="s">
        <v>248</v>
      </c>
      <c r="C95" s="16" t="s">
        <v>306</v>
      </c>
      <c r="D95" s="16" t="s">
        <v>307</v>
      </c>
      <c r="E95" s="16" t="s">
        <v>81</v>
      </c>
      <c r="F95" s="16" t="s">
        <v>108</v>
      </c>
      <c r="G95" s="16" t="s">
        <v>157</v>
      </c>
      <c r="H95" s="16" t="s">
        <v>309</v>
      </c>
      <c r="I95" s="16" t="s">
        <v>71</v>
      </c>
      <c r="J95" s="16">
        <f t="shared" si="1"/>
        <v>3</v>
      </c>
      <c r="K95" s="16" t="s">
        <v>657</v>
      </c>
      <c r="L95" s="16" t="s">
        <v>659</v>
      </c>
      <c r="M95" s="17">
        <v>15.8</v>
      </c>
      <c r="N95" s="18">
        <v>0.65</v>
      </c>
      <c r="O95" s="17">
        <v>10.27</v>
      </c>
      <c r="P95" s="16" t="s">
        <v>159</v>
      </c>
      <c r="Q95" s="15" t="s">
        <v>669</v>
      </c>
    </row>
    <row r="96" spans="1:17" x14ac:dyDescent="0.25">
      <c r="A96" s="16">
        <v>9213293</v>
      </c>
      <c r="B96" s="16" t="s">
        <v>248</v>
      </c>
      <c r="C96" s="16" t="s">
        <v>527</v>
      </c>
      <c r="D96" s="16" t="s">
        <v>528</v>
      </c>
      <c r="E96" s="16" t="s">
        <v>81</v>
      </c>
      <c r="F96" s="16" t="s">
        <v>108</v>
      </c>
      <c r="G96" s="16" t="s">
        <v>157</v>
      </c>
      <c r="H96" s="16" t="s">
        <v>529</v>
      </c>
      <c r="I96" s="16" t="s">
        <v>278</v>
      </c>
      <c r="J96" s="16">
        <f t="shared" si="1"/>
        <v>3</v>
      </c>
      <c r="K96" s="16" t="s">
        <v>657</v>
      </c>
      <c r="L96" s="16" t="s">
        <v>659</v>
      </c>
      <c r="M96" s="17">
        <v>39.75</v>
      </c>
      <c r="N96" s="18">
        <v>0.65</v>
      </c>
      <c r="O96" s="17">
        <v>25.84</v>
      </c>
      <c r="P96" s="16" t="s">
        <v>159</v>
      </c>
      <c r="Q96" s="15" t="s">
        <v>669</v>
      </c>
    </row>
    <row r="97" spans="1:17" x14ac:dyDescent="0.25">
      <c r="A97" s="16">
        <v>9213293</v>
      </c>
      <c r="B97" s="16" t="s">
        <v>248</v>
      </c>
      <c r="C97" s="16" t="s">
        <v>530</v>
      </c>
      <c r="D97" s="16" t="s">
        <v>531</v>
      </c>
      <c r="E97" s="16" t="s">
        <v>81</v>
      </c>
      <c r="F97" s="16" t="s">
        <v>108</v>
      </c>
      <c r="G97" s="16" t="s">
        <v>157</v>
      </c>
      <c r="H97" s="16" t="s">
        <v>529</v>
      </c>
      <c r="I97" s="16" t="s">
        <v>278</v>
      </c>
      <c r="J97" s="16">
        <f t="shared" si="1"/>
        <v>3</v>
      </c>
      <c r="K97" s="16" t="s">
        <v>657</v>
      </c>
      <c r="L97" s="16" t="s">
        <v>659</v>
      </c>
      <c r="M97" s="17">
        <v>33.5</v>
      </c>
      <c r="N97" s="18">
        <v>0.65</v>
      </c>
      <c r="O97" s="17">
        <v>21.78</v>
      </c>
      <c r="P97" s="16" t="s">
        <v>159</v>
      </c>
      <c r="Q97" s="15" t="s">
        <v>669</v>
      </c>
    </row>
    <row r="98" spans="1:17" x14ac:dyDescent="0.25">
      <c r="A98" s="16">
        <v>9213293</v>
      </c>
      <c r="B98" s="16" t="s">
        <v>248</v>
      </c>
      <c r="C98" s="16" t="s">
        <v>310</v>
      </c>
      <c r="D98" s="16" t="s">
        <v>313</v>
      </c>
      <c r="E98" s="16" t="s">
        <v>81</v>
      </c>
      <c r="F98" s="16" t="s">
        <v>108</v>
      </c>
      <c r="G98" s="16" t="s">
        <v>83</v>
      </c>
      <c r="H98" s="16" t="s">
        <v>312</v>
      </c>
      <c r="I98" s="16" t="s">
        <v>84</v>
      </c>
      <c r="J98" s="16">
        <f t="shared" si="1"/>
        <v>4</v>
      </c>
      <c r="K98" s="16" t="s">
        <v>657</v>
      </c>
      <c r="L98" s="16" t="s">
        <v>659</v>
      </c>
      <c r="M98" s="17">
        <v>27.8</v>
      </c>
      <c r="N98" s="18">
        <v>1.05</v>
      </c>
      <c r="O98" s="17">
        <v>29.19</v>
      </c>
      <c r="P98" s="16" t="s">
        <v>87</v>
      </c>
      <c r="Q98" s="15" t="s">
        <v>660</v>
      </c>
    </row>
    <row r="99" spans="1:17" x14ac:dyDescent="0.25">
      <c r="A99" s="16">
        <v>5442438</v>
      </c>
      <c r="B99" s="16" t="s">
        <v>134</v>
      </c>
      <c r="C99" s="16" t="s">
        <v>437</v>
      </c>
      <c r="D99" s="16" t="s">
        <v>644</v>
      </c>
      <c r="E99" s="16" t="s">
        <v>81</v>
      </c>
      <c r="F99" s="16" t="s">
        <v>68</v>
      </c>
      <c r="G99" s="16" t="s">
        <v>83</v>
      </c>
      <c r="H99" s="16" t="s">
        <v>440</v>
      </c>
      <c r="I99" s="16" t="s">
        <v>441</v>
      </c>
      <c r="J99" s="16">
        <f t="shared" si="1"/>
        <v>4</v>
      </c>
      <c r="K99" s="16" t="s">
        <v>657</v>
      </c>
      <c r="L99" s="16" t="s">
        <v>659</v>
      </c>
      <c r="M99" s="17">
        <v>88.62</v>
      </c>
      <c r="N99" s="18">
        <v>0.95</v>
      </c>
      <c r="O99" s="17">
        <v>84.19</v>
      </c>
      <c r="P99" s="16" t="s">
        <v>87</v>
      </c>
      <c r="Q99" s="15" t="s">
        <v>662</v>
      </c>
    </row>
    <row r="100" spans="1:17" x14ac:dyDescent="0.25">
      <c r="A100" s="16">
        <v>9213293</v>
      </c>
      <c r="B100" s="16" t="s">
        <v>248</v>
      </c>
      <c r="C100" s="16" t="s">
        <v>453</v>
      </c>
      <c r="D100" s="16" t="s">
        <v>454</v>
      </c>
      <c r="E100" s="16" t="s">
        <v>81</v>
      </c>
      <c r="F100" s="16" t="s">
        <v>108</v>
      </c>
      <c r="G100" s="16" t="s">
        <v>94</v>
      </c>
      <c r="H100" s="16" t="s">
        <v>455</v>
      </c>
      <c r="I100" s="16" t="s">
        <v>456</v>
      </c>
      <c r="J100" s="16">
        <f t="shared" si="1"/>
        <v>4</v>
      </c>
      <c r="K100" s="16" t="s">
        <v>657</v>
      </c>
      <c r="L100" s="16" t="s">
        <v>659</v>
      </c>
      <c r="M100" s="17">
        <v>14.13</v>
      </c>
      <c r="N100" s="18">
        <v>1.05</v>
      </c>
      <c r="O100" s="17">
        <v>14.84</v>
      </c>
      <c r="P100" s="16" t="s">
        <v>97</v>
      </c>
      <c r="Q100" s="15" t="s">
        <v>660</v>
      </c>
    </row>
    <row r="101" spans="1:17" x14ac:dyDescent="0.25">
      <c r="A101" s="16">
        <v>5442438</v>
      </c>
      <c r="B101" s="16" t="s">
        <v>134</v>
      </c>
      <c r="C101" s="16" t="s">
        <v>437</v>
      </c>
      <c r="D101" s="16" t="s">
        <v>438</v>
      </c>
      <c r="E101" s="16" t="s">
        <v>81</v>
      </c>
      <c r="F101" s="16" t="s">
        <v>68</v>
      </c>
      <c r="G101" s="16" t="s">
        <v>94</v>
      </c>
      <c r="H101" s="16" t="s">
        <v>440</v>
      </c>
      <c r="I101" s="16" t="s">
        <v>441</v>
      </c>
      <c r="J101" s="16">
        <f t="shared" si="1"/>
        <v>4</v>
      </c>
      <c r="K101" s="16" t="s">
        <v>657</v>
      </c>
      <c r="L101" s="16" t="s">
        <v>659</v>
      </c>
      <c r="M101" s="17">
        <v>89.62</v>
      </c>
      <c r="N101" s="18">
        <v>0.95</v>
      </c>
      <c r="O101" s="17">
        <v>85.14</v>
      </c>
      <c r="P101" s="16" t="s">
        <v>97</v>
      </c>
      <c r="Q101" s="15" t="s">
        <v>668</v>
      </c>
    </row>
    <row r="102" spans="1:17" x14ac:dyDescent="0.25">
      <c r="A102" s="16">
        <v>9213293</v>
      </c>
      <c r="B102" s="16" t="s">
        <v>248</v>
      </c>
      <c r="C102" s="16" t="s">
        <v>310</v>
      </c>
      <c r="D102" s="16" t="s">
        <v>311</v>
      </c>
      <c r="E102" s="16" t="s">
        <v>81</v>
      </c>
      <c r="F102" s="16" t="s">
        <v>108</v>
      </c>
      <c r="G102" s="16" t="s">
        <v>157</v>
      </c>
      <c r="H102" s="16" t="s">
        <v>312</v>
      </c>
      <c r="I102" s="16" t="s">
        <v>84</v>
      </c>
      <c r="J102" s="16">
        <f t="shared" si="1"/>
        <v>4</v>
      </c>
      <c r="K102" s="16" t="s">
        <v>657</v>
      </c>
      <c r="L102" s="16" t="s">
        <v>659</v>
      </c>
      <c r="M102" s="17">
        <v>39.33</v>
      </c>
      <c r="N102" s="18">
        <v>0.65</v>
      </c>
      <c r="O102" s="17">
        <v>25.56</v>
      </c>
      <c r="P102" s="16" t="s">
        <v>159</v>
      </c>
      <c r="Q102" s="15" t="s">
        <v>669</v>
      </c>
    </row>
    <row r="103" spans="1:17" x14ac:dyDescent="0.25">
      <c r="A103" s="16">
        <v>5442438</v>
      </c>
      <c r="B103" s="16" t="s">
        <v>134</v>
      </c>
      <c r="C103" s="16" t="s">
        <v>437</v>
      </c>
      <c r="D103" s="16" t="s">
        <v>643</v>
      </c>
      <c r="E103" s="16" t="s">
        <v>81</v>
      </c>
      <c r="F103" s="16" t="s">
        <v>68</v>
      </c>
      <c r="G103" s="16" t="s">
        <v>109</v>
      </c>
      <c r="H103" s="16" t="s">
        <v>440</v>
      </c>
      <c r="I103" s="16" t="s">
        <v>441</v>
      </c>
      <c r="J103" s="16">
        <f t="shared" si="1"/>
        <v>4</v>
      </c>
      <c r="K103" s="16" t="s">
        <v>657</v>
      </c>
      <c r="L103" s="16" t="s">
        <v>659</v>
      </c>
      <c r="M103" s="17">
        <v>66.260000000000005</v>
      </c>
      <c r="N103" s="18">
        <v>0.6</v>
      </c>
      <c r="O103" s="17">
        <v>39.76</v>
      </c>
      <c r="P103" s="16" t="s">
        <v>112</v>
      </c>
      <c r="Q103" s="15" t="s">
        <v>670</v>
      </c>
    </row>
    <row r="104" spans="1:17" x14ac:dyDescent="0.25">
      <c r="A104" s="16" t="s">
        <v>647</v>
      </c>
      <c r="B104" s="16" t="s">
        <v>238</v>
      </c>
      <c r="C104" s="16" t="s">
        <v>561</v>
      </c>
      <c r="D104" s="16" t="s">
        <v>562</v>
      </c>
      <c r="E104" s="16" t="s">
        <v>81</v>
      </c>
      <c r="F104" s="16" t="s">
        <v>128</v>
      </c>
      <c r="G104" s="16" t="s">
        <v>83</v>
      </c>
      <c r="H104" s="16" t="s">
        <v>445</v>
      </c>
      <c r="I104" s="16" t="s">
        <v>71</v>
      </c>
      <c r="J104" s="16">
        <f t="shared" si="1"/>
        <v>5</v>
      </c>
      <c r="K104" s="16" t="s">
        <v>657</v>
      </c>
      <c r="L104" s="16" t="s">
        <v>659</v>
      </c>
      <c r="M104" s="17">
        <v>53.15</v>
      </c>
      <c r="N104" s="18">
        <v>1.05</v>
      </c>
      <c r="O104" s="17">
        <v>55.81</v>
      </c>
      <c r="P104" s="16" t="s">
        <v>87</v>
      </c>
      <c r="Q104" s="15" t="s">
        <v>660</v>
      </c>
    </row>
    <row r="105" spans="1:17" x14ac:dyDescent="0.25">
      <c r="A105" s="16">
        <v>21564088</v>
      </c>
      <c r="B105" s="16" t="s">
        <v>89</v>
      </c>
      <c r="C105" s="16" t="s">
        <v>442</v>
      </c>
      <c r="D105" s="16" t="s">
        <v>443</v>
      </c>
      <c r="E105" s="16" t="s">
        <v>81</v>
      </c>
      <c r="F105" s="16" t="s">
        <v>93</v>
      </c>
      <c r="G105" s="16" t="s">
        <v>83</v>
      </c>
      <c r="H105" s="16" t="s">
        <v>445</v>
      </c>
      <c r="I105" s="16" t="s">
        <v>71</v>
      </c>
      <c r="J105" s="16">
        <f t="shared" si="1"/>
        <v>5</v>
      </c>
      <c r="K105" s="16" t="s">
        <v>657</v>
      </c>
      <c r="L105" s="16" t="s">
        <v>659</v>
      </c>
      <c r="M105" s="17">
        <v>52.7</v>
      </c>
      <c r="N105" s="18">
        <v>1</v>
      </c>
      <c r="O105" s="17">
        <v>52.7</v>
      </c>
      <c r="P105" s="16" t="s">
        <v>87</v>
      </c>
      <c r="Q105" s="15" t="s">
        <v>661</v>
      </c>
    </row>
    <row r="106" spans="1:17" x14ac:dyDescent="0.25">
      <c r="A106" s="16">
        <v>21564088</v>
      </c>
      <c r="B106" s="16" t="s">
        <v>89</v>
      </c>
      <c r="C106" s="16" t="s">
        <v>442</v>
      </c>
      <c r="D106" s="16" t="s">
        <v>638</v>
      </c>
      <c r="E106" s="16" t="s">
        <v>81</v>
      </c>
      <c r="F106" s="16" t="s">
        <v>93</v>
      </c>
      <c r="G106" s="16" t="s">
        <v>94</v>
      </c>
      <c r="H106" s="16" t="s">
        <v>445</v>
      </c>
      <c r="I106" s="16" t="s">
        <v>71</v>
      </c>
      <c r="J106" s="16">
        <f t="shared" si="1"/>
        <v>5</v>
      </c>
      <c r="K106" s="16" t="s">
        <v>657</v>
      </c>
      <c r="L106" s="16" t="s">
        <v>659</v>
      </c>
      <c r="M106" s="17">
        <v>31.42</v>
      </c>
      <c r="N106" s="18">
        <v>1</v>
      </c>
      <c r="O106" s="17">
        <v>31.42</v>
      </c>
      <c r="P106" s="16" t="s">
        <v>97</v>
      </c>
      <c r="Q106" s="15" t="s">
        <v>661</v>
      </c>
    </row>
    <row r="107" spans="1:17" x14ac:dyDescent="0.25">
      <c r="A107" s="16">
        <v>9079571</v>
      </c>
      <c r="B107" s="16" t="s">
        <v>78</v>
      </c>
      <c r="C107" s="16" t="s">
        <v>394</v>
      </c>
      <c r="D107" s="16" t="s">
        <v>395</v>
      </c>
      <c r="E107" s="16" t="s">
        <v>81</v>
      </c>
      <c r="F107" s="16" t="s">
        <v>68</v>
      </c>
      <c r="G107" s="16" t="s">
        <v>83</v>
      </c>
      <c r="H107" s="16" t="s">
        <v>396</v>
      </c>
      <c r="I107" s="16" t="s">
        <v>84</v>
      </c>
      <c r="J107" s="16">
        <f t="shared" si="1"/>
        <v>6</v>
      </c>
      <c r="K107" s="16" t="s">
        <v>657</v>
      </c>
      <c r="L107" s="16" t="s">
        <v>659</v>
      </c>
      <c r="M107" s="17">
        <v>26.05</v>
      </c>
      <c r="N107" s="18">
        <v>0.95</v>
      </c>
      <c r="O107" s="17">
        <v>24.75</v>
      </c>
      <c r="P107" s="16" t="s">
        <v>87</v>
      </c>
      <c r="Q107" s="15" t="s">
        <v>662</v>
      </c>
    </row>
    <row r="108" spans="1:17" x14ac:dyDescent="0.25">
      <c r="A108" s="16">
        <v>5442438</v>
      </c>
      <c r="B108" s="16" t="s">
        <v>134</v>
      </c>
      <c r="C108" s="16" t="s">
        <v>502</v>
      </c>
      <c r="D108" s="16" t="s">
        <v>503</v>
      </c>
      <c r="E108" s="16" t="s">
        <v>81</v>
      </c>
      <c r="F108" s="16" t="s">
        <v>68</v>
      </c>
      <c r="G108" s="16" t="s">
        <v>235</v>
      </c>
      <c r="H108" s="16" t="s">
        <v>505</v>
      </c>
      <c r="I108" s="16" t="s">
        <v>180</v>
      </c>
      <c r="J108" s="16">
        <f t="shared" si="1"/>
        <v>7</v>
      </c>
      <c r="K108" s="16" t="s">
        <v>657</v>
      </c>
      <c r="L108" s="16" t="s">
        <v>659</v>
      </c>
      <c r="M108" s="17">
        <v>111.58</v>
      </c>
      <c r="N108" s="18">
        <v>0.95</v>
      </c>
      <c r="O108" s="17">
        <v>106</v>
      </c>
      <c r="P108" s="16" t="s">
        <v>236</v>
      </c>
      <c r="Q108" s="15" t="s">
        <v>662</v>
      </c>
    </row>
    <row r="109" spans="1:17" x14ac:dyDescent="0.25">
      <c r="A109" s="16">
        <v>9079571</v>
      </c>
      <c r="B109" s="16" t="s">
        <v>78</v>
      </c>
      <c r="C109" s="16" t="s">
        <v>139</v>
      </c>
      <c r="D109" s="16" t="s">
        <v>140</v>
      </c>
      <c r="E109" s="16" t="s">
        <v>81</v>
      </c>
      <c r="F109" s="16" t="s">
        <v>68</v>
      </c>
      <c r="G109" s="16" t="s">
        <v>83</v>
      </c>
      <c r="H109" s="16" t="s">
        <v>141</v>
      </c>
      <c r="I109" s="16" t="s">
        <v>7</v>
      </c>
      <c r="J109" s="16">
        <f t="shared" si="1"/>
        <v>7</v>
      </c>
      <c r="K109" s="16" t="s">
        <v>657</v>
      </c>
      <c r="L109" s="16" t="s">
        <v>659</v>
      </c>
      <c r="M109" s="17">
        <v>64.989999999999995</v>
      </c>
      <c r="N109" s="18">
        <v>0.95</v>
      </c>
      <c r="O109" s="17">
        <v>61.74</v>
      </c>
      <c r="P109" s="16" t="s">
        <v>87</v>
      </c>
      <c r="Q109" s="15" t="s">
        <v>662</v>
      </c>
    </row>
    <row r="110" spans="1:17" x14ac:dyDescent="0.25">
      <c r="A110" s="16">
        <v>9079571</v>
      </c>
      <c r="B110" s="16" t="s">
        <v>78</v>
      </c>
      <c r="C110" s="16" t="s">
        <v>145</v>
      </c>
      <c r="D110" s="16" t="s">
        <v>146</v>
      </c>
      <c r="E110" s="16" t="s">
        <v>81</v>
      </c>
      <c r="F110" s="16" t="s">
        <v>68</v>
      </c>
      <c r="G110" s="16" t="s">
        <v>83</v>
      </c>
      <c r="H110" s="16" t="s">
        <v>141</v>
      </c>
      <c r="I110" s="16" t="s">
        <v>7</v>
      </c>
      <c r="J110" s="16">
        <f t="shared" si="1"/>
        <v>7</v>
      </c>
      <c r="K110" s="16" t="s">
        <v>657</v>
      </c>
      <c r="L110" s="16" t="s">
        <v>659</v>
      </c>
      <c r="M110" s="17">
        <v>28.27</v>
      </c>
      <c r="N110" s="18">
        <v>0.95</v>
      </c>
      <c r="O110" s="17">
        <v>26.86</v>
      </c>
      <c r="P110" s="16" t="s">
        <v>87</v>
      </c>
      <c r="Q110" s="15" t="s">
        <v>662</v>
      </c>
    </row>
    <row r="111" spans="1:17" x14ac:dyDescent="0.25">
      <c r="A111" s="16">
        <v>5442438</v>
      </c>
      <c r="B111" s="16" t="s">
        <v>134</v>
      </c>
      <c r="C111" s="16" t="s">
        <v>502</v>
      </c>
      <c r="D111" s="16" t="s">
        <v>551</v>
      </c>
      <c r="E111" s="16" t="s">
        <v>81</v>
      </c>
      <c r="F111" s="16" t="s">
        <v>68</v>
      </c>
      <c r="G111" s="16" t="s">
        <v>94</v>
      </c>
      <c r="H111" s="16" t="s">
        <v>505</v>
      </c>
      <c r="I111" s="16" t="s">
        <v>180</v>
      </c>
      <c r="J111" s="16">
        <f t="shared" si="1"/>
        <v>7</v>
      </c>
      <c r="K111" s="16" t="s">
        <v>657</v>
      </c>
      <c r="L111" s="16" t="s">
        <v>659</v>
      </c>
      <c r="M111" s="17">
        <v>123.75</v>
      </c>
      <c r="N111" s="18">
        <v>0.95</v>
      </c>
      <c r="O111" s="17">
        <v>117.56</v>
      </c>
      <c r="P111" s="16" t="s">
        <v>97</v>
      </c>
      <c r="Q111" s="15" t="s">
        <v>668</v>
      </c>
    </row>
    <row r="112" spans="1:17" x14ac:dyDescent="0.25">
      <c r="A112" s="16">
        <v>19278370</v>
      </c>
      <c r="B112" s="16" t="s">
        <v>258</v>
      </c>
      <c r="C112" s="16" t="s">
        <v>259</v>
      </c>
      <c r="D112" s="16" t="s">
        <v>260</v>
      </c>
      <c r="E112" s="16" t="s">
        <v>81</v>
      </c>
      <c r="F112" s="16" t="s">
        <v>128</v>
      </c>
      <c r="G112" s="16" t="s">
        <v>69</v>
      </c>
      <c r="H112" s="16" t="s">
        <v>262</v>
      </c>
      <c r="I112" s="16" t="s">
        <v>71</v>
      </c>
      <c r="J112" s="16">
        <f t="shared" si="1"/>
        <v>7</v>
      </c>
      <c r="K112" s="16" t="s">
        <v>657</v>
      </c>
      <c r="L112" s="16" t="s">
        <v>659</v>
      </c>
      <c r="M112" s="17">
        <v>179.34</v>
      </c>
      <c r="N112" s="18">
        <v>0.26</v>
      </c>
      <c r="O112" s="17">
        <v>46.63</v>
      </c>
      <c r="P112" s="16" t="s">
        <v>76</v>
      </c>
      <c r="Q112" s="15" t="s">
        <v>69</v>
      </c>
    </row>
    <row r="113" spans="1:17" x14ac:dyDescent="0.25">
      <c r="A113" s="16">
        <v>5442438</v>
      </c>
      <c r="B113" s="16" t="s">
        <v>134</v>
      </c>
      <c r="C113" s="16" t="s">
        <v>135</v>
      </c>
      <c r="D113" s="16" t="s">
        <v>144</v>
      </c>
      <c r="E113" s="16" t="s">
        <v>81</v>
      </c>
      <c r="F113" s="16" t="s">
        <v>68</v>
      </c>
      <c r="G113" s="16" t="s">
        <v>83</v>
      </c>
      <c r="H113" s="16" t="s">
        <v>138</v>
      </c>
      <c r="I113" s="16" t="s">
        <v>7</v>
      </c>
      <c r="J113" s="16">
        <f t="shared" si="1"/>
        <v>8</v>
      </c>
      <c r="K113" s="16" t="s">
        <v>657</v>
      </c>
      <c r="L113" s="16" t="s">
        <v>659</v>
      </c>
      <c r="M113" s="17">
        <v>98.41</v>
      </c>
      <c r="N113" s="18">
        <v>0.95</v>
      </c>
      <c r="O113" s="17">
        <v>93.49</v>
      </c>
      <c r="P113" s="16" t="s">
        <v>87</v>
      </c>
      <c r="Q113" s="15" t="s">
        <v>662</v>
      </c>
    </row>
    <row r="114" spans="1:17" x14ac:dyDescent="0.25">
      <c r="A114" s="16">
        <v>5442438</v>
      </c>
      <c r="B114" s="16" t="s">
        <v>134</v>
      </c>
      <c r="C114" s="16" t="s">
        <v>135</v>
      </c>
      <c r="D114" s="16" t="s">
        <v>136</v>
      </c>
      <c r="E114" s="16" t="s">
        <v>81</v>
      </c>
      <c r="F114" s="16" t="s">
        <v>68</v>
      </c>
      <c r="G114" s="16" t="s">
        <v>94</v>
      </c>
      <c r="H114" s="16" t="s">
        <v>138</v>
      </c>
      <c r="I114" s="16" t="s">
        <v>7</v>
      </c>
      <c r="J114" s="16">
        <f t="shared" si="1"/>
        <v>8</v>
      </c>
      <c r="K114" s="16" t="s">
        <v>657</v>
      </c>
      <c r="L114" s="16" t="s">
        <v>659</v>
      </c>
      <c r="M114" s="17">
        <v>95.41</v>
      </c>
      <c r="N114" s="18">
        <v>0.95</v>
      </c>
      <c r="O114" s="17">
        <v>90.64</v>
      </c>
      <c r="P114" s="16" t="s">
        <v>97</v>
      </c>
      <c r="Q114" s="15" t="s">
        <v>668</v>
      </c>
    </row>
    <row r="115" spans="1:17" x14ac:dyDescent="0.25">
      <c r="A115" s="16">
        <v>5442438</v>
      </c>
      <c r="B115" s="16" t="s">
        <v>134</v>
      </c>
      <c r="C115" s="16" t="s">
        <v>135</v>
      </c>
      <c r="D115" s="16" t="s">
        <v>142</v>
      </c>
      <c r="E115" s="16" t="s">
        <v>81</v>
      </c>
      <c r="F115" s="16" t="s">
        <v>68</v>
      </c>
      <c r="G115" s="16" t="s">
        <v>109</v>
      </c>
      <c r="H115" s="16" t="s">
        <v>138</v>
      </c>
      <c r="I115" s="16" t="s">
        <v>7</v>
      </c>
      <c r="J115" s="16">
        <f t="shared" si="1"/>
        <v>8</v>
      </c>
      <c r="K115" s="16" t="s">
        <v>657</v>
      </c>
      <c r="L115" s="16" t="s">
        <v>659</v>
      </c>
      <c r="M115" s="17">
        <v>20.63</v>
      </c>
      <c r="N115" s="18">
        <v>0.6</v>
      </c>
      <c r="O115" s="17">
        <v>12.38</v>
      </c>
      <c r="P115" s="16" t="s">
        <v>112</v>
      </c>
      <c r="Q115" s="15" t="s">
        <v>670</v>
      </c>
    </row>
    <row r="116" spans="1:17" x14ac:dyDescent="0.25">
      <c r="A116" s="16">
        <v>5442438</v>
      </c>
      <c r="B116" s="16" t="s">
        <v>134</v>
      </c>
      <c r="C116" s="16" t="s">
        <v>135</v>
      </c>
      <c r="D116" s="16" t="s">
        <v>142</v>
      </c>
      <c r="E116" s="16" t="s">
        <v>81</v>
      </c>
      <c r="F116" s="16" t="s">
        <v>68</v>
      </c>
      <c r="G116" s="16" t="s">
        <v>109</v>
      </c>
      <c r="H116" s="16" t="s">
        <v>138</v>
      </c>
      <c r="I116" s="16" t="s">
        <v>7</v>
      </c>
      <c r="J116" s="16">
        <f t="shared" si="1"/>
        <v>8</v>
      </c>
      <c r="K116" s="16" t="s">
        <v>657</v>
      </c>
      <c r="L116" s="16" t="s">
        <v>659</v>
      </c>
      <c r="M116" s="17">
        <v>34.83</v>
      </c>
      <c r="N116" s="18">
        <v>0.6</v>
      </c>
      <c r="O116" s="17">
        <v>20.9</v>
      </c>
      <c r="P116" s="16" t="s">
        <v>112</v>
      </c>
      <c r="Q116" s="15" t="s">
        <v>670</v>
      </c>
    </row>
    <row r="117" spans="1:17" x14ac:dyDescent="0.25">
      <c r="A117" s="16">
        <v>5442438</v>
      </c>
      <c r="B117" s="16" t="s">
        <v>134</v>
      </c>
      <c r="C117" s="16" t="s">
        <v>135</v>
      </c>
      <c r="D117" s="16" t="s">
        <v>142</v>
      </c>
      <c r="E117" s="16" t="s">
        <v>81</v>
      </c>
      <c r="F117" s="16" t="s">
        <v>68</v>
      </c>
      <c r="G117" s="16" t="s">
        <v>109</v>
      </c>
      <c r="H117" s="16" t="s">
        <v>138</v>
      </c>
      <c r="I117" s="16" t="s">
        <v>7</v>
      </c>
      <c r="J117" s="16">
        <f t="shared" si="1"/>
        <v>8</v>
      </c>
      <c r="K117" s="16" t="s">
        <v>657</v>
      </c>
      <c r="L117" s="16" t="s">
        <v>659</v>
      </c>
      <c r="M117" s="17">
        <v>23.7</v>
      </c>
      <c r="N117" s="18">
        <v>0.6</v>
      </c>
      <c r="O117" s="17">
        <v>14.22</v>
      </c>
      <c r="P117" s="16" t="s">
        <v>112</v>
      </c>
      <c r="Q117" s="15" t="s">
        <v>670</v>
      </c>
    </row>
    <row r="118" spans="1:17" x14ac:dyDescent="0.25">
      <c r="A118" s="16">
        <v>9079571</v>
      </c>
      <c r="B118" s="16" t="s">
        <v>78</v>
      </c>
      <c r="C118" s="16" t="s">
        <v>79</v>
      </c>
      <c r="D118" s="16" t="s">
        <v>80</v>
      </c>
      <c r="E118" s="16" t="s">
        <v>81</v>
      </c>
      <c r="F118" s="16" t="s">
        <v>68</v>
      </c>
      <c r="G118" s="16" t="s">
        <v>83</v>
      </c>
      <c r="H118" s="16" t="s">
        <v>82</v>
      </c>
      <c r="I118" s="16" t="s">
        <v>84</v>
      </c>
      <c r="J118" s="16">
        <f t="shared" si="1"/>
        <v>9</v>
      </c>
      <c r="K118" s="16" t="s">
        <v>657</v>
      </c>
      <c r="L118" s="16" t="s">
        <v>659</v>
      </c>
      <c r="M118" s="17">
        <v>36.770000000000003</v>
      </c>
      <c r="N118" s="18">
        <v>0.95</v>
      </c>
      <c r="O118" s="17">
        <v>34.93</v>
      </c>
      <c r="P118" s="16" t="s">
        <v>87</v>
      </c>
      <c r="Q118" s="15" t="s">
        <v>662</v>
      </c>
    </row>
    <row r="119" spans="1:17" x14ac:dyDescent="0.25">
      <c r="A119" s="16">
        <v>9079571</v>
      </c>
      <c r="B119" s="16" t="s">
        <v>78</v>
      </c>
      <c r="C119" s="16" t="s">
        <v>319</v>
      </c>
      <c r="D119" s="16" t="s">
        <v>320</v>
      </c>
      <c r="E119" s="16" t="s">
        <v>81</v>
      </c>
      <c r="F119" s="16" t="s">
        <v>68</v>
      </c>
      <c r="G119" s="16" t="s">
        <v>83</v>
      </c>
      <c r="H119" s="16" t="s">
        <v>82</v>
      </c>
      <c r="I119" s="16" t="s">
        <v>84</v>
      </c>
      <c r="J119" s="16">
        <f t="shared" si="1"/>
        <v>9</v>
      </c>
      <c r="K119" s="16" t="s">
        <v>657</v>
      </c>
      <c r="L119" s="16" t="s">
        <v>659</v>
      </c>
      <c r="M119" s="17">
        <v>23.22</v>
      </c>
      <c r="N119" s="18">
        <v>0.95</v>
      </c>
      <c r="O119" s="17">
        <v>22.06</v>
      </c>
      <c r="P119" s="16" t="s">
        <v>87</v>
      </c>
      <c r="Q119" s="15" t="s">
        <v>662</v>
      </c>
    </row>
    <row r="120" spans="1:17" x14ac:dyDescent="0.25">
      <c r="A120" s="16">
        <v>9079571</v>
      </c>
      <c r="B120" s="16" t="s">
        <v>78</v>
      </c>
      <c r="C120" s="16" t="s">
        <v>228</v>
      </c>
      <c r="D120" s="16" t="s">
        <v>229</v>
      </c>
      <c r="E120" s="16" t="s">
        <v>81</v>
      </c>
      <c r="F120" s="16" t="s">
        <v>68</v>
      </c>
      <c r="G120" s="16" t="s">
        <v>94</v>
      </c>
      <c r="H120" s="16" t="s">
        <v>230</v>
      </c>
      <c r="I120" s="16" t="s">
        <v>102</v>
      </c>
      <c r="J120" s="16">
        <f t="shared" si="1"/>
        <v>9</v>
      </c>
      <c r="K120" s="16" t="s">
        <v>657</v>
      </c>
      <c r="L120" s="16" t="s">
        <v>659</v>
      </c>
      <c r="M120" s="17">
        <v>19.079999999999998</v>
      </c>
      <c r="N120" s="18">
        <v>0.95</v>
      </c>
      <c r="O120" s="17">
        <v>18.13</v>
      </c>
      <c r="P120" s="16" t="s">
        <v>97</v>
      </c>
      <c r="Q120" s="15" t="s">
        <v>668</v>
      </c>
    </row>
    <row r="121" spans="1:17" x14ac:dyDescent="0.25">
      <c r="A121" s="16">
        <v>9079571</v>
      </c>
      <c r="B121" s="16" t="s">
        <v>78</v>
      </c>
      <c r="C121" s="16" t="s">
        <v>79</v>
      </c>
      <c r="D121" s="16" t="s">
        <v>330</v>
      </c>
      <c r="E121" s="16" t="s">
        <v>81</v>
      </c>
      <c r="F121" s="16" t="s">
        <v>68</v>
      </c>
      <c r="G121" s="16" t="s">
        <v>94</v>
      </c>
      <c r="H121" s="16" t="s">
        <v>82</v>
      </c>
      <c r="I121" s="16" t="s">
        <v>84</v>
      </c>
      <c r="J121" s="16">
        <f t="shared" si="1"/>
        <v>9</v>
      </c>
      <c r="K121" s="16" t="s">
        <v>657</v>
      </c>
      <c r="L121" s="16" t="s">
        <v>659</v>
      </c>
      <c r="M121" s="17">
        <v>35.630000000000003</v>
      </c>
      <c r="N121" s="18">
        <v>0.95</v>
      </c>
      <c r="O121" s="17">
        <v>33.85</v>
      </c>
      <c r="P121" s="16" t="s">
        <v>97</v>
      </c>
      <c r="Q121" s="15" t="s">
        <v>668</v>
      </c>
    </row>
    <row r="122" spans="1:17" x14ac:dyDescent="0.25">
      <c r="A122" s="16">
        <v>18754354</v>
      </c>
      <c r="B122" s="16" t="s">
        <v>332</v>
      </c>
      <c r="C122" s="16" t="s">
        <v>333</v>
      </c>
      <c r="D122" s="16" t="s">
        <v>334</v>
      </c>
      <c r="E122" s="16" t="s">
        <v>81</v>
      </c>
      <c r="F122" s="16" t="s">
        <v>108</v>
      </c>
      <c r="G122" s="16" t="s">
        <v>83</v>
      </c>
      <c r="H122" s="16" t="s">
        <v>198</v>
      </c>
      <c r="I122" s="16" t="s">
        <v>436</v>
      </c>
      <c r="J122" s="16">
        <f t="shared" si="1"/>
        <v>10</v>
      </c>
      <c r="K122" s="16" t="s">
        <v>657</v>
      </c>
      <c r="L122" s="16" t="s">
        <v>659</v>
      </c>
      <c r="M122" s="17">
        <v>44.29</v>
      </c>
      <c r="N122" s="18">
        <v>1</v>
      </c>
      <c r="O122" s="17">
        <v>44.29</v>
      </c>
      <c r="P122" s="16" t="s">
        <v>87</v>
      </c>
      <c r="Q122" s="15" t="s">
        <v>661</v>
      </c>
    </row>
    <row r="123" spans="1:17" x14ac:dyDescent="0.25">
      <c r="A123" s="16">
        <v>18754354</v>
      </c>
      <c r="B123" s="16" t="s">
        <v>332</v>
      </c>
      <c r="C123" s="16" t="s">
        <v>333</v>
      </c>
      <c r="D123" s="16" t="s">
        <v>334</v>
      </c>
      <c r="E123" s="16" t="s">
        <v>81</v>
      </c>
      <c r="F123" s="16" t="s">
        <v>108</v>
      </c>
      <c r="G123" s="16" t="s">
        <v>83</v>
      </c>
      <c r="H123" s="16" t="s">
        <v>198</v>
      </c>
      <c r="I123" s="16" t="s">
        <v>71</v>
      </c>
      <c r="J123" s="16">
        <f t="shared" si="1"/>
        <v>11</v>
      </c>
      <c r="K123" s="16" t="s">
        <v>657</v>
      </c>
      <c r="L123" s="16" t="s">
        <v>659</v>
      </c>
      <c r="M123" s="17">
        <v>-44.29</v>
      </c>
      <c r="N123" s="18">
        <v>1</v>
      </c>
      <c r="O123" s="17">
        <v>-44.29</v>
      </c>
      <c r="P123" s="16" t="s">
        <v>87</v>
      </c>
      <c r="Q123" s="15" t="s">
        <v>661</v>
      </c>
    </row>
    <row r="124" spans="1:17" x14ac:dyDescent="0.25">
      <c r="A124" s="16">
        <v>18754354</v>
      </c>
      <c r="B124" s="16" t="s">
        <v>332</v>
      </c>
      <c r="C124" s="16" t="s">
        <v>639</v>
      </c>
      <c r="D124" s="16" t="s">
        <v>645</v>
      </c>
      <c r="E124" s="16" t="s">
        <v>81</v>
      </c>
      <c r="F124" s="16" t="s">
        <v>108</v>
      </c>
      <c r="G124" s="16" t="s">
        <v>83</v>
      </c>
      <c r="H124" s="16" t="s">
        <v>642</v>
      </c>
      <c r="I124" s="16" t="s">
        <v>375</v>
      </c>
      <c r="J124" s="16">
        <f t="shared" si="1"/>
        <v>11</v>
      </c>
      <c r="K124" s="16" t="s">
        <v>657</v>
      </c>
      <c r="L124" s="16" t="s">
        <v>659</v>
      </c>
      <c r="M124" s="17">
        <v>33.75</v>
      </c>
      <c r="N124" s="18">
        <v>1</v>
      </c>
      <c r="O124" s="17">
        <v>33.75</v>
      </c>
      <c r="P124" s="16" t="s">
        <v>87</v>
      </c>
      <c r="Q124" s="15" t="s">
        <v>661</v>
      </c>
    </row>
    <row r="125" spans="1:17" x14ac:dyDescent="0.25">
      <c r="A125" s="16">
        <v>1706194</v>
      </c>
      <c r="B125" s="16" t="s">
        <v>222</v>
      </c>
      <c r="C125" s="16" t="s">
        <v>364</v>
      </c>
      <c r="D125" s="16" t="s">
        <v>368</v>
      </c>
      <c r="E125" s="16" t="s">
        <v>81</v>
      </c>
      <c r="F125" s="16" t="s">
        <v>367</v>
      </c>
      <c r="G125" s="16" t="s">
        <v>83</v>
      </c>
      <c r="H125" s="16" t="s">
        <v>198</v>
      </c>
      <c r="I125" s="16" t="s">
        <v>71</v>
      </c>
      <c r="J125" s="16">
        <f t="shared" si="1"/>
        <v>11</v>
      </c>
      <c r="K125" s="16" t="s">
        <v>657</v>
      </c>
      <c r="L125" s="16" t="s">
        <v>659</v>
      </c>
      <c r="M125" s="17">
        <v>62.78</v>
      </c>
      <c r="N125" s="18">
        <v>0.95</v>
      </c>
      <c r="O125" s="17">
        <v>59.64</v>
      </c>
      <c r="P125" s="16" t="s">
        <v>87</v>
      </c>
      <c r="Q125" s="15" t="s">
        <v>662</v>
      </c>
    </row>
    <row r="126" spans="1:17" x14ac:dyDescent="0.25">
      <c r="A126" s="16">
        <v>9079571</v>
      </c>
      <c r="B126" s="16" t="s">
        <v>78</v>
      </c>
      <c r="C126" s="16" t="s">
        <v>468</v>
      </c>
      <c r="D126" s="16" t="s">
        <v>469</v>
      </c>
      <c r="E126" s="16" t="s">
        <v>81</v>
      </c>
      <c r="F126" s="16" t="s">
        <v>68</v>
      </c>
      <c r="G126" s="16" t="s">
        <v>118</v>
      </c>
      <c r="H126" s="16" t="s">
        <v>198</v>
      </c>
      <c r="I126" s="16" t="s">
        <v>71</v>
      </c>
      <c r="J126" s="16">
        <f t="shared" si="1"/>
        <v>11</v>
      </c>
      <c r="K126" s="16" t="s">
        <v>657</v>
      </c>
      <c r="L126" s="16" t="s">
        <v>659</v>
      </c>
      <c r="M126" s="17">
        <v>-27.63</v>
      </c>
      <c r="N126" s="18">
        <v>0.56999999999999995</v>
      </c>
      <c r="O126" s="17">
        <v>-15.75</v>
      </c>
      <c r="P126" s="16" t="s">
        <v>122</v>
      </c>
      <c r="Q126" s="15" t="s">
        <v>664</v>
      </c>
    </row>
    <row r="127" spans="1:17" x14ac:dyDescent="0.25">
      <c r="A127" s="16">
        <v>6115727</v>
      </c>
      <c r="B127" s="16" t="s">
        <v>419</v>
      </c>
      <c r="C127" s="16" t="s">
        <v>579</v>
      </c>
      <c r="D127" s="16" t="s">
        <v>580</v>
      </c>
      <c r="E127" s="16" t="s">
        <v>81</v>
      </c>
      <c r="F127" s="16" t="s">
        <v>68</v>
      </c>
      <c r="G127" s="16" t="s">
        <v>118</v>
      </c>
      <c r="H127" s="16" t="s">
        <v>198</v>
      </c>
      <c r="I127" s="16" t="s">
        <v>71</v>
      </c>
      <c r="J127" s="16">
        <f t="shared" si="1"/>
        <v>11</v>
      </c>
      <c r="K127" s="16" t="s">
        <v>657</v>
      </c>
      <c r="L127" s="16" t="s">
        <v>659</v>
      </c>
      <c r="M127" s="17">
        <v>-104.59</v>
      </c>
      <c r="N127" s="18">
        <v>0.56999999999999995</v>
      </c>
      <c r="O127" s="17">
        <v>-59.62</v>
      </c>
      <c r="P127" s="16" t="s">
        <v>122</v>
      </c>
      <c r="Q127" s="15" t="s">
        <v>664</v>
      </c>
    </row>
    <row r="128" spans="1:17" x14ac:dyDescent="0.25">
      <c r="A128" s="16">
        <v>6115727</v>
      </c>
      <c r="B128" s="16" t="s">
        <v>419</v>
      </c>
      <c r="C128" s="16" t="s">
        <v>420</v>
      </c>
      <c r="D128" s="16" t="s">
        <v>421</v>
      </c>
      <c r="E128" s="16" t="s">
        <v>81</v>
      </c>
      <c r="F128" s="16" t="s">
        <v>68</v>
      </c>
      <c r="G128" s="16" t="s">
        <v>118</v>
      </c>
      <c r="H128" s="16" t="s">
        <v>198</v>
      </c>
      <c r="I128" s="16" t="s">
        <v>71</v>
      </c>
      <c r="J128" s="16">
        <f t="shared" si="1"/>
        <v>11</v>
      </c>
      <c r="K128" s="16" t="s">
        <v>657</v>
      </c>
      <c r="L128" s="16" t="s">
        <v>659</v>
      </c>
      <c r="M128" s="17">
        <v>27.63</v>
      </c>
      <c r="N128" s="18">
        <v>0.56999999999999995</v>
      </c>
      <c r="O128" s="17">
        <v>15.75</v>
      </c>
      <c r="P128" s="16" t="s">
        <v>122</v>
      </c>
      <c r="Q128" s="15" t="s">
        <v>664</v>
      </c>
    </row>
    <row r="129" spans="1:17" x14ac:dyDescent="0.25">
      <c r="A129" s="16" t="s">
        <v>646</v>
      </c>
      <c r="B129" s="16" t="s">
        <v>192</v>
      </c>
      <c r="C129" s="16" t="s">
        <v>193</v>
      </c>
      <c r="D129" s="16" t="s">
        <v>194</v>
      </c>
      <c r="E129" s="16" t="s">
        <v>81</v>
      </c>
      <c r="F129" s="16" t="s">
        <v>196</v>
      </c>
      <c r="G129" s="16" t="s">
        <v>197</v>
      </c>
      <c r="H129" s="16" t="s">
        <v>198</v>
      </c>
      <c r="I129" s="16" t="s">
        <v>71</v>
      </c>
      <c r="J129" s="16">
        <f t="shared" si="1"/>
        <v>11</v>
      </c>
      <c r="K129" s="16" t="s">
        <v>657</v>
      </c>
      <c r="L129" s="16" t="s">
        <v>659</v>
      </c>
      <c r="M129" s="17">
        <v>39.1</v>
      </c>
      <c r="N129" s="18">
        <v>0.56999999999999995</v>
      </c>
      <c r="O129" s="17">
        <v>22.29</v>
      </c>
      <c r="P129" s="16" t="s">
        <v>200</v>
      </c>
      <c r="Q129" s="15" t="s">
        <v>664</v>
      </c>
    </row>
    <row r="130" spans="1:17" x14ac:dyDescent="0.25">
      <c r="A130" s="16">
        <v>18754354</v>
      </c>
      <c r="B130" s="16" t="s">
        <v>332</v>
      </c>
      <c r="C130" s="16" t="s">
        <v>639</v>
      </c>
      <c r="D130" s="16" t="s">
        <v>640</v>
      </c>
      <c r="E130" s="16" t="s">
        <v>81</v>
      </c>
      <c r="F130" s="16" t="s">
        <v>108</v>
      </c>
      <c r="G130" s="16" t="s">
        <v>94</v>
      </c>
      <c r="H130" s="16" t="s">
        <v>642</v>
      </c>
      <c r="I130" s="16" t="s">
        <v>375</v>
      </c>
      <c r="J130" s="16">
        <f t="shared" ref="J130:J193" si="2">DATEDIF(H130,I130,"M")</f>
        <v>11</v>
      </c>
      <c r="K130" s="16" t="s">
        <v>657</v>
      </c>
      <c r="L130" s="16" t="s">
        <v>659</v>
      </c>
      <c r="M130" s="17">
        <v>32.700000000000003</v>
      </c>
      <c r="N130" s="18">
        <v>1</v>
      </c>
      <c r="O130" s="17">
        <v>32.700000000000003</v>
      </c>
      <c r="P130" s="16" t="s">
        <v>97</v>
      </c>
      <c r="Q130" s="15" t="s">
        <v>661</v>
      </c>
    </row>
    <row r="131" spans="1:17" x14ac:dyDescent="0.25">
      <c r="A131" s="16">
        <v>1706194</v>
      </c>
      <c r="B131" s="16" t="s">
        <v>222</v>
      </c>
      <c r="C131" s="16" t="s">
        <v>364</v>
      </c>
      <c r="D131" s="16" t="s">
        <v>365</v>
      </c>
      <c r="E131" s="16" t="s">
        <v>81</v>
      </c>
      <c r="F131" s="16" t="s">
        <v>367</v>
      </c>
      <c r="G131" s="16" t="s">
        <v>157</v>
      </c>
      <c r="H131" s="16" t="s">
        <v>198</v>
      </c>
      <c r="I131" s="16" t="s">
        <v>71</v>
      </c>
      <c r="J131" s="16">
        <f t="shared" si="2"/>
        <v>11</v>
      </c>
      <c r="K131" s="16" t="s">
        <v>657</v>
      </c>
      <c r="L131" s="16" t="s">
        <v>659</v>
      </c>
      <c r="M131" s="17">
        <v>2.33</v>
      </c>
      <c r="N131" s="18">
        <v>0.57999999999999996</v>
      </c>
      <c r="O131" s="17">
        <v>1.35</v>
      </c>
      <c r="P131" s="16" t="s">
        <v>159</v>
      </c>
      <c r="Q131" s="15" t="s">
        <v>666</v>
      </c>
    </row>
    <row r="132" spans="1:17" x14ac:dyDescent="0.25">
      <c r="A132" s="16">
        <v>1706194</v>
      </c>
      <c r="B132" s="16" t="s">
        <v>222</v>
      </c>
      <c r="C132" s="16" t="s">
        <v>364</v>
      </c>
      <c r="D132" s="16" t="s">
        <v>365</v>
      </c>
      <c r="E132" s="16" t="s">
        <v>81</v>
      </c>
      <c r="F132" s="16" t="s">
        <v>367</v>
      </c>
      <c r="G132" s="16" t="s">
        <v>157</v>
      </c>
      <c r="H132" s="16" t="s">
        <v>198</v>
      </c>
      <c r="I132" s="16" t="s">
        <v>71</v>
      </c>
      <c r="J132" s="16">
        <f t="shared" si="2"/>
        <v>11</v>
      </c>
      <c r="K132" s="16" t="s">
        <v>657</v>
      </c>
      <c r="L132" s="16" t="s">
        <v>659</v>
      </c>
      <c r="M132" s="17">
        <v>9.9700000000000006</v>
      </c>
      <c r="N132" s="18">
        <v>0.57999999999999996</v>
      </c>
      <c r="O132" s="17">
        <v>5.78</v>
      </c>
      <c r="P132" s="16" t="s">
        <v>159</v>
      </c>
      <c r="Q132" s="15" t="s">
        <v>666</v>
      </c>
    </row>
    <row r="133" spans="1:17" x14ac:dyDescent="0.25">
      <c r="A133" s="16">
        <v>1706194</v>
      </c>
      <c r="B133" s="16" t="s">
        <v>222</v>
      </c>
      <c r="C133" s="16" t="s">
        <v>364</v>
      </c>
      <c r="D133" s="16" t="s">
        <v>365</v>
      </c>
      <c r="E133" s="16" t="s">
        <v>81</v>
      </c>
      <c r="F133" s="16" t="s">
        <v>367</v>
      </c>
      <c r="G133" s="16" t="s">
        <v>157</v>
      </c>
      <c r="H133" s="16" t="s">
        <v>198</v>
      </c>
      <c r="I133" s="16" t="s">
        <v>71</v>
      </c>
      <c r="J133" s="16">
        <f t="shared" si="2"/>
        <v>11</v>
      </c>
      <c r="K133" s="16" t="s">
        <v>657</v>
      </c>
      <c r="L133" s="16" t="s">
        <v>659</v>
      </c>
      <c r="M133" s="17">
        <v>8.82</v>
      </c>
      <c r="N133" s="18">
        <v>0.57999999999999996</v>
      </c>
      <c r="O133" s="17">
        <v>5.12</v>
      </c>
      <c r="P133" s="16" t="s">
        <v>159</v>
      </c>
      <c r="Q133" s="15" t="s">
        <v>666</v>
      </c>
    </row>
    <row r="134" spans="1:17" x14ac:dyDescent="0.25">
      <c r="A134" s="16">
        <v>1706194</v>
      </c>
      <c r="B134" s="16" t="s">
        <v>222</v>
      </c>
      <c r="C134" s="16" t="s">
        <v>364</v>
      </c>
      <c r="D134" s="16" t="s">
        <v>365</v>
      </c>
      <c r="E134" s="16" t="s">
        <v>81</v>
      </c>
      <c r="F134" s="16" t="s">
        <v>367</v>
      </c>
      <c r="G134" s="16" t="s">
        <v>157</v>
      </c>
      <c r="H134" s="16" t="s">
        <v>198</v>
      </c>
      <c r="I134" s="16" t="s">
        <v>71</v>
      </c>
      <c r="J134" s="16">
        <f t="shared" si="2"/>
        <v>11</v>
      </c>
      <c r="K134" s="16" t="s">
        <v>657</v>
      </c>
      <c r="L134" s="16" t="s">
        <v>659</v>
      </c>
      <c r="M134" s="17">
        <v>24.2</v>
      </c>
      <c r="N134" s="18">
        <v>0.57999999999999996</v>
      </c>
      <c r="O134" s="17">
        <v>14.04</v>
      </c>
      <c r="P134" s="16" t="s">
        <v>159</v>
      </c>
      <c r="Q134" s="15" t="s">
        <v>666</v>
      </c>
    </row>
    <row r="135" spans="1:17" x14ac:dyDescent="0.25">
      <c r="A135" s="16" t="s">
        <v>646</v>
      </c>
      <c r="B135" s="16" t="s">
        <v>192</v>
      </c>
      <c r="C135" s="16" t="s">
        <v>570</v>
      </c>
      <c r="D135" s="16" t="s">
        <v>571</v>
      </c>
      <c r="E135" s="16" t="s">
        <v>81</v>
      </c>
      <c r="F135" s="16" t="s">
        <v>516</v>
      </c>
      <c r="G135" s="16" t="s">
        <v>109</v>
      </c>
      <c r="H135" s="16" t="s">
        <v>198</v>
      </c>
      <c r="I135" s="16" t="s">
        <v>71</v>
      </c>
      <c r="J135" s="16">
        <f t="shared" si="2"/>
        <v>11</v>
      </c>
      <c r="K135" s="16" t="s">
        <v>657</v>
      </c>
      <c r="L135" s="16" t="s">
        <v>659</v>
      </c>
      <c r="M135" s="17">
        <v>22.7</v>
      </c>
      <c r="N135" s="18">
        <v>0.625</v>
      </c>
      <c r="O135" s="17">
        <v>14.19</v>
      </c>
      <c r="P135" s="16" t="s">
        <v>112</v>
      </c>
      <c r="Q135" s="15" t="s">
        <v>157</v>
      </c>
    </row>
    <row r="136" spans="1:17" x14ac:dyDescent="0.25">
      <c r="A136" s="16" t="s">
        <v>646</v>
      </c>
      <c r="B136" s="16" t="s">
        <v>192</v>
      </c>
      <c r="C136" s="16" t="s">
        <v>570</v>
      </c>
      <c r="D136" s="16" t="s">
        <v>571</v>
      </c>
      <c r="E136" s="16" t="s">
        <v>81</v>
      </c>
      <c r="F136" s="16" t="s">
        <v>516</v>
      </c>
      <c r="G136" s="16" t="s">
        <v>109</v>
      </c>
      <c r="H136" s="16" t="s">
        <v>198</v>
      </c>
      <c r="I136" s="16" t="s">
        <v>71</v>
      </c>
      <c r="J136" s="16">
        <f t="shared" si="2"/>
        <v>11</v>
      </c>
      <c r="K136" s="16" t="s">
        <v>657</v>
      </c>
      <c r="L136" s="16" t="s">
        <v>659</v>
      </c>
      <c r="M136" s="17">
        <v>86.93</v>
      </c>
      <c r="N136" s="18">
        <v>0.625</v>
      </c>
      <c r="O136" s="17">
        <v>54.33</v>
      </c>
      <c r="P136" s="16" t="s">
        <v>112</v>
      </c>
      <c r="Q136" s="15" t="s">
        <v>157</v>
      </c>
    </row>
    <row r="137" spans="1:17" x14ac:dyDescent="0.25">
      <c r="A137" s="16">
        <v>5442438</v>
      </c>
      <c r="B137" s="16" t="s">
        <v>134</v>
      </c>
      <c r="C137" s="16" t="s">
        <v>201</v>
      </c>
      <c r="D137" s="16" t="s">
        <v>202</v>
      </c>
      <c r="E137" s="16" t="s">
        <v>81</v>
      </c>
      <c r="F137" s="16" t="s">
        <v>68</v>
      </c>
      <c r="G137" s="16" t="s">
        <v>109</v>
      </c>
      <c r="H137" s="16" t="s">
        <v>198</v>
      </c>
      <c r="I137" s="16" t="s">
        <v>71</v>
      </c>
      <c r="J137" s="16">
        <f t="shared" si="2"/>
        <v>11</v>
      </c>
      <c r="K137" s="16" t="s">
        <v>657</v>
      </c>
      <c r="L137" s="16" t="s">
        <v>659</v>
      </c>
      <c r="M137" s="17">
        <v>68.2</v>
      </c>
      <c r="N137" s="18">
        <v>0.57999999999999996</v>
      </c>
      <c r="O137" s="17">
        <v>39.56</v>
      </c>
      <c r="P137" s="16" t="s">
        <v>112</v>
      </c>
      <c r="Q137" s="15" t="s">
        <v>666</v>
      </c>
    </row>
    <row r="138" spans="1:17" x14ac:dyDescent="0.25">
      <c r="A138" s="16">
        <v>5442438</v>
      </c>
      <c r="B138" s="16" t="s">
        <v>134</v>
      </c>
      <c r="C138" s="16" t="s">
        <v>201</v>
      </c>
      <c r="D138" s="16" t="s">
        <v>202</v>
      </c>
      <c r="E138" s="16" t="s">
        <v>81</v>
      </c>
      <c r="F138" s="16" t="s">
        <v>68</v>
      </c>
      <c r="G138" s="16" t="s">
        <v>109</v>
      </c>
      <c r="H138" s="16" t="s">
        <v>198</v>
      </c>
      <c r="I138" s="16" t="s">
        <v>71</v>
      </c>
      <c r="J138" s="16">
        <f t="shared" si="2"/>
        <v>11</v>
      </c>
      <c r="K138" s="16" t="s">
        <v>657</v>
      </c>
      <c r="L138" s="16" t="s">
        <v>659</v>
      </c>
      <c r="M138" s="17">
        <v>14.2</v>
      </c>
      <c r="N138" s="18">
        <v>0.57999999999999996</v>
      </c>
      <c r="O138" s="17">
        <v>8.24</v>
      </c>
      <c r="P138" s="16" t="s">
        <v>112</v>
      </c>
      <c r="Q138" s="15" t="s">
        <v>666</v>
      </c>
    </row>
    <row r="139" spans="1:17" x14ac:dyDescent="0.25">
      <c r="A139" s="16">
        <v>9079571</v>
      </c>
      <c r="B139" s="16" t="s">
        <v>78</v>
      </c>
      <c r="C139" s="16" t="s">
        <v>468</v>
      </c>
      <c r="D139" s="16" t="s">
        <v>469</v>
      </c>
      <c r="E139" s="16" t="s">
        <v>81</v>
      </c>
      <c r="F139" s="16" t="s">
        <v>68</v>
      </c>
      <c r="G139" s="16" t="s">
        <v>118</v>
      </c>
      <c r="H139" s="16" t="s">
        <v>198</v>
      </c>
      <c r="I139" s="16" t="s">
        <v>95</v>
      </c>
      <c r="J139" s="16">
        <f t="shared" si="2"/>
        <v>12</v>
      </c>
      <c r="K139" s="16" t="s">
        <v>657</v>
      </c>
      <c r="L139" s="16" t="s">
        <v>659</v>
      </c>
      <c r="M139" s="17">
        <v>-27.63</v>
      </c>
      <c r="N139" s="18">
        <v>0.56999999999999995</v>
      </c>
      <c r="O139" s="17">
        <v>-15.75</v>
      </c>
      <c r="P139" s="16" t="s">
        <v>122</v>
      </c>
      <c r="Q139" s="15" t="s">
        <v>664</v>
      </c>
    </row>
    <row r="140" spans="1:17" x14ac:dyDescent="0.25">
      <c r="A140" s="16">
        <v>6115727</v>
      </c>
      <c r="B140" s="16" t="s">
        <v>419</v>
      </c>
      <c r="C140" s="16" t="s">
        <v>420</v>
      </c>
      <c r="D140" s="16" t="s">
        <v>421</v>
      </c>
      <c r="E140" s="16" t="s">
        <v>81</v>
      </c>
      <c r="F140" s="16" t="s">
        <v>68</v>
      </c>
      <c r="G140" s="16" t="s">
        <v>118</v>
      </c>
      <c r="H140" s="16" t="s">
        <v>198</v>
      </c>
      <c r="I140" s="16" t="s">
        <v>95</v>
      </c>
      <c r="J140" s="16">
        <f t="shared" si="2"/>
        <v>12</v>
      </c>
      <c r="K140" s="16" t="s">
        <v>657</v>
      </c>
      <c r="L140" s="16" t="s">
        <v>659</v>
      </c>
      <c r="M140" s="17">
        <v>-27.63</v>
      </c>
      <c r="N140" s="18">
        <v>0.56999999999999995</v>
      </c>
      <c r="O140" s="17">
        <v>-15.75</v>
      </c>
      <c r="P140" s="16" t="s">
        <v>122</v>
      </c>
      <c r="Q140" s="15" t="s">
        <v>664</v>
      </c>
    </row>
    <row r="141" spans="1:17" x14ac:dyDescent="0.25">
      <c r="A141" s="16">
        <v>6115727</v>
      </c>
      <c r="B141" s="16" t="s">
        <v>419</v>
      </c>
      <c r="C141" s="16" t="s">
        <v>579</v>
      </c>
      <c r="D141" s="16" t="s">
        <v>580</v>
      </c>
      <c r="E141" s="16" t="s">
        <v>81</v>
      </c>
      <c r="F141" s="16" t="s">
        <v>68</v>
      </c>
      <c r="G141" s="16" t="s">
        <v>118</v>
      </c>
      <c r="H141" s="16" t="s">
        <v>198</v>
      </c>
      <c r="I141" s="16" t="s">
        <v>95</v>
      </c>
      <c r="J141" s="16">
        <f t="shared" si="2"/>
        <v>12</v>
      </c>
      <c r="K141" s="16" t="s">
        <v>657</v>
      </c>
      <c r="L141" s="16" t="s">
        <v>659</v>
      </c>
      <c r="M141" s="17">
        <v>-104.59</v>
      </c>
      <c r="N141" s="18">
        <v>0.56999999999999995</v>
      </c>
      <c r="O141" s="17">
        <v>-59.62</v>
      </c>
      <c r="P141" s="16" t="s">
        <v>122</v>
      </c>
      <c r="Q141" s="15" t="s">
        <v>664</v>
      </c>
    </row>
    <row r="142" spans="1:17" x14ac:dyDescent="0.25">
      <c r="A142" s="16">
        <v>9079571</v>
      </c>
      <c r="B142" s="16" t="s">
        <v>78</v>
      </c>
      <c r="C142" s="16" t="s">
        <v>160</v>
      </c>
      <c r="D142" s="16" t="s">
        <v>161</v>
      </c>
      <c r="E142" s="16" t="s">
        <v>66</v>
      </c>
      <c r="F142" s="16" t="s">
        <v>68</v>
      </c>
      <c r="G142" s="16" t="s">
        <v>118</v>
      </c>
      <c r="H142" s="16" t="s">
        <v>163</v>
      </c>
      <c r="I142" s="16" t="s">
        <v>102</v>
      </c>
      <c r="J142" s="16">
        <f t="shared" si="2"/>
        <v>12</v>
      </c>
      <c r="K142" s="16" t="s">
        <v>657</v>
      </c>
      <c r="L142" s="16" t="s">
        <v>659</v>
      </c>
      <c r="M142" s="17">
        <v>64.260000000000005</v>
      </c>
      <c r="N142" s="18">
        <v>3.7499999999999999E-2</v>
      </c>
      <c r="O142" s="17">
        <v>2.41</v>
      </c>
      <c r="P142" s="16" t="s">
        <v>122</v>
      </c>
      <c r="Q142" s="15" t="s">
        <v>664</v>
      </c>
    </row>
    <row r="143" spans="1:17" x14ac:dyDescent="0.25">
      <c r="A143" s="16">
        <v>9079571</v>
      </c>
      <c r="B143" s="16" t="s">
        <v>78</v>
      </c>
      <c r="C143" s="16" t="s">
        <v>543</v>
      </c>
      <c r="D143" s="16" t="s">
        <v>544</v>
      </c>
      <c r="E143" s="16" t="s">
        <v>66</v>
      </c>
      <c r="F143" s="16" t="s">
        <v>68</v>
      </c>
      <c r="G143" s="16" t="s">
        <v>118</v>
      </c>
      <c r="H143" s="16" t="s">
        <v>545</v>
      </c>
      <c r="I143" s="16" t="s">
        <v>546</v>
      </c>
      <c r="J143" s="16">
        <f t="shared" si="2"/>
        <v>12</v>
      </c>
      <c r="K143" s="16" t="s">
        <v>657</v>
      </c>
      <c r="L143" s="16" t="s">
        <v>659</v>
      </c>
      <c r="M143" s="17">
        <v>22.42</v>
      </c>
      <c r="N143" s="18">
        <v>3.7499999999999999E-2</v>
      </c>
      <c r="O143" s="17">
        <v>0.84</v>
      </c>
      <c r="P143" s="16" t="s">
        <v>122</v>
      </c>
      <c r="Q143" s="15" t="s">
        <v>664</v>
      </c>
    </row>
    <row r="144" spans="1:17" x14ac:dyDescent="0.25">
      <c r="A144" s="16">
        <v>9079571</v>
      </c>
      <c r="B144" s="16" t="s">
        <v>78</v>
      </c>
      <c r="C144" s="16" t="s">
        <v>547</v>
      </c>
      <c r="D144" s="16" t="s">
        <v>548</v>
      </c>
      <c r="E144" s="16" t="s">
        <v>66</v>
      </c>
      <c r="F144" s="16" t="s">
        <v>68</v>
      </c>
      <c r="G144" s="16" t="s">
        <v>118</v>
      </c>
      <c r="H144" s="16" t="s">
        <v>545</v>
      </c>
      <c r="I144" s="16" t="s">
        <v>546</v>
      </c>
      <c r="J144" s="16">
        <f t="shared" si="2"/>
        <v>12</v>
      </c>
      <c r="K144" s="16" t="s">
        <v>657</v>
      </c>
      <c r="L144" s="16" t="s">
        <v>659</v>
      </c>
      <c r="M144" s="17">
        <v>64.260000000000005</v>
      </c>
      <c r="N144" s="18">
        <v>3.7499999999999999E-2</v>
      </c>
      <c r="O144" s="17">
        <v>2.41</v>
      </c>
      <c r="P144" s="16" t="s">
        <v>122</v>
      </c>
      <c r="Q144" s="15" t="s">
        <v>664</v>
      </c>
    </row>
    <row r="145" spans="1:17" x14ac:dyDescent="0.25">
      <c r="A145" s="16">
        <v>9079571</v>
      </c>
      <c r="B145" s="16" t="s">
        <v>78</v>
      </c>
      <c r="C145" s="16" t="s">
        <v>549</v>
      </c>
      <c r="D145" s="16" t="s">
        <v>550</v>
      </c>
      <c r="E145" s="16" t="s">
        <v>66</v>
      </c>
      <c r="F145" s="16" t="s">
        <v>68</v>
      </c>
      <c r="G145" s="16" t="s">
        <v>118</v>
      </c>
      <c r="H145" s="16" t="s">
        <v>545</v>
      </c>
      <c r="I145" s="16" t="s">
        <v>546</v>
      </c>
      <c r="J145" s="16">
        <f t="shared" si="2"/>
        <v>12</v>
      </c>
      <c r="K145" s="16" t="s">
        <v>657</v>
      </c>
      <c r="L145" s="16" t="s">
        <v>659</v>
      </c>
      <c r="M145" s="17">
        <v>27.63</v>
      </c>
      <c r="N145" s="18">
        <v>3.7499999999999999E-2</v>
      </c>
      <c r="O145" s="17">
        <v>1.04</v>
      </c>
      <c r="P145" s="16" t="s">
        <v>122</v>
      </c>
      <c r="Q145" s="15" t="s">
        <v>664</v>
      </c>
    </row>
    <row r="146" spans="1:17" x14ac:dyDescent="0.25">
      <c r="A146" s="16">
        <v>9213293</v>
      </c>
      <c r="B146" s="16" t="s">
        <v>248</v>
      </c>
      <c r="C146" s="16" t="s">
        <v>587</v>
      </c>
      <c r="D146" s="16" t="s">
        <v>588</v>
      </c>
      <c r="E146" s="16" t="s">
        <v>66</v>
      </c>
      <c r="F146" s="16" t="s">
        <v>108</v>
      </c>
      <c r="G146" s="16" t="s">
        <v>83</v>
      </c>
      <c r="H146" s="16" t="s">
        <v>590</v>
      </c>
      <c r="I146" s="16" t="s">
        <v>591</v>
      </c>
      <c r="J146" s="16">
        <f t="shared" si="2"/>
        <v>13</v>
      </c>
      <c r="K146" s="16" t="s">
        <v>657</v>
      </c>
      <c r="L146" s="16" t="s">
        <v>659</v>
      </c>
      <c r="M146" s="17">
        <v>32.299999999999997</v>
      </c>
      <c r="N146" s="18">
        <v>0.08</v>
      </c>
      <c r="O146" s="17">
        <v>2.58</v>
      </c>
      <c r="P146" s="16" t="s">
        <v>87</v>
      </c>
      <c r="Q146" s="15" t="s">
        <v>661</v>
      </c>
    </row>
    <row r="147" spans="1:17" x14ac:dyDescent="0.25">
      <c r="A147" s="16">
        <v>9213293</v>
      </c>
      <c r="B147" s="16" t="s">
        <v>248</v>
      </c>
      <c r="C147" s="16" t="s">
        <v>476</v>
      </c>
      <c r="D147" s="16" t="s">
        <v>477</v>
      </c>
      <c r="E147" s="16" t="s">
        <v>66</v>
      </c>
      <c r="F147" s="16" t="s">
        <v>108</v>
      </c>
      <c r="G147" s="16" t="s">
        <v>83</v>
      </c>
      <c r="H147" s="16" t="s">
        <v>478</v>
      </c>
      <c r="I147" s="16" t="s">
        <v>441</v>
      </c>
      <c r="J147" s="16">
        <f t="shared" si="2"/>
        <v>13</v>
      </c>
      <c r="K147" s="16" t="s">
        <v>657</v>
      </c>
      <c r="L147" s="16" t="s">
        <v>659</v>
      </c>
      <c r="M147" s="17">
        <v>20.27</v>
      </c>
      <c r="N147" s="18">
        <v>2.2499999999999999E-2</v>
      </c>
      <c r="O147" s="17">
        <v>0.46</v>
      </c>
      <c r="P147" s="16" t="s">
        <v>87</v>
      </c>
      <c r="Q147" s="15" t="s">
        <v>83</v>
      </c>
    </row>
    <row r="148" spans="1:17" x14ac:dyDescent="0.25">
      <c r="A148" s="16">
        <v>5442438</v>
      </c>
      <c r="B148" s="16" t="s">
        <v>134</v>
      </c>
      <c r="C148" s="16" t="s">
        <v>600</v>
      </c>
      <c r="D148" s="16" t="s">
        <v>601</v>
      </c>
      <c r="E148" s="16" t="s">
        <v>66</v>
      </c>
      <c r="F148" s="16" t="s">
        <v>68</v>
      </c>
      <c r="G148" s="16" t="s">
        <v>118</v>
      </c>
      <c r="H148" s="16" t="s">
        <v>603</v>
      </c>
      <c r="I148" s="16" t="s">
        <v>461</v>
      </c>
      <c r="J148" s="16">
        <f t="shared" si="2"/>
        <v>13</v>
      </c>
      <c r="K148" s="16" t="s">
        <v>657</v>
      </c>
      <c r="L148" s="16" t="s">
        <v>659</v>
      </c>
      <c r="M148" s="17">
        <v>27.63</v>
      </c>
      <c r="N148" s="18">
        <v>3.7499999999999999E-2</v>
      </c>
      <c r="O148" s="17">
        <v>1.04</v>
      </c>
      <c r="P148" s="16" t="s">
        <v>122</v>
      </c>
      <c r="Q148" s="15" t="s">
        <v>664</v>
      </c>
    </row>
    <row r="149" spans="1:17" x14ac:dyDescent="0.25">
      <c r="A149" s="16">
        <v>9079571</v>
      </c>
      <c r="B149" s="16" t="s">
        <v>78</v>
      </c>
      <c r="C149" s="16" t="s">
        <v>166</v>
      </c>
      <c r="D149" s="16" t="s">
        <v>167</v>
      </c>
      <c r="E149" s="16" t="s">
        <v>66</v>
      </c>
      <c r="F149" s="16" t="s">
        <v>68</v>
      </c>
      <c r="G149" s="16" t="s">
        <v>118</v>
      </c>
      <c r="H149" s="16" t="s">
        <v>169</v>
      </c>
      <c r="I149" s="16" t="s">
        <v>71</v>
      </c>
      <c r="J149" s="16">
        <f t="shared" si="2"/>
        <v>14</v>
      </c>
      <c r="K149" s="16" t="s">
        <v>657</v>
      </c>
      <c r="L149" s="16" t="s">
        <v>659</v>
      </c>
      <c r="M149" s="17">
        <v>22.42</v>
      </c>
      <c r="N149" s="18">
        <v>3.7499999999999999E-2</v>
      </c>
      <c r="O149" s="17">
        <v>0.84</v>
      </c>
      <c r="P149" s="16" t="s">
        <v>122</v>
      </c>
      <c r="Q149" s="15" t="s">
        <v>664</v>
      </c>
    </row>
    <row r="150" spans="1:17" x14ac:dyDescent="0.25">
      <c r="A150" s="16">
        <v>5442438</v>
      </c>
      <c r="B150" s="16" t="s">
        <v>134</v>
      </c>
      <c r="C150" s="16" t="s">
        <v>632</v>
      </c>
      <c r="D150" s="16" t="s">
        <v>633</v>
      </c>
      <c r="E150" s="16" t="s">
        <v>66</v>
      </c>
      <c r="F150" s="16" t="s">
        <v>68</v>
      </c>
      <c r="G150" s="16" t="s">
        <v>109</v>
      </c>
      <c r="H150" s="16" t="s">
        <v>626</v>
      </c>
      <c r="I150" s="16" t="s">
        <v>441</v>
      </c>
      <c r="J150" s="16">
        <f t="shared" si="2"/>
        <v>14</v>
      </c>
      <c r="K150" s="16" t="s">
        <v>657</v>
      </c>
      <c r="L150" s="16" t="s">
        <v>659</v>
      </c>
      <c r="M150" s="17">
        <v>94.8</v>
      </c>
      <c r="N150" s="18">
        <v>0.12</v>
      </c>
      <c r="O150" s="17">
        <v>11.38</v>
      </c>
      <c r="P150" s="16" t="s">
        <v>112</v>
      </c>
      <c r="Q150" s="15" t="s">
        <v>666</v>
      </c>
    </row>
    <row r="151" spans="1:17" x14ac:dyDescent="0.25">
      <c r="A151" s="16">
        <v>18010408</v>
      </c>
      <c r="B151" s="16" t="s">
        <v>337</v>
      </c>
      <c r="C151" s="16" t="s">
        <v>521</v>
      </c>
      <c r="D151" s="16" t="s">
        <v>522</v>
      </c>
      <c r="E151" s="16" t="s">
        <v>66</v>
      </c>
      <c r="F151" s="16" t="s">
        <v>68</v>
      </c>
      <c r="G151" s="16" t="s">
        <v>383</v>
      </c>
      <c r="H151" s="16" t="s">
        <v>169</v>
      </c>
      <c r="I151" s="16" t="s">
        <v>71</v>
      </c>
      <c r="J151" s="16">
        <f t="shared" si="2"/>
        <v>14</v>
      </c>
      <c r="K151" s="16" t="s">
        <v>657</v>
      </c>
      <c r="L151" s="16" t="s">
        <v>659</v>
      </c>
      <c r="M151" s="17">
        <v>117.2</v>
      </c>
      <c r="N151" s="18">
        <v>0.3</v>
      </c>
      <c r="O151" s="17">
        <v>35.159999999999997</v>
      </c>
      <c r="P151" s="16" t="s">
        <v>386</v>
      </c>
      <c r="Q151" s="15" t="s">
        <v>674</v>
      </c>
    </row>
    <row r="152" spans="1:17" x14ac:dyDescent="0.25">
      <c r="A152" s="16">
        <v>18010408</v>
      </c>
      <c r="B152" s="16" t="s">
        <v>337</v>
      </c>
      <c r="C152" s="16" t="s">
        <v>338</v>
      </c>
      <c r="D152" s="16" t="s">
        <v>409</v>
      </c>
      <c r="E152" s="16" t="s">
        <v>66</v>
      </c>
      <c r="F152" s="16" t="s">
        <v>341</v>
      </c>
      <c r="G152" s="16" t="s">
        <v>83</v>
      </c>
      <c r="H152" s="16" t="s">
        <v>169</v>
      </c>
      <c r="I152" s="16" t="s">
        <v>95</v>
      </c>
      <c r="J152" s="16">
        <f t="shared" si="2"/>
        <v>15</v>
      </c>
      <c r="K152" s="16" t="s">
        <v>657</v>
      </c>
      <c r="L152" s="16" t="s">
        <v>659</v>
      </c>
      <c r="M152" s="17">
        <v>-12.61</v>
      </c>
      <c r="N152" s="18">
        <v>0.08</v>
      </c>
      <c r="O152" s="17">
        <v>-1.01</v>
      </c>
      <c r="P152" s="16" t="s">
        <v>87</v>
      </c>
      <c r="Q152" s="15" t="s">
        <v>661</v>
      </c>
    </row>
    <row r="153" spans="1:17" x14ac:dyDescent="0.25">
      <c r="A153" s="16">
        <v>9079571</v>
      </c>
      <c r="B153" s="16" t="s">
        <v>78</v>
      </c>
      <c r="C153" s="16" t="s">
        <v>166</v>
      </c>
      <c r="D153" s="16" t="s">
        <v>167</v>
      </c>
      <c r="E153" s="16" t="s">
        <v>66</v>
      </c>
      <c r="F153" s="16" t="s">
        <v>68</v>
      </c>
      <c r="G153" s="16" t="s">
        <v>118</v>
      </c>
      <c r="H153" s="16" t="s">
        <v>169</v>
      </c>
      <c r="I153" s="16" t="s">
        <v>95</v>
      </c>
      <c r="J153" s="16">
        <f t="shared" si="2"/>
        <v>15</v>
      </c>
      <c r="K153" s="16" t="s">
        <v>657</v>
      </c>
      <c r="L153" s="16" t="s">
        <v>659</v>
      </c>
      <c r="M153" s="17">
        <v>-22.42</v>
      </c>
      <c r="N153" s="18">
        <v>3.7499999999999999E-2</v>
      </c>
      <c r="O153" s="17">
        <v>-0.84</v>
      </c>
      <c r="P153" s="16" t="s">
        <v>122</v>
      </c>
      <c r="Q153" s="15" t="s">
        <v>664</v>
      </c>
    </row>
    <row r="154" spans="1:17" x14ac:dyDescent="0.25">
      <c r="A154" s="16">
        <v>18010408</v>
      </c>
      <c r="B154" s="16" t="s">
        <v>337</v>
      </c>
      <c r="C154" s="16" t="s">
        <v>338</v>
      </c>
      <c r="D154" s="16" t="s">
        <v>339</v>
      </c>
      <c r="E154" s="16" t="s">
        <v>66</v>
      </c>
      <c r="F154" s="16" t="s">
        <v>341</v>
      </c>
      <c r="G154" s="16" t="s">
        <v>129</v>
      </c>
      <c r="H154" s="16" t="s">
        <v>169</v>
      </c>
      <c r="I154" s="16" t="s">
        <v>95</v>
      </c>
      <c r="J154" s="16">
        <f t="shared" si="2"/>
        <v>15</v>
      </c>
      <c r="K154" s="16" t="s">
        <v>657</v>
      </c>
      <c r="L154" s="16" t="s">
        <v>659</v>
      </c>
      <c r="M154" s="17">
        <v>-104.09</v>
      </c>
      <c r="N154" s="18">
        <v>3.7499999999999999E-2</v>
      </c>
      <c r="O154" s="17">
        <v>-3.9</v>
      </c>
      <c r="P154" s="16" t="s">
        <v>132</v>
      </c>
      <c r="Q154" s="15" t="s">
        <v>664</v>
      </c>
    </row>
    <row r="155" spans="1:17" x14ac:dyDescent="0.25">
      <c r="A155" s="16">
        <v>18010408</v>
      </c>
      <c r="B155" s="16" t="s">
        <v>337</v>
      </c>
      <c r="C155" s="16" t="s">
        <v>338</v>
      </c>
      <c r="D155" s="16" t="s">
        <v>387</v>
      </c>
      <c r="E155" s="16" t="s">
        <v>66</v>
      </c>
      <c r="F155" s="16" t="s">
        <v>341</v>
      </c>
      <c r="G155" s="16" t="s">
        <v>94</v>
      </c>
      <c r="H155" s="16" t="s">
        <v>169</v>
      </c>
      <c r="I155" s="16" t="s">
        <v>95</v>
      </c>
      <c r="J155" s="16">
        <f t="shared" si="2"/>
        <v>15</v>
      </c>
      <c r="K155" s="16" t="s">
        <v>657</v>
      </c>
      <c r="L155" s="16" t="s">
        <v>659</v>
      </c>
      <c r="M155" s="17">
        <v>-12.76</v>
      </c>
      <c r="N155" s="18">
        <v>0.08</v>
      </c>
      <c r="O155" s="17">
        <v>-1.02</v>
      </c>
      <c r="P155" s="16" t="s">
        <v>97</v>
      </c>
      <c r="Q155" s="15" t="s">
        <v>661</v>
      </c>
    </row>
    <row r="156" spans="1:17" x14ac:dyDescent="0.25">
      <c r="A156" s="16">
        <v>18010408</v>
      </c>
      <c r="B156" s="16" t="s">
        <v>337</v>
      </c>
      <c r="C156" s="16" t="s">
        <v>473</v>
      </c>
      <c r="D156" s="16" t="s">
        <v>595</v>
      </c>
      <c r="E156" s="16" t="s">
        <v>66</v>
      </c>
      <c r="F156" s="16" t="s">
        <v>128</v>
      </c>
      <c r="G156" s="16" t="s">
        <v>83</v>
      </c>
      <c r="H156" s="16" t="s">
        <v>475</v>
      </c>
      <c r="I156" s="16" t="s">
        <v>71</v>
      </c>
      <c r="J156" s="16">
        <f t="shared" si="2"/>
        <v>16</v>
      </c>
      <c r="K156" s="16" t="s">
        <v>657</v>
      </c>
      <c r="L156" s="16" t="s">
        <v>659</v>
      </c>
      <c r="M156" s="17">
        <v>-17.72</v>
      </c>
      <c r="N156" s="18">
        <v>0.08</v>
      </c>
      <c r="O156" s="17">
        <v>-1.42</v>
      </c>
      <c r="P156" s="16" t="s">
        <v>87</v>
      </c>
      <c r="Q156" s="15" t="s">
        <v>661</v>
      </c>
    </row>
    <row r="157" spans="1:17" x14ac:dyDescent="0.25">
      <c r="A157" s="16">
        <v>18010408</v>
      </c>
      <c r="B157" s="16" t="s">
        <v>337</v>
      </c>
      <c r="C157" s="16" t="s">
        <v>473</v>
      </c>
      <c r="D157" s="16" t="s">
        <v>482</v>
      </c>
      <c r="E157" s="16" t="s">
        <v>66</v>
      </c>
      <c r="F157" s="16" t="s">
        <v>128</v>
      </c>
      <c r="G157" s="16" t="s">
        <v>129</v>
      </c>
      <c r="H157" s="16" t="s">
        <v>475</v>
      </c>
      <c r="I157" s="16" t="s">
        <v>71</v>
      </c>
      <c r="J157" s="16">
        <f t="shared" si="2"/>
        <v>16</v>
      </c>
      <c r="K157" s="16" t="s">
        <v>657</v>
      </c>
      <c r="L157" s="16" t="s">
        <v>659</v>
      </c>
      <c r="M157" s="17">
        <v>-64.77</v>
      </c>
      <c r="N157" s="18">
        <v>3.7499999999999999E-2</v>
      </c>
      <c r="O157" s="17">
        <v>-2.4300000000000002</v>
      </c>
      <c r="P157" s="16" t="s">
        <v>483</v>
      </c>
      <c r="Q157" s="15" t="s">
        <v>664</v>
      </c>
    </row>
    <row r="158" spans="1:17" x14ac:dyDescent="0.25">
      <c r="A158" s="16">
        <v>18010408</v>
      </c>
      <c r="B158" s="16" t="s">
        <v>337</v>
      </c>
      <c r="C158" s="16" t="s">
        <v>473</v>
      </c>
      <c r="D158" s="16" t="s">
        <v>474</v>
      </c>
      <c r="E158" s="16" t="s">
        <v>66</v>
      </c>
      <c r="F158" s="16" t="s">
        <v>128</v>
      </c>
      <c r="G158" s="16" t="s">
        <v>94</v>
      </c>
      <c r="H158" s="16" t="s">
        <v>475</v>
      </c>
      <c r="I158" s="16" t="s">
        <v>71</v>
      </c>
      <c r="J158" s="16">
        <f t="shared" si="2"/>
        <v>16</v>
      </c>
      <c r="K158" s="16" t="s">
        <v>657</v>
      </c>
      <c r="L158" s="16" t="s">
        <v>659</v>
      </c>
      <c r="M158" s="17">
        <v>-17.579999999999998</v>
      </c>
      <c r="N158" s="18">
        <v>0.08</v>
      </c>
      <c r="O158" s="17">
        <v>-1.41</v>
      </c>
      <c r="P158" s="16" t="s">
        <v>97</v>
      </c>
      <c r="Q158" s="15" t="s">
        <v>661</v>
      </c>
    </row>
    <row r="159" spans="1:17" x14ac:dyDescent="0.25">
      <c r="A159" s="16">
        <v>18010408</v>
      </c>
      <c r="B159" s="16" t="s">
        <v>337</v>
      </c>
      <c r="C159" s="16" t="s">
        <v>473</v>
      </c>
      <c r="D159" s="16" t="s">
        <v>595</v>
      </c>
      <c r="E159" s="16" t="s">
        <v>66</v>
      </c>
      <c r="F159" s="16" t="s">
        <v>128</v>
      </c>
      <c r="G159" s="16" t="s">
        <v>83</v>
      </c>
      <c r="H159" s="16" t="s">
        <v>475</v>
      </c>
      <c r="I159" s="16" t="s">
        <v>95</v>
      </c>
      <c r="J159" s="16">
        <f t="shared" si="2"/>
        <v>17</v>
      </c>
      <c r="K159" s="16" t="s">
        <v>657</v>
      </c>
      <c r="L159" s="16" t="s">
        <v>659</v>
      </c>
      <c r="M159" s="17">
        <v>-17.72</v>
      </c>
      <c r="N159" s="18">
        <v>0.08</v>
      </c>
      <c r="O159" s="17">
        <v>-1.42</v>
      </c>
      <c r="P159" s="16" t="s">
        <v>87</v>
      </c>
      <c r="Q159" s="15" t="s">
        <v>661</v>
      </c>
    </row>
    <row r="160" spans="1:17" x14ac:dyDescent="0.25">
      <c r="A160" s="16">
        <v>9079571</v>
      </c>
      <c r="B160" s="16" t="s">
        <v>78</v>
      </c>
      <c r="C160" s="16" t="s">
        <v>611</v>
      </c>
      <c r="D160" s="16" t="s">
        <v>612</v>
      </c>
      <c r="E160" s="16" t="s">
        <v>66</v>
      </c>
      <c r="F160" s="16" t="s">
        <v>68</v>
      </c>
      <c r="G160" s="16" t="s">
        <v>118</v>
      </c>
      <c r="H160" s="16" t="s">
        <v>613</v>
      </c>
      <c r="I160" s="16" t="s">
        <v>461</v>
      </c>
      <c r="J160" s="16">
        <f t="shared" si="2"/>
        <v>17</v>
      </c>
      <c r="K160" s="16" t="s">
        <v>657</v>
      </c>
      <c r="L160" s="16" t="s">
        <v>659</v>
      </c>
      <c r="M160" s="17">
        <v>32.130000000000003</v>
      </c>
      <c r="N160" s="18">
        <v>3.7499999999999999E-2</v>
      </c>
      <c r="O160" s="17">
        <v>1.2</v>
      </c>
      <c r="P160" s="16" t="s">
        <v>122</v>
      </c>
      <c r="Q160" s="15" t="s">
        <v>664</v>
      </c>
    </row>
    <row r="161" spans="1:17" x14ac:dyDescent="0.25">
      <c r="A161" s="16">
        <v>18010408</v>
      </c>
      <c r="B161" s="16" t="s">
        <v>337</v>
      </c>
      <c r="C161" s="16" t="s">
        <v>473</v>
      </c>
      <c r="D161" s="16" t="s">
        <v>482</v>
      </c>
      <c r="E161" s="16" t="s">
        <v>66</v>
      </c>
      <c r="F161" s="16" t="s">
        <v>128</v>
      </c>
      <c r="G161" s="16" t="s">
        <v>129</v>
      </c>
      <c r="H161" s="16" t="s">
        <v>475</v>
      </c>
      <c r="I161" s="16" t="s">
        <v>95</v>
      </c>
      <c r="J161" s="16">
        <f t="shared" si="2"/>
        <v>17</v>
      </c>
      <c r="K161" s="16" t="s">
        <v>657</v>
      </c>
      <c r="L161" s="16" t="s">
        <v>659</v>
      </c>
      <c r="M161" s="17">
        <v>-64.77</v>
      </c>
      <c r="N161" s="18">
        <v>3.7499999999999999E-2</v>
      </c>
      <c r="O161" s="17">
        <v>-2.4300000000000002</v>
      </c>
      <c r="P161" s="16" t="s">
        <v>483</v>
      </c>
      <c r="Q161" s="15" t="s">
        <v>664</v>
      </c>
    </row>
    <row r="162" spans="1:17" x14ac:dyDescent="0.25">
      <c r="A162" s="16">
        <v>18010408</v>
      </c>
      <c r="B162" s="16" t="s">
        <v>337</v>
      </c>
      <c r="C162" s="16" t="s">
        <v>473</v>
      </c>
      <c r="D162" s="16" t="s">
        <v>474</v>
      </c>
      <c r="E162" s="16" t="s">
        <v>66</v>
      </c>
      <c r="F162" s="16" t="s">
        <v>128</v>
      </c>
      <c r="G162" s="16" t="s">
        <v>94</v>
      </c>
      <c r="H162" s="16" t="s">
        <v>475</v>
      </c>
      <c r="I162" s="16" t="s">
        <v>95</v>
      </c>
      <c r="J162" s="16">
        <f t="shared" si="2"/>
        <v>17</v>
      </c>
      <c r="K162" s="16" t="s">
        <v>657</v>
      </c>
      <c r="L162" s="16" t="s">
        <v>659</v>
      </c>
      <c r="M162" s="17">
        <v>-17.579999999999998</v>
      </c>
      <c r="N162" s="18">
        <v>0.08</v>
      </c>
      <c r="O162" s="17">
        <v>-1.41</v>
      </c>
      <c r="P162" s="16" t="s">
        <v>97</v>
      </c>
      <c r="Q162" s="15" t="s">
        <v>661</v>
      </c>
    </row>
    <row r="163" spans="1:17" x14ac:dyDescent="0.25">
      <c r="A163" s="16">
        <v>17528908</v>
      </c>
      <c r="B163" s="16" t="s">
        <v>238</v>
      </c>
      <c r="C163" s="16" t="s">
        <v>389</v>
      </c>
      <c r="D163" s="16" t="s">
        <v>390</v>
      </c>
      <c r="E163" s="16" t="s">
        <v>66</v>
      </c>
      <c r="F163" s="16" t="s">
        <v>128</v>
      </c>
      <c r="G163" s="16" t="s">
        <v>69</v>
      </c>
      <c r="H163" s="16" t="s">
        <v>392</v>
      </c>
      <c r="I163" s="16" t="s">
        <v>71</v>
      </c>
      <c r="J163" s="16">
        <f t="shared" si="2"/>
        <v>17</v>
      </c>
      <c r="K163" s="16" t="s">
        <v>657</v>
      </c>
      <c r="L163" s="16" t="s">
        <v>659</v>
      </c>
      <c r="M163" s="17">
        <v>257.48</v>
      </c>
      <c r="N163" s="18">
        <v>0.25</v>
      </c>
      <c r="O163" s="17">
        <v>64.37</v>
      </c>
      <c r="P163" s="16" t="s">
        <v>76</v>
      </c>
      <c r="Q163" s="15" t="s">
        <v>672</v>
      </c>
    </row>
    <row r="164" spans="1:17" x14ac:dyDescent="0.25">
      <c r="A164" s="16">
        <v>9079571</v>
      </c>
      <c r="B164" s="16" t="s">
        <v>78</v>
      </c>
      <c r="C164" s="16" t="s">
        <v>608</v>
      </c>
      <c r="D164" s="16" t="s">
        <v>609</v>
      </c>
      <c r="E164" s="16" t="s">
        <v>66</v>
      </c>
      <c r="F164" s="16" t="s">
        <v>68</v>
      </c>
      <c r="G164" s="16" t="s">
        <v>118</v>
      </c>
      <c r="H164" s="16" t="s">
        <v>415</v>
      </c>
      <c r="I164" s="16" t="s">
        <v>71</v>
      </c>
      <c r="J164" s="16">
        <f t="shared" si="2"/>
        <v>19</v>
      </c>
      <c r="K164" s="16" t="s">
        <v>657</v>
      </c>
      <c r="L164" s="16" t="s">
        <v>659</v>
      </c>
      <c r="M164" s="17">
        <v>-22.42</v>
      </c>
      <c r="N164" s="18">
        <v>3.7499999999999999E-2</v>
      </c>
      <c r="O164" s="17">
        <v>-0.84</v>
      </c>
      <c r="P164" s="16" t="s">
        <v>122</v>
      </c>
      <c r="Q164" s="15" t="s">
        <v>664</v>
      </c>
    </row>
    <row r="165" spans="1:17" x14ac:dyDescent="0.25">
      <c r="A165" s="16">
        <v>18794740</v>
      </c>
      <c r="B165" s="16" t="s">
        <v>411</v>
      </c>
      <c r="C165" s="16" t="s">
        <v>412</v>
      </c>
      <c r="D165" s="16" t="s">
        <v>413</v>
      </c>
      <c r="E165" s="16" t="s">
        <v>66</v>
      </c>
      <c r="F165" s="16" t="s">
        <v>128</v>
      </c>
      <c r="G165" s="16" t="s">
        <v>69</v>
      </c>
      <c r="H165" s="16" t="s">
        <v>415</v>
      </c>
      <c r="I165" s="16" t="s">
        <v>71</v>
      </c>
      <c r="J165" s="16">
        <f t="shared" si="2"/>
        <v>19</v>
      </c>
      <c r="K165" s="16" t="s">
        <v>657</v>
      </c>
      <c r="L165" s="16" t="s">
        <v>659</v>
      </c>
      <c r="M165" s="17">
        <v>147.52000000000001</v>
      </c>
      <c r="N165" s="18">
        <v>0.25</v>
      </c>
      <c r="O165" s="17">
        <v>36.880000000000003</v>
      </c>
      <c r="P165" s="16" t="s">
        <v>76</v>
      </c>
      <c r="Q165" s="15" t="s">
        <v>672</v>
      </c>
    </row>
    <row r="166" spans="1:17" x14ac:dyDescent="0.25">
      <c r="A166" s="16">
        <v>9079571</v>
      </c>
      <c r="B166" s="16" t="s">
        <v>78</v>
      </c>
      <c r="C166" s="16" t="s">
        <v>608</v>
      </c>
      <c r="D166" s="16" t="s">
        <v>609</v>
      </c>
      <c r="E166" s="16" t="s">
        <v>66</v>
      </c>
      <c r="F166" s="16" t="s">
        <v>68</v>
      </c>
      <c r="G166" s="16" t="s">
        <v>118</v>
      </c>
      <c r="H166" s="16" t="s">
        <v>415</v>
      </c>
      <c r="I166" s="16" t="s">
        <v>95</v>
      </c>
      <c r="J166" s="16">
        <f t="shared" si="2"/>
        <v>20</v>
      </c>
      <c r="K166" s="16" t="s">
        <v>657</v>
      </c>
      <c r="L166" s="16" t="s">
        <v>659</v>
      </c>
      <c r="M166" s="17">
        <v>-22.42</v>
      </c>
      <c r="N166" s="18">
        <v>3.7499999999999999E-2</v>
      </c>
      <c r="O166" s="17">
        <v>-0.84</v>
      </c>
      <c r="P166" s="16" t="s">
        <v>122</v>
      </c>
      <c r="Q166" s="15" t="s">
        <v>664</v>
      </c>
    </row>
    <row r="167" spans="1:17" x14ac:dyDescent="0.25">
      <c r="A167" s="16">
        <v>17195620</v>
      </c>
      <c r="B167" s="16" t="s">
        <v>114</v>
      </c>
      <c r="C167" s="16" t="s">
        <v>380</v>
      </c>
      <c r="D167" s="16" t="s">
        <v>381</v>
      </c>
      <c r="E167" s="16" t="s">
        <v>66</v>
      </c>
      <c r="F167" s="16" t="s">
        <v>68</v>
      </c>
      <c r="G167" s="16" t="s">
        <v>383</v>
      </c>
      <c r="H167" s="16" t="s">
        <v>384</v>
      </c>
      <c r="I167" s="16" t="s">
        <v>71</v>
      </c>
      <c r="J167" s="16">
        <f t="shared" si="2"/>
        <v>20</v>
      </c>
      <c r="K167" s="16" t="s">
        <v>657</v>
      </c>
      <c r="L167" s="16" t="s">
        <v>659</v>
      </c>
      <c r="M167" s="17">
        <v>123.53</v>
      </c>
      <c r="N167" s="18">
        <v>0.3</v>
      </c>
      <c r="O167" s="17">
        <v>37.06</v>
      </c>
      <c r="P167" s="16" t="s">
        <v>386</v>
      </c>
      <c r="Q167" s="15" t="s">
        <v>674</v>
      </c>
    </row>
    <row r="168" spans="1:17" x14ac:dyDescent="0.25">
      <c r="A168" s="16">
        <v>9079571</v>
      </c>
      <c r="B168" s="16" t="s">
        <v>78</v>
      </c>
      <c r="C168" s="16" t="s">
        <v>188</v>
      </c>
      <c r="D168" s="16" t="s">
        <v>189</v>
      </c>
      <c r="E168" s="16" t="s">
        <v>66</v>
      </c>
      <c r="F168" s="16" t="s">
        <v>68</v>
      </c>
      <c r="G168" s="16" t="s">
        <v>118</v>
      </c>
      <c r="H168" s="16" t="s">
        <v>130</v>
      </c>
      <c r="I168" s="16" t="s">
        <v>102</v>
      </c>
      <c r="J168" s="16">
        <f t="shared" si="2"/>
        <v>21</v>
      </c>
      <c r="K168" s="16" t="s">
        <v>657</v>
      </c>
      <c r="L168" s="16" t="s">
        <v>659</v>
      </c>
      <c r="M168" s="17">
        <v>27.63</v>
      </c>
      <c r="N168" s="18">
        <v>3.7499999999999999E-2</v>
      </c>
      <c r="O168" s="17">
        <v>1.04</v>
      </c>
      <c r="P168" s="16" t="s">
        <v>122</v>
      </c>
      <c r="Q168" s="15" t="s">
        <v>664</v>
      </c>
    </row>
    <row r="169" spans="1:17" x14ac:dyDescent="0.25">
      <c r="A169" s="16">
        <v>9079571</v>
      </c>
      <c r="B169" s="16" t="s">
        <v>78</v>
      </c>
      <c r="C169" s="16" t="s">
        <v>635</v>
      </c>
      <c r="D169" s="16" t="s">
        <v>636</v>
      </c>
      <c r="E169" s="16" t="s">
        <v>66</v>
      </c>
      <c r="F169" s="16" t="s">
        <v>68</v>
      </c>
      <c r="G169" s="16" t="s">
        <v>118</v>
      </c>
      <c r="H169" s="16" t="s">
        <v>637</v>
      </c>
      <c r="I169" s="16" t="s">
        <v>375</v>
      </c>
      <c r="J169" s="16">
        <f t="shared" si="2"/>
        <v>21</v>
      </c>
      <c r="K169" s="16" t="s">
        <v>657</v>
      </c>
      <c r="L169" s="16" t="s">
        <v>659</v>
      </c>
      <c r="M169" s="17">
        <v>27.63</v>
      </c>
      <c r="N169" s="18">
        <v>3.7499999999999999E-2</v>
      </c>
      <c r="O169" s="17">
        <v>1.04</v>
      </c>
      <c r="P169" s="16" t="s">
        <v>122</v>
      </c>
      <c r="Q169" s="15" t="s">
        <v>664</v>
      </c>
    </row>
    <row r="170" spans="1:17" x14ac:dyDescent="0.25">
      <c r="A170" s="16">
        <v>20411454</v>
      </c>
      <c r="B170" s="16" t="s">
        <v>649</v>
      </c>
      <c r="C170" s="16" t="s">
        <v>125</v>
      </c>
      <c r="D170" s="16" t="s">
        <v>126</v>
      </c>
      <c r="E170" s="16" t="s">
        <v>66</v>
      </c>
      <c r="F170" s="16" t="s">
        <v>128</v>
      </c>
      <c r="G170" s="16" t="s">
        <v>129</v>
      </c>
      <c r="H170" s="16" t="s">
        <v>130</v>
      </c>
      <c r="I170" s="16" t="s">
        <v>102</v>
      </c>
      <c r="J170" s="16">
        <f t="shared" si="2"/>
        <v>21</v>
      </c>
      <c r="K170" s="16" t="s">
        <v>657</v>
      </c>
      <c r="L170" s="16" t="s">
        <v>659</v>
      </c>
      <c r="M170" s="17">
        <v>2.27</v>
      </c>
      <c r="N170" s="18">
        <v>1.7500000000000002E-2</v>
      </c>
      <c r="O170" s="17">
        <v>2.27</v>
      </c>
      <c r="P170" s="16" t="s">
        <v>132</v>
      </c>
      <c r="Q170" s="15" t="s">
        <v>648</v>
      </c>
    </row>
    <row r="171" spans="1:17" x14ac:dyDescent="0.25">
      <c r="A171" s="16">
        <v>9079571</v>
      </c>
      <c r="B171" s="16" t="s">
        <v>78</v>
      </c>
      <c r="C171" s="16" t="s">
        <v>314</v>
      </c>
      <c r="D171" s="16" t="s">
        <v>315</v>
      </c>
      <c r="E171" s="16" t="s">
        <v>66</v>
      </c>
      <c r="F171" s="16" t="s">
        <v>317</v>
      </c>
      <c r="G171" s="16" t="s">
        <v>118</v>
      </c>
      <c r="H171" s="16" t="s">
        <v>299</v>
      </c>
      <c r="I171" s="16" t="s">
        <v>71</v>
      </c>
      <c r="J171" s="16">
        <f t="shared" si="2"/>
        <v>22</v>
      </c>
      <c r="K171" s="16" t="s">
        <v>657</v>
      </c>
      <c r="L171" s="16" t="s">
        <v>659</v>
      </c>
      <c r="M171" s="17">
        <v>42.6</v>
      </c>
      <c r="N171" s="18">
        <v>3.5000000000000003E-2</v>
      </c>
      <c r="O171" s="17">
        <v>1.49</v>
      </c>
      <c r="P171" s="16" t="s">
        <v>318</v>
      </c>
      <c r="Q171" s="15" t="s">
        <v>118</v>
      </c>
    </row>
    <row r="172" spans="1:17" x14ac:dyDescent="0.25">
      <c r="A172" s="16">
        <v>1706194</v>
      </c>
      <c r="B172" s="16" t="s">
        <v>222</v>
      </c>
      <c r="C172" s="16" t="s">
        <v>295</v>
      </c>
      <c r="D172" s="16" t="s">
        <v>296</v>
      </c>
      <c r="E172" s="16" t="s">
        <v>66</v>
      </c>
      <c r="F172" s="16" t="s">
        <v>292</v>
      </c>
      <c r="G172" s="16" t="s">
        <v>298</v>
      </c>
      <c r="H172" s="16" t="s">
        <v>299</v>
      </c>
      <c r="I172" s="16" t="s">
        <v>71</v>
      </c>
      <c r="J172" s="16">
        <f t="shared" si="2"/>
        <v>22</v>
      </c>
      <c r="K172" s="16" t="s">
        <v>657</v>
      </c>
      <c r="L172" s="16" t="s">
        <v>659</v>
      </c>
      <c r="M172" s="17">
        <v>28.56</v>
      </c>
      <c r="N172" s="18">
        <v>3.5000000000000003E-2</v>
      </c>
      <c r="O172" s="17">
        <v>1</v>
      </c>
      <c r="P172" s="16" t="s">
        <v>300</v>
      </c>
      <c r="Q172" s="15" t="s">
        <v>665</v>
      </c>
    </row>
    <row r="173" spans="1:17" x14ac:dyDescent="0.25">
      <c r="A173" s="16">
        <v>17528908</v>
      </c>
      <c r="B173" s="16" t="s">
        <v>238</v>
      </c>
      <c r="C173" s="16" t="s">
        <v>239</v>
      </c>
      <c r="D173" s="16" t="s">
        <v>363</v>
      </c>
      <c r="E173" s="16" t="s">
        <v>66</v>
      </c>
      <c r="F173" s="16" t="s">
        <v>128</v>
      </c>
      <c r="G173" s="16" t="s">
        <v>83</v>
      </c>
      <c r="H173" s="16" t="s">
        <v>226</v>
      </c>
      <c r="I173" s="16" t="s">
        <v>71</v>
      </c>
      <c r="J173" s="16">
        <f t="shared" si="2"/>
        <v>23</v>
      </c>
      <c r="K173" s="16" t="s">
        <v>657</v>
      </c>
      <c r="L173" s="16" t="s">
        <v>659</v>
      </c>
      <c r="M173" s="17">
        <v>41.7</v>
      </c>
      <c r="N173" s="18">
        <v>7.4999999999999997E-2</v>
      </c>
      <c r="O173" s="17">
        <v>3.13</v>
      </c>
      <c r="P173" s="16" t="s">
        <v>87</v>
      </c>
      <c r="Q173" s="15" t="s">
        <v>662</v>
      </c>
    </row>
    <row r="174" spans="1:17" x14ac:dyDescent="0.25">
      <c r="A174" s="16">
        <v>1706194</v>
      </c>
      <c r="B174" s="16" t="s">
        <v>222</v>
      </c>
      <c r="C174" s="16" t="s">
        <v>564</v>
      </c>
      <c r="D174" s="16" t="s">
        <v>565</v>
      </c>
      <c r="E174" s="16" t="s">
        <v>66</v>
      </c>
      <c r="F174" s="16" t="s">
        <v>196</v>
      </c>
      <c r="G174" s="16" t="s">
        <v>83</v>
      </c>
      <c r="H174" s="16" t="s">
        <v>226</v>
      </c>
      <c r="I174" s="16" t="s">
        <v>71</v>
      </c>
      <c r="J174" s="16">
        <f t="shared" si="2"/>
        <v>23</v>
      </c>
      <c r="K174" s="16" t="s">
        <v>657</v>
      </c>
      <c r="L174" s="16" t="s">
        <v>659</v>
      </c>
      <c r="M174" s="17">
        <v>-147.58000000000001</v>
      </c>
      <c r="N174" s="18">
        <v>7.4999999999999997E-2</v>
      </c>
      <c r="O174" s="17">
        <v>-11.07</v>
      </c>
      <c r="P174" s="16" t="s">
        <v>87</v>
      </c>
      <c r="Q174" s="15" t="s">
        <v>662</v>
      </c>
    </row>
    <row r="175" spans="1:17" x14ac:dyDescent="0.25">
      <c r="A175" s="16">
        <v>1706194</v>
      </c>
      <c r="B175" s="16" t="s">
        <v>222</v>
      </c>
      <c r="C175" s="16" t="s">
        <v>223</v>
      </c>
      <c r="D175" s="16" t="s">
        <v>416</v>
      </c>
      <c r="E175" s="16" t="s">
        <v>66</v>
      </c>
      <c r="F175" s="16" t="s">
        <v>196</v>
      </c>
      <c r="G175" s="16" t="s">
        <v>83</v>
      </c>
      <c r="H175" s="16" t="s">
        <v>226</v>
      </c>
      <c r="I175" s="16" t="s">
        <v>71</v>
      </c>
      <c r="J175" s="16">
        <f t="shared" si="2"/>
        <v>23</v>
      </c>
      <c r="K175" s="16" t="s">
        <v>657</v>
      </c>
      <c r="L175" s="16" t="s">
        <v>659</v>
      </c>
      <c r="M175" s="17">
        <v>101.62</v>
      </c>
      <c r="N175" s="18">
        <v>7.4999999999999997E-2</v>
      </c>
      <c r="O175" s="17">
        <v>7.62</v>
      </c>
      <c r="P175" s="16" t="s">
        <v>87</v>
      </c>
      <c r="Q175" s="15" t="s">
        <v>662</v>
      </c>
    </row>
    <row r="176" spans="1:17" x14ac:dyDescent="0.25">
      <c r="A176" s="16">
        <v>1706194</v>
      </c>
      <c r="B176" s="16" t="s">
        <v>222</v>
      </c>
      <c r="C176" s="16" t="s">
        <v>403</v>
      </c>
      <c r="D176" s="16" t="s">
        <v>405</v>
      </c>
      <c r="E176" s="16" t="s">
        <v>66</v>
      </c>
      <c r="F176" s="16" t="s">
        <v>196</v>
      </c>
      <c r="G176" s="16" t="s">
        <v>83</v>
      </c>
      <c r="H176" s="16" t="s">
        <v>226</v>
      </c>
      <c r="I176" s="16" t="s">
        <v>71</v>
      </c>
      <c r="J176" s="16">
        <f t="shared" si="2"/>
        <v>23</v>
      </c>
      <c r="K176" s="16" t="s">
        <v>657</v>
      </c>
      <c r="L176" s="16" t="s">
        <v>659</v>
      </c>
      <c r="M176" s="17">
        <v>74.75</v>
      </c>
      <c r="N176" s="18">
        <v>7.4999999999999997E-2</v>
      </c>
      <c r="O176" s="17">
        <v>5.61</v>
      </c>
      <c r="P176" s="16" t="s">
        <v>87</v>
      </c>
      <c r="Q176" s="15" t="s">
        <v>662</v>
      </c>
    </row>
    <row r="177" spans="1:17" x14ac:dyDescent="0.25">
      <c r="A177" s="16">
        <v>20769090</v>
      </c>
      <c r="B177" s="16" t="s">
        <v>447</v>
      </c>
      <c r="C177" s="16" t="s">
        <v>448</v>
      </c>
      <c r="D177" s="16" t="s">
        <v>449</v>
      </c>
      <c r="E177" s="16" t="s">
        <v>66</v>
      </c>
      <c r="F177" s="16" t="s">
        <v>68</v>
      </c>
      <c r="G177" s="16" t="s">
        <v>451</v>
      </c>
      <c r="H177" s="16" t="s">
        <v>226</v>
      </c>
      <c r="I177" s="16" t="s">
        <v>71</v>
      </c>
      <c r="J177" s="16">
        <f t="shared" si="2"/>
        <v>23</v>
      </c>
      <c r="K177" s="16" t="s">
        <v>657</v>
      </c>
      <c r="L177" s="16" t="s">
        <v>659</v>
      </c>
      <c r="M177" s="17">
        <v>-50.62</v>
      </c>
      <c r="N177" s="18">
        <v>3.5000000000000003E-2</v>
      </c>
      <c r="O177" s="17">
        <v>-1.77</v>
      </c>
      <c r="P177" s="16" t="s">
        <v>452</v>
      </c>
      <c r="Q177" s="15" t="s">
        <v>451</v>
      </c>
    </row>
    <row r="178" spans="1:17" x14ac:dyDescent="0.25">
      <c r="A178" s="16">
        <v>9079571</v>
      </c>
      <c r="B178" s="16" t="s">
        <v>78</v>
      </c>
      <c r="C178" s="16" t="s">
        <v>314</v>
      </c>
      <c r="D178" s="16" t="s">
        <v>315</v>
      </c>
      <c r="E178" s="16" t="s">
        <v>66</v>
      </c>
      <c r="F178" s="16" t="s">
        <v>317</v>
      </c>
      <c r="G178" s="16" t="s">
        <v>118</v>
      </c>
      <c r="H178" s="16" t="s">
        <v>299</v>
      </c>
      <c r="I178" s="16" t="s">
        <v>95</v>
      </c>
      <c r="J178" s="16">
        <f t="shared" si="2"/>
        <v>23</v>
      </c>
      <c r="K178" s="16" t="s">
        <v>657</v>
      </c>
      <c r="L178" s="16" t="s">
        <v>659</v>
      </c>
      <c r="M178" s="17">
        <v>-42.6</v>
      </c>
      <c r="N178" s="18">
        <v>3.5000000000000003E-2</v>
      </c>
      <c r="O178" s="17">
        <v>-1.49</v>
      </c>
      <c r="P178" s="16" t="s">
        <v>318</v>
      </c>
      <c r="Q178" s="15" t="s">
        <v>118</v>
      </c>
    </row>
    <row r="179" spans="1:17" x14ac:dyDescent="0.25">
      <c r="A179" s="16">
        <v>1706194</v>
      </c>
      <c r="B179" s="16" t="s">
        <v>222</v>
      </c>
      <c r="C179" s="16" t="s">
        <v>295</v>
      </c>
      <c r="D179" s="16" t="s">
        <v>296</v>
      </c>
      <c r="E179" s="16" t="s">
        <v>66</v>
      </c>
      <c r="F179" s="16" t="s">
        <v>292</v>
      </c>
      <c r="G179" s="16" t="s">
        <v>298</v>
      </c>
      <c r="H179" s="16" t="s">
        <v>299</v>
      </c>
      <c r="I179" s="16" t="s">
        <v>95</v>
      </c>
      <c r="J179" s="16">
        <f t="shared" si="2"/>
        <v>23</v>
      </c>
      <c r="K179" s="16" t="s">
        <v>657</v>
      </c>
      <c r="L179" s="16" t="s">
        <v>659</v>
      </c>
      <c r="M179" s="17">
        <v>-28.56</v>
      </c>
      <c r="N179" s="18">
        <v>3.5000000000000003E-2</v>
      </c>
      <c r="O179" s="17">
        <v>-1</v>
      </c>
      <c r="P179" s="16" t="s">
        <v>300</v>
      </c>
      <c r="Q179" s="15" t="s">
        <v>665</v>
      </c>
    </row>
    <row r="180" spans="1:17" x14ac:dyDescent="0.25">
      <c r="A180" s="16">
        <v>1706194</v>
      </c>
      <c r="B180" s="16" t="s">
        <v>222</v>
      </c>
      <c r="C180" s="16" t="s">
        <v>223</v>
      </c>
      <c r="D180" s="16" t="s">
        <v>417</v>
      </c>
      <c r="E180" s="16" t="s">
        <v>66</v>
      </c>
      <c r="F180" s="16" t="s">
        <v>196</v>
      </c>
      <c r="G180" s="16" t="s">
        <v>129</v>
      </c>
      <c r="H180" s="16" t="s">
        <v>226</v>
      </c>
      <c r="I180" s="16" t="s">
        <v>71</v>
      </c>
      <c r="J180" s="16">
        <f t="shared" si="2"/>
        <v>23</v>
      </c>
      <c r="K180" s="16" t="s">
        <v>657</v>
      </c>
      <c r="L180" s="16" t="s">
        <v>659</v>
      </c>
      <c r="M180" s="17">
        <v>59.78</v>
      </c>
      <c r="N180" s="18">
        <v>3.5000000000000003E-2</v>
      </c>
      <c r="O180" s="17">
        <v>2.09</v>
      </c>
      <c r="P180" s="16" t="s">
        <v>132</v>
      </c>
      <c r="Q180" s="15" t="s">
        <v>667</v>
      </c>
    </row>
    <row r="181" spans="1:17" x14ac:dyDescent="0.25">
      <c r="A181" s="16">
        <v>17528908</v>
      </c>
      <c r="B181" s="16" t="s">
        <v>238</v>
      </c>
      <c r="C181" s="16" t="s">
        <v>239</v>
      </c>
      <c r="D181" s="16" t="s">
        <v>240</v>
      </c>
      <c r="E181" s="16" t="s">
        <v>66</v>
      </c>
      <c r="F181" s="16" t="s">
        <v>128</v>
      </c>
      <c r="G181" s="16" t="s">
        <v>94</v>
      </c>
      <c r="H181" s="16" t="s">
        <v>226</v>
      </c>
      <c r="I181" s="16" t="s">
        <v>71</v>
      </c>
      <c r="J181" s="16">
        <f t="shared" si="2"/>
        <v>23</v>
      </c>
      <c r="K181" s="16" t="s">
        <v>657</v>
      </c>
      <c r="L181" s="16" t="s">
        <v>659</v>
      </c>
      <c r="M181" s="17">
        <v>42.4</v>
      </c>
      <c r="N181" s="18">
        <v>7.4999999999999997E-2</v>
      </c>
      <c r="O181" s="17">
        <v>3.18</v>
      </c>
      <c r="P181" s="16" t="s">
        <v>97</v>
      </c>
      <c r="Q181" s="15" t="s">
        <v>668</v>
      </c>
    </row>
    <row r="182" spans="1:17" x14ac:dyDescent="0.25">
      <c r="A182" s="16">
        <v>1706194</v>
      </c>
      <c r="B182" s="16" t="s">
        <v>222</v>
      </c>
      <c r="C182" s="16" t="s">
        <v>564</v>
      </c>
      <c r="D182" s="16" t="s">
        <v>578</v>
      </c>
      <c r="E182" s="16" t="s">
        <v>66</v>
      </c>
      <c r="F182" s="16" t="s">
        <v>196</v>
      </c>
      <c r="G182" s="16" t="s">
        <v>94</v>
      </c>
      <c r="H182" s="16" t="s">
        <v>226</v>
      </c>
      <c r="I182" s="16" t="s">
        <v>71</v>
      </c>
      <c r="J182" s="16">
        <f t="shared" si="2"/>
        <v>23</v>
      </c>
      <c r="K182" s="16" t="s">
        <v>657</v>
      </c>
      <c r="L182" s="16" t="s">
        <v>659</v>
      </c>
      <c r="M182" s="17">
        <v>-143.38</v>
      </c>
      <c r="N182" s="18">
        <v>7.4999999999999997E-2</v>
      </c>
      <c r="O182" s="17">
        <v>-10.75</v>
      </c>
      <c r="P182" s="16" t="s">
        <v>97</v>
      </c>
      <c r="Q182" s="15" t="s">
        <v>668</v>
      </c>
    </row>
    <row r="183" spans="1:17" x14ac:dyDescent="0.25">
      <c r="A183" s="16">
        <v>1706194</v>
      </c>
      <c r="B183" s="16" t="s">
        <v>222</v>
      </c>
      <c r="C183" s="16" t="s">
        <v>403</v>
      </c>
      <c r="D183" s="16" t="s">
        <v>404</v>
      </c>
      <c r="E183" s="16" t="s">
        <v>66</v>
      </c>
      <c r="F183" s="16" t="s">
        <v>196</v>
      </c>
      <c r="G183" s="16" t="s">
        <v>94</v>
      </c>
      <c r="H183" s="16" t="s">
        <v>226</v>
      </c>
      <c r="I183" s="16" t="s">
        <v>71</v>
      </c>
      <c r="J183" s="16">
        <f t="shared" si="2"/>
        <v>23</v>
      </c>
      <c r="K183" s="16" t="s">
        <v>657</v>
      </c>
      <c r="L183" s="16" t="s">
        <v>659</v>
      </c>
      <c r="M183" s="17">
        <v>78.5</v>
      </c>
      <c r="N183" s="18">
        <v>7.4999999999999997E-2</v>
      </c>
      <c r="O183" s="17">
        <v>5.89</v>
      </c>
      <c r="P183" s="16" t="s">
        <v>97</v>
      </c>
      <c r="Q183" s="15" t="s">
        <v>668</v>
      </c>
    </row>
    <row r="184" spans="1:17" x14ac:dyDescent="0.25">
      <c r="A184" s="16">
        <v>1706194</v>
      </c>
      <c r="B184" s="16" t="s">
        <v>222</v>
      </c>
      <c r="C184" s="16" t="s">
        <v>223</v>
      </c>
      <c r="D184" s="16" t="s">
        <v>224</v>
      </c>
      <c r="E184" s="16" t="s">
        <v>66</v>
      </c>
      <c r="F184" s="16" t="s">
        <v>196</v>
      </c>
      <c r="G184" s="16" t="s">
        <v>94</v>
      </c>
      <c r="H184" s="16" t="s">
        <v>226</v>
      </c>
      <c r="I184" s="16" t="s">
        <v>71</v>
      </c>
      <c r="J184" s="16">
        <f t="shared" si="2"/>
        <v>23</v>
      </c>
      <c r="K184" s="16" t="s">
        <v>657</v>
      </c>
      <c r="L184" s="16" t="s">
        <v>659</v>
      </c>
      <c r="M184" s="17">
        <v>103.25</v>
      </c>
      <c r="N184" s="18">
        <v>7.4999999999999997E-2</v>
      </c>
      <c r="O184" s="17">
        <v>7.74</v>
      </c>
      <c r="P184" s="16" t="s">
        <v>97</v>
      </c>
      <c r="Q184" s="15" t="s">
        <v>668</v>
      </c>
    </row>
    <row r="185" spans="1:17" x14ac:dyDescent="0.25">
      <c r="A185" s="16">
        <v>1706194</v>
      </c>
      <c r="B185" s="16" t="s">
        <v>222</v>
      </c>
      <c r="C185" s="16" t="s">
        <v>403</v>
      </c>
      <c r="D185" s="16" t="s">
        <v>405</v>
      </c>
      <c r="E185" s="16" t="s">
        <v>66</v>
      </c>
      <c r="F185" s="16" t="s">
        <v>196</v>
      </c>
      <c r="G185" s="16" t="s">
        <v>83</v>
      </c>
      <c r="H185" s="16" t="s">
        <v>226</v>
      </c>
      <c r="I185" s="16" t="s">
        <v>95</v>
      </c>
      <c r="J185" s="16">
        <f t="shared" si="2"/>
        <v>24</v>
      </c>
      <c r="K185" s="16" t="s">
        <v>657</v>
      </c>
      <c r="L185" s="16" t="s">
        <v>659</v>
      </c>
      <c r="M185" s="17">
        <v>-74.75</v>
      </c>
      <c r="N185" s="18">
        <v>7.4999999999999997E-2</v>
      </c>
      <c r="O185" s="17">
        <v>-5.61</v>
      </c>
      <c r="P185" s="16" t="s">
        <v>87</v>
      </c>
      <c r="Q185" s="15" t="s">
        <v>662</v>
      </c>
    </row>
    <row r="186" spans="1:17" x14ac:dyDescent="0.25">
      <c r="A186" s="16">
        <v>1706194</v>
      </c>
      <c r="B186" s="16" t="s">
        <v>222</v>
      </c>
      <c r="C186" s="16" t="s">
        <v>223</v>
      </c>
      <c r="D186" s="16" t="s">
        <v>416</v>
      </c>
      <c r="E186" s="16" t="s">
        <v>66</v>
      </c>
      <c r="F186" s="16" t="s">
        <v>196</v>
      </c>
      <c r="G186" s="16" t="s">
        <v>83</v>
      </c>
      <c r="H186" s="16" t="s">
        <v>226</v>
      </c>
      <c r="I186" s="16" t="s">
        <v>95</v>
      </c>
      <c r="J186" s="16">
        <f t="shared" si="2"/>
        <v>24</v>
      </c>
      <c r="K186" s="16" t="s">
        <v>657</v>
      </c>
      <c r="L186" s="16" t="s">
        <v>659</v>
      </c>
      <c r="M186" s="17">
        <v>-101.62</v>
      </c>
      <c r="N186" s="18">
        <v>7.4999999999999997E-2</v>
      </c>
      <c r="O186" s="17">
        <v>-7.62</v>
      </c>
      <c r="P186" s="16" t="s">
        <v>87</v>
      </c>
      <c r="Q186" s="15" t="s">
        <v>662</v>
      </c>
    </row>
    <row r="187" spans="1:17" x14ac:dyDescent="0.25">
      <c r="A187" s="16">
        <v>1706194</v>
      </c>
      <c r="B187" s="16" t="s">
        <v>222</v>
      </c>
      <c r="C187" s="16" t="s">
        <v>564</v>
      </c>
      <c r="D187" s="16" t="s">
        <v>565</v>
      </c>
      <c r="E187" s="16" t="s">
        <v>66</v>
      </c>
      <c r="F187" s="16" t="s">
        <v>196</v>
      </c>
      <c r="G187" s="16" t="s">
        <v>83</v>
      </c>
      <c r="H187" s="16" t="s">
        <v>226</v>
      </c>
      <c r="I187" s="16" t="s">
        <v>95</v>
      </c>
      <c r="J187" s="16">
        <f t="shared" si="2"/>
        <v>24</v>
      </c>
      <c r="K187" s="16" t="s">
        <v>657</v>
      </c>
      <c r="L187" s="16" t="s">
        <v>659</v>
      </c>
      <c r="M187" s="17">
        <v>-147.58000000000001</v>
      </c>
      <c r="N187" s="18">
        <v>7.4999999999999997E-2</v>
      </c>
      <c r="O187" s="17">
        <v>-11.07</v>
      </c>
      <c r="P187" s="16" t="s">
        <v>87</v>
      </c>
      <c r="Q187" s="15" t="s">
        <v>662</v>
      </c>
    </row>
    <row r="188" spans="1:17" x14ac:dyDescent="0.25">
      <c r="A188" s="16">
        <v>20769090</v>
      </c>
      <c r="B188" s="16" t="s">
        <v>447</v>
      </c>
      <c r="C188" s="16" t="s">
        <v>448</v>
      </c>
      <c r="D188" s="16" t="s">
        <v>449</v>
      </c>
      <c r="E188" s="16" t="s">
        <v>66</v>
      </c>
      <c r="F188" s="16" t="s">
        <v>68</v>
      </c>
      <c r="G188" s="16" t="s">
        <v>451</v>
      </c>
      <c r="H188" s="16" t="s">
        <v>226</v>
      </c>
      <c r="I188" s="16" t="s">
        <v>95</v>
      </c>
      <c r="J188" s="16">
        <f t="shared" si="2"/>
        <v>24</v>
      </c>
      <c r="K188" s="16" t="s">
        <v>657</v>
      </c>
      <c r="L188" s="16" t="s">
        <v>659</v>
      </c>
      <c r="M188" s="17">
        <v>-50.62</v>
      </c>
      <c r="N188" s="18">
        <v>3.5000000000000003E-2</v>
      </c>
      <c r="O188" s="17">
        <v>-1.77</v>
      </c>
      <c r="P188" s="16" t="s">
        <v>452</v>
      </c>
      <c r="Q188" s="15" t="s">
        <v>451</v>
      </c>
    </row>
    <row r="189" spans="1:17" x14ac:dyDescent="0.25">
      <c r="A189" s="16">
        <v>17195620</v>
      </c>
      <c r="B189" s="16" t="s">
        <v>114</v>
      </c>
      <c r="C189" s="16" t="s">
        <v>115</v>
      </c>
      <c r="D189" s="16" t="s">
        <v>116</v>
      </c>
      <c r="E189" s="16" t="s">
        <v>66</v>
      </c>
      <c r="F189" s="16" t="s">
        <v>68</v>
      </c>
      <c r="G189" s="16" t="s">
        <v>118</v>
      </c>
      <c r="H189" s="16" t="s">
        <v>119</v>
      </c>
      <c r="I189" s="16" t="s">
        <v>120</v>
      </c>
      <c r="J189" s="16">
        <f t="shared" si="2"/>
        <v>24</v>
      </c>
      <c r="K189" s="16" t="s">
        <v>657</v>
      </c>
      <c r="L189" s="16" t="s">
        <v>659</v>
      </c>
      <c r="M189" s="17">
        <v>32.130000000000003</v>
      </c>
      <c r="N189" s="18">
        <v>3.5000000000000003E-2</v>
      </c>
      <c r="O189" s="17">
        <v>1.1200000000000001</v>
      </c>
      <c r="P189" s="16" t="s">
        <v>122</v>
      </c>
      <c r="Q189" s="15" t="s">
        <v>118</v>
      </c>
    </row>
    <row r="190" spans="1:17" x14ac:dyDescent="0.25">
      <c r="A190" s="16">
        <v>1706194</v>
      </c>
      <c r="B190" s="16" t="s">
        <v>222</v>
      </c>
      <c r="C190" s="16" t="s">
        <v>223</v>
      </c>
      <c r="D190" s="16" t="s">
        <v>417</v>
      </c>
      <c r="E190" s="16" t="s">
        <v>66</v>
      </c>
      <c r="F190" s="16" t="s">
        <v>196</v>
      </c>
      <c r="G190" s="16" t="s">
        <v>129</v>
      </c>
      <c r="H190" s="16" t="s">
        <v>226</v>
      </c>
      <c r="I190" s="16" t="s">
        <v>95</v>
      </c>
      <c r="J190" s="16">
        <f t="shared" si="2"/>
        <v>24</v>
      </c>
      <c r="K190" s="16" t="s">
        <v>657</v>
      </c>
      <c r="L190" s="16" t="s">
        <v>659</v>
      </c>
      <c r="M190" s="17">
        <v>-59.78</v>
      </c>
      <c r="N190" s="18">
        <v>3.5000000000000003E-2</v>
      </c>
      <c r="O190" s="17">
        <v>-2.09</v>
      </c>
      <c r="P190" s="16" t="s">
        <v>132</v>
      </c>
      <c r="Q190" s="15" t="s">
        <v>667</v>
      </c>
    </row>
    <row r="191" spans="1:17" x14ac:dyDescent="0.25">
      <c r="A191" s="16">
        <v>1706194</v>
      </c>
      <c r="B191" s="16" t="s">
        <v>222</v>
      </c>
      <c r="C191" s="16" t="s">
        <v>223</v>
      </c>
      <c r="D191" s="16" t="s">
        <v>224</v>
      </c>
      <c r="E191" s="16" t="s">
        <v>66</v>
      </c>
      <c r="F191" s="16" t="s">
        <v>196</v>
      </c>
      <c r="G191" s="16" t="s">
        <v>94</v>
      </c>
      <c r="H191" s="16" t="s">
        <v>226</v>
      </c>
      <c r="I191" s="16" t="s">
        <v>95</v>
      </c>
      <c r="J191" s="16">
        <f t="shared" si="2"/>
        <v>24</v>
      </c>
      <c r="K191" s="16" t="s">
        <v>657</v>
      </c>
      <c r="L191" s="16" t="s">
        <v>659</v>
      </c>
      <c r="M191" s="17">
        <v>-103.25</v>
      </c>
      <c r="N191" s="18">
        <v>7.4999999999999997E-2</v>
      </c>
      <c r="O191" s="17">
        <v>-7.74</v>
      </c>
      <c r="P191" s="16" t="s">
        <v>97</v>
      </c>
      <c r="Q191" s="15" t="s">
        <v>668</v>
      </c>
    </row>
    <row r="192" spans="1:17" x14ac:dyDescent="0.25">
      <c r="A192" s="16">
        <v>1706194</v>
      </c>
      <c r="B192" s="16" t="s">
        <v>222</v>
      </c>
      <c r="C192" s="16" t="s">
        <v>403</v>
      </c>
      <c r="D192" s="16" t="s">
        <v>404</v>
      </c>
      <c r="E192" s="16" t="s">
        <v>66</v>
      </c>
      <c r="F192" s="16" t="s">
        <v>196</v>
      </c>
      <c r="G192" s="16" t="s">
        <v>94</v>
      </c>
      <c r="H192" s="16" t="s">
        <v>226</v>
      </c>
      <c r="I192" s="16" t="s">
        <v>95</v>
      </c>
      <c r="J192" s="16">
        <f t="shared" si="2"/>
        <v>24</v>
      </c>
      <c r="K192" s="16" t="s">
        <v>657</v>
      </c>
      <c r="L192" s="16" t="s">
        <v>659</v>
      </c>
      <c r="M192" s="17">
        <v>-78.5</v>
      </c>
      <c r="N192" s="18">
        <v>7.4999999999999997E-2</v>
      </c>
      <c r="O192" s="17">
        <v>-5.89</v>
      </c>
      <c r="P192" s="16" t="s">
        <v>97</v>
      </c>
      <c r="Q192" s="15" t="s">
        <v>668</v>
      </c>
    </row>
    <row r="193" spans="1:17" x14ac:dyDescent="0.25">
      <c r="A193" s="16">
        <v>1706194</v>
      </c>
      <c r="B193" s="16" t="s">
        <v>222</v>
      </c>
      <c r="C193" s="16" t="s">
        <v>564</v>
      </c>
      <c r="D193" s="16" t="s">
        <v>578</v>
      </c>
      <c r="E193" s="16" t="s">
        <v>66</v>
      </c>
      <c r="F193" s="16" t="s">
        <v>196</v>
      </c>
      <c r="G193" s="16" t="s">
        <v>94</v>
      </c>
      <c r="H193" s="16" t="s">
        <v>226</v>
      </c>
      <c r="I193" s="16" t="s">
        <v>95</v>
      </c>
      <c r="J193" s="16">
        <f t="shared" si="2"/>
        <v>24</v>
      </c>
      <c r="K193" s="16" t="s">
        <v>657</v>
      </c>
      <c r="L193" s="16" t="s">
        <v>659</v>
      </c>
      <c r="M193" s="17">
        <v>-143.38</v>
      </c>
      <c r="N193" s="18">
        <v>7.4999999999999997E-2</v>
      </c>
      <c r="O193" s="17">
        <v>-10.75</v>
      </c>
      <c r="P193" s="16" t="s">
        <v>97</v>
      </c>
      <c r="Q193" s="15" t="s">
        <v>668</v>
      </c>
    </row>
    <row r="194" spans="1:17" x14ac:dyDescent="0.25">
      <c r="A194" s="16">
        <v>9079571</v>
      </c>
      <c r="B194" s="16" t="s">
        <v>78</v>
      </c>
      <c r="C194" s="16" t="s">
        <v>210</v>
      </c>
      <c r="D194" s="16" t="s">
        <v>211</v>
      </c>
      <c r="E194" s="16" t="s">
        <v>66</v>
      </c>
      <c r="F194" s="16" t="s">
        <v>68</v>
      </c>
      <c r="G194" s="16" t="s">
        <v>118</v>
      </c>
      <c r="H194" s="16" t="s">
        <v>213</v>
      </c>
      <c r="I194" s="16" t="s">
        <v>71</v>
      </c>
      <c r="J194" s="16">
        <f t="shared" ref="J194:J257" si="3">DATEDIF(H194,I194,"M")</f>
        <v>26</v>
      </c>
      <c r="K194" s="16" t="s">
        <v>657</v>
      </c>
      <c r="L194" s="16" t="s">
        <v>659</v>
      </c>
      <c r="M194" s="17">
        <v>27.63</v>
      </c>
      <c r="N194" s="18">
        <v>3.5000000000000003E-2</v>
      </c>
      <c r="O194" s="17">
        <v>0.97</v>
      </c>
      <c r="P194" s="16" t="s">
        <v>122</v>
      </c>
      <c r="Q194" s="15" t="s">
        <v>118</v>
      </c>
    </row>
    <row r="195" spans="1:17" x14ac:dyDescent="0.25">
      <c r="A195" s="16">
        <v>7387433</v>
      </c>
      <c r="B195" s="16" t="s">
        <v>205</v>
      </c>
      <c r="C195" s="16" t="s">
        <v>206</v>
      </c>
      <c r="D195" s="16" t="s">
        <v>207</v>
      </c>
      <c r="E195" s="16" t="s">
        <v>66</v>
      </c>
      <c r="F195" s="16" t="s">
        <v>68</v>
      </c>
      <c r="G195" s="16" t="s">
        <v>118</v>
      </c>
      <c r="H195" s="16" t="s">
        <v>209</v>
      </c>
      <c r="I195" s="16" t="s">
        <v>102</v>
      </c>
      <c r="J195" s="16">
        <f t="shared" si="3"/>
        <v>26</v>
      </c>
      <c r="K195" s="16" t="s">
        <v>657</v>
      </c>
      <c r="L195" s="16" t="s">
        <v>659</v>
      </c>
      <c r="M195" s="17">
        <v>27.63</v>
      </c>
      <c r="N195" s="18">
        <v>3.5000000000000003E-2</v>
      </c>
      <c r="O195" s="17">
        <v>0.97</v>
      </c>
      <c r="P195" s="16" t="s">
        <v>122</v>
      </c>
      <c r="Q195" s="15" t="s">
        <v>118</v>
      </c>
    </row>
    <row r="196" spans="1:17" x14ac:dyDescent="0.25">
      <c r="A196" s="16">
        <v>13496370</v>
      </c>
      <c r="B196" s="16" t="s">
        <v>285</v>
      </c>
      <c r="C196" s="16" t="s">
        <v>286</v>
      </c>
      <c r="D196" s="16" t="s">
        <v>287</v>
      </c>
      <c r="E196" s="16" t="s">
        <v>66</v>
      </c>
      <c r="F196" s="16" t="s">
        <v>68</v>
      </c>
      <c r="G196" s="16" t="s">
        <v>118</v>
      </c>
      <c r="H196" s="16" t="s">
        <v>213</v>
      </c>
      <c r="I196" s="16" t="s">
        <v>71</v>
      </c>
      <c r="J196" s="16">
        <f t="shared" si="3"/>
        <v>26</v>
      </c>
      <c r="K196" s="16" t="s">
        <v>657</v>
      </c>
      <c r="L196" s="16" t="s">
        <v>659</v>
      </c>
      <c r="M196" s="17">
        <v>27.63</v>
      </c>
      <c r="N196" s="18">
        <v>3.5000000000000003E-2</v>
      </c>
      <c r="O196" s="17">
        <v>0.97</v>
      </c>
      <c r="P196" s="16" t="s">
        <v>122</v>
      </c>
      <c r="Q196" s="15" t="s">
        <v>118</v>
      </c>
    </row>
    <row r="197" spans="1:17" x14ac:dyDescent="0.25">
      <c r="A197" s="16">
        <v>13496370</v>
      </c>
      <c r="B197" s="16" t="s">
        <v>285</v>
      </c>
      <c r="C197" s="16" t="s">
        <v>321</v>
      </c>
      <c r="D197" s="16" t="s">
        <v>322</v>
      </c>
      <c r="E197" s="16" t="s">
        <v>66</v>
      </c>
      <c r="F197" s="16" t="s">
        <v>68</v>
      </c>
      <c r="G197" s="16" t="s">
        <v>118</v>
      </c>
      <c r="H197" s="16" t="s">
        <v>213</v>
      </c>
      <c r="I197" s="16" t="s">
        <v>71</v>
      </c>
      <c r="J197" s="16">
        <f t="shared" si="3"/>
        <v>26</v>
      </c>
      <c r="K197" s="16" t="s">
        <v>657</v>
      </c>
      <c r="L197" s="16" t="s">
        <v>659</v>
      </c>
      <c r="M197" s="17">
        <v>22.42</v>
      </c>
      <c r="N197" s="18">
        <v>3.5000000000000003E-2</v>
      </c>
      <c r="O197" s="17">
        <v>0.78</v>
      </c>
      <c r="P197" s="16" t="s">
        <v>122</v>
      </c>
      <c r="Q197" s="15" t="s">
        <v>118</v>
      </c>
    </row>
    <row r="198" spans="1:17" x14ac:dyDescent="0.25">
      <c r="A198" s="16">
        <v>9079571</v>
      </c>
      <c r="B198" s="16" t="s">
        <v>78</v>
      </c>
      <c r="C198" s="16" t="s">
        <v>210</v>
      </c>
      <c r="D198" s="16" t="s">
        <v>211</v>
      </c>
      <c r="E198" s="16" t="s">
        <v>66</v>
      </c>
      <c r="F198" s="16" t="s">
        <v>68</v>
      </c>
      <c r="G198" s="16" t="s">
        <v>118</v>
      </c>
      <c r="H198" s="16" t="s">
        <v>213</v>
      </c>
      <c r="I198" s="16" t="s">
        <v>95</v>
      </c>
      <c r="J198" s="16">
        <f t="shared" si="3"/>
        <v>27</v>
      </c>
      <c r="K198" s="16" t="s">
        <v>657</v>
      </c>
      <c r="L198" s="16" t="s">
        <v>659</v>
      </c>
      <c r="M198" s="17">
        <v>-27.63</v>
      </c>
      <c r="N198" s="18">
        <v>3.5000000000000003E-2</v>
      </c>
      <c r="O198" s="17">
        <v>-0.97</v>
      </c>
      <c r="P198" s="16" t="s">
        <v>122</v>
      </c>
      <c r="Q198" s="15" t="s">
        <v>118</v>
      </c>
    </row>
    <row r="199" spans="1:17" x14ac:dyDescent="0.25">
      <c r="A199" s="16">
        <v>13496370</v>
      </c>
      <c r="B199" s="16" t="s">
        <v>285</v>
      </c>
      <c r="C199" s="16" t="s">
        <v>286</v>
      </c>
      <c r="D199" s="16" t="s">
        <v>287</v>
      </c>
      <c r="E199" s="16" t="s">
        <v>66</v>
      </c>
      <c r="F199" s="16" t="s">
        <v>68</v>
      </c>
      <c r="G199" s="16" t="s">
        <v>118</v>
      </c>
      <c r="H199" s="16" t="s">
        <v>213</v>
      </c>
      <c r="I199" s="16" t="s">
        <v>95</v>
      </c>
      <c r="J199" s="16">
        <f t="shared" si="3"/>
        <v>27</v>
      </c>
      <c r="K199" s="16" t="s">
        <v>657</v>
      </c>
      <c r="L199" s="16" t="s">
        <v>659</v>
      </c>
      <c r="M199" s="17">
        <v>-27.63</v>
      </c>
      <c r="N199" s="18">
        <v>3.5000000000000003E-2</v>
      </c>
      <c r="O199" s="17">
        <v>-0.97</v>
      </c>
      <c r="P199" s="16" t="s">
        <v>122</v>
      </c>
      <c r="Q199" s="15" t="s">
        <v>118</v>
      </c>
    </row>
    <row r="200" spans="1:17" x14ac:dyDescent="0.25">
      <c r="A200" s="16">
        <v>13496370</v>
      </c>
      <c r="B200" s="16" t="s">
        <v>285</v>
      </c>
      <c r="C200" s="16" t="s">
        <v>321</v>
      </c>
      <c r="D200" s="16" t="s">
        <v>322</v>
      </c>
      <c r="E200" s="16" t="s">
        <v>66</v>
      </c>
      <c r="F200" s="16" t="s">
        <v>68</v>
      </c>
      <c r="G200" s="16" t="s">
        <v>118</v>
      </c>
      <c r="H200" s="16" t="s">
        <v>213</v>
      </c>
      <c r="I200" s="16" t="s">
        <v>95</v>
      </c>
      <c r="J200" s="16">
        <f t="shared" si="3"/>
        <v>27</v>
      </c>
      <c r="K200" s="16" t="s">
        <v>657</v>
      </c>
      <c r="L200" s="16" t="s">
        <v>659</v>
      </c>
      <c r="M200" s="17">
        <v>-22.42</v>
      </c>
      <c r="N200" s="18">
        <v>3.5000000000000003E-2</v>
      </c>
      <c r="O200" s="17">
        <v>-0.78</v>
      </c>
      <c r="P200" s="16" t="s">
        <v>122</v>
      </c>
      <c r="Q200" s="15" t="s">
        <v>118</v>
      </c>
    </row>
    <row r="201" spans="1:17" x14ac:dyDescent="0.25">
      <c r="A201" s="16">
        <v>20697692</v>
      </c>
      <c r="B201" s="16" t="s">
        <v>175</v>
      </c>
      <c r="C201" s="16" t="s">
        <v>539</v>
      </c>
      <c r="D201" s="16" t="s">
        <v>540</v>
      </c>
      <c r="E201" s="16" t="s">
        <v>66</v>
      </c>
      <c r="F201" s="16" t="s">
        <v>68</v>
      </c>
      <c r="G201" s="16" t="s">
        <v>118</v>
      </c>
      <c r="H201" s="16" t="s">
        <v>542</v>
      </c>
      <c r="I201" s="16" t="s">
        <v>345</v>
      </c>
      <c r="J201" s="16">
        <f t="shared" si="3"/>
        <v>28</v>
      </c>
      <c r="K201" s="16" t="s">
        <v>657</v>
      </c>
      <c r="L201" s="16" t="s">
        <v>659</v>
      </c>
      <c r="M201" s="17">
        <v>32.130000000000003</v>
      </c>
      <c r="N201" s="18">
        <v>3.5000000000000003E-2</v>
      </c>
      <c r="O201" s="17">
        <v>1.1200000000000001</v>
      </c>
      <c r="P201" s="16" t="s">
        <v>122</v>
      </c>
      <c r="Q201" s="15" t="s">
        <v>118</v>
      </c>
    </row>
    <row r="202" spans="1:17" x14ac:dyDescent="0.25">
      <c r="A202" s="16">
        <v>9079571</v>
      </c>
      <c r="B202" s="16" t="s">
        <v>78</v>
      </c>
      <c r="C202" s="16" t="s">
        <v>376</v>
      </c>
      <c r="D202" s="16" t="s">
        <v>377</v>
      </c>
      <c r="E202" s="16" t="s">
        <v>66</v>
      </c>
      <c r="F202" s="16" t="s">
        <v>68</v>
      </c>
      <c r="G202" s="16" t="s">
        <v>118</v>
      </c>
      <c r="H202" s="16" t="s">
        <v>379</v>
      </c>
      <c r="I202" s="16" t="s">
        <v>71</v>
      </c>
      <c r="J202" s="16">
        <f t="shared" si="3"/>
        <v>29</v>
      </c>
      <c r="K202" s="16" t="s">
        <v>657</v>
      </c>
      <c r="L202" s="16" t="s">
        <v>659</v>
      </c>
      <c r="M202" s="17">
        <v>22.42</v>
      </c>
      <c r="N202" s="18">
        <v>3.5000000000000003E-2</v>
      </c>
      <c r="O202" s="17">
        <v>0.78</v>
      </c>
      <c r="P202" s="16" t="s">
        <v>122</v>
      </c>
      <c r="Q202" s="15" t="s">
        <v>118</v>
      </c>
    </row>
    <row r="203" spans="1:17" x14ac:dyDescent="0.25">
      <c r="A203" s="16">
        <v>9079571</v>
      </c>
      <c r="B203" s="16" t="s">
        <v>78</v>
      </c>
      <c r="C203" s="16" t="s">
        <v>406</v>
      </c>
      <c r="D203" s="16" t="s">
        <v>407</v>
      </c>
      <c r="E203" s="16" t="s">
        <v>66</v>
      </c>
      <c r="F203" s="16" t="s">
        <v>68</v>
      </c>
      <c r="G203" s="16" t="s">
        <v>118</v>
      </c>
      <c r="H203" s="16" t="s">
        <v>379</v>
      </c>
      <c r="I203" s="16" t="s">
        <v>71</v>
      </c>
      <c r="J203" s="16">
        <f t="shared" si="3"/>
        <v>29</v>
      </c>
      <c r="K203" s="16" t="s">
        <v>657</v>
      </c>
      <c r="L203" s="16" t="s">
        <v>659</v>
      </c>
      <c r="M203" s="17">
        <v>27.63</v>
      </c>
      <c r="N203" s="18">
        <v>3.5000000000000003E-2</v>
      </c>
      <c r="O203" s="17">
        <v>0.97</v>
      </c>
      <c r="P203" s="16" t="s">
        <v>122</v>
      </c>
      <c r="Q203" s="15" t="s">
        <v>118</v>
      </c>
    </row>
    <row r="204" spans="1:17" x14ac:dyDescent="0.25">
      <c r="A204" s="16">
        <v>9079571</v>
      </c>
      <c r="B204" s="16" t="s">
        <v>78</v>
      </c>
      <c r="C204" s="16" t="s">
        <v>376</v>
      </c>
      <c r="D204" s="16" t="s">
        <v>408</v>
      </c>
      <c r="E204" s="16" t="s">
        <v>66</v>
      </c>
      <c r="F204" s="16" t="s">
        <v>68</v>
      </c>
      <c r="G204" s="16" t="s">
        <v>109</v>
      </c>
      <c r="H204" s="16" t="s">
        <v>379</v>
      </c>
      <c r="I204" s="16" t="s">
        <v>71</v>
      </c>
      <c r="J204" s="16">
        <f t="shared" si="3"/>
        <v>29</v>
      </c>
      <c r="K204" s="16" t="s">
        <v>657</v>
      </c>
      <c r="L204" s="16" t="s">
        <v>659</v>
      </c>
      <c r="M204" s="17">
        <v>12.47</v>
      </c>
      <c r="N204" s="18">
        <v>0.11</v>
      </c>
      <c r="O204" s="17">
        <v>1.37</v>
      </c>
      <c r="P204" s="16" t="s">
        <v>112</v>
      </c>
      <c r="Q204" s="15" t="s">
        <v>671</v>
      </c>
    </row>
    <row r="205" spans="1:17" x14ac:dyDescent="0.25">
      <c r="A205" s="16">
        <v>9079571</v>
      </c>
      <c r="B205" s="16" t="s">
        <v>78</v>
      </c>
      <c r="C205" s="16" t="s">
        <v>376</v>
      </c>
      <c r="D205" s="16" t="s">
        <v>408</v>
      </c>
      <c r="E205" s="16" t="s">
        <v>66</v>
      </c>
      <c r="F205" s="16" t="s">
        <v>68</v>
      </c>
      <c r="G205" s="16" t="s">
        <v>109</v>
      </c>
      <c r="H205" s="16" t="s">
        <v>379</v>
      </c>
      <c r="I205" s="16" t="s">
        <v>71</v>
      </c>
      <c r="J205" s="16">
        <f t="shared" si="3"/>
        <v>29</v>
      </c>
      <c r="K205" s="16" t="s">
        <v>657</v>
      </c>
      <c r="L205" s="16" t="s">
        <v>659</v>
      </c>
      <c r="M205" s="17">
        <v>6.87</v>
      </c>
      <c r="N205" s="18">
        <v>0.11</v>
      </c>
      <c r="O205" s="17">
        <v>0.76</v>
      </c>
      <c r="P205" s="16" t="s">
        <v>112</v>
      </c>
      <c r="Q205" s="15" t="s">
        <v>671</v>
      </c>
    </row>
    <row r="206" spans="1:17" x14ac:dyDescent="0.25">
      <c r="A206" s="16">
        <v>9079571</v>
      </c>
      <c r="B206" s="16" t="s">
        <v>78</v>
      </c>
      <c r="C206" s="16" t="s">
        <v>376</v>
      </c>
      <c r="D206" s="16" t="s">
        <v>408</v>
      </c>
      <c r="E206" s="16" t="s">
        <v>66</v>
      </c>
      <c r="F206" s="16" t="s">
        <v>68</v>
      </c>
      <c r="G206" s="16" t="s">
        <v>109</v>
      </c>
      <c r="H206" s="16" t="s">
        <v>379</v>
      </c>
      <c r="I206" s="16" t="s">
        <v>71</v>
      </c>
      <c r="J206" s="16">
        <f t="shared" si="3"/>
        <v>29</v>
      </c>
      <c r="K206" s="16" t="s">
        <v>657</v>
      </c>
      <c r="L206" s="16" t="s">
        <v>659</v>
      </c>
      <c r="M206" s="17">
        <v>9.85</v>
      </c>
      <c r="N206" s="18">
        <v>0.11</v>
      </c>
      <c r="O206" s="17">
        <v>1.08</v>
      </c>
      <c r="P206" s="16" t="s">
        <v>112</v>
      </c>
      <c r="Q206" s="15" t="s">
        <v>671</v>
      </c>
    </row>
    <row r="207" spans="1:17" x14ac:dyDescent="0.25">
      <c r="A207" s="16">
        <v>20411454</v>
      </c>
      <c r="B207" s="16" t="s">
        <v>649</v>
      </c>
      <c r="C207" s="16" t="s">
        <v>554</v>
      </c>
      <c r="D207" s="16" t="s">
        <v>555</v>
      </c>
      <c r="E207" s="16" t="s">
        <v>66</v>
      </c>
      <c r="F207" s="16" t="s">
        <v>128</v>
      </c>
      <c r="G207" s="16" t="s">
        <v>69</v>
      </c>
      <c r="H207" s="16" t="s">
        <v>379</v>
      </c>
      <c r="I207" s="16" t="s">
        <v>71</v>
      </c>
      <c r="J207" s="16">
        <f t="shared" si="3"/>
        <v>29</v>
      </c>
      <c r="K207" s="16" t="s">
        <v>657</v>
      </c>
      <c r="L207" s="16" t="s">
        <v>659</v>
      </c>
      <c r="M207" s="17">
        <v>2.86</v>
      </c>
      <c r="N207" s="18">
        <v>0.02</v>
      </c>
      <c r="O207" s="17">
        <v>2.86</v>
      </c>
      <c r="P207" s="16" t="s">
        <v>76</v>
      </c>
      <c r="Q207" s="15" t="s">
        <v>648</v>
      </c>
    </row>
    <row r="208" spans="1:17" x14ac:dyDescent="0.25">
      <c r="A208" s="16">
        <v>9079571</v>
      </c>
      <c r="B208" s="16" t="s">
        <v>78</v>
      </c>
      <c r="C208" s="16" t="s">
        <v>171</v>
      </c>
      <c r="D208" s="16" t="s">
        <v>172</v>
      </c>
      <c r="E208" s="16" t="s">
        <v>66</v>
      </c>
      <c r="F208" s="16" t="s">
        <v>68</v>
      </c>
      <c r="G208" s="16" t="s">
        <v>118</v>
      </c>
      <c r="H208" s="16" t="s">
        <v>173</v>
      </c>
      <c r="I208" s="16" t="s">
        <v>102</v>
      </c>
      <c r="J208" s="16">
        <f t="shared" si="3"/>
        <v>30</v>
      </c>
      <c r="K208" s="16" t="s">
        <v>657</v>
      </c>
      <c r="L208" s="16" t="s">
        <v>659</v>
      </c>
      <c r="M208" s="17">
        <v>22.42</v>
      </c>
      <c r="N208" s="18">
        <v>3.5000000000000003E-2</v>
      </c>
      <c r="O208" s="17">
        <v>0.78</v>
      </c>
      <c r="P208" s="16" t="s">
        <v>122</v>
      </c>
      <c r="Q208" s="15" t="s">
        <v>118</v>
      </c>
    </row>
    <row r="209" spans="1:17" x14ac:dyDescent="0.25">
      <c r="A209" s="16">
        <v>9079571</v>
      </c>
      <c r="B209" s="16" t="s">
        <v>78</v>
      </c>
      <c r="C209" s="16" t="s">
        <v>582</v>
      </c>
      <c r="D209" s="16" t="s">
        <v>583</v>
      </c>
      <c r="E209" s="16" t="s">
        <v>66</v>
      </c>
      <c r="F209" s="16" t="s">
        <v>68</v>
      </c>
      <c r="G209" s="16" t="s">
        <v>118</v>
      </c>
      <c r="H209" s="16" t="s">
        <v>584</v>
      </c>
      <c r="I209" s="16" t="s">
        <v>461</v>
      </c>
      <c r="J209" s="16">
        <f t="shared" si="3"/>
        <v>30</v>
      </c>
      <c r="K209" s="16" t="s">
        <v>657</v>
      </c>
      <c r="L209" s="16" t="s">
        <v>659</v>
      </c>
      <c r="M209" s="17">
        <v>22.42</v>
      </c>
      <c r="N209" s="18">
        <v>3.5000000000000003E-2</v>
      </c>
      <c r="O209" s="17">
        <v>0.78</v>
      </c>
      <c r="P209" s="16" t="s">
        <v>122</v>
      </c>
      <c r="Q209" s="15" t="s">
        <v>118</v>
      </c>
    </row>
    <row r="210" spans="1:17" x14ac:dyDescent="0.25">
      <c r="A210" s="16">
        <v>20697692</v>
      </c>
      <c r="B210" s="16" t="s">
        <v>175</v>
      </c>
      <c r="C210" s="16" t="s">
        <v>176</v>
      </c>
      <c r="D210" s="16" t="s">
        <v>177</v>
      </c>
      <c r="E210" s="16" t="s">
        <v>66</v>
      </c>
      <c r="F210" s="16" t="s">
        <v>68</v>
      </c>
      <c r="G210" s="16" t="s">
        <v>118</v>
      </c>
      <c r="H210" s="16" t="s">
        <v>179</v>
      </c>
      <c r="I210" s="16" t="s">
        <v>180</v>
      </c>
      <c r="J210" s="16">
        <f t="shared" si="3"/>
        <v>30</v>
      </c>
      <c r="K210" s="16" t="s">
        <v>657</v>
      </c>
      <c r="L210" s="16" t="s">
        <v>659</v>
      </c>
      <c r="M210" s="17">
        <v>32.130000000000003</v>
      </c>
      <c r="N210" s="18">
        <v>3.5000000000000003E-2</v>
      </c>
      <c r="O210" s="17">
        <v>1.1200000000000001</v>
      </c>
      <c r="P210" s="16" t="s">
        <v>122</v>
      </c>
      <c r="Q210" s="15" t="s">
        <v>118</v>
      </c>
    </row>
    <row r="211" spans="1:17" x14ac:dyDescent="0.25">
      <c r="A211" s="16">
        <v>9079571</v>
      </c>
      <c r="B211" s="16" t="s">
        <v>78</v>
      </c>
      <c r="C211" s="16" t="s">
        <v>171</v>
      </c>
      <c r="D211" s="16" t="s">
        <v>186</v>
      </c>
      <c r="E211" s="16" t="s">
        <v>66</v>
      </c>
      <c r="F211" s="16" t="s">
        <v>68</v>
      </c>
      <c r="G211" s="16" t="s">
        <v>109</v>
      </c>
      <c r="H211" s="16" t="s">
        <v>173</v>
      </c>
      <c r="I211" s="16" t="s">
        <v>102</v>
      </c>
      <c r="J211" s="16">
        <f t="shared" si="3"/>
        <v>30</v>
      </c>
      <c r="K211" s="16" t="s">
        <v>657</v>
      </c>
      <c r="L211" s="16" t="s">
        <v>659</v>
      </c>
      <c r="M211" s="17">
        <v>49.87</v>
      </c>
      <c r="N211" s="18">
        <v>0.11</v>
      </c>
      <c r="O211" s="17">
        <v>5.49</v>
      </c>
      <c r="P211" s="16" t="s">
        <v>112</v>
      </c>
      <c r="Q211" s="15" t="s">
        <v>671</v>
      </c>
    </row>
    <row r="212" spans="1:17" x14ac:dyDescent="0.25">
      <c r="A212" s="16">
        <v>9079571</v>
      </c>
      <c r="B212" s="16" t="s">
        <v>78</v>
      </c>
      <c r="C212" s="16" t="s">
        <v>171</v>
      </c>
      <c r="D212" s="16" t="s">
        <v>186</v>
      </c>
      <c r="E212" s="16" t="s">
        <v>66</v>
      </c>
      <c r="F212" s="16" t="s">
        <v>68</v>
      </c>
      <c r="G212" s="16" t="s">
        <v>109</v>
      </c>
      <c r="H212" s="16" t="s">
        <v>173</v>
      </c>
      <c r="I212" s="16" t="s">
        <v>102</v>
      </c>
      <c r="J212" s="16">
        <f t="shared" si="3"/>
        <v>30</v>
      </c>
      <c r="K212" s="16" t="s">
        <v>657</v>
      </c>
      <c r="L212" s="16" t="s">
        <v>659</v>
      </c>
      <c r="M212" s="17">
        <v>20.62</v>
      </c>
      <c r="N212" s="18">
        <v>0.11</v>
      </c>
      <c r="O212" s="17">
        <v>2.27</v>
      </c>
      <c r="P212" s="16" t="s">
        <v>112</v>
      </c>
      <c r="Q212" s="15" t="s">
        <v>671</v>
      </c>
    </row>
    <row r="213" spans="1:17" x14ac:dyDescent="0.25">
      <c r="A213" s="16">
        <v>9079571</v>
      </c>
      <c r="B213" s="16" t="s">
        <v>78</v>
      </c>
      <c r="C213" s="16" t="s">
        <v>171</v>
      </c>
      <c r="D213" s="16" t="s">
        <v>186</v>
      </c>
      <c r="E213" s="16" t="s">
        <v>66</v>
      </c>
      <c r="F213" s="16" t="s">
        <v>68</v>
      </c>
      <c r="G213" s="16" t="s">
        <v>109</v>
      </c>
      <c r="H213" s="16" t="s">
        <v>173</v>
      </c>
      <c r="I213" s="16" t="s">
        <v>102</v>
      </c>
      <c r="J213" s="16">
        <f t="shared" si="3"/>
        <v>30</v>
      </c>
      <c r="K213" s="16" t="s">
        <v>657</v>
      </c>
      <c r="L213" s="16" t="s">
        <v>659</v>
      </c>
      <c r="M213" s="17">
        <v>59.1</v>
      </c>
      <c r="N213" s="18">
        <v>0.11</v>
      </c>
      <c r="O213" s="17">
        <v>6.5</v>
      </c>
      <c r="P213" s="16" t="s">
        <v>112</v>
      </c>
      <c r="Q213" s="15" t="s">
        <v>671</v>
      </c>
    </row>
    <row r="214" spans="1:17" x14ac:dyDescent="0.25">
      <c r="A214" s="16">
        <v>16243811</v>
      </c>
      <c r="B214" s="16" t="s">
        <v>182</v>
      </c>
      <c r="C214" s="16" t="s">
        <v>253</v>
      </c>
      <c r="D214" s="16" t="s">
        <v>254</v>
      </c>
      <c r="E214" s="16" t="s">
        <v>66</v>
      </c>
      <c r="F214" s="16" t="s">
        <v>68</v>
      </c>
      <c r="G214" s="16" t="s">
        <v>118</v>
      </c>
      <c r="H214" s="16" t="s">
        <v>256</v>
      </c>
      <c r="I214" s="16" t="s">
        <v>71</v>
      </c>
      <c r="J214" s="16">
        <f t="shared" si="3"/>
        <v>32</v>
      </c>
      <c r="K214" s="16" t="s">
        <v>657</v>
      </c>
      <c r="L214" s="16" t="s">
        <v>659</v>
      </c>
      <c r="M214" s="17">
        <v>64.260000000000005</v>
      </c>
      <c r="N214" s="18">
        <v>3.5000000000000003E-2</v>
      </c>
      <c r="O214" s="17">
        <v>2.25</v>
      </c>
      <c r="P214" s="16" t="s">
        <v>122</v>
      </c>
      <c r="Q214" s="15" t="s">
        <v>118</v>
      </c>
    </row>
    <row r="215" spans="1:17" x14ac:dyDescent="0.25">
      <c r="A215" s="16">
        <v>16243811</v>
      </c>
      <c r="B215" s="16" t="s">
        <v>182</v>
      </c>
      <c r="C215" s="16" t="s">
        <v>524</v>
      </c>
      <c r="D215" s="16" t="s">
        <v>525</v>
      </c>
      <c r="E215" s="16" t="s">
        <v>66</v>
      </c>
      <c r="F215" s="16" t="s">
        <v>68</v>
      </c>
      <c r="G215" s="16" t="s">
        <v>118</v>
      </c>
      <c r="H215" s="16" t="s">
        <v>526</v>
      </c>
      <c r="I215" s="16" t="s">
        <v>180</v>
      </c>
      <c r="J215" s="16">
        <f t="shared" si="3"/>
        <v>32</v>
      </c>
      <c r="K215" s="16" t="s">
        <v>657</v>
      </c>
      <c r="L215" s="16" t="s">
        <v>659</v>
      </c>
      <c r="M215" s="17">
        <v>32.130000000000003</v>
      </c>
      <c r="N215" s="18">
        <v>3.5000000000000003E-2</v>
      </c>
      <c r="O215" s="17">
        <v>1.1200000000000001</v>
      </c>
      <c r="P215" s="16" t="s">
        <v>122</v>
      </c>
      <c r="Q215" s="15" t="s">
        <v>118</v>
      </c>
    </row>
    <row r="216" spans="1:17" x14ac:dyDescent="0.25">
      <c r="A216" s="16">
        <v>16243811</v>
      </c>
      <c r="B216" s="16" t="s">
        <v>182</v>
      </c>
      <c r="C216" s="16" t="s">
        <v>183</v>
      </c>
      <c r="D216" s="16" t="s">
        <v>184</v>
      </c>
      <c r="E216" s="16" t="s">
        <v>66</v>
      </c>
      <c r="F216" s="16" t="s">
        <v>68</v>
      </c>
      <c r="G216" s="16" t="s">
        <v>118</v>
      </c>
      <c r="H216" s="16" t="s">
        <v>185</v>
      </c>
      <c r="I216" s="16" t="s">
        <v>102</v>
      </c>
      <c r="J216" s="16">
        <f t="shared" si="3"/>
        <v>35</v>
      </c>
      <c r="K216" s="16" t="s">
        <v>657</v>
      </c>
      <c r="L216" s="16" t="s">
        <v>659</v>
      </c>
      <c r="M216" s="17">
        <v>27.63</v>
      </c>
      <c r="N216" s="18">
        <v>3.5000000000000003E-2</v>
      </c>
      <c r="O216" s="17">
        <v>0.97</v>
      </c>
      <c r="P216" s="16" t="s">
        <v>122</v>
      </c>
      <c r="Q216" s="15" t="s">
        <v>118</v>
      </c>
    </row>
    <row r="217" spans="1:17" x14ac:dyDescent="0.25">
      <c r="A217" s="16">
        <v>16243811</v>
      </c>
      <c r="B217" s="16" t="s">
        <v>182</v>
      </c>
      <c r="C217" s="16" t="s">
        <v>423</v>
      </c>
      <c r="D217" s="16" t="s">
        <v>424</v>
      </c>
      <c r="E217" s="16" t="s">
        <v>66</v>
      </c>
      <c r="F217" s="16" t="s">
        <v>68</v>
      </c>
      <c r="G217" s="16" t="s">
        <v>118</v>
      </c>
      <c r="H217" s="16" t="s">
        <v>426</v>
      </c>
      <c r="I217" s="16" t="s">
        <v>71</v>
      </c>
      <c r="J217" s="16">
        <f t="shared" si="3"/>
        <v>36</v>
      </c>
      <c r="K217" s="16" t="s">
        <v>657</v>
      </c>
      <c r="L217" s="16" t="s">
        <v>659</v>
      </c>
      <c r="M217" s="17">
        <v>64.260000000000005</v>
      </c>
      <c r="N217" s="18">
        <v>3.5000000000000003E-2</v>
      </c>
      <c r="O217" s="17">
        <v>2.25</v>
      </c>
      <c r="P217" s="16" t="s">
        <v>122</v>
      </c>
      <c r="Q217" s="15" t="s">
        <v>118</v>
      </c>
    </row>
  </sheetData>
  <sortState xmlns:xlrd2="http://schemas.microsoft.com/office/spreadsheetml/2017/richdata2" ref="A2:X217">
    <sortCondition sortBy="cellColor" ref="A2:A217" dxfId="0"/>
    <sortCondition ref="J2:J21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55420-BA46-44E8-B137-E0ABC7A5A9BA}">
  <dimension ref="A1:P7"/>
  <sheetViews>
    <sheetView tabSelected="1" workbookViewId="0">
      <selection activeCell="G8" sqref="G8"/>
    </sheetView>
  </sheetViews>
  <sheetFormatPr defaultRowHeight="15" x14ac:dyDescent="0.25"/>
  <cols>
    <col min="8" max="8" width="14.7109375" bestFit="1" customWidth="1"/>
    <col min="9" max="9" width="18.5703125" bestFit="1" customWidth="1"/>
  </cols>
  <sheetData>
    <row r="1" spans="1:16" s="15" customFormat="1" x14ac:dyDescent="0.25">
      <c r="A1" s="14" t="s">
        <v>42</v>
      </c>
      <c r="B1" s="14" t="s">
        <v>43</v>
      </c>
      <c r="C1" s="14" t="s">
        <v>44</v>
      </c>
      <c r="D1" s="14" t="s">
        <v>45</v>
      </c>
      <c r="E1" s="14" t="s">
        <v>46</v>
      </c>
      <c r="F1" s="14" t="s">
        <v>48</v>
      </c>
      <c r="G1" s="14" t="s">
        <v>49</v>
      </c>
      <c r="H1" s="14" t="s">
        <v>50</v>
      </c>
      <c r="I1" s="14" t="s">
        <v>51</v>
      </c>
      <c r="J1" s="14"/>
      <c r="K1" s="14"/>
      <c r="L1" s="14"/>
      <c r="M1" s="14" t="s">
        <v>52</v>
      </c>
      <c r="N1" s="14" t="s">
        <v>54</v>
      </c>
      <c r="O1" s="14" t="s">
        <v>56</v>
      </c>
      <c r="P1" s="14" t="s">
        <v>60</v>
      </c>
    </row>
    <row r="2" spans="1:16" s="26" customFormat="1" x14ac:dyDescent="0.25">
      <c r="A2" s="23" t="s">
        <v>651</v>
      </c>
      <c r="B2" s="23" t="s">
        <v>148</v>
      </c>
      <c r="C2" s="23" t="s">
        <v>149</v>
      </c>
      <c r="D2" s="23" t="s">
        <v>150</v>
      </c>
      <c r="E2" s="23" t="s">
        <v>92</v>
      </c>
      <c r="F2" s="23" t="s">
        <v>128</v>
      </c>
      <c r="G2" s="23" t="s">
        <v>69</v>
      </c>
      <c r="H2" s="23" t="s">
        <v>95</v>
      </c>
      <c r="I2" s="23" t="s">
        <v>95</v>
      </c>
      <c r="J2" s="23">
        <f>DATEDIF(H2,I2,"M")</f>
        <v>0</v>
      </c>
      <c r="K2" s="23" t="s">
        <v>655</v>
      </c>
      <c r="L2" s="23" t="s">
        <v>656</v>
      </c>
      <c r="M2" s="24">
        <v>241.57</v>
      </c>
      <c r="N2" s="25">
        <v>1.6500000000000001E-2</v>
      </c>
      <c r="O2" s="24">
        <v>3.99</v>
      </c>
      <c r="P2" s="23" t="s">
        <v>76</v>
      </c>
    </row>
    <row r="7" spans="1:16" x14ac:dyDescent="0.25">
      <c r="G7">
        <f>3.24+0.22+0.53</f>
        <v>3.99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Commission Summary</vt:lpstr>
      <vt:lpstr>Commission Details</vt:lpstr>
      <vt:lpstr>Sheet1</vt:lpstr>
      <vt:lpstr>on hold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2025-12-12T07:24:21Z</dcterms:created>
  <dcterms:modified xsi:type="dcterms:W3CDTF">2025-12-15T21:35:08Z</dcterms:modified>
</cp:coreProperties>
</file>