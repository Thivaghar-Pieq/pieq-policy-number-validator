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7-30-25 to 08-02-25\"/>
    </mc:Choice>
  </mc:AlternateContent>
  <xr:revisionPtr revIDLastSave="0" documentId="13_ncr:1_{D7DE808B-095A-498A-8B76-1389D3C96D8D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K7" i="3" l="1"/>
  <c r="K8" i="3"/>
  <c r="K3" i="3"/>
  <c r="K12" i="3"/>
  <c r="K21" i="3"/>
  <c r="K22" i="3"/>
  <c r="K4" i="3"/>
  <c r="K5" i="3"/>
  <c r="K17" i="3"/>
  <c r="K18" i="3"/>
  <c r="K19" i="3"/>
  <c r="K20" i="3"/>
  <c r="K30" i="3"/>
  <c r="K10" i="3"/>
  <c r="K9" i="3"/>
  <c r="K11" i="3"/>
  <c r="K31" i="3"/>
  <c r="K14" i="3"/>
  <c r="K15" i="3"/>
  <c r="K16" i="3"/>
  <c r="K23" i="3"/>
  <c r="K24" i="3"/>
  <c r="K13" i="3"/>
  <c r="K25" i="3"/>
  <c r="K26" i="3"/>
  <c r="K28" i="3"/>
  <c r="K29" i="3"/>
  <c r="K6" i="3"/>
  <c r="K2" i="3"/>
  <c r="K27" i="3"/>
</calcChain>
</file>

<file path=xl/sharedStrings.xml><?xml version="1.0" encoding="utf-8"?>
<sst xmlns="http://schemas.openxmlformats.org/spreadsheetml/2006/main" count="1053" uniqueCount="231">
  <si>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</si>
  <si>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</si>
  <si>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</si>
  <si>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</si>
  <si>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</si>
  <si>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</si>
  <si>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</si>
  <si>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07/30/2025</t>
  </si>
  <si>
    <t>Day of Week</t>
  </si>
  <si>
    <t>FRIDAY</t>
  </si>
  <si>
    <t>Aetna Health Ins Company(AHIC)</t>
  </si>
  <si>
    <t>$37.02</t>
  </si>
  <si>
    <t>CONTINENTAL LIFE INSURANCE CO(CLI)</t>
  </si>
  <si>
    <t>$637.09</t>
  </si>
  <si>
    <t>Total Commission Paid</t>
  </si>
  <si>
    <t>$674.11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</si>
  <si>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</si>
  <si>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</si>
  <si>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</si>
  <si>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</si>
  <si>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</si>
  <si>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</si>
  <si>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</si>
  <si>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</si>
  <si>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</si>
  <si>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</si>
  <si>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$187.86</t>
  </si>
  <si>
    <t>First Year Total:</t>
  </si>
  <si>
    <t>First Year Override:</t>
  </si>
  <si>
    <t>$3.15</t>
  </si>
  <si>
    <t>$440.47</t>
  </si>
  <si>
    <t>Renewal Total:</t>
  </si>
  <si>
    <t>Renewal Override:</t>
  </si>
  <si>
    <t>$33.87</t>
  </si>
  <si>
    <t>$8.76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</si>
  <si>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</si>
  <si>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</si>
  <si>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</si>
  <si>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</si>
  <si>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</si>
  <si>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</si>
  <si>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</si>
  <si>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</si>
  <si>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</si>
  <si>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</si>
  <si>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</si>
  <si>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</si>
  <si>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</si>
  <si>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</si>
  <si>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</si>
  <si>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</si>
  <si>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</si>
  <si>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</si>
  <si>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</si>
  <si>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</si>
  <si>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</si>
  <si>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</si>
  <si>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</si>
  <si>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</si>
  <si>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</si>
  <si>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</si>
  <si>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GNW5005086</t>
  </si>
  <si>
    <t>CAROLYN WILSON SMITH</t>
  </si>
  <si>
    <t>SYLVIA GABBIDON</t>
  </si>
  <si>
    <t>CLI7280573</t>
  </si>
  <si>
    <t>First Year</t>
  </si>
  <si>
    <t>12/04/2024</t>
  </si>
  <si>
    <t>MD</t>
  </si>
  <si>
    <t>Heart Attack or Stroke Insurance</t>
  </si>
  <si>
    <t>01/01/2025</t>
  </si>
  <si>
    <t>08/01/2025</t>
  </si>
  <si>
    <t>0.00</t>
  </si>
  <si>
    <t>91.00%</t>
  </si>
  <si>
    <t>000</t>
  </si>
  <si>
    <t>Monthly</t>
  </si>
  <si>
    <t xml:space="preserve">CHAS PLUS Heart/Stroke        </t>
  </si>
  <si>
    <t>CLI7280571</t>
  </si>
  <si>
    <t>Cancer Insurance</t>
  </si>
  <si>
    <t xml:space="preserve">CHAS PLUS CANCER ONLY         </t>
  </si>
  <si>
    <t>GNW5015801</t>
  </si>
  <si>
    <t>RONALD MAX</t>
  </si>
  <si>
    <t>MICHAELA MORALES</t>
  </si>
  <si>
    <t>CLI7280038</t>
  </si>
  <si>
    <t>12/03/2024</t>
  </si>
  <si>
    <t>HIP Flex Hospital Admission Indemnity</t>
  </si>
  <si>
    <t>08/04/2025</t>
  </si>
  <si>
    <t>58.00%</t>
  </si>
  <si>
    <t>HOSPITAL CONFINEMENT INDEMNITY</t>
  </si>
  <si>
    <t>GNW5020131</t>
  </si>
  <si>
    <t>CHAD YALE</t>
  </si>
  <si>
    <t>KATHY WEISS</t>
  </si>
  <si>
    <t>CLI7271278</t>
  </si>
  <si>
    <t>11/19/2024</t>
  </si>
  <si>
    <t>IL</t>
  </si>
  <si>
    <t>12/01/2024</t>
  </si>
  <si>
    <t>62.50%</t>
  </si>
  <si>
    <t>GNW5005484</t>
  </si>
  <si>
    <t>CATHY LEMON</t>
  </si>
  <si>
    <t>JENNIFER LAWSON</t>
  </si>
  <si>
    <t>CLI7109175</t>
  </si>
  <si>
    <t>Renewal</t>
  </si>
  <si>
    <t>12/29/2023</t>
  </si>
  <si>
    <t>Dental Only 2000</t>
  </si>
  <si>
    <t>01/01/2024</t>
  </si>
  <si>
    <t>3.50%</t>
  </si>
  <si>
    <t xml:space="preserve">Dental Only 2000 MD           </t>
  </si>
  <si>
    <t>GNW5007313</t>
  </si>
  <si>
    <t>DEBORAH INSKIPT</t>
  </si>
  <si>
    <t>GERTRUDE DOLCICH</t>
  </si>
  <si>
    <t>CLI7304642</t>
  </si>
  <si>
    <t>01/27/2025</t>
  </si>
  <si>
    <t>PA</t>
  </si>
  <si>
    <t>Cancer Insurance with Recurrence Benefit</t>
  </si>
  <si>
    <t>02/01/2025</t>
  </si>
  <si>
    <t>100.00%</t>
  </si>
  <si>
    <t>CHAS PLUS CANCER ONLY W/ RECUR</t>
  </si>
  <si>
    <t>GNW5009757</t>
  </si>
  <si>
    <t>TIMOTHY POWERS</t>
  </si>
  <si>
    <t>GEORGE RODGERS</t>
  </si>
  <si>
    <t>AHC4103845</t>
  </si>
  <si>
    <t>01/06/2025</t>
  </si>
  <si>
    <t>Medicare Supplement Plan G</t>
  </si>
  <si>
    <t>2.00%</t>
  </si>
  <si>
    <t xml:space="preserve">Med Supp Plan G 2010          </t>
  </si>
  <si>
    <t>GNW0089770</t>
  </si>
  <si>
    <t>ADAM RICHTER</t>
  </si>
  <si>
    <t>DION ORLANDO</t>
  </si>
  <si>
    <t>CLI7400499</t>
  </si>
  <si>
    <t>Initial</t>
  </si>
  <si>
    <t>07/27/2025</t>
  </si>
  <si>
    <t>95.00%</t>
  </si>
  <si>
    <t>GNW0089678</t>
  </si>
  <si>
    <t>RYAN CALTAGIRONE</t>
  </si>
  <si>
    <t>MARY OLAGUE DOLE</t>
  </si>
  <si>
    <t>CLI7263890</t>
  </si>
  <si>
    <t>11/09/2024</t>
  </si>
  <si>
    <t>FL</t>
  </si>
  <si>
    <t>Heart Attack or Stroke Insurance with Recurrence Benefit</t>
  </si>
  <si>
    <t>11/27/2024</t>
  </si>
  <si>
    <t xml:space="preserve">CHAS PLUS Heart/Strk w/ recuc </t>
  </si>
  <si>
    <t>CLI7263889</t>
  </si>
  <si>
    <t>Refund of Unearned Commissions</t>
  </si>
  <si>
    <t>CECIL HALL</t>
  </si>
  <si>
    <t>CLI7251271</t>
  </si>
  <si>
    <t>10/23/2024</t>
  </si>
  <si>
    <t>10/24/2024</t>
  </si>
  <si>
    <t>08/24/2025</t>
  </si>
  <si>
    <t>SARA ABUKHDEIR</t>
  </si>
  <si>
    <t>CLI7113909</t>
  </si>
  <si>
    <t>01/11/2024</t>
  </si>
  <si>
    <t>MI</t>
  </si>
  <si>
    <t>01/20/2024</t>
  </si>
  <si>
    <t>08/20/2025</t>
  </si>
  <si>
    <t>Quarterly</t>
  </si>
  <si>
    <t>CLI7251270</t>
  </si>
  <si>
    <t>CLI7251269</t>
  </si>
  <si>
    <t>57.00%</t>
  </si>
  <si>
    <t>TENENBA SOUMAH</t>
  </si>
  <si>
    <t>CLI7105825</t>
  </si>
  <si>
    <t>12/15/2023</t>
  </si>
  <si>
    <t>12/16/2023</t>
  </si>
  <si>
    <t>07/16/2025</t>
  </si>
  <si>
    <t>GEIDY ARGUETA PORTIL</t>
  </si>
  <si>
    <t>CLI7143667</t>
  </si>
  <si>
    <t>03/22/2024</t>
  </si>
  <si>
    <t>08/22/2025</t>
  </si>
  <si>
    <t>3.75%</t>
  </si>
  <si>
    <t>GNW5002639</t>
  </si>
  <si>
    <t>MATTHEW DAUGHERTY</t>
  </si>
  <si>
    <t>JULIE ROSENER</t>
  </si>
  <si>
    <t>AHC6703431</t>
  </si>
  <si>
    <t>07/21/2023</t>
  </si>
  <si>
    <t>TX</t>
  </si>
  <si>
    <t>09/01/2023</t>
  </si>
  <si>
    <t>24.00%</t>
  </si>
  <si>
    <t>DEBORAH COWDEN</t>
  </si>
  <si>
    <t>CLI7169088</t>
  </si>
  <si>
    <t>05/17/2024</t>
  </si>
  <si>
    <t>06/01/2024</t>
  </si>
  <si>
    <t>8.00%</t>
  </si>
  <si>
    <t>GNW5019542</t>
  </si>
  <si>
    <t>RICHARD YALE</t>
  </si>
  <si>
    <t>MARINELLA PAVLATOS</t>
  </si>
  <si>
    <t>CLI7399416</t>
  </si>
  <si>
    <t>07/24/2025</t>
  </si>
  <si>
    <t>105.00%</t>
  </si>
  <si>
    <t>GNW0089704</t>
  </si>
  <si>
    <t>GREGORY TEIPEL</t>
  </si>
  <si>
    <t>RALPH BIESK</t>
  </si>
  <si>
    <t>CLI7201254</t>
  </si>
  <si>
    <t>07/18/2024</t>
  </si>
  <si>
    <t>DVH PLUS 5000</t>
  </si>
  <si>
    <t>08/01/2024</t>
  </si>
  <si>
    <t xml:space="preserve">DVH PLUS 5000 100 DEDUCTIBLE  </t>
  </si>
  <si>
    <t>CYNTHIA ANDERSON</t>
  </si>
  <si>
    <t>CLI7132773</t>
  </si>
  <si>
    <t>02/27/2024</t>
  </si>
  <si>
    <t>03/01/2024</t>
  </si>
  <si>
    <t>05/01/2025</t>
  </si>
  <si>
    <t>SPENCER HOWELL</t>
  </si>
  <si>
    <t>CLI7288005</t>
  </si>
  <si>
    <t>12/14/2024</t>
  </si>
  <si>
    <t>WI</t>
  </si>
  <si>
    <t>CLI7280037</t>
  </si>
  <si>
    <t>CLI7280035</t>
  </si>
  <si>
    <t>07/04/2025</t>
  </si>
  <si>
    <t>SHAWN KELLER</t>
  </si>
  <si>
    <t>CLI7057971</t>
  </si>
  <si>
    <t>09/19/2023</t>
  </si>
  <si>
    <t>10/01/2023</t>
  </si>
  <si>
    <t>GNW5013444</t>
  </si>
  <si>
    <t>ANDREW CHOI</t>
  </si>
  <si>
    <t>RONALD MILLER</t>
  </si>
  <si>
    <t>CLI7278992</t>
  </si>
  <si>
    <t>12/02/2024</t>
  </si>
  <si>
    <t>AE</t>
  </si>
  <si>
    <t>RN</t>
  </si>
  <si>
    <t>AV1</t>
  </si>
  <si>
    <t>AV</t>
  </si>
  <si>
    <t>NB</t>
  </si>
  <si>
    <t>Aetna Senior OVR</t>
  </si>
  <si>
    <t>Dental, Vision, and Hearing Plus</t>
  </si>
  <si>
    <t>Cancer and Heart Attack or Stroke 100%</t>
  </si>
  <si>
    <t>Hospital Indemnity Flex: AZ, CT, FL, IA, MA, MD, MI, ND, NH, SC, UT, VA, VT</t>
  </si>
  <si>
    <t>HIP Flex Daily Hospital Indemnity</t>
  </si>
  <si>
    <t>Cancer and Heart Attack or Stroke Plus</t>
  </si>
  <si>
    <t>Cancer and Heart</t>
  </si>
  <si>
    <t>Cancer &amp; Heart Attack/Stroke</t>
  </si>
  <si>
    <t>Cancer and Heart Attack or Stroke 105</t>
  </si>
  <si>
    <t>16633294AV8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</si>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</sst>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0" fontId="11" fillId="4" borderId="0" xfId="0" applyFont="1" applyFill="1"/>
    <xf numFmtId="10" fontId="11" fillId="0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0" fontId="11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0" fontId="1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32.67</v>
      </c>
      <c r="N3" s="9" t="s">
        <v>71</v>
      </c>
      <c r="O3" s="9" t="s">
        <v>72</v>
      </c>
      <c r="P3" s="9" t="s">
        <v>73</v>
      </c>
      <c r="Q3" s="11">
        <v>29.73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76</v>
      </c>
      <c r="G4" s="10" t="s">
        <v>65</v>
      </c>
      <c r="H4" s="10" t="s">
        <v>66</v>
      </c>
      <c r="I4" s="10" t="s">
        <v>67</v>
      </c>
      <c r="J4" s="10" t="s">
        <v>77</v>
      </c>
      <c r="K4" s="10" t="s">
        <v>69</v>
      </c>
      <c r="L4" s="10" t="s">
        <v>70</v>
      </c>
      <c r="M4" s="12">
        <v>29.02</v>
      </c>
      <c r="N4" s="10" t="s">
        <v>71</v>
      </c>
      <c r="O4" s="10" t="s">
        <v>72</v>
      </c>
      <c r="P4" s="10" t="s">
        <v>73</v>
      </c>
      <c r="Q4" s="12">
        <v>26.41</v>
      </c>
      <c r="R4" s="10" t="s">
        <v>74</v>
      </c>
      <c r="S4" s="10" t="s">
        <v>0</v>
      </c>
      <c r="T4" s="10" t="s">
        <v>0</v>
      </c>
      <c r="U4" s="10" t="s">
        <v>78</v>
      </c>
    </row>
    <row r="5" spans="1:21" x14ac:dyDescent="0.25">
      <c r="A5" s="9" t="s">
        <v>19</v>
      </c>
      <c r="B5" s="9" t="s">
        <v>60</v>
      </c>
      <c r="C5" s="9" t="s">
        <v>79</v>
      </c>
      <c r="D5" s="9" t="s">
        <v>80</v>
      </c>
      <c r="E5" s="9" t="s">
        <v>81</v>
      </c>
      <c r="F5" s="9" t="s">
        <v>82</v>
      </c>
      <c r="G5" s="9" t="s">
        <v>65</v>
      </c>
      <c r="H5" s="9" t="s">
        <v>83</v>
      </c>
      <c r="I5" s="9" t="s">
        <v>67</v>
      </c>
      <c r="J5" s="9" t="s">
        <v>84</v>
      </c>
      <c r="K5" s="9" t="s">
        <v>66</v>
      </c>
      <c r="L5" s="9" t="s">
        <v>85</v>
      </c>
      <c r="M5" s="11">
        <v>20.62</v>
      </c>
      <c r="N5" s="9" t="s">
        <v>71</v>
      </c>
      <c r="O5" s="9" t="s">
        <v>86</v>
      </c>
      <c r="P5" s="9" t="s">
        <v>73</v>
      </c>
      <c r="Q5" s="11">
        <v>11.96</v>
      </c>
      <c r="R5" s="9" t="s">
        <v>74</v>
      </c>
      <c r="S5" s="9" t="s">
        <v>0</v>
      </c>
      <c r="T5" s="9" t="s">
        <v>0</v>
      </c>
      <c r="U5" s="9" t="s">
        <v>87</v>
      </c>
    </row>
    <row r="6" spans="1:21" x14ac:dyDescent="0.25">
      <c r="A6" s="10" t="s">
        <v>19</v>
      </c>
      <c r="B6" s="10" t="s">
        <v>60</v>
      </c>
      <c r="C6" s="10" t="s">
        <v>79</v>
      </c>
      <c r="D6" s="10" t="s">
        <v>80</v>
      </c>
      <c r="E6" s="10" t="s">
        <v>81</v>
      </c>
      <c r="F6" s="10" t="s">
        <v>82</v>
      </c>
      <c r="G6" s="10" t="s">
        <v>65</v>
      </c>
      <c r="H6" s="10" t="s">
        <v>83</v>
      </c>
      <c r="I6" s="10" t="s">
        <v>67</v>
      </c>
      <c r="J6" s="10" t="s">
        <v>84</v>
      </c>
      <c r="K6" s="10" t="s">
        <v>66</v>
      </c>
      <c r="L6" s="10" t="s">
        <v>85</v>
      </c>
      <c r="M6" s="12">
        <v>34.1</v>
      </c>
      <c r="N6" s="10" t="s">
        <v>71</v>
      </c>
      <c r="O6" s="10" t="s">
        <v>86</v>
      </c>
      <c r="P6" s="10" t="s">
        <v>73</v>
      </c>
      <c r="Q6" s="12">
        <v>19.78</v>
      </c>
      <c r="R6" s="10" t="s">
        <v>74</v>
      </c>
      <c r="S6" s="10" t="s">
        <v>0</v>
      </c>
      <c r="T6" s="10" t="s">
        <v>0</v>
      </c>
      <c r="U6" s="10" t="s">
        <v>87</v>
      </c>
    </row>
    <row r="7" spans="1:21" x14ac:dyDescent="0.25">
      <c r="A7" s="9" t="s">
        <v>19</v>
      </c>
      <c r="B7" s="9" t="s">
        <v>60</v>
      </c>
      <c r="C7" s="9" t="s">
        <v>79</v>
      </c>
      <c r="D7" s="9" t="s">
        <v>80</v>
      </c>
      <c r="E7" s="9" t="s">
        <v>81</v>
      </c>
      <c r="F7" s="9" t="s">
        <v>82</v>
      </c>
      <c r="G7" s="9" t="s">
        <v>65</v>
      </c>
      <c r="H7" s="9" t="s">
        <v>83</v>
      </c>
      <c r="I7" s="9" t="s">
        <v>67</v>
      </c>
      <c r="J7" s="9" t="s">
        <v>84</v>
      </c>
      <c r="K7" s="9" t="s">
        <v>66</v>
      </c>
      <c r="L7" s="9" t="s">
        <v>85</v>
      </c>
      <c r="M7" s="11">
        <v>21.3</v>
      </c>
      <c r="N7" s="9" t="s">
        <v>71</v>
      </c>
      <c r="O7" s="9" t="s">
        <v>86</v>
      </c>
      <c r="P7" s="9" t="s">
        <v>73</v>
      </c>
      <c r="Q7" s="11">
        <v>12.35</v>
      </c>
      <c r="R7" s="9" t="s">
        <v>74</v>
      </c>
      <c r="S7" s="9" t="s">
        <v>0</v>
      </c>
      <c r="T7" s="9" t="s">
        <v>0</v>
      </c>
      <c r="U7" s="9" t="s">
        <v>87</v>
      </c>
    </row>
    <row r="8" spans="1:21" x14ac:dyDescent="0.25">
      <c r="A8" s="10" t="s">
        <v>19</v>
      </c>
      <c r="B8" s="10" t="s">
        <v>60</v>
      </c>
      <c r="C8" s="10" t="s">
        <v>88</v>
      </c>
      <c r="D8" s="10" t="s">
        <v>89</v>
      </c>
      <c r="E8" s="10" t="s">
        <v>90</v>
      </c>
      <c r="F8" s="10" t="s">
        <v>91</v>
      </c>
      <c r="G8" s="10" t="s">
        <v>65</v>
      </c>
      <c r="H8" s="10" t="s">
        <v>92</v>
      </c>
      <c r="I8" s="10" t="s">
        <v>93</v>
      </c>
      <c r="J8" s="10" t="s">
        <v>84</v>
      </c>
      <c r="K8" s="10" t="s">
        <v>94</v>
      </c>
      <c r="L8" s="10" t="s">
        <v>70</v>
      </c>
      <c r="M8" s="12">
        <v>22.7</v>
      </c>
      <c r="N8" s="10" t="s">
        <v>71</v>
      </c>
      <c r="O8" s="10" t="s">
        <v>95</v>
      </c>
      <c r="P8" s="10" t="s">
        <v>73</v>
      </c>
      <c r="Q8" s="12">
        <v>14.19</v>
      </c>
      <c r="R8" s="10" t="s">
        <v>74</v>
      </c>
      <c r="S8" s="10" t="s">
        <v>0</v>
      </c>
      <c r="T8" s="10" t="s">
        <v>0</v>
      </c>
      <c r="U8" s="10" t="s">
        <v>87</v>
      </c>
    </row>
    <row r="9" spans="1:21" x14ac:dyDescent="0.25">
      <c r="A9" s="9" t="s">
        <v>19</v>
      </c>
      <c r="B9" s="9" t="s">
        <v>60</v>
      </c>
      <c r="C9" s="9" t="s">
        <v>88</v>
      </c>
      <c r="D9" s="9" t="s">
        <v>89</v>
      </c>
      <c r="E9" s="9" t="s">
        <v>90</v>
      </c>
      <c r="F9" s="9" t="s">
        <v>91</v>
      </c>
      <c r="G9" s="9" t="s">
        <v>65</v>
      </c>
      <c r="H9" s="9" t="s">
        <v>92</v>
      </c>
      <c r="I9" s="9" t="s">
        <v>93</v>
      </c>
      <c r="J9" s="9" t="s">
        <v>84</v>
      </c>
      <c r="K9" s="9" t="s">
        <v>94</v>
      </c>
      <c r="L9" s="9" t="s">
        <v>70</v>
      </c>
      <c r="M9" s="11">
        <v>104.26</v>
      </c>
      <c r="N9" s="9" t="s">
        <v>71</v>
      </c>
      <c r="O9" s="9" t="s">
        <v>95</v>
      </c>
      <c r="P9" s="9" t="s">
        <v>73</v>
      </c>
      <c r="Q9" s="11">
        <v>65.16</v>
      </c>
      <c r="R9" s="9" t="s">
        <v>74</v>
      </c>
      <c r="S9" s="9" t="s">
        <v>0</v>
      </c>
      <c r="T9" s="9" t="s">
        <v>0</v>
      </c>
      <c r="U9" s="9" t="s">
        <v>87</v>
      </c>
    </row>
    <row r="10" spans="1:21" x14ac:dyDescent="0.25">
      <c r="A10" s="10" t="s">
        <v>19</v>
      </c>
      <c r="B10" s="10" t="s">
        <v>60</v>
      </c>
      <c r="C10" s="10" t="s">
        <v>96</v>
      </c>
      <c r="D10" s="10" t="s">
        <v>97</v>
      </c>
      <c r="E10" s="10" t="s">
        <v>98</v>
      </c>
      <c r="F10" s="10" t="s">
        <v>99</v>
      </c>
      <c r="G10" s="10" t="s">
        <v>100</v>
      </c>
      <c r="H10" s="10" t="s">
        <v>101</v>
      </c>
      <c r="I10" s="10" t="s">
        <v>67</v>
      </c>
      <c r="J10" s="10" t="s">
        <v>102</v>
      </c>
      <c r="K10" s="10" t="s">
        <v>103</v>
      </c>
      <c r="L10" s="10" t="s">
        <v>70</v>
      </c>
      <c r="M10" s="12">
        <v>55.26</v>
      </c>
      <c r="N10" s="10" t="s">
        <v>71</v>
      </c>
      <c r="O10" s="10" t="s">
        <v>104</v>
      </c>
      <c r="P10" s="10" t="s">
        <v>73</v>
      </c>
      <c r="Q10" s="12">
        <v>1.93</v>
      </c>
      <c r="R10" s="10" t="s">
        <v>74</v>
      </c>
      <c r="S10" s="10" t="s">
        <v>0</v>
      </c>
      <c r="T10" s="10" t="s">
        <v>0</v>
      </c>
      <c r="U10" s="10" t="s">
        <v>105</v>
      </c>
    </row>
    <row r="11" spans="1:21" x14ac:dyDescent="0.25">
      <c r="A11" s="9" t="s">
        <v>19</v>
      </c>
      <c r="B11" s="9" t="s">
        <v>60</v>
      </c>
      <c r="C11" s="9" t="s">
        <v>106</v>
      </c>
      <c r="D11" s="9" t="s">
        <v>107</v>
      </c>
      <c r="E11" s="9" t="s">
        <v>108</v>
      </c>
      <c r="F11" s="9" t="s">
        <v>109</v>
      </c>
      <c r="G11" s="9" t="s">
        <v>65</v>
      </c>
      <c r="H11" s="9" t="s">
        <v>110</v>
      </c>
      <c r="I11" s="9" t="s">
        <v>111</v>
      </c>
      <c r="J11" s="9" t="s">
        <v>112</v>
      </c>
      <c r="K11" s="9" t="s">
        <v>113</v>
      </c>
      <c r="L11" s="9" t="s">
        <v>70</v>
      </c>
      <c r="M11" s="11">
        <v>48.45</v>
      </c>
      <c r="N11" s="9" t="s">
        <v>71</v>
      </c>
      <c r="O11" s="9" t="s">
        <v>114</v>
      </c>
      <c r="P11" s="9" t="s">
        <v>73</v>
      </c>
      <c r="Q11" s="11">
        <v>48.45</v>
      </c>
      <c r="R11" s="9" t="s">
        <v>74</v>
      </c>
      <c r="S11" s="9" t="s">
        <v>0</v>
      </c>
      <c r="T11" s="9" t="s">
        <v>0</v>
      </c>
      <c r="U11" s="9" t="s">
        <v>115</v>
      </c>
    </row>
    <row r="12" spans="1:21" x14ac:dyDescent="0.25">
      <c r="A12" s="10" t="s">
        <v>18</v>
      </c>
      <c r="B12" s="10" t="s">
        <v>60</v>
      </c>
      <c r="C12" s="10" t="s">
        <v>116</v>
      </c>
      <c r="D12" s="10" t="s">
        <v>117</v>
      </c>
      <c r="E12" s="10" t="s">
        <v>118</v>
      </c>
      <c r="F12" s="10" t="s">
        <v>119</v>
      </c>
      <c r="G12" s="10" t="s">
        <v>65</v>
      </c>
      <c r="H12" s="10" t="s">
        <v>120</v>
      </c>
      <c r="I12" s="10" t="s">
        <v>111</v>
      </c>
      <c r="J12" s="10" t="s">
        <v>121</v>
      </c>
      <c r="K12" s="10" t="s">
        <v>113</v>
      </c>
      <c r="L12" s="10" t="s">
        <v>70</v>
      </c>
      <c r="M12" s="12">
        <v>157.19</v>
      </c>
      <c r="N12" s="10" t="s">
        <v>71</v>
      </c>
      <c r="O12" s="10" t="s">
        <v>122</v>
      </c>
      <c r="P12" s="10" t="s">
        <v>73</v>
      </c>
      <c r="Q12" s="12">
        <v>3.15</v>
      </c>
      <c r="R12" s="10" t="s">
        <v>74</v>
      </c>
      <c r="S12" s="10" t="s">
        <v>0</v>
      </c>
      <c r="T12" s="10" t="s">
        <v>0</v>
      </c>
      <c r="U12" s="10" t="s">
        <v>123</v>
      </c>
    </row>
    <row r="13" spans="1:21" x14ac:dyDescent="0.25">
      <c r="A13" s="9" t="s">
        <v>19</v>
      </c>
      <c r="B13" s="9" t="s">
        <v>60</v>
      </c>
      <c r="C13" s="9" t="s">
        <v>124</v>
      </c>
      <c r="D13" s="9" t="s">
        <v>125</v>
      </c>
      <c r="E13" s="9" t="s">
        <v>126</v>
      </c>
      <c r="F13" s="9" t="s">
        <v>127</v>
      </c>
      <c r="G13" s="9" t="s">
        <v>128</v>
      </c>
      <c r="H13" s="9" t="s">
        <v>129</v>
      </c>
      <c r="I13" s="9" t="s">
        <v>67</v>
      </c>
      <c r="J13" s="9" t="s">
        <v>112</v>
      </c>
      <c r="K13" s="9" t="s">
        <v>70</v>
      </c>
      <c r="L13" s="9" t="s">
        <v>70</v>
      </c>
      <c r="M13" s="11">
        <v>136.29</v>
      </c>
      <c r="N13" s="9" t="s">
        <v>71</v>
      </c>
      <c r="O13" s="9" t="s">
        <v>130</v>
      </c>
      <c r="P13" s="9" t="s">
        <v>73</v>
      </c>
      <c r="Q13" s="11">
        <v>129.47999999999999</v>
      </c>
      <c r="R13" s="9" t="s">
        <v>74</v>
      </c>
      <c r="S13" s="9" t="s">
        <v>0</v>
      </c>
      <c r="T13" s="9" t="s">
        <v>0</v>
      </c>
      <c r="U13" s="9" t="s">
        <v>115</v>
      </c>
    </row>
    <row r="14" spans="1:21" x14ac:dyDescent="0.25">
      <c r="A14" s="10" t="s">
        <v>19</v>
      </c>
      <c r="B14" s="10" t="s">
        <v>60</v>
      </c>
      <c r="C14" s="10" t="s">
        <v>131</v>
      </c>
      <c r="D14" s="10" t="s">
        <v>132</v>
      </c>
      <c r="E14" s="10" t="s">
        <v>133</v>
      </c>
      <c r="F14" s="10" t="s">
        <v>134</v>
      </c>
      <c r="G14" s="10" t="s">
        <v>65</v>
      </c>
      <c r="H14" s="10" t="s">
        <v>135</v>
      </c>
      <c r="I14" s="10" t="s">
        <v>136</v>
      </c>
      <c r="J14" s="10" t="s">
        <v>137</v>
      </c>
      <c r="K14" s="10" t="s">
        <v>138</v>
      </c>
      <c r="L14" s="10" t="s">
        <v>129</v>
      </c>
      <c r="M14" s="12">
        <v>31.13</v>
      </c>
      <c r="N14" s="10" t="s">
        <v>71</v>
      </c>
      <c r="O14" s="10" t="s">
        <v>130</v>
      </c>
      <c r="P14" s="10" t="s">
        <v>73</v>
      </c>
      <c r="Q14" s="12">
        <v>29.57</v>
      </c>
      <c r="R14" s="10" t="s">
        <v>74</v>
      </c>
      <c r="S14" s="10" t="s">
        <v>0</v>
      </c>
      <c r="T14" s="10" t="s">
        <v>0</v>
      </c>
      <c r="U14" s="10" t="s">
        <v>139</v>
      </c>
    </row>
    <row r="15" spans="1:21" x14ac:dyDescent="0.25">
      <c r="A15" s="9" t="s">
        <v>19</v>
      </c>
      <c r="B15" s="9" t="s">
        <v>60</v>
      </c>
      <c r="C15" s="9" t="s">
        <v>131</v>
      </c>
      <c r="D15" s="9" t="s">
        <v>132</v>
      </c>
      <c r="E15" s="9" t="s">
        <v>133</v>
      </c>
      <c r="F15" s="9" t="s">
        <v>140</v>
      </c>
      <c r="G15" s="9" t="s">
        <v>65</v>
      </c>
      <c r="H15" s="9" t="s">
        <v>135</v>
      </c>
      <c r="I15" s="9" t="s">
        <v>136</v>
      </c>
      <c r="J15" s="9" t="s">
        <v>112</v>
      </c>
      <c r="K15" s="9" t="s">
        <v>138</v>
      </c>
      <c r="L15" s="9" t="s">
        <v>129</v>
      </c>
      <c r="M15" s="11">
        <v>31.38</v>
      </c>
      <c r="N15" s="9" t="s">
        <v>71</v>
      </c>
      <c r="O15" s="9" t="s">
        <v>130</v>
      </c>
      <c r="P15" s="9" t="s">
        <v>73</v>
      </c>
      <c r="Q15" s="11">
        <v>29.81</v>
      </c>
      <c r="R15" s="9" t="s">
        <v>74</v>
      </c>
      <c r="S15" s="9" t="s">
        <v>0</v>
      </c>
      <c r="T15" s="9" t="s">
        <v>0</v>
      </c>
      <c r="U15" s="9" t="s">
        <v>115</v>
      </c>
    </row>
    <row r="16" spans="1:21" x14ac:dyDescent="0.25">
      <c r="A16" s="10" t="s">
        <v>19</v>
      </c>
      <c r="B16" s="10" t="s">
        <v>141</v>
      </c>
      <c r="C16" s="10" t="s">
        <v>79</v>
      </c>
      <c r="D16" s="10" t="s">
        <v>80</v>
      </c>
      <c r="E16" s="10" t="s">
        <v>142</v>
      </c>
      <c r="F16" s="10" t="s">
        <v>143</v>
      </c>
      <c r="G16" s="10" t="s">
        <v>65</v>
      </c>
      <c r="H16" s="10" t="s">
        <v>144</v>
      </c>
      <c r="I16" s="10" t="s">
        <v>67</v>
      </c>
      <c r="J16" s="10" t="s">
        <v>68</v>
      </c>
      <c r="K16" s="10" t="s">
        <v>145</v>
      </c>
      <c r="L16" s="10" t="s">
        <v>146</v>
      </c>
      <c r="M16" s="12">
        <v>-43.75</v>
      </c>
      <c r="N16" s="10" t="s">
        <v>71</v>
      </c>
      <c r="O16" s="10" t="s">
        <v>72</v>
      </c>
      <c r="P16" s="10" t="s">
        <v>73</v>
      </c>
      <c r="Q16" s="12">
        <v>-39.81</v>
      </c>
      <c r="R16" s="10" t="s">
        <v>74</v>
      </c>
      <c r="S16" s="10" t="s">
        <v>0</v>
      </c>
      <c r="T16" s="10" t="s">
        <v>0</v>
      </c>
      <c r="U16" s="10" t="s">
        <v>75</v>
      </c>
    </row>
    <row r="17" spans="1:21" x14ac:dyDescent="0.25">
      <c r="A17" s="9" t="s">
        <v>19</v>
      </c>
      <c r="B17" s="9" t="s">
        <v>141</v>
      </c>
      <c r="C17" s="9" t="s">
        <v>131</v>
      </c>
      <c r="D17" s="9" t="s">
        <v>132</v>
      </c>
      <c r="E17" s="9" t="s">
        <v>147</v>
      </c>
      <c r="F17" s="9" t="s">
        <v>148</v>
      </c>
      <c r="G17" s="9" t="s">
        <v>100</v>
      </c>
      <c r="H17" s="9" t="s">
        <v>149</v>
      </c>
      <c r="I17" s="9" t="s">
        <v>150</v>
      </c>
      <c r="J17" s="9" t="s">
        <v>68</v>
      </c>
      <c r="K17" s="9" t="s">
        <v>151</v>
      </c>
      <c r="L17" s="9" t="s">
        <v>152</v>
      </c>
      <c r="M17" s="11">
        <v>-78.37</v>
      </c>
      <c r="N17" s="9" t="s">
        <v>71</v>
      </c>
      <c r="O17" s="9" t="s">
        <v>104</v>
      </c>
      <c r="P17" s="9" t="s">
        <v>73</v>
      </c>
      <c r="Q17" s="11">
        <v>-2.74</v>
      </c>
      <c r="R17" s="9" t="s">
        <v>153</v>
      </c>
      <c r="S17" s="9" t="s">
        <v>0</v>
      </c>
      <c r="T17" s="9" t="s">
        <v>0</v>
      </c>
      <c r="U17" s="9" t="s">
        <v>75</v>
      </c>
    </row>
    <row r="18" spans="1:21" x14ac:dyDescent="0.25">
      <c r="A18" s="10" t="s">
        <v>19</v>
      </c>
      <c r="B18" s="10" t="s">
        <v>141</v>
      </c>
      <c r="C18" s="10" t="s">
        <v>79</v>
      </c>
      <c r="D18" s="10" t="s">
        <v>80</v>
      </c>
      <c r="E18" s="10" t="s">
        <v>142</v>
      </c>
      <c r="F18" s="10" t="s">
        <v>154</v>
      </c>
      <c r="G18" s="10" t="s">
        <v>65</v>
      </c>
      <c r="H18" s="10" t="s">
        <v>144</v>
      </c>
      <c r="I18" s="10" t="s">
        <v>67</v>
      </c>
      <c r="J18" s="10" t="s">
        <v>77</v>
      </c>
      <c r="K18" s="10" t="s">
        <v>145</v>
      </c>
      <c r="L18" s="10" t="s">
        <v>146</v>
      </c>
      <c r="M18" s="12">
        <v>-41.37</v>
      </c>
      <c r="N18" s="10" t="s">
        <v>71</v>
      </c>
      <c r="O18" s="10" t="s">
        <v>72</v>
      </c>
      <c r="P18" s="10" t="s">
        <v>73</v>
      </c>
      <c r="Q18" s="12">
        <v>-37.65</v>
      </c>
      <c r="R18" s="10" t="s">
        <v>74</v>
      </c>
      <c r="S18" s="10" t="s">
        <v>0</v>
      </c>
      <c r="T18" s="10" t="s">
        <v>0</v>
      </c>
      <c r="U18" s="10" t="s">
        <v>78</v>
      </c>
    </row>
    <row r="19" spans="1:21" x14ac:dyDescent="0.25">
      <c r="A19" s="9" t="s">
        <v>19</v>
      </c>
      <c r="B19" s="9" t="s">
        <v>141</v>
      </c>
      <c r="C19" s="9" t="s">
        <v>79</v>
      </c>
      <c r="D19" s="9" t="s">
        <v>80</v>
      </c>
      <c r="E19" s="9" t="s">
        <v>142</v>
      </c>
      <c r="F19" s="9" t="s">
        <v>155</v>
      </c>
      <c r="G19" s="9" t="s">
        <v>65</v>
      </c>
      <c r="H19" s="9" t="s">
        <v>144</v>
      </c>
      <c r="I19" s="9" t="s">
        <v>67</v>
      </c>
      <c r="J19" s="9" t="s">
        <v>102</v>
      </c>
      <c r="K19" s="9" t="s">
        <v>145</v>
      </c>
      <c r="L19" s="9" t="s">
        <v>146</v>
      </c>
      <c r="M19" s="11">
        <v>-27.63</v>
      </c>
      <c r="N19" s="9" t="s">
        <v>71</v>
      </c>
      <c r="O19" s="9" t="s">
        <v>156</v>
      </c>
      <c r="P19" s="9" t="s">
        <v>73</v>
      </c>
      <c r="Q19" s="11">
        <v>-15.75</v>
      </c>
      <c r="R19" s="9" t="s">
        <v>74</v>
      </c>
      <c r="S19" s="9" t="s">
        <v>0</v>
      </c>
      <c r="T19" s="9" t="s">
        <v>0</v>
      </c>
      <c r="U19" s="9" t="s">
        <v>105</v>
      </c>
    </row>
    <row r="20" spans="1:21" x14ac:dyDescent="0.25">
      <c r="A20" s="10" t="s">
        <v>19</v>
      </c>
      <c r="B20" s="10" t="s">
        <v>60</v>
      </c>
      <c r="C20" s="10" t="s">
        <v>96</v>
      </c>
      <c r="D20" s="10" t="s">
        <v>97</v>
      </c>
      <c r="E20" s="10" t="s">
        <v>157</v>
      </c>
      <c r="F20" s="10" t="s">
        <v>158</v>
      </c>
      <c r="G20" s="10" t="s">
        <v>100</v>
      </c>
      <c r="H20" s="10" t="s">
        <v>159</v>
      </c>
      <c r="I20" s="10" t="s">
        <v>67</v>
      </c>
      <c r="J20" s="10" t="s">
        <v>102</v>
      </c>
      <c r="K20" s="10" t="s">
        <v>160</v>
      </c>
      <c r="L20" s="10" t="s">
        <v>161</v>
      </c>
      <c r="M20" s="12">
        <v>27.63</v>
      </c>
      <c r="N20" s="10" t="s">
        <v>71</v>
      </c>
      <c r="O20" s="10" t="s">
        <v>104</v>
      </c>
      <c r="P20" s="10" t="s">
        <v>73</v>
      </c>
      <c r="Q20" s="12">
        <v>0.97</v>
      </c>
      <c r="R20" s="10" t="s">
        <v>74</v>
      </c>
      <c r="S20" s="10" t="s">
        <v>0</v>
      </c>
      <c r="T20" s="10" t="s">
        <v>0</v>
      </c>
      <c r="U20" s="10" t="s">
        <v>105</v>
      </c>
    </row>
    <row r="21" spans="1:21" x14ac:dyDescent="0.25">
      <c r="A21" s="9" t="s">
        <v>19</v>
      </c>
      <c r="B21" s="9" t="s">
        <v>141</v>
      </c>
      <c r="C21" s="9" t="s">
        <v>124</v>
      </c>
      <c r="D21" s="9" t="s">
        <v>125</v>
      </c>
      <c r="E21" s="9" t="s">
        <v>162</v>
      </c>
      <c r="F21" s="9" t="s">
        <v>163</v>
      </c>
      <c r="G21" s="9" t="s">
        <v>100</v>
      </c>
      <c r="H21" s="9" t="s">
        <v>164</v>
      </c>
      <c r="I21" s="9" t="s">
        <v>67</v>
      </c>
      <c r="J21" s="9" t="s">
        <v>102</v>
      </c>
      <c r="K21" s="9" t="s">
        <v>164</v>
      </c>
      <c r="L21" s="9" t="s">
        <v>165</v>
      </c>
      <c r="M21" s="11">
        <v>-22.42</v>
      </c>
      <c r="N21" s="9" t="s">
        <v>71</v>
      </c>
      <c r="O21" s="9" t="s">
        <v>166</v>
      </c>
      <c r="P21" s="9" t="s">
        <v>73</v>
      </c>
      <c r="Q21" s="11">
        <v>-0.84</v>
      </c>
      <c r="R21" s="9" t="s">
        <v>153</v>
      </c>
      <c r="S21" s="9" t="s">
        <v>0</v>
      </c>
      <c r="T21" s="9" t="s">
        <v>0</v>
      </c>
      <c r="U21" s="9" t="s">
        <v>105</v>
      </c>
    </row>
    <row r="22" spans="1:21" x14ac:dyDescent="0.25">
      <c r="A22" s="10" t="s">
        <v>18</v>
      </c>
      <c r="B22" s="10" t="s">
        <v>60</v>
      </c>
      <c r="C22" s="10" t="s">
        <v>167</v>
      </c>
      <c r="D22" s="10" t="s">
        <v>168</v>
      </c>
      <c r="E22" s="10" t="s">
        <v>169</v>
      </c>
      <c r="F22" s="10" t="s">
        <v>170</v>
      </c>
      <c r="G22" s="10" t="s">
        <v>100</v>
      </c>
      <c r="H22" s="10" t="s">
        <v>171</v>
      </c>
      <c r="I22" s="10" t="s">
        <v>172</v>
      </c>
      <c r="J22" s="10" t="s">
        <v>121</v>
      </c>
      <c r="K22" s="10" t="s">
        <v>173</v>
      </c>
      <c r="L22" s="10" t="s">
        <v>70</v>
      </c>
      <c r="M22" s="12">
        <v>141.11000000000001</v>
      </c>
      <c r="N22" s="10" t="s">
        <v>71</v>
      </c>
      <c r="O22" s="10" t="s">
        <v>174</v>
      </c>
      <c r="P22" s="10" t="s">
        <v>73</v>
      </c>
      <c r="Q22" s="12">
        <v>33.869999999999997</v>
      </c>
      <c r="R22" s="10" t="s">
        <v>74</v>
      </c>
      <c r="S22" s="10" t="s">
        <v>0</v>
      </c>
      <c r="T22" s="10" t="s">
        <v>0</v>
      </c>
      <c r="U22" s="10" t="s">
        <v>123</v>
      </c>
    </row>
    <row r="23" spans="1:21" x14ac:dyDescent="0.25">
      <c r="A23" s="9" t="s">
        <v>19</v>
      </c>
      <c r="B23" s="9" t="s">
        <v>60</v>
      </c>
      <c r="C23" s="9" t="s">
        <v>106</v>
      </c>
      <c r="D23" s="9" t="s">
        <v>107</v>
      </c>
      <c r="E23" s="9" t="s">
        <v>175</v>
      </c>
      <c r="F23" s="9" t="s">
        <v>176</v>
      </c>
      <c r="G23" s="9" t="s">
        <v>100</v>
      </c>
      <c r="H23" s="9" t="s">
        <v>177</v>
      </c>
      <c r="I23" s="9" t="s">
        <v>111</v>
      </c>
      <c r="J23" s="9" t="s">
        <v>112</v>
      </c>
      <c r="K23" s="9" t="s">
        <v>178</v>
      </c>
      <c r="L23" s="9" t="s">
        <v>70</v>
      </c>
      <c r="M23" s="11">
        <v>41.7</v>
      </c>
      <c r="N23" s="9" t="s">
        <v>71</v>
      </c>
      <c r="O23" s="9" t="s">
        <v>179</v>
      </c>
      <c r="P23" s="9" t="s">
        <v>73</v>
      </c>
      <c r="Q23" s="11">
        <v>3.34</v>
      </c>
      <c r="R23" s="9" t="s">
        <v>74</v>
      </c>
      <c r="S23" s="9" t="s">
        <v>0</v>
      </c>
      <c r="T23" s="9" t="s">
        <v>0</v>
      </c>
      <c r="U23" s="9" t="s">
        <v>115</v>
      </c>
    </row>
    <row r="24" spans="1:21" x14ac:dyDescent="0.25">
      <c r="A24" s="10" t="s">
        <v>19</v>
      </c>
      <c r="B24" s="10" t="s">
        <v>60</v>
      </c>
      <c r="C24" s="10" t="s">
        <v>180</v>
      </c>
      <c r="D24" s="10" t="s">
        <v>181</v>
      </c>
      <c r="E24" s="10" t="s">
        <v>182</v>
      </c>
      <c r="F24" s="10" t="s">
        <v>183</v>
      </c>
      <c r="G24" s="10" t="s">
        <v>128</v>
      </c>
      <c r="H24" s="10" t="s">
        <v>184</v>
      </c>
      <c r="I24" s="10" t="s">
        <v>93</v>
      </c>
      <c r="J24" s="10" t="s">
        <v>112</v>
      </c>
      <c r="K24" s="10" t="s">
        <v>70</v>
      </c>
      <c r="L24" s="10" t="s">
        <v>70</v>
      </c>
      <c r="M24" s="12">
        <v>55.6</v>
      </c>
      <c r="N24" s="10" t="s">
        <v>71</v>
      </c>
      <c r="O24" s="10" t="s">
        <v>185</v>
      </c>
      <c r="P24" s="10" t="s">
        <v>73</v>
      </c>
      <c r="Q24" s="12">
        <v>58.38</v>
      </c>
      <c r="R24" s="10" t="s">
        <v>74</v>
      </c>
      <c r="S24" s="10" t="s">
        <v>0</v>
      </c>
      <c r="T24" s="10" t="s">
        <v>0</v>
      </c>
      <c r="U24" s="10" t="s">
        <v>115</v>
      </c>
    </row>
    <row r="25" spans="1:21" x14ac:dyDescent="0.25">
      <c r="A25" s="9" t="s">
        <v>19</v>
      </c>
      <c r="B25" s="9" t="s">
        <v>60</v>
      </c>
      <c r="C25" s="9" t="s">
        <v>186</v>
      </c>
      <c r="D25" s="9" t="s">
        <v>187</v>
      </c>
      <c r="E25" s="9" t="s">
        <v>188</v>
      </c>
      <c r="F25" s="9" t="s">
        <v>189</v>
      </c>
      <c r="G25" s="9" t="s">
        <v>100</v>
      </c>
      <c r="H25" s="9" t="s">
        <v>190</v>
      </c>
      <c r="I25" s="9" t="s">
        <v>93</v>
      </c>
      <c r="J25" s="9" t="s">
        <v>191</v>
      </c>
      <c r="K25" s="9" t="s">
        <v>192</v>
      </c>
      <c r="L25" s="9" t="s">
        <v>70</v>
      </c>
      <c r="M25" s="11">
        <v>156.47999999999999</v>
      </c>
      <c r="N25" s="9" t="s">
        <v>71</v>
      </c>
      <c r="O25" s="9" t="s">
        <v>166</v>
      </c>
      <c r="P25" s="9" t="s">
        <v>73</v>
      </c>
      <c r="Q25" s="11">
        <v>5.87</v>
      </c>
      <c r="R25" s="9" t="s">
        <v>74</v>
      </c>
      <c r="S25" s="9" t="s">
        <v>0</v>
      </c>
      <c r="T25" s="9" t="s">
        <v>0</v>
      </c>
      <c r="U25" s="9" t="s">
        <v>193</v>
      </c>
    </row>
    <row r="26" spans="1:21" x14ac:dyDescent="0.25">
      <c r="A26" s="10" t="s">
        <v>19</v>
      </c>
      <c r="B26" s="10" t="s">
        <v>60</v>
      </c>
      <c r="C26" s="10" t="s">
        <v>124</v>
      </c>
      <c r="D26" s="10" t="s">
        <v>125</v>
      </c>
      <c r="E26" s="10" t="s">
        <v>194</v>
      </c>
      <c r="F26" s="10" t="s">
        <v>195</v>
      </c>
      <c r="G26" s="10" t="s">
        <v>100</v>
      </c>
      <c r="H26" s="10" t="s">
        <v>196</v>
      </c>
      <c r="I26" s="10" t="s">
        <v>67</v>
      </c>
      <c r="J26" s="10" t="s">
        <v>102</v>
      </c>
      <c r="K26" s="10" t="s">
        <v>197</v>
      </c>
      <c r="L26" s="10" t="s">
        <v>198</v>
      </c>
      <c r="M26" s="12">
        <v>32.130000000000003</v>
      </c>
      <c r="N26" s="10" t="s">
        <v>71</v>
      </c>
      <c r="O26" s="10" t="s">
        <v>166</v>
      </c>
      <c r="P26" s="10" t="s">
        <v>73</v>
      </c>
      <c r="Q26" s="12">
        <v>1.2</v>
      </c>
      <c r="R26" s="10" t="s">
        <v>74</v>
      </c>
      <c r="S26" s="10" t="s">
        <v>0</v>
      </c>
      <c r="T26" s="10" t="s">
        <v>0</v>
      </c>
      <c r="U26" s="10" t="s">
        <v>105</v>
      </c>
    </row>
    <row r="27" spans="1:21" x14ac:dyDescent="0.25">
      <c r="A27" s="9" t="s">
        <v>19</v>
      </c>
      <c r="B27" s="9" t="s">
        <v>60</v>
      </c>
      <c r="C27" s="9" t="s">
        <v>88</v>
      </c>
      <c r="D27" s="9" t="s">
        <v>89</v>
      </c>
      <c r="E27" s="9" t="s">
        <v>199</v>
      </c>
      <c r="F27" s="9" t="s">
        <v>200</v>
      </c>
      <c r="G27" s="9" t="s">
        <v>65</v>
      </c>
      <c r="H27" s="9" t="s">
        <v>201</v>
      </c>
      <c r="I27" s="9" t="s">
        <v>202</v>
      </c>
      <c r="J27" s="9" t="s">
        <v>84</v>
      </c>
      <c r="K27" s="9" t="s">
        <v>69</v>
      </c>
      <c r="L27" s="9" t="s">
        <v>70</v>
      </c>
      <c r="M27" s="11">
        <v>22.7</v>
      </c>
      <c r="N27" s="9" t="s">
        <v>71</v>
      </c>
      <c r="O27" s="9" t="s">
        <v>95</v>
      </c>
      <c r="P27" s="9" t="s">
        <v>73</v>
      </c>
      <c r="Q27" s="11">
        <v>14.19</v>
      </c>
      <c r="R27" s="9" t="s">
        <v>74</v>
      </c>
      <c r="S27" s="9" t="s">
        <v>0</v>
      </c>
      <c r="T27" s="9" t="s">
        <v>0</v>
      </c>
      <c r="U27" s="9" t="s">
        <v>87</v>
      </c>
    </row>
    <row r="28" spans="1:21" x14ac:dyDescent="0.25">
      <c r="A28" s="10" t="s">
        <v>19</v>
      </c>
      <c r="B28" s="10" t="s">
        <v>60</v>
      </c>
      <c r="C28" s="10" t="s">
        <v>88</v>
      </c>
      <c r="D28" s="10" t="s">
        <v>89</v>
      </c>
      <c r="E28" s="10" t="s">
        <v>199</v>
      </c>
      <c r="F28" s="10" t="s">
        <v>200</v>
      </c>
      <c r="G28" s="10" t="s">
        <v>65</v>
      </c>
      <c r="H28" s="10" t="s">
        <v>201</v>
      </c>
      <c r="I28" s="10" t="s">
        <v>202</v>
      </c>
      <c r="J28" s="10" t="s">
        <v>84</v>
      </c>
      <c r="K28" s="10" t="s">
        <v>69</v>
      </c>
      <c r="L28" s="10" t="s">
        <v>70</v>
      </c>
      <c r="M28" s="12">
        <v>34.25</v>
      </c>
      <c r="N28" s="10" t="s">
        <v>71</v>
      </c>
      <c r="O28" s="10" t="s">
        <v>95</v>
      </c>
      <c r="P28" s="10" t="s">
        <v>73</v>
      </c>
      <c r="Q28" s="12">
        <v>21.41</v>
      </c>
      <c r="R28" s="10" t="s">
        <v>74</v>
      </c>
      <c r="S28" s="10" t="s">
        <v>0</v>
      </c>
      <c r="T28" s="10" t="s">
        <v>0</v>
      </c>
      <c r="U28" s="10" t="s">
        <v>87</v>
      </c>
    </row>
    <row r="29" spans="1:21" x14ac:dyDescent="0.25">
      <c r="A29" s="9" t="s">
        <v>19</v>
      </c>
      <c r="B29" s="9" t="s">
        <v>60</v>
      </c>
      <c r="C29" s="9" t="s">
        <v>79</v>
      </c>
      <c r="D29" s="9" t="s">
        <v>80</v>
      </c>
      <c r="E29" s="9" t="s">
        <v>81</v>
      </c>
      <c r="F29" s="9" t="s">
        <v>203</v>
      </c>
      <c r="G29" s="9" t="s">
        <v>65</v>
      </c>
      <c r="H29" s="9" t="s">
        <v>83</v>
      </c>
      <c r="I29" s="9" t="s">
        <v>67</v>
      </c>
      <c r="J29" s="9" t="s">
        <v>137</v>
      </c>
      <c r="K29" s="9" t="s">
        <v>66</v>
      </c>
      <c r="L29" s="9" t="s">
        <v>85</v>
      </c>
      <c r="M29" s="11">
        <v>68.37</v>
      </c>
      <c r="N29" s="9" t="s">
        <v>71</v>
      </c>
      <c r="O29" s="9" t="s">
        <v>72</v>
      </c>
      <c r="P29" s="9" t="s">
        <v>73</v>
      </c>
      <c r="Q29" s="11">
        <v>62.22</v>
      </c>
      <c r="R29" s="9" t="s">
        <v>74</v>
      </c>
      <c r="S29" s="9" t="s">
        <v>0</v>
      </c>
      <c r="T29" s="9" t="s">
        <v>0</v>
      </c>
      <c r="U29" s="9" t="s">
        <v>139</v>
      </c>
    </row>
    <row r="30" spans="1:21" x14ac:dyDescent="0.25">
      <c r="A30" s="10" t="s">
        <v>19</v>
      </c>
      <c r="B30" s="10" t="s">
        <v>60</v>
      </c>
      <c r="C30" s="10" t="s">
        <v>79</v>
      </c>
      <c r="D30" s="10" t="s">
        <v>80</v>
      </c>
      <c r="E30" s="10" t="s">
        <v>81</v>
      </c>
      <c r="F30" s="10" t="s">
        <v>204</v>
      </c>
      <c r="G30" s="10" t="s">
        <v>65</v>
      </c>
      <c r="H30" s="10" t="s">
        <v>83</v>
      </c>
      <c r="I30" s="10" t="s">
        <v>67</v>
      </c>
      <c r="J30" s="10" t="s">
        <v>112</v>
      </c>
      <c r="K30" s="10" t="s">
        <v>66</v>
      </c>
      <c r="L30" s="10" t="s">
        <v>205</v>
      </c>
      <c r="M30" s="12">
        <v>65.12</v>
      </c>
      <c r="N30" s="10" t="s">
        <v>71</v>
      </c>
      <c r="O30" s="10" t="s">
        <v>72</v>
      </c>
      <c r="P30" s="10" t="s">
        <v>73</v>
      </c>
      <c r="Q30" s="12">
        <v>59.26</v>
      </c>
      <c r="R30" s="10" t="s">
        <v>74</v>
      </c>
      <c r="S30" s="10" t="s">
        <v>0</v>
      </c>
      <c r="T30" s="10" t="s">
        <v>0</v>
      </c>
      <c r="U30" s="10" t="s">
        <v>115</v>
      </c>
    </row>
    <row r="31" spans="1:21" x14ac:dyDescent="0.25">
      <c r="A31" s="9" t="s">
        <v>19</v>
      </c>
      <c r="B31" s="9" t="s">
        <v>141</v>
      </c>
      <c r="C31" s="9" t="s">
        <v>124</v>
      </c>
      <c r="D31" s="9" t="s">
        <v>125</v>
      </c>
      <c r="E31" s="9" t="s">
        <v>206</v>
      </c>
      <c r="F31" s="9" t="s">
        <v>207</v>
      </c>
      <c r="G31" s="9" t="s">
        <v>100</v>
      </c>
      <c r="H31" s="9" t="s">
        <v>208</v>
      </c>
      <c r="I31" s="9" t="s">
        <v>67</v>
      </c>
      <c r="J31" s="9" t="s">
        <v>102</v>
      </c>
      <c r="K31" s="9" t="s">
        <v>209</v>
      </c>
      <c r="L31" s="9" t="s">
        <v>70</v>
      </c>
      <c r="M31" s="11">
        <v>-27.63</v>
      </c>
      <c r="N31" s="9" t="s">
        <v>71</v>
      </c>
      <c r="O31" s="9" t="s">
        <v>104</v>
      </c>
      <c r="P31" s="9" t="s">
        <v>73</v>
      </c>
      <c r="Q31" s="11">
        <v>-0.97</v>
      </c>
      <c r="R31" s="9" t="s">
        <v>153</v>
      </c>
      <c r="S31" s="9" t="s">
        <v>0</v>
      </c>
      <c r="T31" s="9" t="s">
        <v>0</v>
      </c>
      <c r="U31" s="9" t="s">
        <v>105</v>
      </c>
    </row>
    <row r="32" spans="1:21" x14ac:dyDescent="0.25">
      <c r="A32" s="10" t="s">
        <v>19</v>
      </c>
      <c r="B32" s="10" t="s">
        <v>60</v>
      </c>
      <c r="C32" s="10" t="s">
        <v>210</v>
      </c>
      <c r="D32" s="10" t="s">
        <v>211</v>
      </c>
      <c r="E32" s="10" t="s">
        <v>212</v>
      </c>
      <c r="F32" s="10" t="s">
        <v>213</v>
      </c>
      <c r="G32" s="10" t="s">
        <v>65</v>
      </c>
      <c r="H32" s="10" t="s">
        <v>214</v>
      </c>
      <c r="I32" s="10" t="s">
        <v>93</v>
      </c>
      <c r="J32" s="10" t="s">
        <v>191</v>
      </c>
      <c r="K32" s="10" t="s">
        <v>69</v>
      </c>
      <c r="L32" s="10" t="s">
        <v>70</v>
      </c>
      <c r="M32" s="12">
        <v>156.47999999999999</v>
      </c>
      <c r="N32" s="10" t="s">
        <v>71</v>
      </c>
      <c r="O32" s="10" t="s">
        <v>156</v>
      </c>
      <c r="P32" s="10" t="s">
        <v>73</v>
      </c>
      <c r="Q32" s="12">
        <v>89.19</v>
      </c>
      <c r="R32" s="10" t="s">
        <v>74</v>
      </c>
      <c r="S32" s="10" t="s">
        <v>0</v>
      </c>
      <c r="T32" s="10" t="s">
        <v>0</v>
      </c>
      <c r="U32" s="10" t="s">
        <v>193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9AAB-FAF8-410C-A767-E1032DD0007D}">
  <dimension ref="A1:X31"/>
  <sheetViews>
    <sheetView tabSelected="1" topLeftCell="D1" workbookViewId="0">
      <selection activeCell="G2" sqref="G2:G31"/>
    </sheetView>
  </sheetViews>
  <sheetFormatPr defaultRowHeight="15" x14ac:dyDescent="0.25"/>
  <cols>
    <col min="1" max="1" width="19" style="18" customWidth="1"/>
    <col min="2" max="2" width="23" style="18" customWidth="1"/>
    <col min="3" max="3" width="21" style="18" customWidth="1"/>
    <col min="4" max="4" width="11" style="18" customWidth="1"/>
    <col min="5" max="5" width="17" style="18" customWidth="1"/>
    <col min="6" max="6" width="23" style="18" customWidth="1"/>
    <col min="7" max="7" width="10" style="18" customWidth="1"/>
    <col min="8" max="8" width="12" style="18" customWidth="1"/>
    <col min="9" max="9" width="18" style="18" customWidth="1"/>
    <col min="10" max="10" width="19" style="18" customWidth="1"/>
    <col min="11" max="11" width="10.7109375" style="18" customWidth="1"/>
    <col min="12" max="12" width="10.28515625" style="18" customWidth="1"/>
    <col min="13" max="13" width="12.5703125" style="18" customWidth="1"/>
    <col min="14" max="14" width="26" style="18" customWidth="1"/>
    <col min="15" max="15" width="10" style="18" customWidth="1"/>
    <col min="16" max="16" width="21" style="18" customWidth="1"/>
    <col min="17" max="17" width="34.42578125" style="18" bestFit="1" customWidth="1"/>
    <col min="18" max="16384" width="9.140625" style="18"/>
  </cols>
  <sheetData>
    <row r="1" spans="1:24" x14ac:dyDescent="0.25">
      <c r="A1" s="17" t="s">
        <v>40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  <c r="G1" s="17" t="s">
        <v>47</v>
      </c>
      <c r="H1" s="17" t="s">
        <v>48</v>
      </c>
      <c r="I1" s="17" t="s">
        <v>49</v>
      </c>
      <c r="J1" s="17" t="s">
        <v>50</v>
      </c>
      <c r="K1" s="17"/>
      <c r="L1" s="17"/>
      <c r="M1" s="17"/>
      <c r="N1" s="17" t="s">
        <v>51</v>
      </c>
      <c r="O1" s="17" t="s">
        <v>53</v>
      </c>
      <c r="P1" s="17" t="s">
        <v>55</v>
      </c>
      <c r="Q1" s="17" t="s">
        <v>59</v>
      </c>
    </row>
    <row r="2" spans="1:24" s="29" customFormat="1" x14ac:dyDescent="0.25">
      <c r="A2" s="26" t="s">
        <v>60</v>
      </c>
      <c r="B2" s="26">
        <v>20411454</v>
      </c>
      <c r="C2" s="26" t="s">
        <v>230</v>
      </c>
      <c r="D2" s="26" t="s">
        <v>118</v>
      </c>
      <c r="E2" s="26" t="s">
        <v>119</v>
      </c>
      <c r="F2" s="26" t="s">
        <v>65</v>
      </c>
      <c r="G2" s="26" t="s">
        <v>111</v>
      </c>
      <c r="H2" s="26" t="s">
        <v>121</v>
      </c>
      <c r="I2" s="26" t="s">
        <v>113</v>
      </c>
      <c r="J2" s="26" t="s">
        <v>70</v>
      </c>
      <c r="K2" s="26">
        <f>DATEDIF(I2,J2,"M")</f>
        <v>6</v>
      </c>
      <c r="L2" s="26" t="s">
        <v>215</v>
      </c>
      <c r="M2" s="26" t="s">
        <v>216</v>
      </c>
      <c r="N2" s="27">
        <v>3.15</v>
      </c>
      <c r="O2" s="28">
        <v>0.02</v>
      </c>
      <c r="P2" s="27">
        <v>3.15</v>
      </c>
      <c r="Q2" s="26" t="s">
        <v>123</v>
      </c>
      <c r="R2" s="29" t="s">
        <v>220</v>
      </c>
    </row>
    <row r="3" spans="1:24" x14ac:dyDescent="0.25">
      <c r="A3" s="19" t="s">
        <v>141</v>
      </c>
      <c r="B3" s="19">
        <v>9079571</v>
      </c>
      <c r="C3" s="19" t="s">
        <v>125</v>
      </c>
      <c r="D3" s="19" t="s">
        <v>206</v>
      </c>
      <c r="E3" s="19" t="s">
        <v>207</v>
      </c>
      <c r="F3" s="19" t="s">
        <v>100</v>
      </c>
      <c r="G3" s="19" t="s">
        <v>67</v>
      </c>
      <c r="H3" s="19" t="s">
        <v>102</v>
      </c>
      <c r="I3" s="19" t="s">
        <v>209</v>
      </c>
      <c r="J3" s="19" t="s">
        <v>70</v>
      </c>
      <c r="K3" s="19">
        <f>DATEDIF(I3,J3,"M")</f>
        <v>22</v>
      </c>
      <c r="L3" s="19" t="s">
        <v>215</v>
      </c>
      <c r="M3" s="19" t="s">
        <v>216</v>
      </c>
      <c r="N3" s="20">
        <v>-27.63</v>
      </c>
      <c r="O3" s="24">
        <v>3.5000000000000003E-2</v>
      </c>
      <c r="P3" s="20">
        <v>-0.97</v>
      </c>
      <c r="Q3" s="19" t="s">
        <v>105</v>
      </c>
      <c r="R3" s="18" t="s">
        <v>102</v>
      </c>
    </row>
    <row r="4" spans="1:24" x14ac:dyDescent="0.25">
      <c r="A4" s="19" t="s">
        <v>60</v>
      </c>
      <c r="B4" s="19">
        <v>17195620</v>
      </c>
      <c r="C4" s="19" t="s">
        <v>97</v>
      </c>
      <c r="D4" s="19" t="s">
        <v>98</v>
      </c>
      <c r="E4" s="19" t="s">
        <v>99</v>
      </c>
      <c r="F4" s="19" t="s">
        <v>100</v>
      </c>
      <c r="G4" s="19" t="s">
        <v>67</v>
      </c>
      <c r="H4" s="19" t="s">
        <v>102</v>
      </c>
      <c r="I4" s="19" t="s">
        <v>103</v>
      </c>
      <c r="J4" s="19" t="s">
        <v>70</v>
      </c>
      <c r="K4" s="19">
        <f>DATEDIF(I4,J4,"M")</f>
        <v>19</v>
      </c>
      <c r="L4" s="19" t="s">
        <v>215</v>
      </c>
      <c r="M4" s="19" t="s">
        <v>216</v>
      </c>
      <c r="N4" s="20">
        <v>55.26</v>
      </c>
      <c r="O4" s="24">
        <v>3.5000000000000003E-2</v>
      </c>
      <c r="P4" s="20">
        <v>1.93</v>
      </c>
      <c r="Q4" s="19" t="s">
        <v>105</v>
      </c>
      <c r="R4" s="18" t="s">
        <v>102</v>
      </c>
    </row>
    <row r="5" spans="1:24" x14ac:dyDescent="0.25">
      <c r="A5" s="19" t="s">
        <v>60</v>
      </c>
      <c r="B5" s="19">
        <v>17195620</v>
      </c>
      <c r="C5" s="19" t="s">
        <v>97</v>
      </c>
      <c r="D5" s="19" t="s">
        <v>157</v>
      </c>
      <c r="E5" s="19" t="s">
        <v>158</v>
      </c>
      <c r="F5" s="19" t="s">
        <v>100</v>
      </c>
      <c r="G5" s="19" t="s">
        <v>67</v>
      </c>
      <c r="H5" s="19" t="s">
        <v>102</v>
      </c>
      <c r="I5" s="19" t="s">
        <v>160</v>
      </c>
      <c r="J5" s="19" t="s">
        <v>161</v>
      </c>
      <c r="K5" s="19">
        <f>DATEDIF(I5,J5,"M")</f>
        <v>19</v>
      </c>
      <c r="L5" s="19" t="s">
        <v>215</v>
      </c>
      <c r="M5" s="19" t="s">
        <v>216</v>
      </c>
      <c r="N5" s="20">
        <v>27.63</v>
      </c>
      <c r="O5" s="24">
        <v>3.5000000000000003E-2</v>
      </c>
      <c r="P5" s="20">
        <v>0.97</v>
      </c>
      <c r="Q5" s="19" t="s">
        <v>105</v>
      </c>
      <c r="R5" s="18" t="s">
        <v>102</v>
      </c>
    </row>
    <row r="6" spans="1:24" s="23" customFormat="1" x14ac:dyDescent="0.25">
      <c r="A6" s="19" t="s">
        <v>141</v>
      </c>
      <c r="B6" s="19">
        <v>8977234</v>
      </c>
      <c r="C6" s="19" t="s">
        <v>132</v>
      </c>
      <c r="D6" s="19" t="s">
        <v>147</v>
      </c>
      <c r="E6" s="19" t="s">
        <v>148</v>
      </c>
      <c r="F6" s="19" t="s">
        <v>100</v>
      </c>
      <c r="G6" s="19" t="s">
        <v>150</v>
      </c>
      <c r="H6" s="19" t="s">
        <v>68</v>
      </c>
      <c r="I6" s="19" t="s">
        <v>151</v>
      </c>
      <c r="J6" s="19" t="s">
        <v>152</v>
      </c>
      <c r="K6" s="19">
        <f>DATEDIF(I6,J6,"M")</f>
        <v>19</v>
      </c>
      <c r="L6" s="19" t="s">
        <v>215</v>
      </c>
      <c r="M6" s="19" t="s">
        <v>216</v>
      </c>
      <c r="N6" s="20">
        <v>-78.37</v>
      </c>
      <c r="O6" s="24">
        <v>3.5000000000000003E-2</v>
      </c>
      <c r="P6" s="20">
        <v>-2.74</v>
      </c>
      <c r="Q6" s="19" t="s">
        <v>75</v>
      </c>
      <c r="R6" s="18" t="s">
        <v>102</v>
      </c>
      <c r="S6" s="18"/>
      <c r="T6" s="18"/>
      <c r="U6" s="18"/>
      <c r="V6" s="18"/>
      <c r="W6" s="18"/>
      <c r="X6" s="18"/>
    </row>
    <row r="7" spans="1:24" x14ac:dyDescent="0.25">
      <c r="A7" s="19" t="s">
        <v>141</v>
      </c>
      <c r="B7" s="19">
        <v>9079571</v>
      </c>
      <c r="C7" s="19" t="s">
        <v>125</v>
      </c>
      <c r="D7" s="19" t="s">
        <v>162</v>
      </c>
      <c r="E7" s="19" t="s">
        <v>163</v>
      </c>
      <c r="F7" s="19" t="s">
        <v>100</v>
      </c>
      <c r="G7" s="19" t="s">
        <v>67</v>
      </c>
      <c r="H7" s="19" t="s">
        <v>102</v>
      </c>
      <c r="I7" s="19" t="s">
        <v>164</v>
      </c>
      <c r="J7" s="19" t="s">
        <v>165</v>
      </c>
      <c r="K7" s="19">
        <f>DATEDIF(I7,J7,"M")</f>
        <v>17</v>
      </c>
      <c r="L7" s="19" t="s">
        <v>215</v>
      </c>
      <c r="M7" s="19" t="s">
        <v>216</v>
      </c>
      <c r="N7" s="20">
        <v>-22.42</v>
      </c>
      <c r="O7" s="24">
        <v>3.7499999999999999E-2</v>
      </c>
      <c r="P7" s="20">
        <v>-0.84</v>
      </c>
      <c r="Q7" s="19" t="s">
        <v>105</v>
      </c>
      <c r="R7" s="18" t="s">
        <v>221</v>
      </c>
    </row>
    <row r="8" spans="1:24" x14ac:dyDescent="0.25">
      <c r="A8" s="19" t="s">
        <v>60</v>
      </c>
      <c r="B8" s="19">
        <v>9079571</v>
      </c>
      <c r="C8" s="19" t="s">
        <v>125</v>
      </c>
      <c r="D8" s="19" t="s">
        <v>194</v>
      </c>
      <c r="E8" s="19" t="s">
        <v>195</v>
      </c>
      <c r="F8" s="19" t="s">
        <v>100</v>
      </c>
      <c r="G8" s="19" t="s">
        <v>67</v>
      </c>
      <c r="H8" s="19" t="s">
        <v>102</v>
      </c>
      <c r="I8" s="19" t="s">
        <v>197</v>
      </c>
      <c r="J8" s="19" t="s">
        <v>198</v>
      </c>
      <c r="K8" s="19">
        <f>DATEDIF(I8,J8,"M")</f>
        <v>14</v>
      </c>
      <c r="L8" s="19" t="s">
        <v>215</v>
      </c>
      <c r="M8" s="19" t="s">
        <v>216</v>
      </c>
      <c r="N8" s="20">
        <v>32.130000000000003</v>
      </c>
      <c r="O8" s="24">
        <v>3.7499999999999999E-2</v>
      </c>
      <c r="P8" s="20">
        <v>1.2</v>
      </c>
      <c r="Q8" s="19" t="s">
        <v>105</v>
      </c>
      <c r="R8" s="18" t="s">
        <v>221</v>
      </c>
    </row>
    <row r="9" spans="1:24" x14ac:dyDescent="0.25">
      <c r="A9" s="19" t="s">
        <v>60</v>
      </c>
      <c r="B9" s="19">
        <v>8307933</v>
      </c>
      <c r="C9" s="19" t="s">
        <v>187</v>
      </c>
      <c r="D9" s="19" t="s">
        <v>188</v>
      </c>
      <c r="E9" s="19" t="s">
        <v>189</v>
      </c>
      <c r="F9" s="19" t="s">
        <v>100</v>
      </c>
      <c r="G9" s="19" t="s">
        <v>93</v>
      </c>
      <c r="H9" s="19" t="s">
        <v>191</v>
      </c>
      <c r="I9" s="19" t="s">
        <v>192</v>
      </c>
      <c r="J9" s="19" t="s">
        <v>70</v>
      </c>
      <c r="K9" s="19">
        <f>DATEDIF(I9,J9,"M")</f>
        <v>12</v>
      </c>
      <c r="L9" s="19" t="s">
        <v>215</v>
      </c>
      <c r="M9" s="19" t="s">
        <v>216</v>
      </c>
      <c r="N9" s="20">
        <v>156.47999999999999</v>
      </c>
      <c r="O9" s="24">
        <v>3.7499999999999999E-2</v>
      </c>
      <c r="P9" s="20">
        <v>5.87</v>
      </c>
      <c r="Q9" s="19" t="s">
        <v>193</v>
      </c>
      <c r="R9" s="18" t="s">
        <v>221</v>
      </c>
    </row>
    <row r="10" spans="1:24" x14ac:dyDescent="0.25">
      <c r="A10" s="19" t="s">
        <v>60</v>
      </c>
      <c r="B10" s="19">
        <v>17528908</v>
      </c>
      <c r="C10" s="19" t="s">
        <v>107</v>
      </c>
      <c r="D10" s="19" t="s">
        <v>175</v>
      </c>
      <c r="E10" s="19" t="s">
        <v>176</v>
      </c>
      <c r="F10" s="19" t="s">
        <v>100</v>
      </c>
      <c r="G10" s="19" t="s">
        <v>111</v>
      </c>
      <c r="H10" s="19" t="s">
        <v>112</v>
      </c>
      <c r="I10" s="19" t="s">
        <v>178</v>
      </c>
      <c r="J10" s="19" t="s">
        <v>70</v>
      </c>
      <c r="K10" s="19">
        <f>DATEDIF(I10,J10,"M")</f>
        <v>14</v>
      </c>
      <c r="L10" s="19" t="s">
        <v>215</v>
      </c>
      <c r="M10" s="19" t="s">
        <v>216</v>
      </c>
      <c r="N10" s="20">
        <v>41.7</v>
      </c>
      <c r="O10" s="24">
        <v>0.08</v>
      </c>
      <c r="P10" s="20">
        <v>3.34</v>
      </c>
      <c r="Q10" s="19" t="s">
        <v>115</v>
      </c>
      <c r="R10" s="18" t="s">
        <v>222</v>
      </c>
    </row>
    <row r="11" spans="1:24" x14ac:dyDescent="0.25">
      <c r="A11" s="19" t="s">
        <v>60</v>
      </c>
      <c r="B11" s="19">
        <v>1706194</v>
      </c>
      <c r="C11" s="19" t="s">
        <v>168</v>
      </c>
      <c r="D11" s="19" t="s">
        <v>169</v>
      </c>
      <c r="E11" s="19" t="s">
        <v>170</v>
      </c>
      <c r="F11" s="19" t="s">
        <v>100</v>
      </c>
      <c r="G11" s="19" t="s">
        <v>172</v>
      </c>
      <c r="H11" s="19" t="s">
        <v>121</v>
      </c>
      <c r="I11" s="19" t="s">
        <v>173</v>
      </c>
      <c r="J11" s="19" t="s">
        <v>70</v>
      </c>
      <c r="K11" s="19">
        <f>DATEDIF(I11,J11,"M")</f>
        <v>23</v>
      </c>
      <c r="L11" s="19" t="s">
        <v>215</v>
      </c>
      <c r="M11" s="19" t="s">
        <v>216</v>
      </c>
      <c r="N11" s="20">
        <v>141.11000000000001</v>
      </c>
      <c r="O11" s="24">
        <v>0.24</v>
      </c>
      <c r="P11" s="20">
        <v>33.869999999999997</v>
      </c>
      <c r="Q11" s="19" t="s">
        <v>123</v>
      </c>
      <c r="R11" s="18" t="s">
        <v>121</v>
      </c>
    </row>
    <row r="12" spans="1:24" x14ac:dyDescent="0.25">
      <c r="A12" s="21" t="s">
        <v>60</v>
      </c>
      <c r="B12" s="21">
        <v>7470776</v>
      </c>
      <c r="C12" s="21" t="s">
        <v>211</v>
      </c>
      <c r="D12" s="21" t="s">
        <v>212</v>
      </c>
      <c r="E12" s="21" t="s">
        <v>213</v>
      </c>
      <c r="F12" s="21" t="s">
        <v>65</v>
      </c>
      <c r="G12" s="21" t="s">
        <v>93</v>
      </c>
      <c r="H12" s="21" t="s">
        <v>191</v>
      </c>
      <c r="I12" s="21" t="s">
        <v>69</v>
      </c>
      <c r="J12" s="21" t="s">
        <v>70</v>
      </c>
      <c r="K12" s="21">
        <f>DATEDIF(I12,J12,"M")</f>
        <v>7</v>
      </c>
      <c r="L12" s="21" t="s">
        <v>217</v>
      </c>
      <c r="M12" s="21" t="s">
        <v>216</v>
      </c>
      <c r="N12" s="22">
        <v>156.47999999999999</v>
      </c>
      <c r="O12" s="25">
        <v>0.56999999999999995</v>
      </c>
      <c r="P12" s="22">
        <v>89.19</v>
      </c>
      <c r="Q12" s="21" t="s">
        <v>193</v>
      </c>
      <c r="R12" s="23" t="s">
        <v>221</v>
      </c>
      <c r="S12" s="23"/>
      <c r="T12" s="23"/>
      <c r="U12" s="23"/>
      <c r="V12" s="23"/>
      <c r="W12" s="23"/>
      <c r="X12" s="23"/>
    </row>
    <row r="13" spans="1:24" x14ac:dyDescent="0.25">
      <c r="A13" s="19" t="s">
        <v>141</v>
      </c>
      <c r="B13" s="19">
        <v>5442438</v>
      </c>
      <c r="C13" s="19" t="s">
        <v>80</v>
      </c>
      <c r="D13" s="19" t="s">
        <v>142</v>
      </c>
      <c r="E13" s="19" t="s">
        <v>155</v>
      </c>
      <c r="F13" s="19" t="s">
        <v>65</v>
      </c>
      <c r="G13" s="19" t="s">
        <v>67</v>
      </c>
      <c r="H13" s="19" t="s">
        <v>102</v>
      </c>
      <c r="I13" s="19" t="s">
        <v>145</v>
      </c>
      <c r="J13" s="19" t="s">
        <v>146</v>
      </c>
      <c r="K13" s="19">
        <f>DATEDIF(I13,J13,"M")</f>
        <v>10</v>
      </c>
      <c r="L13" s="19" t="s">
        <v>215</v>
      </c>
      <c r="M13" s="19" t="s">
        <v>216</v>
      </c>
      <c r="N13" s="20">
        <v>-27.63</v>
      </c>
      <c r="O13" s="24">
        <v>0.56999999999999995</v>
      </c>
      <c r="P13" s="20">
        <v>-15.75</v>
      </c>
      <c r="Q13" s="19" t="s">
        <v>105</v>
      </c>
      <c r="R13" s="23" t="s">
        <v>221</v>
      </c>
    </row>
    <row r="14" spans="1:24" x14ac:dyDescent="0.25">
      <c r="A14" s="19" t="s">
        <v>60</v>
      </c>
      <c r="B14" s="19">
        <v>5442438</v>
      </c>
      <c r="C14" s="19" t="s">
        <v>80</v>
      </c>
      <c r="D14" s="19" t="s">
        <v>81</v>
      </c>
      <c r="E14" s="19" t="s">
        <v>82</v>
      </c>
      <c r="F14" s="19" t="s">
        <v>65</v>
      </c>
      <c r="G14" s="19" t="s">
        <v>67</v>
      </c>
      <c r="H14" s="19" t="s">
        <v>84</v>
      </c>
      <c r="I14" s="19" t="s">
        <v>66</v>
      </c>
      <c r="J14" s="19" t="s">
        <v>85</v>
      </c>
      <c r="K14" s="19">
        <f>DATEDIF(I14,J14,"M")</f>
        <v>8</v>
      </c>
      <c r="L14" s="19" t="s">
        <v>215</v>
      </c>
      <c r="M14" s="19" t="s">
        <v>216</v>
      </c>
      <c r="N14" s="20">
        <v>20.62</v>
      </c>
      <c r="O14" s="24">
        <v>0.57999999999999996</v>
      </c>
      <c r="P14" s="20">
        <v>11.96</v>
      </c>
      <c r="Q14" s="19" t="s">
        <v>87</v>
      </c>
      <c r="R14" s="18" t="s">
        <v>223</v>
      </c>
    </row>
    <row r="15" spans="1:24" x14ac:dyDescent="0.25">
      <c r="A15" s="19" t="s">
        <v>60</v>
      </c>
      <c r="B15" s="19">
        <v>5442438</v>
      </c>
      <c r="C15" s="19" t="s">
        <v>80</v>
      </c>
      <c r="D15" s="19" t="s">
        <v>81</v>
      </c>
      <c r="E15" s="19" t="s">
        <v>82</v>
      </c>
      <c r="F15" s="19" t="s">
        <v>65</v>
      </c>
      <c r="G15" s="19" t="s">
        <v>67</v>
      </c>
      <c r="H15" s="19" t="s">
        <v>84</v>
      </c>
      <c r="I15" s="19" t="s">
        <v>66</v>
      </c>
      <c r="J15" s="19" t="s">
        <v>85</v>
      </c>
      <c r="K15" s="19">
        <f>DATEDIF(I15,J15,"M")</f>
        <v>8</v>
      </c>
      <c r="L15" s="19" t="s">
        <v>215</v>
      </c>
      <c r="M15" s="19" t="s">
        <v>216</v>
      </c>
      <c r="N15" s="20">
        <v>34.1</v>
      </c>
      <c r="O15" s="24">
        <v>0.57999999999999996</v>
      </c>
      <c r="P15" s="20">
        <v>19.78</v>
      </c>
      <c r="Q15" s="19" t="s">
        <v>87</v>
      </c>
      <c r="R15" s="18" t="s">
        <v>223</v>
      </c>
    </row>
    <row r="16" spans="1:24" x14ac:dyDescent="0.25">
      <c r="A16" s="19" t="s">
        <v>60</v>
      </c>
      <c r="B16" s="19">
        <v>5442438</v>
      </c>
      <c r="C16" s="19" t="s">
        <v>80</v>
      </c>
      <c r="D16" s="19" t="s">
        <v>81</v>
      </c>
      <c r="E16" s="19" t="s">
        <v>82</v>
      </c>
      <c r="F16" s="19" t="s">
        <v>65</v>
      </c>
      <c r="G16" s="19" t="s">
        <v>67</v>
      </c>
      <c r="H16" s="19" t="s">
        <v>84</v>
      </c>
      <c r="I16" s="19" t="s">
        <v>66</v>
      </c>
      <c r="J16" s="19" t="s">
        <v>85</v>
      </c>
      <c r="K16" s="19">
        <f>DATEDIF(I16,J16,"M")</f>
        <v>8</v>
      </c>
      <c r="L16" s="19" t="s">
        <v>215</v>
      </c>
      <c r="M16" s="19" t="s">
        <v>216</v>
      </c>
      <c r="N16" s="20">
        <v>21.3</v>
      </c>
      <c r="O16" s="24">
        <v>0.57999999999999996</v>
      </c>
      <c r="P16" s="20">
        <v>12.35</v>
      </c>
      <c r="Q16" s="19" t="s">
        <v>87</v>
      </c>
      <c r="R16" s="18" t="s">
        <v>223</v>
      </c>
    </row>
    <row r="17" spans="1:24" x14ac:dyDescent="0.25">
      <c r="A17" s="19" t="s">
        <v>60</v>
      </c>
      <c r="B17" s="19">
        <v>20003537</v>
      </c>
      <c r="C17" s="19" t="s">
        <v>89</v>
      </c>
      <c r="D17" s="19" t="s">
        <v>90</v>
      </c>
      <c r="E17" s="19" t="s">
        <v>91</v>
      </c>
      <c r="F17" s="19" t="s">
        <v>65</v>
      </c>
      <c r="G17" s="19" t="s">
        <v>93</v>
      </c>
      <c r="H17" s="19" t="s">
        <v>84</v>
      </c>
      <c r="I17" s="19" t="s">
        <v>94</v>
      </c>
      <c r="J17" s="19" t="s">
        <v>70</v>
      </c>
      <c r="K17" s="19">
        <f>DATEDIF(I17,J17,"M")</f>
        <v>8</v>
      </c>
      <c r="L17" s="19" t="s">
        <v>215</v>
      </c>
      <c r="M17" s="19" t="s">
        <v>216</v>
      </c>
      <c r="N17" s="20">
        <v>22.7</v>
      </c>
      <c r="O17" s="24">
        <v>0.625</v>
      </c>
      <c r="P17" s="20">
        <v>14.19</v>
      </c>
      <c r="Q17" s="19" t="s">
        <v>87</v>
      </c>
      <c r="R17" s="18" t="s">
        <v>224</v>
      </c>
    </row>
    <row r="18" spans="1:24" x14ac:dyDescent="0.25">
      <c r="A18" s="19" t="s">
        <v>60</v>
      </c>
      <c r="B18" s="19">
        <v>20003537</v>
      </c>
      <c r="C18" s="19" t="s">
        <v>89</v>
      </c>
      <c r="D18" s="19" t="s">
        <v>90</v>
      </c>
      <c r="E18" s="19" t="s">
        <v>91</v>
      </c>
      <c r="F18" s="19" t="s">
        <v>65</v>
      </c>
      <c r="G18" s="19" t="s">
        <v>93</v>
      </c>
      <c r="H18" s="19" t="s">
        <v>84</v>
      </c>
      <c r="I18" s="19" t="s">
        <v>94</v>
      </c>
      <c r="J18" s="19" t="s">
        <v>70</v>
      </c>
      <c r="K18" s="19">
        <f>DATEDIF(I18,J18,"M")</f>
        <v>8</v>
      </c>
      <c r="L18" s="19" t="s">
        <v>215</v>
      </c>
      <c r="M18" s="19" t="s">
        <v>216</v>
      </c>
      <c r="N18" s="20">
        <v>104.26</v>
      </c>
      <c r="O18" s="24">
        <v>0.625</v>
      </c>
      <c r="P18" s="20">
        <v>65.16</v>
      </c>
      <c r="Q18" s="19" t="s">
        <v>87</v>
      </c>
      <c r="R18" s="18" t="s">
        <v>224</v>
      </c>
    </row>
    <row r="19" spans="1:24" s="23" customFormat="1" x14ac:dyDescent="0.25">
      <c r="A19" s="19" t="s">
        <v>60</v>
      </c>
      <c r="B19" s="19">
        <v>20003537</v>
      </c>
      <c r="C19" s="19" t="s">
        <v>89</v>
      </c>
      <c r="D19" s="19" t="s">
        <v>199</v>
      </c>
      <c r="E19" s="19" t="s">
        <v>200</v>
      </c>
      <c r="F19" s="19" t="s">
        <v>65</v>
      </c>
      <c r="G19" s="19" t="s">
        <v>202</v>
      </c>
      <c r="H19" s="19" t="s">
        <v>84</v>
      </c>
      <c r="I19" s="19" t="s">
        <v>69</v>
      </c>
      <c r="J19" s="19" t="s">
        <v>70</v>
      </c>
      <c r="K19" s="19">
        <f>DATEDIF(I19,J19,"M")</f>
        <v>7</v>
      </c>
      <c r="L19" s="19" t="s">
        <v>215</v>
      </c>
      <c r="M19" s="19" t="s">
        <v>216</v>
      </c>
      <c r="N19" s="20">
        <v>22.7</v>
      </c>
      <c r="O19" s="24">
        <v>0.625</v>
      </c>
      <c r="P19" s="20">
        <v>14.19</v>
      </c>
      <c r="Q19" s="19" t="s">
        <v>87</v>
      </c>
      <c r="R19" s="18" t="s">
        <v>224</v>
      </c>
      <c r="S19" s="18"/>
      <c r="T19" s="18"/>
      <c r="U19" s="18"/>
      <c r="V19" s="18"/>
      <c r="W19" s="18"/>
      <c r="X19" s="18"/>
    </row>
    <row r="20" spans="1:24" x14ac:dyDescent="0.25">
      <c r="A20" s="19" t="s">
        <v>60</v>
      </c>
      <c r="B20" s="19">
        <v>20003537</v>
      </c>
      <c r="C20" s="19" t="s">
        <v>89</v>
      </c>
      <c r="D20" s="19" t="s">
        <v>199</v>
      </c>
      <c r="E20" s="19" t="s">
        <v>200</v>
      </c>
      <c r="F20" s="19" t="s">
        <v>65</v>
      </c>
      <c r="G20" s="19" t="s">
        <v>202</v>
      </c>
      <c r="H20" s="19" t="s">
        <v>84</v>
      </c>
      <c r="I20" s="19" t="s">
        <v>69</v>
      </c>
      <c r="J20" s="19" t="s">
        <v>70</v>
      </c>
      <c r="K20" s="19">
        <f>DATEDIF(I20,J20,"M")</f>
        <v>7</v>
      </c>
      <c r="L20" s="19" t="s">
        <v>215</v>
      </c>
      <c r="M20" s="19" t="s">
        <v>216</v>
      </c>
      <c r="N20" s="20">
        <v>34.25</v>
      </c>
      <c r="O20" s="24">
        <v>0.625</v>
      </c>
      <c r="P20" s="20">
        <v>21.41</v>
      </c>
      <c r="Q20" s="19" t="s">
        <v>87</v>
      </c>
      <c r="R20" s="18" t="s">
        <v>224</v>
      </c>
    </row>
    <row r="21" spans="1:24" x14ac:dyDescent="0.25">
      <c r="A21" s="19" t="s">
        <v>60</v>
      </c>
      <c r="B21" s="19">
        <v>7387433</v>
      </c>
      <c r="C21" s="19" t="s">
        <v>62</v>
      </c>
      <c r="D21" s="19" t="s">
        <v>63</v>
      </c>
      <c r="E21" s="19" t="s">
        <v>64</v>
      </c>
      <c r="F21" s="19" t="s">
        <v>65</v>
      </c>
      <c r="G21" s="19" t="s">
        <v>67</v>
      </c>
      <c r="H21" s="19" t="s">
        <v>68</v>
      </c>
      <c r="I21" s="19" t="s">
        <v>69</v>
      </c>
      <c r="J21" s="19" t="s">
        <v>70</v>
      </c>
      <c r="K21" s="19">
        <f>DATEDIF(I21,J21,"M")</f>
        <v>7</v>
      </c>
      <c r="L21" s="19" t="s">
        <v>215</v>
      </c>
      <c r="M21" s="19" t="s">
        <v>216</v>
      </c>
      <c r="N21" s="20">
        <v>32.67</v>
      </c>
      <c r="O21" s="24">
        <v>0.91</v>
      </c>
      <c r="P21" s="20">
        <v>29.73</v>
      </c>
      <c r="Q21" s="19" t="s">
        <v>75</v>
      </c>
      <c r="R21" s="18" t="s">
        <v>225</v>
      </c>
    </row>
    <row r="22" spans="1:24" x14ac:dyDescent="0.25">
      <c r="A22" s="19" t="s">
        <v>60</v>
      </c>
      <c r="B22" s="19">
        <v>7387433</v>
      </c>
      <c r="C22" s="19" t="s">
        <v>62</v>
      </c>
      <c r="D22" s="19" t="s">
        <v>63</v>
      </c>
      <c r="E22" s="19" t="s">
        <v>76</v>
      </c>
      <c r="F22" s="19" t="s">
        <v>65</v>
      </c>
      <c r="G22" s="19" t="s">
        <v>67</v>
      </c>
      <c r="H22" s="19" t="s">
        <v>77</v>
      </c>
      <c r="I22" s="19" t="s">
        <v>69</v>
      </c>
      <c r="J22" s="19" t="s">
        <v>70</v>
      </c>
      <c r="K22" s="19">
        <f>DATEDIF(I22,J22,"M")</f>
        <v>7</v>
      </c>
      <c r="L22" s="19" t="s">
        <v>215</v>
      </c>
      <c r="M22" s="19" t="s">
        <v>216</v>
      </c>
      <c r="N22" s="20">
        <v>29.02</v>
      </c>
      <c r="O22" s="24">
        <v>0.91</v>
      </c>
      <c r="P22" s="20">
        <v>26.41</v>
      </c>
      <c r="Q22" s="19" t="s">
        <v>78</v>
      </c>
      <c r="R22" s="18" t="s">
        <v>225</v>
      </c>
    </row>
    <row r="23" spans="1:24" x14ac:dyDescent="0.25">
      <c r="A23" s="19" t="s">
        <v>141</v>
      </c>
      <c r="B23" s="19">
        <v>5442438</v>
      </c>
      <c r="C23" s="19" t="s">
        <v>80</v>
      </c>
      <c r="D23" s="19" t="s">
        <v>142</v>
      </c>
      <c r="E23" s="19" t="s">
        <v>143</v>
      </c>
      <c r="F23" s="19" t="s">
        <v>65</v>
      </c>
      <c r="G23" s="19" t="s">
        <v>67</v>
      </c>
      <c r="H23" s="19" t="s">
        <v>68</v>
      </c>
      <c r="I23" s="19" t="s">
        <v>145</v>
      </c>
      <c r="J23" s="19" t="s">
        <v>146</v>
      </c>
      <c r="K23" s="19">
        <f>DATEDIF(I23,J23,"M")</f>
        <v>10</v>
      </c>
      <c r="L23" s="19" t="s">
        <v>215</v>
      </c>
      <c r="M23" s="19" t="s">
        <v>216</v>
      </c>
      <c r="N23" s="20">
        <v>-43.75</v>
      </c>
      <c r="O23" s="24">
        <v>0.91</v>
      </c>
      <c r="P23" s="20">
        <v>-39.81</v>
      </c>
      <c r="Q23" s="19" t="s">
        <v>75</v>
      </c>
      <c r="R23" s="18" t="s">
        <v>225</v>
      </c>
    </row>
    <row r="24" spans="1:24" x14ac:dyDescent="0.25">
      <c r="A24" s="19" t="s">
        <v>141</v>
      </c>
      <c r="B24" s="19">
        <v>5442438</v>
      </c>
      <c r="C24" s="19" t="s">
        <v>80</v>
      </c>
      <c r="D24" s="19" t="s">
        <v>142</v>
      </c>
      <c r="E24" s="19" t="s">
        <v>154</v>
      </c>
      <c r="F24" s="19" t="s">
        <v>65</v>
      </c>
      <c r="G24" s="19" t="s">
        <v>67</v>
      </c>
      <c r="H24" s="19" t="s">
        <v>77</v>
      </c>
      <c r="I24" s="19" t="s">
        <v>145</v>
      </c>
      <c r="J24" s="19" t="s">
        <v>146</v>
      </c>
      <c r="K24" s="19">
        <f>DATEDIF(I24,J24,"M")</f>
        <v>10</v>
      </c>
      <c r="L24" s="19" t="s">
        <v>215</v>
      </c>
      <c r="M24" s="19" t="s">
        <v>216</v>
      </c>
      <c r="N24" s="20">
        <v>-41.37</v>
      </c>
      <c r="O24" s="24">
        <v>0.91</v>
      </c>
      <c r="P24" s="20">
        <v>-37.65</v>
      </c>
      <c r="Q24" s="19" t="s">
        <v>78</v>
      </c>
      <c r="R24" s="18" t="s">
        <v>225</v>
      </c>
    </row>
    <row r="25" spans="1:24" x14ac:dyDescent="0.25">
      <c r="A25" s="19" t="s">
        <v>60</v>
      </c>
      <c r="B25" s="19">
        <v>5442438</v>
      </c>
      <c r="C25" s="19" t="s">
        <v>80</v>
      </c>
      <c r="D25" s="19" t="s">
        <v>81</v>
      </c>
      <c r="E25" s="19" t="s">
        <v>203</v>
      </c>
      <c r="F25" s="19" t="s">
        <v>65</v>
      </c>
      <c r="G25" s="19" t="s">
        <v>67</v>
      </c>
      <c r="H25" s="19" t="s">
        <v>137</v>
      </c>
      <c r="I25" s="19" t="s">
        <v>66</v>
      </c>
      <c r="J25" s="19" t="s">
        <v>85</v>
      </c>
      <c r="K25" s="19">
        <f>DATEDIF(I25,J25,"M")</f>
        <v>8</v>
      </c>
      <c r="L25" s="19" t="s">
        <v>215</v>
      </c>
      <c r="M25" s="19" t="s">
        <v>216</v>
      </c>
      <c r="N25" s="20">
        <v>68.37</v>
      </c>
      <c r="O25" s="24">
        <v>0.91</v>
      </c>
      <c r="P25" s="20">
        <v>62.22</v>
      </c>
      <c r="Q25" s="19" t="s">
        <v>139</v>
      </c>
      <c r="R25" s="18" t="s">
        <v>225</v>
      </c>
    </row>
    <row r="26" spans="1:24" x14ac:dyDescent="0.25">
      <c r="A26" s="19" t="s">
        <v>60</v>
      </c>
      <c r="B26" s="19">
        <v>5442438</v>
      </c>
      <c r="C26" s="19" t="s">
        <v>80</v>
      </c>
      <c r="D26" s="19" t="s">
        <v>81</v>
      </c>
      <c r="E26" s="19" t="s">
        <v>204</v>
      </c>
      <c r="F26" s="19" t="s">
        <v>65</v>
      </c>
      <c r="G26" s="19" t="s">
        <v>67</v>
      </c>
      <c r="H26" s="19" t="s">
        <v>112</v>
      </c>
      <c r="I26" s="19" t="s">
        <v>66</v>
      </c>
      <c r="J26" s="19" t="s">
        <v>205</v>
      </c>
      <c r="K26" s="19">
        <f>DATEDIF(I26,J26,"M")</f>
        <v>7</v>
      </c>
      <c r="L26" s="19" t="s">
        <v>215</v>
      </c>
      <c r="M26" s="19" t="s">
        <v>216</v>
      </c>
      <c r="N26" s="20">
        <v>65.12</v>
      </c>
      <c r="O26" s="24">
        <v>0.91</v>
      </c>
      <c r="P26" s="20">
        <v>59.26</v>
      </c>
      <c r="Q26" s="19" t="s">
        <v>115</v>
      </c>
      <c r="R26" s="18" t="s">
        <v>225</v>
      </c>
    </row>
    <row r="27" spans="1:24" x14ac:dyDescent="0.25">
      <c r="A27" s="19" t="s">
        <v>60</v>
      </c>
      <c r="B27" s="19">
        <v>9079571</v>
      </c>
      <c r="C27" s="19" t="s">
        <v>125</v>
      </c>
      <c r="D27" s="19" t="s">
        <v>126</v>
      </c>
      <c r="E27" s="19" t="s">
        <v>127</v>
      </c>
      <c r="F27" s="19" t="s">
        <v>128</v>
      </c>
      <c r="G27" s="19" t="s">
        <v>67</v>
      </c>
      <c r="H27" s="19" t="s">
        <v>112</v>
      </c>
      <c r="I27" s="19" t="s">
        <v>70</v>
      </c>
      <c r="J27" s="19" t="s">
        <v>70</v>
      </c>
      <c r="K27" s="19">
        <f>DATEDIF(I27,J27,"M")</f>
        <v>0</v>
      </c>
      <c r="L27" s="19" t="s">
        <v>215</v>
      </c>
      <c r="M27" s="19" t="s">
        <v>216</v>
      </c>
      <c r="N27" s="20">
        <v>136.29</v>
      </c>
      <c r="O27" s="24">
        <v>0.95</v>
      </c>
      <c r="P27" s="20">
        <v>129.47999999999999</v>
      </c>
      <c r="Q27" s="19" t="s">
        <v>115</v>
      </c>
      <c r="R27" s="18" t="s">
        <v>226</v>
      </c>
    </row>
    <row r="28" spans="1:24" x14ac:dyDescent="0.25">
      <c r="A28" s="19" t="s">
        <v>60</v>
      </c>
      <c r="B28" s="19">
        <v>8977234</v>
      </c>
      <c r="C28" s="19" t="s">
        <v>132</v>
      </c>
      <c r="D28" s="19" t="s">
        <v>133</v>
      </c>
      <c r="E28" s="19" t="s">
        <v>134</v>
      </c>
      <c r="F28" s="19" t="s">
        <v>65</v>
      </c>
      <c r="G28" s="19" t="s">
        <v>136</v>
      </c>
      <c r="H28" s="19" t="s">
        <v>137</v>
      </c>
      <c r="I28" s="19" t="s">
        <v>138</v>
      </c>
      <c r="J28" s="19" t="s">
        <v>129</v>
      </c>
      <c r="K28" s="19">
        <f>DATEDIF(I28,J28,"M")</f>
        <v>8</v>
      </c>
      <c r="L28" s="19" t="s">
        <v>215</v>
      </c>
      <c r="M28" s="19" t="s">
        <v>216</v>
      </c>
      <c r="N28" s="20">
        <v>31.13</v>
      </c>
      <c r="O28" s="24">
        <v>0.95</v>
      </c>
      <c r="P28" s="20">
        <v>29.57</v>
      </c>
      <c r="Q28" s="19" t="s">
        <v>139</v>
      </c>
      <c r="R28" s="18" t="s">
        <v>227</v>
      </c>
    </row>
    <row r="29" spans="1:24" x14ac:dyDescent="0.25">
      <c r="A29" s="19" t="s">
        <v>60</v>
      </c>
      <c r="B29" s="19">
        <v>8977234</v>
      </c>
      <c r="C29" s="19" t="s">
        <v>132</v>
      </c>
      <c r="D29" s="19" t="s">
        <v>133</v>
      </c>
      <c r="E29" s="19" t="s">
        <v>140</v>
      </c>
      <c r="F29" s="19" t="s">
        <v>65</v>
      </c>
      <c r="G29" s="19" t="s">
        <v>136</v>
      </c>
      <c r="H29" s="19" t="s">
        <v>112</v>
      </c>
      <c r="I29" s="19" t="s">
        <v>138</v>
      </c>
      <c r="J29" s="19" t="s">
        <v>129</v>
      </c>
      <c r="K29" s="19">
        <f>DATEDIF(I29,J29,"M")</f>
        <v>8</v>
      </c>
      <c r="L29" s="19" t="s">
        <v>215</v>
      </c>
      <c r="M29" s="19" t="s">
        <v>216</v>
      </c>
      <c r="N29" s="20">
        <v>31.38</v>
      </c>
      <c r="O29" s="24">
        <v>0.95</v>
      </c>
      <c r="P29" s="20">
        <v>29.81</v>
      </c>
      <c r="Q29" s="19" t="s">
        <v>115</v>
      </c>
      <c r="R29" s="18" t="s">
        <v>227</v>
      </c>
    </row>
    <row r="30" spans="1:24" x14ac:dyDescent="0.25">
      <c r="A30" s="19" t="s">
        <v>60</v>
      </c>
      <c r="B30" s="19">
        <v>17528908</v>
      </c>
      <c r="C30" s="19" t="s">
        <v>107</v>
      </c>
      <c r="D30" s="19" t="s">
        <v>108</v>
      </c>
      <c r="E30" s="19" t="s">
        <v>109</v>
      </c>
      <c r="F30" s="19" t="s">
        <v>65</v>
      </c>
      <c r="G30" s="19" t="s">
        <v>111</v>
      </c>
      <c r="H30" s="19" t="s">
        <v>112</v>
      </c>
      <c r="I30" s="19" t="s">
        <v>113</v>
      </c>
      <c r="J30" s="19" t="s">
        <v>70</v>
      </c>
      <c r="K30" s="19">
        <f>DATEDIF(I30,J30,"M")</f>
        <v>6</v>
      </c>
      <c r="L30" s="19" t="s">
        <v>215</v>
      </c>
      <c r="M30" s="19" t="s">
        <v>216</v>
      </c>
      <c r="N30" s="20">
        <v>48.45</v>
      </c>
      <c r="O30" s="24">
        <v>1</v>
      </c>
      <c r="P30" s="20">
        <v>48.45</v>
      </c>
      <c r="Q30" s="19" t="s">
        <v>115</v>
      </c>
      <c r="R30" s="18" t="s">
        <v>222</v>
      </c>
    </row>
    <row r="31" spans="1:24" x14ac:dyDescent="0.25">
      <c r="A31" s="21" t="s">
        <v>60</v>
      </c>
      <c r="B31" s="21" t="s">
        <v>229</v>
      </c>
      <c r="C31" s="21" t="s">
        <v>181</v>
      </c>
      <c r="D31" s="21" t="s">
        <v>182</v>
      </c>
      <c r="E31" s="21" t="s">
        <v>183</v>
      </c>
      <c r="F31" s="21" t="s">
        <v>128</v>
      </c>
      <c r="G31" s="21" t="s">
        <v>93</v>
      </c>
      <c r="H31" s="21" t="s">
        <v>112</v>
      </c>
      <c r="I31" s="21" t="s">
        <v>70</v>
      </c>
      <c r="J31" s="21" t="s">
        <v>70</v>
      </c>
      <c r="K31" s="21">
        <f>DATEDIF(I31,J31,"M")</f>
        <v>0</v>
      </c>
      <c r="L31" s="21" t="s">
        <v>218</v>
      </c>
      <c r="M31" s="21" t="s">
        <v>219</v>
      </c>
      <c r="N31" s="22">
        <v>55.6</v>
      </c>
      <c r="O31" s="25">
        <v>1.05</v>
      </c>
      <c r="P31" s="22">
        <v>58.38</v>
      </c>
      <c r="Q31" s="21" t="s">
        <v>115</v>
      </c>
      <c r="R31" s="23" t="s">
        <v>228</v>
      </c>
      <c r="S31" s="23"/>
      <c r="T31" s="23"/>
      <c r="U31" s="23"/>
      <c r="V31" s="23"/>
      <c r="W31" s="23"/>
      <c r="X31" s="23"/>
    </row>
  </sheetData>
  <sortState xmlns:xlrd2="http://schemas.microsoft.com/office/spreadsheetml/2017/richdata2" ref="A2:X32">
    <sortCondition ref="O2:O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2025-08-06T20:10:47Z</dcterms:created>
  <dcterms:modified xsi:type="dcterms:W3CDTF">2025-08-13T15:46:51Z</dcterms:modified>
</cp:coreProperties>
</file>