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ed_Supp_Ancillary\2026\2026-05-23\"/>
    </mc:Choice>
  </mc:AlternateContent>
  <xr:revisionPtr revIDLastSave="0" documentId="13_ncr:1_{0533A037-8207-4CC1-90A4-C5DFA2C7AE0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2" sheetId="4" r:id="rId3"/>
    <sheet name="Sheet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2" i="4"/>
  <c r="M3" i="3" l="1"/>
  <c r="M4" i="3"/>
  <c r="M13" i="3"/>
  <c r="M5" i="3"/>
  <c r="M14" i="3"/>
  <c r="M15" i="3"/>
  <c r="M6" i="3"/>
  <c r="M16" i="3"/>
  <c r="M17" i="3"/>
  <c r="M18" i="3"/>
  <c r="M19" i="3"/>
  <c r="M20" i="3"/>
  <c r="M21" i="3"/>
  <c r="M22" i="3"/>
  <c r="M23" i="3"/>
  <c r="M24" i="3"/>
  <c r="M7" i="3"/>
  <c r="M8" i="3"/>
  <c r="M25" i="3"/>
  <c r="M26" i="3"/>
  <c r="M27" i="3"/>
  <c r="M28" i="3"/>
  <c r="M29" i="3"/>
  <c r="M30" i="3"/>
  <c r="M31" i="3"/>
  <c r="M32" i="3"/>
  <c r="M33" i="3"/>
  <c r="M9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10" i="3"/>
  <c r="M11" i="3"/>
  <c r="M12" i="3"/>
  <c r="M48" i="3"/>
  <c r="M49" i="3"/>
  <c r="M50" i="3"/>
  <c r="M2" i="3"/>
</calcChain>
</file>

<file path=xl/sharedStrings.xml><?xml version="1.0" encoding="utf-8"?>
<sst xmlns="http://schemas.openxmlformats.org/spreadsheetml/2006/main" count="3198" uniqueCount="338">
  <si>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</si>
  <si>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</si>
  <si>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</si>
  <si>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</si>
  <si>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</si>
  <si>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</si>
  <si>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</si>
  <si>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05/23/2026</t>
  </si>
  <si>
    <t>Day of Week</t>
  </si>
  <si>
    <t>FRIDAY</t>
  </si>
  <si>
    <t>ACCENDO INSURANCE COMPANY(ACC)</t>
  </si>
  <si>
    <t>$2.22</t>
  </si>
  <si>
    <t>Aetna Health Ins Company(AHIC)</t>
  </si>
  <si>
    <t>$45.29</t>
  </si>
  <si>
    <t>CONTINENTAL LIFE INSURANCE CO(CLI)</t>
  </si>
  <si>
    <t>$3,277.24</t>
  </si>
  <si>
    <t>Total Commission Paid</t>
  </si>
  <si>
    <t>$3,324.75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</si>
  <si>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</si>
  <si>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</si>
  <si>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</si>
  <si>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</si>
  <si>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</si>
  <si>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</si>
  <si>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</si>
  <si>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</si>
  <si>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</si>
  <si>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</si>
  <si>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</si>
  <si>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$32.13</t>
  </si>
  <si>
    <t>First Year Total:</t>
  </si>
  <si>
    <t>First Year Override:</t>
  </si>
  <si>
    <t>$370.95</t>
  </si>
  <si>
    <t>Renewal Total:</t>
  </si>
  <si>
    <t>Renewal Override:</t>
  </si>
  <si>
    <t>$49.16</t>
  </si>
  <si>
    <t>Interest on Advance:</t>
  </si>
  <si>
    <t>Other:</t>
  </si>
  <si>
    <t>$2,825.00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</si>
  <si>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</si>
  <si>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</si>
  <si>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</si>
  <si>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</si>
  <si>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</si>
  <si>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</si>
  <si>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</si>
  <si>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</si>
  <si>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</si>
  <si>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</si>
  <si>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</si>
  <si>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</si>
  <si>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</si>
  <si>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</si>
  <si>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</si>
  <si>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</si>
  <si>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</si>
  <si>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</si>
  <si>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</si>
  <si>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</si>
  <si>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</si>
  <si>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</si>
  <si>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</si>
  <si>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Agent Commission Adj Cr</t>
  </si>
  <si>
    <t>CPPROD2</t>
  </si>
  <si>
    <t>Bonus</t>
  </si>
  <si>
    <t>0.00</t>
  </si>
  <si>
    <t>0.00%</t>
  </si>
  <si>
    <t>Commission Override</t>
  </si>
  <si>
    <t>GNW5021656</t>
  </si>
  <si>
    <t>GARY PORTUGAL</t>
  </si>
  <si>
    <t>DOUGLAS KAUS</t>
  </si>
  <si>
    <t>CLI7573133</t>
  </si>
  <si>
    <t>Initial</t>
  </si>
  <si>
    <t>05/19/2026</t>
  </si>
  <si>
    <t>IL</t>
  </si>
  <si>
    <t>HIP Flex Daily Hospital Indemnity</t>
  </si>
  <si>
    <t>08/01/2026</t>
  </si>
  <si>
    <t>65.00%</t>
  </si>
  <si>
    <t>000</t>
  </si>
  <si>
    <t>Monthly</t>
  </si>
  <si>
    <t xml:space="preserve">DAILY HOSPITAL INDEMNITY      </t>
  </si>
  <si>
    <t>GNW5015801</t>
  </si>
  <si>
    <t>RONALD MAX</t>
  </si>
  <si>
    <t>DARRIN JACKSON</t>
  </si>
  <si>
    <t>CLI7557501</t>
  </si>
  <si>
    <t>First Year</t>
  </si>
  <si>
    <t>04/23/2026</t>
  </si>
  <si>
    <t>MD</t>
  </si>
  <si>
    <t>Heart Attack or Stroke Insurance</t>
  </si>
  <si>
    <t>04/24/2026</t>
  </si>
  <si>
    <t>05/24/2026</t>
  </si>
  <si>
    <t>95.00%</t>
  </si>
  <si>
    <t>Quarterly</t>
  </si>
  <si>
    <t xml:space="preserve">CHAS PLUS Heart/Stroke        </t>
  </si>
  <si>
    <t>MICHAEL COOK</t>
  </si>
  <si>
    <t>CLI7433998</t>
  </si>
  <si>
    <t>10/01/2025</t>
  </si>
  <si>
    <t>FL</t>
  </si>
  <si>
    <t>Heart Attack or Stroke Insurance with Recurrence Benefit</t>
  </si>
  <si>
    <t>06/01/2026</t>
  </si>
  <si>
    <t>100.00%</t>
  </si>
  <si>
    <t xml:space="preserve">CHAS PLUS Heart/Strk w/ recuc </t>
  </si>
  <si>
    <t>GNW0089678</t>
  </si>
  <si>
    <t>RYAN CALTAGIRONE</t>
  </si>
  <si>
    <t>TAMMY LYNN</t>
  </si>
  <si>
    <t>CLI7170067</t>
  </si>
  <si>
    <t>Renewal</t>
  </si>
  <si>
    <t>05/20/2024</t>
  </si>
  <si>
    <t>06/24/2024</t>
  </si>
  <si>
    <t>12.00%</t>
  </si>
  <si>
    <t>CLI7433999</t>
  </si>
  <si>
    <t>60.00%</t>
  </si>
  <si>
    <t>DONNA NEEDY</t>
  </si>
  <si>
    <t>CLI7395322</t>
  </si>
  <si>
    <t>07/17/2025</t>
  </si>
  <si>
    <t>Cancer Insurance with Recurrence Benefit</t>
  </si>
  <si>
    <t>07/18/2025</t>
  </si>
  <si>
    <t>05/18/2026</t>
  </si>
  <si>
    <t>CHAS PLUS CANCER ONLY W/ RECUR</t>
  </si>
  <si>
    <t>GNW5010621</t>
  </si>
  <si>
    <t>KLAUS HERCHENRODER</t>
  </si>
  <si>
    <t>DORA LEKAS</t>
  </si>
  <si>
    <t>AHC6729812</t>
  </si>
  <si>
    <t>04/29/2024</t>
  </si>
  <si>
    <t>PA</t>
  </si>
  <si>
    <t>Medicare Supplement Plan N</t>
  </si>
  <si>
    <t>05/01/2024</t>
  </si>
  <si>
    <t>4.00%</t>
  </si>
  <si>
    <t xml:space="preserve">Med Supp Plan N 2010          </t>
  </si>
  <si>
    <t>CLI7557500</t>
  </si>
  <si>
    <t>Cancer Insurance</t>
  </si>
  <si>
    <t xml:space="preserve">CHAS PLUS CANCER ONLY         </t>
  </si>
  <si>
    <t>GLORIA HARRIS</t>
  </si>
  <si>
    <t>CLI7373737</t>
  </si>
  <si>
    <t>06/09/2025</t>
  </si>
  <si>
    <t>06/10/2025</t>
  </si>
  <si>
    <t>06/10/2026</t>
  </si>
  <si>
    <t>18.00%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</si>
  <si>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</si>
  <si>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</si>
  <si>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</si>
  <si>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</si>
  <si>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</si>
  <si>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</si>
  <si>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</si>
  <si>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05/01/2025</t>
  </si>
  <si>
    <t>1.50%</t>
  </si>
  <si>
    <t xml:space="preserve">ACC Final Exp Level Ben       </t>
  </si>
  <si>
    <t>GNW5038866</t>
  </si>
  <si>
    <t>JOHN RADER</t>
  </si>
  <si>
    <t>JANE MILLER</t>
  </si>
  <si>
    <t>CLI7576041</t>
  </si>
  <si>
    <t>05/22/2026</t>
  </si>
  <si>
    <t>DVH FLX Option 1</t>
  </si>
  <si>
    <t>58.00%</t>
  </si>
  <si>
    <t xml:space="preserve">DVH FLX Option 1              </t>
  </si>
  <si>
    <t>GNW5014631</t>
  </si>
  <si>
    <t>PAMELA DEATON</t>
  </si>
  <si>
    <t>JEFF CAGLEY</t>
  </si>
  <si>
    <t>CLI7562943</t>
  </si>
  <si>
    <t>05/01/2026</t>
  </si>
  <si>
    <t>GNW5005221</t>
  </si>
  <si>
    <t>THOMAS KUCAN</t>
  </si>
  <si>
    <t>CLI7543090</t>
  </si>
  <si>
    <t>03/31/2026</t>
  </si>
  <si>
    <t>04/22/2026</t>
  </si>
  <si>
    <t>GNW0089770</t>
  </si>
  <si>
    <t>ADAM RICHTER</t>
  </si>
  <si>
    <t>ROBERT GLOAD</t>
  </si>
  <si>
    <t>CLI7143589</t>
  </si>
  <si>
    <t>03/22/2024</t>
  </si>
  <si>
    <t>Dental Only 2000</t>
  </si>
  <si>
    <t>04/22/2024</t>
  </si>
  <si>
    <t>3.75%</t>
  </si>
  <si>
    <t xml:space="preserve">Dental Only 2000 MD           </t>
  </si>
  <si>
    <t>GNW5007313</t>
  </si>
  <si>
    <t>DEBORAH INSKIPT</t>
  </si>
  <si>
    <t>CRAIG LESKO</t>
  </si>
  <si>
    <t>CLI7383012</t>
  </si>
  <si>
    <t>06/26/2025</t>
  </si>
  <si>
    <t>07/01/2025</t>
  </si>
  <si>
    <t>THERESA PARKS</t>
  </si>
  <si>
    <t>CLI7395456</t>
  </si>
  <si>
    <t>11/01/2025</t>
  </si>
  <si>
    <t>MARYURI MEMBRENO NAVAS</t>
  </si>
  <si>
    <t>CLI7131144</t>
  </si>
  <si>
    <t>02/22/2024</t>
  </si>
  <si>
    <t>03/01/2024</t>
  </si>
  <si>
    <t>3.50%</t>
  </si>
  <si>
    <t>MICHAEL DARKOCH</t>
  </si>
  <si>
    <t>CLI7250702</t>
  </si>
  <si>
    <t>10/22/2024</t>
  </si>
  <si>
    <t>AZ</t>
  </si>
  <si>
    <t>DVH PLUS 5000</t>
  </si>
  <si>
    <t xml:space="preserve">DVH PLUS 5000 100 DEDUCTIBLE  </t>
  </si>
  <si>
    <t>GNW5014846</t>
  </si>
  <si>
    <t>RICARDO SANTOS</t>
  </si>
  <si>
    <t>JAY OOMMEN</t>
  </si>
  <si>
    <t>CLI7574975</t>
  </si>
  <si>
    <t>05/21/2026</t>
  </si>
  <si>
    <t>Refund of Unearned Commissions</t>
  </si>
  <si>
    <t>THOMAS GEHRING</t>
  </si>
  <si>
    <t>CLI7549727</t>
  </si>
  <si>
    <t>04/10/2026</t>
  </si>
  <si>
    <t>HIP Flex Hospital Admission Indemnity</t>
  </si>
  <si>
    <t>04/11/2026</t>
  </si>
  <si>
    <t>05/11/2026</t>
  </si>
  <si>
    <t>HOSPITAL CONFINEMENT INDEMNITY</t>
  </si>
  <si>
    <t>GNW5020386</t>
  </si>
  <si>
    <t>FRANK LISKOVEC</t>
  </si>
  <si>
    <t>JOY VOS</t>
  </si>
  <si>
    <t>CLI7288017</t>
  </si>
  <si>
    <t>12/14/2024</t>
  </si>
  <si>
    <t>01/01/2025</t>
  </si>
  <si>
    <t>8.00%</t>
  </si>
  <si>
    <t>CLI7288016</t>
  </si>
  <si>
    <t>CLI7288015</t>
  </si>
  <si>
    <t>Dental Vision Hearing 2000</t>
  </si>
  <si>
    <t>Dental, Vision, &amp; Hearing 2000</t>
  </si>
  <si>
    <t>GNW5019932</t>
  </si>
  <si>
    <t>DALE WALENGA</t>
  </si>
  <si>
    <t>IRA POWELL</t>
  </si>
  <si>
    <t>CLI7273206</t>
  </si>
  <si>
    <t>11/21/2024</t>
  </si>
  <si>
    <t>CLI7549726</t>
  </si>
  <si>
    <t>GNW0087421</t>
  </si>
  <si>
    <t>ANNE KOZACHECK</t>
  </si>
  <si>
    <t>CAROLYN LYNCH</t>
  </si>
  <si>
    <t>AHC6749904</t>
  </si>
  <si>
    <t>04/24/2025</t>
  </si>
  <si>
    <t>Medicare Supplement Plan G</t>
  </si>
  <si>
    <t>26.00%</t>
  </si>
  <si>
    <t xml:space="preserve">Med Supp Plan G 2010          </t>
  </si>
  <si>
    <t>CLI7549725</t>
  </si>
  <si>
    <t>SARAH HERTEL</t>
  </si>
  <si>
    <t>CLI7380463</t>
  </si>
  <si>
    <t>06/21/2025</t>
  </si>
  <si>
    <t>AE</t>
  </si>
  <si>
    <t>AV</t>
  </si>
  <si>
    <t>Cancer and Heart</t>
  </si>
  <si>
    <t>Cancer and Heart Attack or Stroke 100%</t>
  </si>
  <si>
    <t>Hospital Indemnity-AL, AR, DE, GA, ID, IL, IN, KS, KY, etc.</t>
  </si>
  <si>
    <t>Home Recovery Hospital Nursing Care 65</t>
  </si>
  <si>
    <t>Hospital Indemnity Flex: AZ, CT, FL, IA, MA, MD, MI, ND, NH, SC, UT, VA, VT</t>
  </si>
  <si>
    <t>Medicare Supplements Plan N TN</t>
  </si>
  <si>
    <t>Dental, Vision, and Hearing Plus</t>
  </si>
  <si>
    <t>DVH Plus AL AR AZ CT DE FL GA IA ID IL</t>
  </si>
  <si>
    <t>5442438O</t>
  </si>
  <si>
    <t>16202925AV8</t>
  </si>
  <si>
    <t>17528908N</t>
  </si>
  <si>
    <t>19278370old</t>
  </si>
  <si>
    <t>RN</t>
  </si>
  <si>
    <t>8244481AV8</t>
  </si>
  <si>
    <t>NB</t>
  </si>
  <si>
    <t>19200754AV8</t>
  </si>
  <si>
    <t>Gregory Teipel</t>
  </si>
  <si>
    <t>Bonus for CLI7507026</t>
  </si>
  <si>
    <t>Gary Portugal</t>
  </si>
  <si>
    <t>Bonus for CLI7519023</t>
  </si>
  <si>
    <t>Jared Kinyua</t>
  </si>
  <si>
    <t>Bonus for CLI7532280</t>
  </si>
  <si>
    <t>Patricia Long</t>
  </si>
  <si>
    <t>Bonus for CLI7536318</t>
  </si>
  <si>
    <t>Anthony Hunsberger</t>
  </si>
  <si>
    <t>Bonus for CLI7540819</t>
  </si>
  <si>
    <t>Bonus for CLI7543112</t>
  </si>
  <si>
    <t>Steven Brandt</t>
  </si>
  <si>
    <t>Bonus for CLI7554165</t>
  </si>
  <si>
    <t>Danna Green</t>
  </si>
  <si>
    <t>Bonus for CLI7499355</t>
  </si>
  <si>
    <t>Bonus for CLI7516590</t>
  </si>
  <si>
    <t>Stacey A Portugal</t>
  </si>
  <si>
    <t>Bonus for CLI7516941</t>
  </si>
  <si>
    <t>Bonus for CLI7526214</t>
  </si>
  <si>
    <t>Ricardo D Santos</t>
  </si>
  <si>
    <t>Bonus for CLI7527099</t>
  </si>
  <si>
    <t>H A Allan</t>
  </si>
  <si>
    <t>Bonus for CLI7527923</t>
  </si>
  <si>
    <t>Jacob Yale</t>
  </si>
  <si>
    <t>Bonus for CLI7527963</t>
  </si>
  <si>
    <t>Bonus for CLI7527964</t>
  </si>
  <si>
    <t>Bonus for CLI7533332</t>
  </si>
  <si>
    <t>Ryan Caltagirone</t>
  </si>
  <si>
    <t>Bonus for CLI7533682</t>
  </si>
  <si>
    <t>Ronald Max</t>
  </si>
  <si>
    <t>Bonus for CLI7533755</t>
  </si>
  <si>
    <t>Bonus for CLI7533756</t>
  </si>
  <si>
    <t>Ryan Shepard</t>
  </si>
  <si>
    <t>Bonus for CLI7534579</t>
  </si>
  <si>
    <t>Bonus for CLI7535980</t>
  </si>
  <si>
    <t>Bonus for CLI7537949</t>
  </si>
  <si>
    <t>Bonus for CLI7539468</t>
  </si>
  <si>
    <t>Bonus for CLI7539469</t>
  </si>
  <si>
    <t>Matthew Daugherty</t>
  </si>
  <si>
    <t>Bonus for CLI7539524</t>
  </si>
  <si>
    <t>Bonus for CLI7539525</t>
  </si>
  <si>
    <t>Bonus for CLI7540603</t>
  </si>
  <si>
    <t>Brittany Oliver</t>
  </si>
  <si>
    <t>Bonus for CLI7545731</t>
  </si>
  <si>
    <t>Bonus for CLI7546498</t>
  </si>
  <si>
    <t>Bonus for CLI7546512</t>
  </si>
  <si>
    <t>Bonus for CLI7549725</t>
  </si>
  <si>
    <t>Bonus for CLI7549726</t>
  </si>
  <si>
    <t>Bonus for CLI7549727</t>
  </si>
  <si>
    <t>Bonus for CLI7551332</t>
  </si>
  <si>
    <t>Bonus for CLI7551356</t>
  </si>
  <si>
    <t>Stephanie Drapac</t>
  </si>
  <si>
    <t>Bonus for CLI7552894</t>
  </si>
  <si>
    <t>Bonus for CLI7552895</t>
  </si>
  <si>
    <t>Bonus for CLI7556391</t>
  </si>
  <si>
    <t>Bonus for CLI7557500</t>
  </si>
  <si>
    <t>Bonus for CLI7557501</t>
  </si>
  <si>
    <t>Bonus for CLI7545730</t>
  </si>
  <si>
    <t>Dale Walenga</t>
  </si>
  <si>
    <t>Bonus for CLI7543828</t>
  </si>
  <si>
    <t>Bonus for CLI7543827</t>
  </si>
  <si>
    <t>Thomas Kucan</t>
  </si>
  <si>
    <t>Bonus for CLI7543090</t>
  </si>
  <si>
    <t>Bonus for CLI7542645</t>
  </si>
  <si>
    <t>Bonus for CLI7542607</t>
  </si>
  <si>
    <t>Bonus for CLI7542606</t>
  </si>
  <si>
    <t>Chad Yale</t>
  </si>
  <si>
    <t>Bonus for CLI7541700</t>
  </si>
  <si>
    <t>Bonus for CLI7540820</t>
  </si>
  <si>
    <t>Bonus for CLI7540604</t>
  </si>
  <si>
    <t>Bonus for CLI7533192</t>
  </si>
  <si>
    <t>Bonus for CLI7533191</t>
  </si>
  <si>
    <t>Jill Shepard</t>
  </si>
  <si>
    <t>Bonus for CLI7531729</t>
  </si>
  <si>
    <t>Bonus for CLI7531569</t>
  </si>
  <si>
    <t>Bonus for CLI7531568</t>
  </si>
  <si>
    <t>Bonus for CLI7531001</t>
  </si>
  <si>
    <t>Deborah Inskipt</t>
  </si>
  <si>
    <t>Bonus for CLI7529447</t>
  </si>
  <si>
    <t>Bonus for CLI7529445</t>
  </si>
  <si>
    <t>Bonus for CLI7528741</t>
  </si>
  <si>
    <t>Bonus for CLI7527965</t>
  </si>
  <si>
    <t>Aetna Medsupp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</si>
</sst>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0" fontId="10" fillId="4" borderId="0" xfId="0" applyFont="1" applyFill="1"/>
    <xf numFmtId="10" fontId="10" fillId="0" borderId="0" xfId="0" applyNumberFormat="1" applyFont="1" applyAlignment="1">
      <alignment horizontal="left"/>
    </xf>
    <xf numFmtId="10" fontId="10" fillId="4" borderId="0" xfId="0" applyNumberFormat="1" applyFont="1" applyFill="1" applyAlignment="1">
      <alignment horizontal="left"/>
    </xf>
    <xf numFmtId="14" fontId="10" fillId="4" borderId="0" xfId="0" applyNumberFormat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8" fontId="10" fillId="0" borderId="0" xfId="0" applyNumberFormat="1" applyFont="1" applyFill="1"/>
    <xf numFmtId="14" fontId="10" fillId="0" borderId="0" xfId="0" applyNumberFormat="1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0" fillId="5" borderId="0" xfId="0" applyFont="1" applyFill="1"/>
    <xf numFmtId="8" fontId="10" fillId="5" borderId="0" xfId="0" applyNumberFormat="1" applyFont="1" applyFill="1"/>
    <xf numFmtId="14" fontId="10" fillId="5" borderId="0" xfId="0" applyNumberFormat="1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pane ySplit="2" topLeftCell="A12" activePane="bottomLeft" state="frozen"/>
      <selection pane="bottomLeft" activeCell="F26" sqref="F26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4" t="s">
        <v>0</v>
      </c>
      <c r="E1" s="25"/>
      <c r="F1" s="25"/>
    </row>
    <row r="2" spans="1:19" x14ac:dyDescent="0.25">
      <c r="A2" s="26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26" t="s">
        <v>19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25">
      <c r="C22" s="2" t="s">
        <v>31</v>
      </c>
      <c r="D22" s="1" t="s">
        <v>24</v>
      </c>
      <c r="E22" s="1" t="s">
        <v>24</v>
      </c>
      <c r="F22" s="1" t="s">
        <v>32</v>
      </c>
    </row>
    <row r="23" spans="3:6" x14ac:dyDescent="0.25">
      <c r="C23" s="2" t="s">
        <v>33</v>
      </c>
      <c r="D23" s="1" t="s">
        <v>24</v>
      </c>
      <c r="E23" s="1" t="s">
        <v>24</v>
      </c>
      <c r="F23" s="1" t="s">
        <v>24</v>
      </c>
    </row>
    <row r="24" spans="3:6" x14ac:dyDescent="0.25">
      <c r="C24" s="2" t="s">
        <v>34</v>
      </c>
      <c r="D24" s="1" t="s">
        <v>11</v>
      </c>
      <c r="E24" s="1" t="s">
        <v>13</v>
      </c>
      <c r="F24" s="1" t="s">
        <v>35</v>
      </c>
    </row>
    <row r="25" spans="3:6" x14ac:dyDescent="0.25">
      <c r="C25" s="2" t="s">
        <v>36</v>
      </c>
      <c r="D25" s="1" t="s">
        <v>24</v>
      </c>
      <c r="E25" s="1" t="s">
        <v>24</v>
      </c>
      <c r="F25" s="1" t="s">
        <v>24</v>
      </c>
    </row>
    <row r="26" spans="3:6" x14ac:dyDescent="0.25">
      <c r="C26" s="2" t="s">
        <v>37</v>
      </c>
      <c r="D26" s="1" t="s">
        <v>24</v>
      </c>
      <c r="E26" s="1" t="s">
        <v>24</v>
      </c>
      <c r="F26" s="1" t="s">
        <v>38</v>
      </c>
    </row>
    <row r="27" spans="3:6" x14ac:dyDescent="0.25">
      <c r="C27" s="4" t="s">
        <v>39</v>
      </c>
      <c r="D27" s="3" t="s">
        <v>11</v>
      </c>
      <c r="E27" s="3" t="s">
        <v>13</v>
      </c>
      <c r="F27" s="3" t="s">
        <v>15</v>
      </c>
    </row>
  </sheetData>
  <mergeCells count="3">
    <mergeCell ref="D1:F1"/>
    <mergeCell ref="A2:S2"/>
    <mergeCell ref="A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1"/>
  <sheetViews>
    <sheetView workbookViewId="0">
      <pane ySplit="2" topLeftCell="A3" activePane="bottomLeft" state="frozen"/>
      <selection pane="bottomLeft" activeCell="W108" sqref="W108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27" t="s">
        <v>40</v>
      </c>
      <c r="E1" s="25"/>
      <c r="F1" s="25"/>
    </row>
    <row r="2" spans="1:2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</row>
    <row r="3" spans="1:21" x14ac:dyDescent="0.25">
      <c r="A3" s="9" t="s">
        <v>22</v>
      </c>
      <c r="B3" s="9" t="s">
        <v>62</v>
      </c>
      <c r="C3" s="9" t="s">
        <v>0</v>
      </c>
      <c r="D3" s="9" t="s">
        <v>0</v>
      </c>
      <c r="E3" s="9" t="s">
        <v>0</v>
      </c>
      <c r="F3" s="9" t="s">
        <v>63</v>
      </c>
      <c r="G3" s="9" t="s">
        <v>64</v>
      </c>
      <c r="H3" s="9" t="s">
        <v>0</v>
      </c>
      <c r="I3" s="9" t="s">
        <v>0</v>
      </c>
      <c r="J3" s="9"/>
      <c r="K3" s="9" t="s">
        <v>0</v>
      </c>
      <c r="L3" s="9" t="s">
        <v>0</v>
      </c>
      <c r="M3" s="11">
        <v>0</v>
      </c>
      <c r="N3" s="9" t="s">
        <v>65</v>
      </c>
      <c r="O3" s="9" t="s">
        <v>66</v>
      </c>
      <c r="P3" s="9" t="s">
        <v>0</v>
      </c>
      <c r="Q3" s="11">
        <v>50</v>
      </c>
      <c r="R3" s="9"/>
      <c r="S3" s="9" t="s">
        <v>0</v>
      </c>
      <c r="T3" s="9" t="s">
        <v>0</v>
      </c>
      <c r="U3" s="9"/>
    </row>
    <row r="4" spans="1:21" x14ac:dyDescent="0.25">
      <c r="A4" s="10" t="s">
        <v>22</v>
      </c>
      <c r="B4" s="10" t="s">
        <v>67</v>
      </c>
      <c r="C4" s="10" t="s">
        <v>68</v>
      </c>
      <c r="D4" s="10" t="s">
        <v>69</v>
      </c>
      <c r="E4" s="10" t="s">
        <v>70</v>
      </c>
      <c r="F4" s="10" t="s">
        <v>71</v>
      </c>
      <c r="G4" s="10" t="s">
        <v>72</v>
      </c>
      <c r="H4" s="10" t="s">
        <v>73</v>
      </c>
      <c r="I4" s="10" t="s">
        <v>74</v>
      </c>
      <c r="J4" s="10" t="s">
        <v>75</v>
      </c>
      <c r="K4" s="10" t="s">
        <v>76</v>
      </c>
      <c r="L4" s="10" t="s">
        <v>76</v>
      </c>
      <c r="M4" s="12">
        <v>39.33</v>
      </c>
      <c r="N4" s="10" t="s">
        <v>65</v>
      </c>
      <c r="O4" s="10" t="s">
        <v>77</v>
      </c>
      <c r="P4" s="10" t="s">
        <v>78</v>
      </c>
      <c r="Q4" s="12">
        <v>25.56</v>
      </c>
      <c r="R4" s="10" t="s">
        <v>79</v>
      </c>
      <c r="S4" s="10" t="s">
        <v>0</v>
      </c>
      <c r="T4" s="10" t="s">
        <v>0</v>
      </c>
      <c r="U4" s="10" t="s">
        <v>80</v>
      </c>
    </row>
    <row r="5" spans="1:21" x14ac:dyDescent="0.25">
      <c r="A5" s="9" t="s">
        <v>22</v>
      </c>
      <c r="B5" s="9" t="s">
        <v>67</v>
      </c>
      <c r="C5" s="9" t="s">
        <v>68</v>
      </c>
      <c r="D5" s="9" t="s">
        <v>69</v>
      </c>
      <c r="E5" s="9" t="s">
        <v>70</v>
      </c>
      <c r="F5" s="9" t="s">
        <v>71</v>
      </c>
      <c r="G5" s="9" t="s">
        <v>72</v>
      </c>
      <c r="H5" s="9" t="s">
        <v>73</v>
      </c>
      <c r="I5" s="9" t="s">
        <v>74</v>
      </c>
      <c r="J5" s="9" t="s">
        <v>75</v>
      </c>
      <c r="K5" s="9" t="s">
        <v>76</v>
      </c>
      <c r="L5" s="9" t="s">
        <v>76</v>
      </c>
      <c r="M5" s="11">
        <v>14.17</v>
      </c>
      <c r="N5" s="9" t="s">
        <v>65</v>
      </c>
      <c r="O5" s="9" t="s">
        <v>77</v>
      </c>
      <c r="P5" s="9" t="s">
        <v>78</v>
      </c>
      <c r="Q5" s="11">
        <v>9.2100000000000009</v>
      </c>
      <c r="R5" s="9" t="s">
        <v>79</v>
      </c>
      <c r="S5" s="9" t="s">
        <v>0</v>
      </c>
      <c r="T5" s="9" t="s">
        <v>0</v>
      </c>
      <c r="U5" s="9" t="s">
        <v>80</v>
      </c>
    </row>
    <row r="6" spans="1:21" x14ac:dyDescent="0.25">
      <c r="A6" s="10" t="s">
        <v>22</v>
      </c>
      <c r="B6" s="10" t="s">
        <v>67</v>
      </c>
      <c r="C6" s="10" t="s">
        <v>81</v>
      </c>
      <c r="D6" s="10" t="s">
        <v>82</v>
      </c>
      <c r="E6" s="10" t="s">
        <v>83</v>
      </c>
      <c r="F6" s="10" t="s">
        <v>84</v>
      </c>
      <c r="G6" s="10" t="s">
        <v>85</v>
      </c>
      <c r="H6" s="10" t="s">
        <v>86</v>
      </c>
      <c r="I6" s="10" t="s">
        <v>87</v>
      </c>
      <c r="J6" s="10" t="s">
        <v>88</v>
      </c>
      <c r="K6" s="10" t="s">
        <v>89</v>
      </c>
      <c r="L6" s="10" t="s">
        <v>90</v>
      </c>
      <c r="M6" s="12">
        <v>54</v>
      </c>
      <c r="N6" s="10" t="s">
        <v>65</v>
      </c>
      <c r="O6" s="10" t="s">
        <v>91</v>
      </c>
      <c r="P6" s="10" t="s">
        <v>78</v>
      </c>
      <c r="Q6" s="12">
        <v>51.3</v>
      </c>
      <c r="R6" s="10" t="s">
        <v>92</v>
      </c>
      <c r="S6" s="10" t="s">
        <v>0</v>
      </c>
      <c r="T6" s="10" t="s">
        <v>0</v>
      </c>
      <c r="U6" s="10" t="s">
        <v>93</v>
      </c>
    </row>
    <row r="7" spans="1:21" x14ac:dyDescent="0.25">
      <c r="A7" s="9" t="s">
        <v>22</v>
      </c>
      <c r="B7" s="9" t="s">
        <v>67</v>
      </c>
      <c r="C7" s="9" t="s">
        <v>68</v>
      </c>
      <c r="D7" s="9" t="s">
        <v>69</v>
      </c>
      <c r="E7" s="9" t="s">
        <v>94</v>
      </c>
      <c r="F7" s="9" t="s">
        <v>95</v>
      </c>
      <c r="G7" s="9" t="s">
        <v>85</v>
      </c>
      <c r="H7" s="9" t="s">
        <v>96</v>
      </c>
      <c r="I7" s="9" t="s">
        <v>97</v>
      </c>
      <c r="J7" s="9" t="s">
        <v>98</v>
      </c>
      <c r="K7" s="9" t="s">
        <v>96</v>
      </c>
      <c r="L7" s="9" t="s">
        <v>99</v>
      </c>
      <c r="M7" s="11">
        <v>25.36</v>
      </c>
      <c r="N7" s="9" t="s">
        <v>65</v>
      </c>
      <c r="O7" s="9" t="s">
        <v>100</v>
      </c>
      <c r="P7" s="9" t="s">
        <v>78</v>
      </c>
      <c r="Q7" s="11">
        <v>25.36</v>
      </c>
      <c r="R7" s="9" t="s">
        <v>79</v>
      </c>
      <c r="S7" s="9" t="s">
        <v>0</v>
      </c>
      <c r="T7" s="9" t="s">
        <v>0</v>
      </c>
      <c r="U7" s="9" t="s">
        <v>101</v>
      </c>
    </row>
    <row r="8" spans="1:21" x14ac:dyDescent="0.25">
      <c r="A8" s="10" t="s">
        <v>22</v>
      </c>
      <c r="B8" s="10" t="s">
        <v>67</v>
      </c>
      <c r="C8" s="10" t="s">
        <v>102</v>
      </c>
      <c r="D8" s="10" t="s">
        <v>103</v>
      </c>
      <c r="E8" s="10" t="s">
        <v>104</v>
      </c>
      <c r="F8" s="10" t="s">
        <v>105</v>
      </c>
      <c r="G8" s="10" t="s">
        <v>106</v>
      </c>
      <c r="H8" s="10" t="s">
        <v>107</v>
      </c>
      <c r="I8" s="10" t="s">
        <v>97</v>
      </c>
      <c r="J8" s="10" t="s">
        <v>75</v>
      </c>
      <c r="K8" s="10" t="s">
        <v>108</v>
      </c>
      <c r="L8" s="10" t="s">
        <v>90</v>
      </c>
      <c r="M8" s="12">
        <v>0.78</v>
      </c>
      <c r="N8" s="10" t="s">
        <v>65</v>
      </c>
      <c r="O8" s="10" t="s">
        <v>109</v>
      </c>
      <c r="P8" s="10" t="s">
        <v>78</v>
      </c>
      <c r="Q8" s="12">
        <v>0.09</v>
      </c>
      <c r="R8" s="10" t="s">
        <v>79</v>
      </c>
      <c r="S8" s="10" t="s">
        <v>0</v>
      </c>
      <c r="T8" s="10" t="s">
        <v>0</v>
      </c>
      <c r="U8" s="10" t="s">
        <v>80</v>
      </c>
    </row>
    <row r="9" spans="1:21" x14ac:dyDescent="0.25">
      <c r="A9" s="9" t="s">
        <v>22</v>
      </c>
      <c r="B9" s="9" t="s">
        <v>67</v>
      </c>
      <c r="C9" s="9" t="s">
        <v>102</v>
      </c>
      <c r="D9" s="9" t="s">
        <v>103</v>
      </c>
      <c r="E9" s="9" t="s">
        <v>104</v>
      </c>
      <c r="F9" s="9" t="s">
        <v>105</v>
      </c>
      <c r="G9" s="9" t="s">
        <v>106</v>
      </c>
      <c r="H9" s="9" t="s">
        <v>107</v>
      </c>
      <c r="I9" s="9" t="s">
        <v>97</v>
      </c>
      <c r="J9" s="9" t="s">
        <v>75</v>
      </c>
      <c r="K9" s="9" t="s">
        <v>108</v>
      </c>
      <c r="L9" s="9" t="s">
        <v>90</v>
      </c>
      <c r="M9" s="11">
        <v>7.05</v>
      </c>
      <c r="N9" s="9" t="s">
        <v>65</v>
      </c>
      <c r="O9" s="9" t="s">
        <v>109</v>
      </c>
      <c r="P9" s="9" t="s">
        <v>78</v>
      </c>
      <c r="Q9" s="11">
        <v>0.85</v>
      </c>
      <c r="R9" s="9" t="s">
        <v>79</v>
      </c>
      <c r="S9" s="9" t="s">
        <v>0</v>
      </c>
      <c r="T9" s="9" t="s">
        <v>0</v>
      </c>
      <c r="U9" s="9" t="s">
        <v>80</v>
      </c>
    </row>
    <row r="10" spans="1:21" x14ac:dyDescent="0.25">
      <c r="A10" s="10" t="s">
        <v>22</v>
      </c>
      <c r="B10" s="10" t="s">
        <v>67</v>
      </c>
      <c r="C10" s="10" t="s">
        <v>102</v>
      </c>
      <c r="D10" s="10" t="s">
        <v>103</v>
      </c>
      <c r="E10" s="10" t="s">
        <v>104</v>
      </c>
      <c r="F10" s="10" t="s">
        <v>105</v>
      </c>
      <c r="G10" s="10" t="s">
        <v>106</v>
      </c>
      <c r="H10" s="10" t="s">
        <v>107</v>
      </c>
      <c r="I10" s="10" t="s">
        <v>97</v>
      </c>
      <c r="J10" s="10" t="s">
        <v>75</v>
      </c>
      <c r="K10" s="10" t="s">
        <v>108</v>
      </c>
      <c r="L10" s="10" t="s">
        <v>90</v>
      </c>
      <c r="M10" s="12">
        <v>19.649999999999999</v>
      </c>
      <c r="N10" s="10" t="s">
        <v>65</v>
      </c>
      <c r="O10" s="10" t="s">
        <v>109</v>
      </c>
      <c r="P10" s="10" t="s">
        <v>78</v>
      </c>
      <c r="Q10" s="12">
        <v>2.36</v>
      </c>
      <c r="R10" s="10" t="s">
        <v>79</v>
      </c>
      <c r="S10" s="10" t="s">
        <v>0</v>
      </c>
      <c r="T10" s="10" t="s">
        <v>0</v>
      </c>
      <c r="U10" s="10" t="s">
        <v>80</v>
      </c>
    </row>
    <row r="11" spans="1:21" x14ac:dyDescent="0.25">
      <c r="A11" s="9" t="s">
        <v>22</v>
      </c>
      <c r="B11" s="9" t="s">
        <v>67</v>
      </c>
      <c r="C11" s="9" t="s">
        <v>102</v>
      </c>
      <c r="D11" s="9" t="s">
        <v>103</v>
      </c>
      <c r="E11" s="9" t="s">
        <v>104</v>
      </c>
      <c r="F11" s="9" t="s">
        <v>105</v>
      </c>
      <c r="G11" s="9" t="s">
        <v>106</v>
      </c>
      <c r="H11" s="9" t="s">
        <v>107</v>
      </c>
      <c r="I11" s="9" t="s">
        <v>97</v>
      </c>
      <c r="J11" s="9" t="s">
        <v>75</v>
      </c>
      <c r="K11" s="9" t="s">
        <v>108</v>
      </c>
      <c r="L11" s="9" t="s">
        <v>90</v>
      </c>
      <c r="M11" s="11">
        <v>12.09</v>
      </c>
      <c r="N11" s="9" t="s">
        <v>65</v>
      </c>
      <c r="O11" s="9" t="s">
        <v>109</v>
      </c>
      <c r="P11" s="9" t="s">
        <v>78</v>
      </c>
      <c r="Q11" s="11">
        <v>1.45</v>
      </c>
      <c r="R11" s="9" t="s">
        <v>79</v>
      </c>
      <c r="S11" s="9" t="s">
        <v>0</v>
      </c>
      <c r="T11" s="9" t="s">
        <v>0</v>
      </c>
      <c r="U11" s="9" t="s">
        <v>80</v>
      </c>
    </row>
    <row r="12" spans="1:21" x14ac:dyDescent="0.25">
      <c r="A12" s="10" t="s">
        <v>22</v>
      </c>
      <c r="B12" s="10" t="s">
        <v>67</v>
      </c>
      <c r="C12" s="10" t="s">
        <v>68</v>
      </c>
      <c r="D12" s="10" t="s">
        <v>69</v>
      </c>
      <c r="E12" s="10" t="s">
        <v>94</v>
      </c>
      <c r="F12" s="10" t="s">
        <v>110</v>
      </c>
      <c r="G12" s="10" t="s">
        <v>85</v>
      </c>
      <c r="H12" s="10" t="s">
        <v>96</v>
      </c>
      <c r="I12" s="10" t="s">
        <v>97</v>
      </c>
      <c r="J12" s="10" t="s">
        <v>75</v>
      </c>
      <c r="K12" s="10" t="s">
        <v>96</v>
      </c>
      <c r="L12" s="10" t="s">
        <v>99</v>
      </c>
      <c r="M12" s="12">
        <v>4.93</v>
      </c>
      <c r="N12" s="10" t="s">
        <v>65</v>
      </c>
      <c r="O12" s="10" t="s">
        <v>111</v>
      </c>
      <c r="P12" s="10" t="s">
        <v>78</v>
      </c>
      <c r="Q12" s="12">
        <v>2.96</v>
      </c>
      <c r="R12" s="10" t="s">
        <v>79</v>
      </c>
      <c r="S12" s="10" t="s">
        <v>0</v>
      </c>
      <c r="T12" s="10" t="s">
        <v>0</v>
      </c>
      <c r="U12" s="10" t="s">
        <v>80</v>
      </c>
    </row>
    <row r="13" spans="1:21" x14ac:dyDescent="0.25">
      <c r="A13" s="9" t="s">
        <v>22</v>
      </c>
      <c r="B13" s="9" t="s">
        <v>67</v>
      </c>
      <c r="C13" s="9" t="s">
        <v>68</v>
      </c>
      <c r="D13" s="9" t="s">
        <v>69</v>
      </c>
      <c r="E13" s="9" t="s">
        <v>94</v>
      </c>
      <c r="F13" s="9" t="s">
        <v>110</v>
      </c>
      <c r="G13" s="9" t="s">
        <v>85</v>
      </c>
      <c r="H13" s="9" t="s">
        <v>96</v>
      </c>
      <c r="I13" s="9" t="s">
        <v>97</v>
      </c>
      <c r="J13" s="9" t="s">
        <v>75</v>
      </c>
      <c r="K13" s="9" t="s">
        <v>96</v>
      </c>
      <c r="L13" s="9" t="s">
        <v>99</v>
      </c>
      <c r="M13" s="11">
        <v>13.34</v>
      </c>
      <c r="N13" s="9" t="s">
        <v>65</v>
      </c>
      <c r="O13" s="9" t="s">
        <v>111</v>
      </c>
      <c r="P13" s="9" t="s">
        <v>78</v>
      </c>
      <c r="Q13" s="11">
        <v>8</v>
      </c>
      <c r="R13" s="9" t="s">
        <v>79</v>
      </c>
      <c r="S13" s="9" t="s">
        <v>0</v>
      </c>
      <c r="T13" s="9" t="s">
        <v>0</v>
      </c>
      <c r="U13" s="9" t="s">
        <v>80</v>
      </c>
    </row>
    <row r="14" spans="1:21" x14ac:dyDescent="0.25">
      <c r="A14" s="10" t="s">
        <v>22</v>
      </c>
      <c r="B14" s="10" t="s">
        <v>67</v>
      </c>
      <c r="C14" s="10" t="s">
        <v>68</v>
      </c>
      <c r="D14" s="10" t="s">
        <v>69</v>
      </c>
      <c r="E14" s="10" t="s">
        <v>94</v>
      </c>
      <c r="F14" s="10" t="s">
        <v>110</v>
      </c>
      <c r="G14" s="10" t="s">
        <v>85</v>
      </c>
      <c r="H14" s="10" t="s">
        <v>96</v>
      </c>
      <c r="I14" s="10" t="s">
        <v>97</v>
      </c>
      <c r="J14" s="10" t="s">
        <v>75</v>
      </c>
      <c r="K14" s="10" t="s">
        <v>96</v>
      </c>
      <c r="L14" s="10" t="s">
        <v>99</v>
      </c>
      <c r="M14" s="12">
        <v>5.48</v>
      </c>
      <c r="N14" s="10" t="s">
        <v>65</v>
      </c>
      <c r="O14" s="10" t="s">
        <v>111</v>
      </c>
      <c r="P14" s="10" t="s">
        <v>78</v>
      </c>
      <c r="Q14" s="12">
        <v>3.29</v>
      </c>
      <c r="R14" s="10" t="s">
        <v>79</v>
      </c>
      <c r="S14" s="10" t="s">
        <v>0</v>
      </c>
      <c r="T14" s="10" t="s">
        <v>0</v>
      </c>
      <c r="U14" s="10" t="s">
        <v>80</v>
      </c>
    </row>
    <row r="15" spans="1:21" x14ac:dyDescent="0.25">
      <c r="A15" s="9" t="s">
        <v>22</v>
      </c>
      <c r="B15" s="9" t="s">
        <v>67</v>
      </c>
      <c r="C15" s="9" t="s">
        <v>68</v>
      </c>
      <c r="D15" s="9" t="s">
        <v>69</v>
      </c>
      <c r="E15" s="9" t="s">
        <v>94</v>
      </c>
      <c r="F15" s="9" t="s">
        <v>110</v>
      </c>
      <c r="G15" s="9" t="s">
        <v>85</v>
      </c>
      <c r="H15" s="9" t="s">
        <v>96</v>
      </c>
      <c r="I15" s="9" t="s">
        <v>97</v>
      </c>
      <c r="J15" s="9" t="s">
        <v>75</v>
      </c>
      <c r="K15" s="9" t="s">
        <v>96</v>
      </c>
      <c r="L15" s="9" t="s">
        <v>99</v>
      </c>
      <c r="M15" s="11">
        <v>3.53</v>
      </c>
      <c r="N15" s="9" t="s">
        <v>65</v>
      </c>
      <c r="O15" s="9" t="s">
        <v>111</v>
      </c>
      <c r="P15" s="9" t="s">
        <v>78</v>
      </c>
      <c r="Q15" s="11">
        <v>2.12</v>
      </c>
      <c r="R15" s="9" t="s">
        <v>79</v>
      </c>
      <c r="S15" s="9" t="s">
        <v>0</v>
      </c>
      <c r="T15" s="9" t="s">
        <v>0</v>
      </c>
      <c r="U15" s="9" t="s">
        <v>80</v>
      </c>
    </row>
    <row r="16" spans="1:21" x14ac:dyDescent="0.25">
      <c r="A16" s="10" t="s">
        <v>22</v>
      </c>
      <c r="B16" s="10" t="s">
        <v>67</v>
      </c>
      <c r="C16" s="10" t="s">
        <v>68</v>
      </c>
      <c r="D16" s="10" t="s">
        <v>69</v>
      </c>
      <c r="E16" s="10" t="s">
        <v>94</v>
      </c>
      <c r="F16" s="10" t="s">
        <v>110</v>
      </c>
      <c r="G16" s="10" t="s">
        <v>85</v>
      </c>
      <c r="H16" s="10" t="s">
        <v>96</v>
      </c>
      <c r="I16" s="10" t="s">
        <v>97</v>
      </c>
      <c r="J16" s="10" t="s">
        <v>75</v>
      </c>
      <c r="K16" s="10" t="s">
        <v>96</v>
      </c>
      <c r="L16" s="10" t="s">
        <v>99</v>
      </c>
      <c r="M16" s="12">
        <v>0.98</v>
      </c>
      <c r="N16" s="10" t="s">
        <v>65</v>
      </c>
      <c r="O16" s="10" t="s">
        <v>111</v>
      </c>
      <c r="P16" s="10" t="s">
        <v>78</v>
      </c>
      <c r="Q16" s="12">
        <v>0.59</v>
      </c>
      <c r="R16" s="10" t="s">
        <v>79</v>
      </c>
      <c r="S16" s="10" t="s">
        <v>0</v>
      </c>
      <c r="T16" s="10" t="s">
        <v>0</v>
      </c>
      <c r="U16" s="10" t="s">
        <v>80</v>
      </c>
    </row>
    <row r="17" spans="1:21" x14ac:dyDescent="0.25">
      <c r="A17" s="9" t="s">
        <v>22</v>
      </c>
      <c r="B17" s="9" t="s">
        <v>67</v>
      </c>
      <c r="C17" s="9" t="s">
        <v>68</v>
      </c>
      <c r="D17" s="9" t="s">
        <v>69</v>
      </c>
      <c r="E17" s="9" t="s">
        <v>94</v>
      </c>
      <c r="F17" s="9" t="s">
        <v>110</v>
      </c>
      <c r="G17" s="9" t="s">
        <v>85</v>
      </c>
      <c r="H17" s="9" t="s">
        <v>96</v>
      </c>
      <c r="I17" s="9" t="s">
        <v>97</v>
      </c>
      <c r="J17" s="9" t="s">
        <v>75</v>
      </c>
      <c r="K17" s="9" t="s">
        <v>96</v>
      </c>
      <c r="L17" s="9" t="s">
        <v>99</v>
      </c>
      <c r="M17" s="11">
        <v>9.5</v>
      </c>
      <c r="N17" s="9" t="s">
        <v>65</v>
      </c>
      <c r="O17" s="9" t="s">
        <v>111</v>
      </c>
      <c r="P17" s="9" t="s">
        <v>78</v>
      </c>
      <c r="Q17" s="11">
        <v>5.7</v>
      </c>
      <c r="R17" s="9" t="s">
        <v>79</v>
      </c>
      <c r="S17" s="9" t="s">
        <v>0</v>
      </c>
      <c r="T17" s="9" t="s">
        <v>0</v>
      </c>
      <c r="U17" s="9" t="s">
        <v>80</v>
      </c>
    </row>
    <row r="18" spans="1:21" x14ac:dyDescent="0.25">
      <c r="A18" s="10" t="s">
        <v>22</v>
      </c>
      <c r="B18" s="10" t="s">
        <v>67</v>
      </c>
      <c r="C18" s="10" t="s">
        <v>68</v>
      </c>
      <c r="D18" s="10" t="s">
        <v>69</v>
      </c>
      <c r="E18" s="10" t="s">
        <v>112</v>
      </c>
      <c r="F18" s="10" t="s">
        <v>113</v>
      </c>
      <c r="G18" s="10" t="s">
        <v>85</v>
      </c>
      <c r="H18" s="10" t="s">
        <v>114</v>
      </c>
      <c r="I18" s="10" t="s">
        <v>97</v>
      </c>
      <c r="J18" s="10" t="s">
        <v>115</v>
      </c>
      <c r="K18" s="10" t="s">
        <v>116</v>
      </c>
      <c r="L18" s="10" t="s">
        <v>117</v>
      </c>
      <c r="M18" s="12">
        <v>24.13</v>
      </c>
      <c r="N18" s="10" t="s">
        <v>65</v>
      </c>
      <c r="O18" s="10" t="s">
        <v>100</v>
      </c>
      <c r="P18" s="10" t="s">
        <v>78</v>
      </c>
      <c r="Q18" s="12">
        <v>24.13</v>
      </c>
      <c r="R18" s="10" t="s">
        <v>79</v>
      </c>
      <c r="S18" s="10" t="s">
        <v>0</v>
      </c>
      <c r="T18" s="10" t="s">
        <v>0</v>
      </c>
      <c r="U18" s="10" t="s">
        <v>118</v>
      </c>
    </row>
    <row r="19" spans="1:21" x14ac:dyDescent="0.25">
      <c r="A19" s="9" t="s">
        <v>21</v>
      </c>
      <c r="B19" s="9" t="s">
        <v>67</v>
      </c>
      <c r="C19" s="9" t="s">
        <v>119</v>
      </c>
      <c r="D19" s="9" t="s">
        <v>120</v>
      </c>
      <c r="E19" s="9" t="s">
        <v>121</v>
      </c>
      <c r="F19" s="9" t="s">
        <v>122</v>
      </c>
      <c r="G19" s="9" t="s">
        <v>106</v>
      </c>
      <c r="H19" s="9" t="s">
        <v>123</v>
      </c>
      <c r="I19" s="9" t="s">
        <v>124</v>
      </c>
      <c r="J19" s="9" t="s">
        <v>125</v>
      </c>
      <c r="K19" s="9" t="s">
        <v>126</v>
      </c>
      <c r="L19" s="9" t="s">
        <v>99</v>
      </c>
      <c r="M19" s="11">
        <v>118.87</v>
      </c>
      <c r="N19" s="9" t="s">
        <v>65</v>
      </c>
      <c r="O19" s="9" t="s">
        <v>127</v>
      </c>
      <c r="P19" s="9" t="s">
        <v>78</v>
      </c>
      <c r="Q19" s="11">
        <v>4.75</v>
      </c>
      <c r="R19" s="9" t="s">
        <v>79</v>
      </c>
      <c r="S19" s="9" t="s">
        <v>0</v>
      </c>
      <c r="T19" s="9" t="s">
        <v>0</v>
      </c>
      <c r="U19" s="9" t="s">
        <v>128</v>
      </c>
    </row>
    <row r="20" spans="1:21" x14ac:dyDescent="0.25">
      <c r="A20" s="10" t="s">
        <v>22</v>
      </c>
      <c r="B20" s="10" t="s">
        <v>67</v>
      </c>
      <c r="C20" s="10" t="s">
        <v>81</v>
      </c>
      <c r="D20" s="10" t="s">
        <v>82</v>
      </c>
      <c r="E20" s="10" t="s">
        <v>83</v>
      </c>
      <c r="F20" s="10" t="s">
        <v>129</v>
      </c>
      <c r="G20" s="10" t="s">
        <v>85</v>
      </c>
      <c r="H20" s="10" t="s">
        <v>86</v>
      </c>
      <c r="I20" s="10" t="s">
        <v>87</v>
      </c>
      <c r="J20" s="10" t="s">
        <v>130</v>
      </c>
      <c r="K20" s="10" t="s">
        <v>89</v>
      </c>
      <c r="L20" s="10" t="s">
        <v>90</v>
      </c>
      <c r="M20" s="12">
        <v>57.6</v>
      </c>
      <c r="N20" s="10" t="s">
        <v>65</v>
      </c>
      <c r="O20" s="10" t="s">
        <v>91</v>
      </c>
      <c r="P20" s="10" t="s">
        <v>78</v>
      </c>
      <c r="Q20" s="12">
        <v>54.72</v>
      </c>
      <c r="R20" s="10" t="s">
        <v>79</v>
      </c>
      <c r="S20" s="10" t="s">
        <v>0</v>
      </c>
      <c r="T20" s="10" t="s">
        <v>0</v>
      </c>
      <c r="U20" s="10" t="s">
        <v>131</v>
      </c>
    </row>
    <row r="21" spans="1:21" x14ac:dyDescent="0.25">
      <c r="A21" s="9" t="s">
        <v>22</v>
      </c>
      <c r="B21" s="9" t="s">
        <v>67</v>
      </c>
      <c r="C21" s="9" t="s">
        <v>68</v>
      </c>
      <c r="D21" s="9" t="s">
        <v>69</v>
      </c>
      <c r="E21" s="9" t="s">
        <v>132</v>
      </c>
      <c r="F21" s="9" t="s">
        <v>133</v>
      </c>
      <c r="G21" s="9" t="s">
        <v>106</v>
      </c>
      <c r="H21" s="9" t="s">
        <v>134</v>
      </c>
      <c r="I21" s="9" t="s">
        <v>74</v>
      </c>
      <c r="J21" s="9" t="s">
        <v>75</v>
      </c>
      <c r="K21" s="9" t="s">
        <v>135</v>
      </c>
      <c r="L21" s="9" t="s">
        <v>136</v>
      </c>
      <c r="M21" s="11">
        <v>62.54</v>
      </c>
      <c r="N21" s="9" t="s">
        <v>65</v>
      </c>
      <c r="O21" s="9" t="s">
        <v>137</v>
      </c>
      <c r="P21" s="9" t="s">
        <v>78</v>
      </c>
      <c r="Q21" s="11">
        <v>11.26</v>
      </c>
      <c r="R21" s="9" t="s">
        <v>92</v>
      </c>
      <c r="S21" s="9" t="s">
        <v>0</v>
      </c>
      <c r="T21" s="9" t="s">
        <v>0</v>
      </c>
      <c r="U21" s="9" t="s">
        <v>80</v>
      </c>
    </row>
    <row r="22" spans="1:21" x14ac:dyDescent="0.25">
      <c r="A22" s="10" t="s">
        <v>22</v>
      </c>
      <c r="B22" s="10" t="s">
        <v>67</v>
      </c>
      <c r="C22" s="10" t="s">
        <v>68</v>
      </c>
      <c r="D22" s="10" t="s">
        <v>69</v>
      </c>
      <c r="E22" s="10" t="s">
        <v>132</v>
      </c>
      <c r="F22" s="10" t="s">
        <v>133</v>
      </c>
      <c r="G22" s="10" t="s">
        <v>106</v>
      </c>
      <c r="H22" s="10" t="s">
        <v>134</v>
      </c>
      <c r="I22" s="10" t="s">
        <v>74</v>
      </c>
      <c r="J22" s="10" t="s">
        <v>75</v>
      </c>
      <c r="K22" s="10" t="s">
        <v>135</v>
      </c>
      <c r="L22" s="10" t="s">
        <v>136</v>
      </c>
      <c r="M22" s="12">
        <v>22.53</v>
      </c>
      <c r="N22" s="10" t="s">
        <v>65</v>
      </c>
      <c r="O22" s="10" t="s">
        <v>137</v>
      </c>
      <c r="P22" s="10" t="s">
        <v>78</v>
      </c>
      <c r="Q22" s="12">
        <v>4.0599999999999996</v>
      </c>
      <c r="R22" s="10" t="s">
        <v>92</v>
      </c>
      <c r="S22" s="10" t="s">
        <v>0</v>
      </c>
      <c r="T22" s="10" t="s">
        <v>0</v>
      </c>
      <c r="U22" s="10" t="s">
        <v>80</v>
      </c>
    </row>
    <row r="23" spans="1:21" x14ac:dyDescent="0.25">
      <c r="A23" s="9" t="s">
        <v>22</v>
      </c>
      <c r="B23" s="9" t="s">
        <v>67</v>
      </c>
      <c r="C23" s="9" t="s">
        <v>68</v>
      </c>
      <c r="D23" s="9" t="s">
        <v>69</v>
      </c>
      <c r="E23" s="9" t="s">
        <v>132</v>
      </c>
      <c r="F23" s="9" t="s">
        <v>133</v>
      </c>
      <c r="G23" s="9" t="s">
        <v>106</v>
      </c>
      <c r="H23" s="9" t="s">
        <v>134</v>
      </c>
      <c r="I23" s="9" t="s">
        <v>74</v>
      </c>
      <c r="J23" s="9" t="s">
        <v>75</v>
      </c>
      <c r="K23" s="9" t="s">
        <v>135</v>
      </c>
      <c r="L23" s="9" t="s">
        <v>136</v>
      </c>
      <c r="M23" s="11">
        <v>25.12</v>
      </c>
      <c r="N23" s="9" t="s">
        <v>65</v>
      </c>
      <c r="O23" s="9" t="s">
        <v>137</v>
      </c>
      <c r="P23" s="9" t="s">
        <v>78</v>
      </c>
      <c r="Q23" s="11">
        <v>4.5199999999999996</v>
      </c>
      <c r="R23" s="9" t="s">
        <v>92</v>
      </c>
      <c r="S23" s="9" t="s">
        <v>0</v>
      </c>
      <c r="T23" s="9" t="s">
        <v>0</v>
      </c>
      <c r="U23" s="9" t="s">
        <v>80</v>
      </c>
    </row>
    <row r="24" spans="1:21" x14ac:dyDescent="0.25">
      <c r="A24" s="10" t="s">
        <v>22</v>
      </c>
      <c r="B24" s="10" t="s">
        <v>67</v>
      </c>
      <c r="C24" s="10" t="s">
        <v>68</v>
      </c>
      <c r="D24" s="10" t="s">
        <v>69</v>
      </c>
      <c r="E24" s="10" t="s">
        <v>132</v>
      </c>
      <c r="F24" s="10" t="s">
        <v>133</v>
      </c>
      <c r="G24" s="10" t="s">
        <v>106</v>
      </c>
      <c r="H24" s="10" t="s">
        <v>134</v>
      </c>
      <c r="I24" s="10" t="s">
        <v>74</v>
      </c>
      <c r="J24" s="10" t="s">
        <v>75</v>
      </c>
      <c r="K24" s="10" t="s">
        <v>135</v>
      </c>
      <c r="L24" s="10" t="s">
        <v>136</v>
      </c>
      <c r="M24" s="12">
        <v>35.11</v>
      </c>
      <c r="N24" s="10" t="s">
        <v>65</v>
      </c>
      <c r="O24" s="10" t="s">
        <v>137</v>
      </c>
      <c r="P24" s="10" t="s">
        <v>78</v>
      </c>
      <c r="Q24" s="12">
        <v>6.32</v>
      </c>
      <c r="R24" s="10" t="s">
        <v>92</v>
      </c>
      <c r="S24" s="10" t="s">
        <v>0</v>
      </c>
      <c r="T24" s="10" t="s">
        <v>0</v>
      </c>
      <c r="U24" s="10" t="s">
        <v>80</v>
      </c>
    </row>
    <row r="25" spans="1:21" x14ac:dyDescent="0.25">
      <c r="A25" s="9" t="s">
        <v>20</v>
      </c>
      <c r="B25" s="9" t="s">
        <v>67</v>
      </c>
      <c r="C25" s="9" t="s">
        <v>138</v>
      </c>
      <c r="D25" s="9" t="s">
        <v>139</v>
      </c>
      <c r="E25" s="9" t="s">
        <v>140</v>
      </c>
      <c r="F25" s="9" t="s">
        <v>141</v>
      </c>
      <c r="G25" s="9" t="s">
        <v>106</v>
      </c>
      <c r="H25" s="9" t="s">
        <v>142</v>
      </c>
      <c r="I25" s="9" t="s">
        <v>143</v>
      </c>
      <c r="J25" s="9" t="s">
        <v>144</v>
      </c>
      <c r="K25" s="9" t="s">
        <v>145</v>
      </c>
      <c r="L25" s="9" t="s">
        <v>99</v>
      </c>
      <c r="M25" s="11">
        <v>148.05000000000001</v>
      </c>
      <c r="N25" s="9" t="s">
        <v>65</v>
      </c>
      <c r="O25" s="9" t="s">
        <v>146</v>
      </c>
      <c r="P25" s="9" t="s">
        <v>78</v>
      </c>
      <c r="Q25" s="11">
        <v>2.2200000000000002</v>
      </c>
      <c r="R25" s="9" t="s">
        <v>79</v>
      </c>
      <c r="S25" s="9" t="s">
        <v>0</v>
      </c>
      <c r="T25" s="9" t="s">
        <v>0</v>
      </c>
      <c r="U25" s="9" t="s">
        <v>147</v>
      </c>
    </row>
    <row r="26" spans="1:21" x14ac:dyDescent="0.25">
      <c r="A26" s="10" t="s">
        <v>22</v>
      </c>
      <c r="B26" s="10" t="s">
        <v>67</v>
      </c>
      <c r="C26" s="10" t="s">
        <v>148</v>
      </c>
      <c r="D26" s="10" t="s">
        <v>149</v>
      </c>
      <c r="E26" s="10" t="s">
        <v>150</v>
      </c>
      <c r="F26" s="10" t="s">
        <v>151</v>
      </c>
      <c r="G26" s="10" t="s">
        <v>72</v>
      </c>
      <c r="H26" s="10" t="s">
        <v>152</v>
      </c>
      <c r="I26" s="10" t="s">
        <v>124</v>
      </c>
      <c r="J26" s="10" t="s">
        <v>153</v>
      </c>
      <c r="K26" s="10" t="s">
        <v>99</v>
      </c>
      <c r="L26" s="10" t="s">
        <v>99</v>
      </c>
      <c r="M26" s="12">
        <v>74.62</v>
      </c>
      <c r="N26" s="10" t="s">
        <v>65</v>
      </c>
      <c r="O26" s="10" t="s">
        <v>154</v>
      </c>
      <c r="P26" s="10" t="s">
        <v>78</v>
      </c>
      <c r="Q26" s="12">
        <v>43.28</v>
      </c>
      <c r="R26" s="10" t="s">
        <v>79</v>
      </c>
      <c r="S26" s="10" t="s">
        <v>0</v>
      </c>
      <c r="T26" s="10" t="s">
        <v>0</v>
      </c>
      <c r="U26" s="10" t="s">
        <v>155</v>
      </c>
    </row>
    <row r="27" spans="1:21" x14ac:dyDescent="0.25">
      <c r="A27" s="9" t="s">
        <v>22</v>
      </c>
      <c r="B27" s="9" t="s">
        <v>67</v>
      </c>
      <c r="C27" s="9" t="s">
        <v>156</v>
      </c>
      <c r="D27" s="9" t="s">
        <v>157</v>
      </c>
      <c r="E27" s="9" t="s">
        <v>158</v>
      </c>
      <c r="F27" s="9" t="s">
        <v>159</v>
      </c>
      <c r="G27" s="9" t="s">
        <v>72</v>
      </c>
      <c r="H27" s="9" t="s">
        <v>160</v>
      </c>
      <c r="I27" s="9" t="s">
        <v>74</v>
      </c>
      <c r="J27" s="9" t="s">
        <v>75</v>
      </c>
      <c r="K27" s="9" t="s">
        <v>99</v>
      </c>
      <c r="L27" s="9" t="s">
        <v>99</v>
      </c>
      <c r="M27" s="11">
        <v>80.88</v>
      </c>
      <c r="N27" s="9" t="s">
        <v>65</v>
      </c>
      <c r="O27" s="9" t="s">
        <v>77</v>
      </c>
      <c r="P27" s="9" t="s">
        <v>78</v>
      </c>
      <c r="Q27" s="11">
        <v>52.57</v>
      </c>
      <c r="R27" s="9" t="s">
        <v>92</v>
      </c>
      <c r="S27" s="9" t="s">
        <v>0</v>
      </c>
      <c r="T27" s="9" t="s">
        <v>0</v>
      </c>
      <c r="U27" s="9" t="s">
        <v>80</v>
      </c>
    </row>
    <row r="28" spans="1:21" x14ac:dyDescent="0.25">
      <c r="A28" s="10" t="s">
        <v>22</v>
      </c>
      <c r="B28" s="10" t="s">
        <v>67</v>
      </c>
      <c r="C28" s="10" t="s">
        <v>161</v>
      </c>
      <c r="D28" s="10" t="s">
        <v>162</v>
      </c>
      <c r="E28" s="10" t="s">
        <v>162</v>
      </c>
      <c r="F28" s="10" t="s">
        <v>163</v>
      </c>
      <c r="G28" s="10" t="s">
        <v>85</v>
      </c>
      <c r="H28" s="10" t="s">
        <v>164</v>
      </c>
      <c r="I28" s="10" t="s">
        <v>87</v>
      </c>
      <c r="J28" s="10" t="s">
        <v>115</v>
      </c>
      <c r="K28" s="10" t="s">
        <v>165</v>
      </c>
      <c r="L28" s="10" t="s">
        <v>152</v>
      </c>
      <c r="M28" s="12">
        <v>92.9</v>
      </c>
      <c r="N28" s="10" t="s">
        <v>65</v>
      </c>
      <c r="O28" s="10" t="s">
        <v>91</v>
      </c>
      <c r="P28" s="10" t="s">
        <v>78</v>
      </c>
      <c r="Q28" s="12">
        <v>88.26</v>
      </c>
      <c r="R28" s="10" t="s">
        <v>79</v>
      </c>
      <c r="S28" s="10" t="s">
        <v>0</v>
      </c>
      <c r="T28" s="10" t="s">
        <v>0</v>
      </c>
      <c r="U28" s="10" t="s">
        <v>118</v>
      </c>
    </row>
    <row r="29" spans="1:21" x14ac:dyDescent="0.25">
      <c r="A29" s="9" t="s">
        <v>22</v>
      </c>
      <c r="B29" s="9" t="s">
        <v>67</v>
      </c>
      <c r="C29" s="9" t="s">
        <v>166</v>
      </c>
      <c r="D29" s="9" t="s">
        <v>167</v>
      </c>
      <c r="E29" s="9" t="s">
        <v>168</v>
      </c>
      <c r="F29" s="9" t="s">
        <v>169</v>
      </c>
      <c r="G29" s="9" t="s">
        <v>106</v>
      </c>
      <c r="H29" s="9" t="s">
        <v>170</v>
      </c>
      <c r="I29" s="9" t="s">
        <v>87</v>
      </c>
      <c r="J29" s="9" t="s">
        <v>171</v>
      </c>
      <c r="K29" s="9" t="s">
        <v>172</v>
      </c>
      <c r="L29" s="9" t="s">
        <v>152</v>
      </c>
      <c r="M29" s="11">
        <v>64.260000000000005</v>
      </c>
      <c r="N29" s="9" t="s">
        <v>65</v>
      </c>
      <c r="O29" s="9" t="s">
        <v>173</v>
      </c>
      <c r="P29" s="9" t="s">
        <v>78</v>
      </c>
      <c r="Q29" s="11">
        <v>2.41</v>
      </c>
      <c r="R29" s="9" t="s">
        <v>79</v>
      </c>
      <c r="S29" s="9" t="s">
        <v>0</v>
      </c>
      <c r="T29" s="9" t="s">
        <v>0</v>
      </c>
      <c r="U29" s="9" t="s">
        <v>174</v>
      </c>
    </row>
    <row r="30" spans="1:21" x14ac:dyDescent="0.25">
      <c r="A30" s="10" t="s">
        <v>22</v>
      </c>
      <c r="B30" s="10" t="s">
        <v>67</v>
      </c>
      <c r="C30" s="10" t="s">
        <v>175</v>
      </c>
      <c r="D30" s="10" t="s">
        <v>176</v>
      </c>
      <c r="E30" s="10" t="s">
        <v>177</v>
      </c>
      <c r="F30" s="10" t="s">
        <v>178</v>
      </c>
      <c r="G30" s="10" t="s">
        <v>85</v>
      </c>
      <c r="H30" s="10" t="s">
        <v>179</v>
      </c>
      <c r="I30" s="10" t="s">
        <v>124</v>
      </c>
      <c r="J30" s="10" t="s">
        <v>75</v>
      </c>
      <c r="K30" s="10" t="s">
        <v>180</v>
      </c>
      <c r="L30" s="10" t="s">
        <v>99</v>
      </c>
      <c r="M30" s="12">
        <v>2.63</v>
      </c>
      <c r="N30" s="10" t="s">
        <v>65</v>
      </c>
      <c r="O30" s="10" t="s">
        <v>77</v>
      </c>
      <c r="P30" s="10" t="s">
        <v>78</v>
      </c>
      <c r="Q30" s="12">
        <v>1.71</v>
      </c>
      <c r="R30" s="10" t="s">
        <v>79</v>
      </c>
      <c r="S30" s="10" t="s">
        <v>0</v>
      </c>
      <c r="T30" s="10" t="s">
        <v>0</v>
      </c>
      <c r="U30" s="10" t="s">
        <v>80</v>
      </c>
    </row>
    <row r="31" spans="1:21" x14ac:dyDescent="0.25">
      <c r="A31" s="9" t="s">
        <v>22</v>
      </c>
      <c r="B31" s="9" t="s">
        <v>67</v>
      </c>
      <c r="C31" s="9" t="s">
        <v>68</v>
      </c>
      <c r="D31" s="9" t="s">
        <v>69</v>
      </c>
      <c r="E31" s="9" t="s">
        <v>181</v>
      </c>
      <c r="F31" s="9" t="s">
        <v>182</v>
      </c>
      <c r="G31" s="9" t="s">
        <v>85</v>
      </c>
      <c r="H31" s="9" t="s">
        <v>114</v>
      </c>
      <c r="I31" s="9" t="s">
        <v>74</v>
      </c>
      <c r="J31" s="9" t="s">
        <v>75</v>
      </c>
      <c r="K31" s="9" t="s">
        <v>183</v>
      </c>
      <c r="L31" s="9" t="s">
        <v>99</v>
      </c>
      <c r="M31" s="11">
        <v>25.5</v>
      </c>
      <c r="N31" s="9" t="s">
        <v>65</v>
      </c>
      <c r="O31" s="9" t="s">
        <v>77</v>
      </c>
      <c r="P31" s="9" t="s">
        <v>78</v>
      </c>
      <c r="Q31" s="11">
        <v>16.579999999999998</v>
      </c>
      <c r="R31" s="9" t="s">
        <v>79</v>
      </c>
      <c r="S31" s="9" t="s">
        <v>0</v>
      </c>
      <c r="T31" s="9" t="s">
        <v>0</v>
      </c>
      <c r="U31" s="9" t="s">
        <v>80</v>
      </c>
    </row>
    <row r="32" spans="1:21" x14ac:dyDescent="0.25">
      <c r="A32" s="10" t="s">
        <v>22</v>
      </c>
      <c r="B32" s="10" t="s">
        <v>67</v>
      </c>
      <c r="C32" s="10" t="s">
        <v>166</v>
      </c>
      <c r="D32" s="10" t="s">
        <v>167</v>
      </c>
      <c r="E32" s="10" t="s">
        <v>184</v>
      </c>
      <c r="F32" s="10" t="s">
        <v>185</v>
      </c>
      <c r="G32" s="10" t="s">
        <v>106</v>
      </c>
      <c r="H32" s="10" t="s">
        <v>186</v>
      </c>
      <c r="I32" s="10" t="s">
        <v>87</v>
      </c>
      <c r="J32" s="10" t="s">
        <v>171</v>
      </c>
      <c r="K32" s="10" t="s">
        <v>187</v>
      </c>
      <c r="L32" s="10" t="s">
        <v>99</v>
      </c>
      <c r="M32" s="12">
        <v>22.42</v>
      </c>
      <c r="N32" s="10" t="s">
        <v>65</v>
      </c>
      <c r="O32" s="10" t="s">
        <v>188</v>
      </c>
      <c r="P32" s="10" t="s">
        <v>78</v>
      </c>
      <c r="Q32" s="12">
        <v>0.78</v>
      </c>
      <c r="R32" s="10" t="s">
        <v>79</v>
      </c>
      <c r="S32" s="10" t="s">
        <v>0</v>
      </c>
      <c r="T32" s="10" t="s">
        <v>0</v>
      </c>
      <c r="U32" s="10" t="s">
        <v>174</v>
      </c>
    </row>
    <row r="33" spans="1:21" x14ac:dyDescent="0.25">
      <c r="A33" s="9" t="s">
        <v>22</v>
      </c>
      <c r="B33" s="9" t="s">
        <v>67</v>
      </c>
      <c r="C33" s="9" t="s">
        <v>166</v>
      </c>
      <c r="D33" s="9" t="s">
        <v>167</v>
      </c>
      <c r="E33" s="9" t="s">
        <v>189</v>
      </c>
      <c r="F33" s="9" t="s">
        <v>190</v>
      </c>
      <c r="G33" s="9" t="s">
        <v>106</v>
      </c>
      <c r="H33" s="9" t="s">
        <v>191</v>
      </c>
      <c r="I33" s="9" t="s">
        <v>192</v>
      </c>
      <c r="J33" s="9" t="s">
        <v>193</v>
      </c>
      <c r="K33" s="9" t="s">
        <v>191</v>
      </c>
      <c r="L33" s="9" t="s">
        <v>152</v>
      </c>
      <c r="M33" s="11">
        <v>75.92</v>
      </c>
      <c r="N33" s="9" t="s">
        <v>65</v>
      </c>
      <c r="O33" s="9" t="s">
        <v>173</v>
      </c>
      <c r="P33" s="9" t="s">
        <v>78</v>
      </c>
      <c r="Q33" s="11">
        <v>2.85</v>
      </c>
      <c r="R33" s="9" t="s">
        <v>79</v>
      </c>
      <c r="S33" s="9" t="s">
        <v>0</v>
      </c>
      <c r="T33" s="9" t="s">
        <v>0</v>
      </c>
      <c r="U33" s="9" t="s">
        <v>194</v>
      </c>
    </row>
    <row r="34" spans="1:21" x14ac:dyDescent="0.25">
      <c r="A34" s="10" t="s">
        <v>22</v>
      </c>
      <c r="B34" s="10" t="s">
        <v>67</v>
      </c>
      <c r="C34" s="10" t="s">
        <v>175</v>
      </c>
      <c r="D34" s="10" t="s">
        <v>176</v>
      </c>
      <c r="E34" s="10" t="s">
        <v>177</v>
      </c>
      <c r="F34" s="10" t="s">
        <v>178</v>
      </c>
      <c r="G34" s="10" t="s">
        <v>85</v>
      </c>
      <c r="H34" s="10" t="s">
        <v>179</v>
      </c>
      <c r="I34" s="10" t="s">
        <v>124</v>
      </c>
      <c r="J34" s="10" t="s">
        <v>75</v>
      </c>
      <c r="K34" s="10" t="s">
        <v>180</v>
      </c>
      <c r="L34" s="10" t="s">
        <v>99</v>
      </c>
      <c r="M34" s="12">
        <v>6.04</v>
      </c>
      <c r="N34" s="10" t="s">
        <v>65</v>
      </c>
      <c r="O34" s="10" t="s">
        <v>77</v>
      </c>
      <c r="P34" s="10" t="s">
        <v>78</v>
      </c>
      <c r="Q34" s="12">
        <v>3.93</v>
      </c>
      <c r="R34" s="10" t="s">
        <v>79</v>
      </c>
      <c r="S34" s="10" t="s">
        <v>0</v>
      </c>
      <c r="T34" s="10" t="s">
        <v>0</v>
      </c>
      <c r="U34" s="10" t="s">
        <v>80</v>
      </c>
    </row>
    <row r="35" spans="1:21" x14ac:dyDescent="0.25">
      <c r="A35" s="9" t="s">
        <v>22</v>
      </c>
      <c r="B35" s="9" t="s">
        <v>67</v>
      </c>
      <c r="C35" s="9" t="s">
        <v>175</v>
      </c>
      <c r="D35" s="9" t="s">
        <v>176</v>
      </c>
      <c r="E35" s="9" t="s">
        <v>177</v>
      </c>
      <c r="F35" s="9" t="s">
        <v>178</v>
      </c>
      <c r="G35" s="9" t="s">
        <v>85</v>
      </c>
      <c r="H35" s="9" t="s">
        <v>179</v>
      </c>
      <c r="I35" s="9" t="s">
        <v>124</v>
      </c>
      <c r="J35" s="9" t="s">
        <v>75</v>
      </c>
      <c r="K35" s="9" t="s">
        <v>180</v>
      </c>
      <c r="L35" s="9" t="s">
        <v>99</v>
      </c>
      <c r="M35" s="11">
        <v>9.17</v>
      </c>
      <c r="N35" s="9" t="s">
        <v>65</v>
      </c>
      <c r="O35" s="9" t="s">
        <v>77</v>
      </c>
      <c r="P35" s="9" t="s">
        <v>78</v>
      </c>
      <c r="Q35" s="11">
        <v>5.96</v>
      </c>
      <c r="R35" s="9" t="s">
        <v>79</v>
      </c>
      <c r="S35" s="9" t="s">
        <v>0</v>
      </c>
      <c r="T35" s="9" t="s">
        <v>0</v>
      </c>
      <c r="U35" s="9" t="s">
        <v>80</v>
      </c>
    </row>
    <row r="36" spans="1:21" x14ac:dyDescent="0.25">
      <c r="A36" s="10" t="s">
        <v>22</v>
      </c>
      <c r="B36" s="10" t="s">
        <v>67</v>
      </c>
      <c r="C36" s="10" t="s">
        <v>175</v>
      </c>
      <c r="D36" s="10" t="s">
        <v>176</v>
      </c>
      <c r="E36" s="10" t="s">
        <v>177</v>
      </c>
      <c r="F36" s="10" t="s">
        <v>178</v>
      </c>
      <c r="G36" s="10" t="s">
        <v>85</v>
      </c>
      <c r="H36" s="10" t="s">
        <v>179</v>
      </c>
      <c r="I36" s="10" t="s">
        <v>124</v>
      </c>
      <c r="J36" s="10" t="s">
        <v>75</v>
      </c>
      <c r="K36" s="10" t="s">
        <v>180</v>
      </c>
      <c r="L36" s="10" t="s">
        <v>99</v>
      </c>
      <c r="M36" s="12">
        <v>25.5</v>
      </c>
      <c r="N36" s="10" t="s">
        <v>65</v>
      </c>
      <c r="O36" s="10" t="s">
        <v>77</v>
      </c>
      <c r="P36" s="10" t="s">
        <v>78</v>
      </c>
      <c r="Q36" s="12">
        <v>16.579999999999998</v>
      </c>
      <c r="R36" s="10" t="s">
        <v>79</v>
      </c>
      <c r="S36" s="10" t="s">
        <v>0</v>
      </c>
      <c r="T36" s="10" t="s">
        <v>0</v>
      </c>
      <c r="U36" s="10" t="s">
        <v>80</v>
      </c>
    </row>
    <row r="37" spans="1:21" x14ac:dyDescent="0.25">
      <c r="A37" s="9" t="s">
        <v>22</v>
      </c>
      <c r="B37" s="9" t="s">
        <v>67</v>
      </c>
      <c r="C37" s="9" t="s">
        <v>195</v>
      </c>
      <c r="D37" s="9" t="s">
        <v>196</v>
      </c>
      <c r="E37" s="9" t="s">
        <v>197</v>
      </c>
      <c r="F37" s="9" t="s">
        <v>198</v>
      </c>
      <c r="G37" s="9" t="s">
        <v>72</v>
      </c>
      <c r="H37" s="9" t="s">
        <v>199</v>
      </c>
      <c r="I37" s="9" t="s">
        <v>74</v>
      </c>
      <c r="J37" s="9" t="s">
        <v>75</v>
      </c>
      <c r="K37" s="9" t="s">
        <v>99</v>
      </c>
      <c r="L37" s="9" t="s">
        <v>99</v>
      </c>
      <c r="M37" s="11">
        <v>7.08</v>
      </c>
      <c r="N37" s="9" t="s">
        <v>65</v>
      </c>
      <c r="O37" s="9" t="s">
        <v>77</v>
      </c>
      <c r="P37" s="9" t="s">
        <v>78</v>
      </c>
      <c r="Q37" s="11">
        <v>4.5999999999999996</v>
      </c>
      <c r="R37" s="9" t="s">
        <v>79</v>
      </c>
      <c r="S37" s="9" t="s">
        <v>0</v>
      </c>
      <c r="T37" s="9" t="s">
        <v>0</v>
      </c>
      <c r="U37" s="9" t="s">
        <v>80</v>
      </c>
    </row>
    <row r="38" spans="1:21" x14ac:dyDescent="0.25">
      <c r="A38" s="10" t="s">
        <v>22</v>
      </c>
      <c r="B38" s="10" t="s">
        <v>67</v>
      </c>
      <c r="C38" s="10" t="s">
        <v>195</v>
      </c>
      <c r="D38" s="10" t="s">
        <v>196</v>
      </c>
      <c r="E38" s="10" t="s">
        <v>197</v>
      </c>
      <c r="F38" s="10" t="s">
        <v>198</v>
      </c>
      <c r="G38" s="10" t="s">
        <v>72</v>
      </c>
      <c r="H38" s="10" t="s">
        <v>199</v>
      </c>
      <c r="I38" s="10" t="s">
        <v>74</v>
      </c>
      <c r="J38" s="10" t="s">
        <v>75</v>
      </c>
      <c r="K38" s="10" t="s">
        <v>99</v>
      </c>
      <c r="L38" s="10" t="s">
        <v>99</v>
      </c>
      <c r="M38" s="12">
        <v>29.5</v>
      </c>
      <c r="N38" s="10" t="s">
        <v>65</v>
      </c>
      <c r="O38" s="10" t="s">
        <v>77</v>
      </c>
      <c r="P38" s="10" t="s">
        <v>78</v>
      </c>
      <c r="Q38" s="12">
        <v>19.18</v>
      </c>
      <c r="R38" s="10" t="s">
        <v>79</v>
      </c>
      <c r="S38" s="10" t="s">
        <v>0</v>
      </c>
      <c r="T38" s="10" t="s">
        <v>0</v>
      </c>
      <c r="U38" s="10" t="s">
        <v>80</v>
      </c>
    </row>
    <row r="39" spans="1:21" x14ac:dyDescent="0.25">
      <c r="A39" s="9" t="s">
        <v>22</v>
      </c>
      <c r="B39" s="9" t="s">
        <v>62</v>
      </c>
      <c r="C39" s="9" t="s">
        <v>0</v>
      </c>
      <c r="D39" s="9" t="s">
        <v>0</v>
      </c>
      <c r="E39" s="9" t="s">
        <v>0</v>
      </c>
      <c r="F39" s="9" t="s">
        <v>63</v>
      </c>
      <c r="G39" s="9" t="s">
        <v>64</v>
      </c>
      <c r="H39" s="9" t="s">
        <v>0</v>
      </c>
      <c r="I39" s="9" t="s">
        <v>0</v>
      </c>
      <c r="J39" s="9"/>
      <c r="K39" s="9" t="s">
        <v>0</v>
      </c>
      <c r="L39" s="9" t="s">
        <v>0</v>
      </c>
      <c r="M39" s="11">
        <v>0</v>
      </c>
      <c r="N39" s="9" t="s">
        <v>65</v>
      </c>
      <c r="O39" s="9" t="s">
        <v>66</v>
      </c>
      <c r="P39" s="9" t="s">
        <v>0</v>
      </c>
      <c r="Q39" s="11">
        <v>25</v>
      </c>
      <c r="R39" s="9"/>
      <c r="S39" s="9" t="s">
        <v>0</v>
      </c>
      <c r="T39" s="9" t="s">
        <v>0</v>
      </c>
      <c r="U39" s="9"/>
    </row>
    <row r="40" spans="1:21" x14ac:dyDescent="0.25">
      <c r="A40" s="10" t="s">
        <v>22</v>
      </c>
      <c r="B40" s="10" t="s">
        <v>62</v>
      </c>
      <c r="C40" s="10" t="s">
        <v>0</v>
      </c>
      <c r="D40" s="10" t="s">
        <v>0</v>
      </c>
      <c r="E40" s="10" t="s">
        <v>0</v>
      </c>
      <c r="F40" s="10" t="s">
        <v>63</v>
      </c>
      <c r="G40" s="10" t="s">
        <v>64</v>
      </c>
      <c r="H40" s="10" t="s">
        <v>0</v>
      </c>
      <c r="I40" s="10" t="s">
        <v>0</v>
      </c>
      <c r="J40" s="10"/>
      <c r="K40" s="10" t="s">
        <v>0</v>
      </c>
      <c r="L40" s="10" t="s">
        <v>0</v>
      </c>
      <c r="M40" s="12">
        <v>0</v>
      </c>
      <c r="N40" s="10" t="s">
        <v>65</v>
      </c>
      <c r="O40" s="10" t="s">
        <v>66</v>
      </c>
      <c r="P40" s="10" t="s">
        <v>0</v>
      </c>
      <c r="Q40" s="12">
        <v>25</v>
      </c>
      <c r="R40" s="10"/>
      <c r="S40" s="10" t="s">
        <v>0</v>
      </c>
      <c r="T40" s="10" t="s">
        <v>0</v>
      </c>
      <c r="U40" s="10"/>
    </row>
    <row r="41" spans="1:21" x14ac:dyDescent="0.25">
      <c r="A41" s="9" t="s">
        <v>22</v>
      </c>
      <c r="B41" s="9" t="s">
        <v>62</v>
      </c>
      <c r="C41" s="9" t="s">
        <v>0</v>
      </c>
      <c r="D41" s="9" t="s">
        <v>0</v>
      </c>
      <c r="E41" s="9" t="s">
        <v>0</v>
      </c>
      <c r="F41" s="9" t="s">
        <v>63</v>
      </c>
      <c r="G41" s="9" t="s">
        <v>64</v>
      </c>
      <c r="H41" s="9" t="s">
        <v>0</v>
      </c>
      <c r="I41" s="9" t="s">
        <v>0</v>
      </c>
      <c r="J41" s="9"/>
      <c r="K41" s="9" t="s">
        <v>0</v>
      </c>
      <c r="L41" s="9" t="s">
        <v>0</v>
      </c>
      <c r="M41" s="11">
        <v>0</v>
      </c>
      <c r="N41" s="9" t="s">
        <v>65</v>
      </c>
      <c r="O41" s="9" t="s">
        <v>66</v>
      </c>
      <c r="P41" s="9" t="s">
        <v>0</v>
      </c>
      <c r="Q41" s="11">
        <v>25</v>
      </c>
      <c r="R41" s="9"/>
      <c r="S41" s="9" t="s">
        <v>0</v>
      </c>
      <c r="T41" s="9" t="s">
        <v>0</v>
      </c>
      <c r="U41" s="9"/>
    </row>
    <row r="42" spans="1:21" x14ac:dyDescent="0.25">
      <c r="A42" s="10" t="s">
        <v>22</v>
      </c>
      <c r="B42" s="10" t="s">
        <v>62</v>
      </c>
      <c r="C42" s="10" t="s">
        <v>0</v>
      </c>
      <c r="D42" s="10" t="s">
        <v>0</v>
      </c>
      <c r="E42" s="10" t="s">
        <v>0</v>
      </c>
      <c r="F42" s="10" t="s">
        <v>63</v>
      </c>
      <c r="G42" s="10" t="s">
        <v>64</v>
      </c>
      <c r="H42" s="10" t="s">
        <v>0</v>
      </c>
      <c r="I42" s="10" t="s">
        <v>0</v>
      </c>
      <c r="J42" s="10"/>
      <c r="K42" s="10" t="s">
        <v>0</v>
      </c>
      <c r="L42" s="10" t="s">
        <v>0</v>
      </c>
      <c r="M42" s="12">
        <v>0</v>
      </c>
      <c r="N42" s="10" t="s">
        <v>65</v>
      </c>
      <c r="O42" s="10" t="s">
        <v>66</v>
      </c>
      <c r="P42" s="10" t="s">
        <v>0</v>
      </c>
      <c r="Q42" s="12">
        <v>50</v>
      </c>
      <c r="R42" s="10"/>
      <c r="S42" s="10" t="s">
        <v>0</v>
      </c>
      <c r="T42" s="10" t="s">
        <v>0</v>
      </c>
      <c r="U42" s="10"/>
    </row>
    <row r="43" spans="1:21" x14ac:dyDescent="0.25">
      <c r="A43" s="9" t="s">
        <v>22</v>
      </c>
      <c r="B43" s="9" t="s">
        <v>62</v>
      </c>
      <c r="C43" s="9" t="s">
        <v>0</v>
      </c>
      <c r="D43" s="9" t="s">
        <v>0</v>
      </c>
      <c r="E43" s="9" t="s">
        <v>0</v>
      </c>
      <c r="F43" s="9" t="s">
        <v>63</v>
      </c>
      <c r="G43" s="9" t="s">
        <v>64</v>
      </c>
      <c r="H43" s="9" t="s">
        <v>0</v>
      </c>
      <c r="I43" s="9" t="s">
        <v>0</v>
      </c>
      <c r="J43" s="9"/>
      <c r="K43" s="9" t="s">
        <v>0</v>
      </c>
      <c r="L43" s="9" t="s">
        <v>0</v>
      </c>
      <c r="M43" s="11">
        <v>0</v>
      </c>
      <c r="N43" s="9" t="s">
        <v>65</v>
      </c>
      <c r="O43" s="9" t="s">
        <v>66</v>
      </c>
      <c r="P43" s="9" t="s">
        <v>0</v>
      </c>
      <c r="Q43" s="11">
        <v>50</v>
      </c>
      <c r="R43" s="9"/>
      <c r="S43" s="9" t="s">
        <v>0</v>
      </c>
      <c r="T43" s="9" t="s">
        <v>0</v>
      </c>
      <c r="U43" s="9"/>
    </row>
    <row r="44" spans="1:21" x14ac:dyDescent="0.25">
      <c r="A44" s="10" t="s">
        <v>22</v>
      </c>
      <c r="B44" s="10" t="s">
        <v>62</v>
      </c>
      <c r="C44" s="10" t="s">
        <v>0</v>
      </c>
      <c r="D44" s="10" t="s">
        <v>0</v>
      </c>
      <c r="E44" s="10" t="s">
        <v>0</v>
      </c>
      <c r="F44" s="10" t="s">
        <v>63</v>
      </c>
      <c r="G44" s="10" t="s">
        <v>64</v>
      </c>
      <c r="H44" s="10" t="s">
        <v>0</v>
      </c>
      <c r="I44" s="10" t="s">
        <v>0</v>
      </c>
      <c r="J44" s="10"/>
      <c r="K44" s="10" t="s">
        <v>0</v>
      </c>
      <c r="L44" s="10" t="s">
        <v>0</v>
      </c>
      <c r="M44" s="12">
        <v>0</v>
      </c>
      <c r="N44" s="10" t="s">
        <v>65</v>
      </c>
      <c r="O44" s="10" t="s">
        <v>66</v>
      </c>
      <c r="P44" s="10" t="s">
        <v>0</v>
      </c>
      <c r="Q44" s="12">
        <v>50</v>
      </c>
      <c r="R44" s="10"/>
      <c r="S44" s="10" t="s">
        <v>0</v>
      </c>
      <c r="T44" s="10" t="s">
        <v>0</v>
      </c>
      <c r="U44" s="10"/>
    </row>
    <row r="45" spans="1:21" x14ac:dyDescent="0.25">
      <c r="A45" s="9" t="s">
        <v>22</v>
      </c>
      <c r="B45" s="9" t="s">
        <v>62</v>
      </c>
      <c r="C45" s="9" t="s">
        <v>0</v>
      </c>
      <c r="D45" s="9" t="s">
        <v>0</v>
      </c>
      <c r="E45" s="9" t="s">
        <v>0</v>
      </c>
      <c r="F45" s="9" t="s">
        <v>63</v>
      </c>
      <c r="G45" s="9" t="s">
        <v>64</v>
      </c>
      <c r="H45" s="9" t="s">
        <v>0</v>
      </c>
      <c r="I45" s="9" t="s">
        <v>0</v>
      </c>
      <c r="J45" s="9"/>
      <c r="K45" s="9" t="s">
        <v>0</v>
      </c>
      <c r="L45" s="9" t="s">
        <v>0</v>
      </c>
      <c r="M45" s="11">
        <v>0</v>
      </c>
      <c r="N45" s="9" t="s">
        <v>65</v>
      </c>
      <c r="O45" s="9" t="s">
        <v>66</v>
      </c>
      <c r="P45" s="9" t="s">
        <v>0</v>
      </c>
      <c r="Q45" s="11">
        <v>50</v>
      </c>
      <c r="R45" s="9"/>
      <c r="S45" s="9" t="s">
        <v>0</v>
      </c>
      <c r="T45" s="9" t="s">
        <v>0</v>
      </c>
      <c r="U45" s="9"/>
    </row>
    <row r="46" spans="1:21" x14ac:dyDescent="0.25">
      <c r="A46" s="10" t="s">
        <v>22</v>
      </c>
      <c r="B46" s="10" t="s">
        <v>62</v>
      </c>
      <c r="C46" s="10" t="s">
        <v>0</v>
      </c>
      <c r="D46" s="10" t="s">
        <v>0</v>
      </c>
      <c r="E46" s="10" t="s">
        <v>0</v>
      </c>
      <c r="F46" s="10" t="s">
        <v>63</v>
      </c>
      <c r="G46" s="10" t="s">
        <v>64</v>
      </c>
      <c r="H46" s="10" t="s">
        <v>0</v>
      </c>
      <c r="I46" s="10" t="s">
        <v>0</v>
      </c>
      <c r="J46" s="10"/>
      <c r="K46" s="10" t="s">
        <v>0</v>
      </c>
      <c r="L46" s="10" t="s">
        <v>0</v>
      </c>
      <c r="M46" s="12">
        <v>0</v>
      </c>
      <c r="N46" s="10" t="s">
        <v>65</v>
      </c>
      <c r="O46" s="10" t="s">
        <v>66</v>
      </c>
      <c r="P46" s="10" t="s">
        <v>0</v>
      </c>
      <c r="Q46" s="12">
        <v>50</v>
      </c>
      <c r="R46" s="10"/>
      <c r="S46" s="10" t="s">
        <v>0</v>
      </c>
      <c r="T46" s="10" t="s">
        <v>0</v>
      </c>
      <c r="U46" s="10"/>
    </row>
    <row r="47" spans="1:21" x14ac:dyDescent="0.25">
      <c r="A47" s="9" t="s">
        <v>22</v>
      </c>
      <c r="B47" s="9" t="s">
        <v>62</v>
      </c>
      <c r="C47" s="9" t="s">
        <v>0</v>
      </c>
      <c r="D47" s="9" t="s">
        <v>0</v>
      </c>
      <c r="E47" s="9" t="s">
        <v>0</v>
      </c>
      <c r="F47" s="9" t="s">
        <v>63</v>
      </c>
      <c r="G47" s="9" t="s">
        <v>64</v>
      </c>
      <c r="H47" s="9" t="s">
        <v>0</v>
      </c>
      <c r="I47" s="9" t="s">
        <v>0</v>
      </c>
      <c r="J47" s="9"/>
      <c r="K47" s="9" t="s">
        <v>0</v>
      </c>
      <c r="L47" s="9" t="s">
        <v>0</v>
      </c>
      <c r="M47" s="11">
        <v>0</v>
      </c>
      <c r="N47" s="9" t="s">
        <v>65</v>
      </c>
      <c r="O47" s="9" t="s">
        <v>66</v>
      </c>
      <c r="P47" s="9" t="s">
        <v>0</v>
      </c>
      <c r="Q47" s="11">
        <v>50</v>
      </c>
      <c r="R47" s="9"/>
      <c r="S47" s="9" t="s">
        <v>0</v>
      </c>
      <c r="T47" s="9" t="s">
        <v>0</v>
      </c>
      <c r="U47" s="9"/>
    </row>
    <row r="48" spans="1:21" x14ac:dyDescent="0.25">
      <c r="A48" s="10" t="s">
        <v>22</v>
      </c>
      <c r="B48" s="10" t="s">
        <v>62</v>
      </c>
      <c r="C48" s="10" t="s">
        <v>0</v>
      </c>
      <c r="D48" s="10" t="s">
        <v>0</v>
      </c>
      <c r="E48" s="10" t="s">
        <v>0</v>
      </c>
      <c r="F48" s="10" t="s">
        <v>63</v>
      </c>
      <c r="G48" s="10" t="s">
        <v>64</v>
      </c>
      <c r="H48" s="10" t="s">
        <v>0</v>
      </c>
      <c r="I48" s="10" t="s">
        <v>0</v>
      </c>
      <c r="J48" s="10"/>
      <c r="K48" s="10" t="s">
        <v>0</v>
      </c>
      <c r="L48" s="10" t="s">
        <v>0</v>
      </c>
      <c r="M48" s="12">
        <v>0</v>
      </c>
      <c r="N48" s="10" t="s">
        <v>65</v>
      </c>
      <c r="O48" s="10" t="s">
        <v>66</v>
      </c>
      <c r="P48" s="10" t="s">
        <v>0</v>
      </c>
      <c r="Q48" s="12">
        <v>50</v>
      </c>
      <c r="R48" s="10"/>
      <c r="S48" s="10" t="s">
        <v>0</v>
      </c>
      <c r="T48" s="10" t="s">
        <v>0</v>
      </c>
      <c r="U48" s="10"/>
    </row>
    <row r="49" spans="1:21" x14ac:dyDescent="0.25">
      <c r="A49" s="9" t="s">
        <v>22</v>
      </c>
      <c r="B49" s="9" t="s">
        <v>62</v>
      </c>
      <c r="C49" s="9" t="s">
        <v>0</v>
      </c>
      <c r="D49" s="9" t="s">
        <v>0</v>
      </c>
      <c r="E49" s="9" t="s">
        <v>0</v>
      </c>
      <c r="F49" s="9" t="s">
        <v>63</v>
      </c>
      <c r="G49" s="9" t="s">
        <v>64</v>
      </c>
      <c r="H49" s="9" t="s">
        <v>0</v>
      </c>
      <c r="I49" s="9" t="s">
        <v>0</v>
      </c>
      <c r="J49" s="9"/>
      <c r="K49" s="9" t="s">
        <v>0</v>
      </c>
      <c r="L49" s="9" t="s">
        <v>0</v>
      </c>
      <c r="M49" s="11">
        <v>0</v>
      </c>
      <c r="N49" s="9" t="s">
        <v>65</v>
      </c>
      <c r="O49" s="9" t="s">
        <v>66</v>
      </c>
      <c r="P49" s="9" t="s">
        <v>0</v>
      </c>
      <c r="Q49" s="11">
        <v>50</v>
      </c>
      <c r="R49" s="9"/>
      <c r="S49" s="9" t="s">
        <v>0</v>
      </c>
      <c r="T49" s="9" t="s">
        <v>0</v>
      </c>
      <c r="U49" s="9"/>
    </row>
    <row r="50" spans="1:21" x14ac:dyDescent="0.25">
      <c r="A50" s="10" t="s">
        <v>22</v>
      </c>
      <c r="B50" s="10" t="s">
        <v>62</v>
      </c>
      <c r="C50" s="10" t="s">
        <v>0</v>
      </c>
      <c r="D50" s="10" t="s">
        <v>0</v>
      </c>
      <c r="E50" s="10" t="s">
        <v>0</v>
      </c>
      <c r="F50" s="10" t="s">
        <v>63</v>
      </c>
      <c r="G50" s="10" t="s">
        <v>64</v>
      </c>
      <c r="H50" s="10" t="s">
        <v>0</v>
      </c>
      <c r="I50" s="10" t="s">
        <v>0</v>
      </c>
      <c r="J50" s="10"/>
      <c r="K50" s="10" t="s">
        <v>0</v>
      </c>
      <c r="L50" s="10" t="s">
        <v>0</v>
      </c>
      <c r="M50" s="12">
        <v>0</v>
      </c>
      <c r="N50" s="10" t="s">
        <v>65</v>
      </c>
      <c r="O50" s="10" t="s">
        <v>66</v>
      </c>
      <c r="P50" s="10" t="s">
        <v>0</v>
      </c>
      <c r="Q50" s="12">
        <v>25</v>
      </c>
      <c r="R50" s="10"/>
      <c r="S50" s="10" t="s">
        <v>0</v>
      </c>
      <c r="T50" s="10" t="s">
        <v>0</v>
      </c>
      <c r="U50" s="10"/>
    </row>
    <row r="51" spans="1:21" x14ac:dyDescent="0.25">
      <c r="A51" s="9" t="s">
        <v>22</v>
      </c>
      <c r="B51" s="9" t="s">
        <v>62</v>
      </c>
      <c r="C51" s="9" t="s">
        <v>0</v>
      </c>
      <c r="D51" s="9" t="s">
        <v>0</v>
      </c>
      <c r="E51" s="9" t="s">
        <v>0</v>
      </c>
      <c r="F51" s="9" t="s">
        <v>63</v>
      </c>
      <c r="G51" s="9" t="s">
        <v>64</v>
      </c>
      <c r="H51" s="9" t="s">
        <v>0</v>
      </c>
      <c r="I51" s="9" t="s">
        <v>0</v>
      </c>
      <c r="J51" s="9"/>
      <c r="K51" s="9" t="s">
        <v>0</v>
      </c>
      <c r="L51" s="9" t="s">
        <v>0</v>
      </c>
      <c r="M51" s="11">
        <v>0</v>
      </c>
      <c r="N51" s="9" t="s">
        <v>65</v>
      </c>
      <c r="O51" s="9" t="s">
        <v>66</v>
      </c>
      <c r="P51" s="9" t="s">
        <v>0</v>
      </c>
      <c r="Q51" s="11">
        <v>50</v>
      </c>
      <c r="R51" s="9"/>
      <c r="S51" s="9" t="s">
        <v>0</v>
      </c>
      <c r="T51" s="9" t="s">
        <v>0</v>
      </c>
      <c r="U51" s="9"/>
    </row>
    <row r="52" spans="1:21" x14ac:dyDescent="0.25">
      <c r="A52" s="10" t="s">
        <v>22</v>
      </c>
      <c r="B52" s="10" t="s">
        <v>62</v>
      </c>
      <c r="C52" s="10" t="s">
        <v>0</v>
      </c>
      <c r="D52" s="10" t="s">
        <v>0</v>
      </c>
      <c r="E52" s="10" t="s">
        <v>0</v>
      </c>
      <c r="F52" s="10" t="s">
        <v>63</v>
      </c>
      <c r="G52" s="10" t="s">
        <v>64</v>
      </c>
      <c r="H52" s="10" t="s">
        <v>0</v>
      </c>
      <c r="I52" s="10" t="s">
        <v>0</v>
      </c>
      <c r="J52" s="10"/>
      <c r="K52" s="10" t="s">
        <v>0</v>
      </c>
      <c r="L52" s="10" t="s">
        <v>0</v>
      </c>
      <c r="M52" s="12">
        <v>0</v>
      </c>
      <c r="N52" s="10" t="s">
        <v>65</v>
      </c>
      <c r="O52" s="10" t="s">
        <v>66</v>
      </c>
      <c r="P52" s="10" t="s">
        <v>0</v>
      </c>
      <c r="Q52" s="12">
        <v>50</v>
      </c>
      <c r="R52" s="10"/>
      <c r="S52" s="10" t="s">
        <v>0</v>
      </c>
      <c r="T52" s="10" t="s">
        <v>0</v>
      </c>
      <c r="U52" s="10"/>
    </row>
    <row r="53" spans="1:21" x14ac:dyDescent="0.25">
      <c r="A53" s="9" t="s">
        <v>22</v>
      </c>
      <c r="B53" s="9" t="s">
        <v>62</v>
      </c>
      <c r="C53" s="9" t="s">
        <v>0</v>
      </c>
      <c r="D53" s="9" t="s">
        <v>0</v>
      </c>
      <c r="E53" s="9" t="s">
        <v>0</v>
      </c>
      <c r="F53" s="9" t="s">
        <v>63</v>
      </c>
      <c r="G53" s="9" t="s">
        <v>64</v>
      </c>
      <c r="H53" s="9" t="s">
        <v>0</v>
      </c>
      <c r="I53" s="9" t="s">
        <v>0</v>
      </c>
      <c r="J53" s="9"/>
      <c r="K53" s="9" t="s">
        <v>0</v>
      </c>
      <c r="L53" s="9" t="s">
        <v>0</v>
      </c>
      <c r="M53" s="11">
        <v>0</v>
      </c>
      <c r="N53" s="9" t="s">
        <v>65</v>
      </c>
      <c r="O53" s="9" t="s">
        <v>66</v>
      </c>
      <c r="P53" s="9" t="s">
        <v>0</v>
      </c>
      <c r="Q53" s="11">
        <v>50</v>
      </c>
      <c r="R53" s="9"/>
      <c r="S53" s="9" t="s">
        <v>0</v>
      </c>
      <c r="T53" s="9" t="s">
        <v>0</v>
      </c>
      <c r="U53" s="9"/>
    </row>
    <row r="54" spans="1:21" x14ac:dyDescent="0.25">
      <c r="A54" s="10" t="s">
        <v>22</v>
      </c>
      <c r="B54" s="10" t="s">
        <v>62</v>
      </c>
      <c r="C54" s="10" t="s">
        <v>0</v>
      </c>
      <c r="D54" s="10" t="s">
        <v>0</v>
      </c>
      <c r="E54" s="10" t="s">
        <v>0</v>
      </c>
      <c r="F54" s="10" t="s">
        <v>63</v>
      </c>
      <c r="G54" s="10" t="s">
        <v>64</v>
      </c>
      <c r="H54" s="10" t="s">
        <v>0</v>
      </c>
      <c r="I54" s="10" t="s">
        <v>0</v>
      </c>
      <c r="J54" s="10"/>
      <c r="K54" s="10" t="s">
        <v>0</v>
      </c>
      <c r="L54" s="10" t="s">
        <v>0</v>
      </c>
      <c r="M54" s="12">
        <v>0</v>
      </c>
      <c r="N54" s="10" t="s">
        <v>65</v>
      </c>
      <c r="O54" s="10" t="s">
        <v>66</v>
      </c>
      <c r="P54" s="10" t="s">
        <v>0</v>
      </c>
      <c r="Q54" s="12">
        <v>50</v>
      </c>
      <c r="R54" s="10"/>
      <c r="S54" s="10" t="s">
        <v>0</v>
      </c>
      <c r="T54" s="10" t="s">
        <v>0</v>
      </c>
      <c r="U54" s="10"/>
    </row>
    <row r="55" spans="1:21" x14ac:dyDescent="0.25">
      <c r="A55" s="9" t="s">
        <v>22</v>
      </c>
      <c r="B55" s="9" t="s">
        <v>62</v>
      </c>
      <c r="C55" s="9" t="s">
        <v>0</v>
      </c>
      <c r="D55" s="9" t="s">
        <v>0</v>
      </c>
      <c r="E55" s="9" t="s">
        <v>0</v>
      </c>
      <c r="F55" s="9" t="s">
        <v>63</v>
      </c>
      <c r="G55" s="9" t="s">
        <v>64</v>
      </c>
      <c r="H55" s="9" t="s">
        <v>0</v>
      </c>
      <c r="I55" s="9" t="s">
        <v>0</v>
      </c>
      <c r="J55" s="9"/>
      <c r="K55" s="9" t="s">
        <v>0</v>
      </c>
      <c r="L55" s="9" t="s">
        <v>0</v>
      </c>
      <c r="M55" s="11">
        <v>0</v>
      </c>
      <c r="N55" s="9" t="s">
        <v>65</v>
      </c>
      <c r="O55" s="9" t="s">
        <v>66</v>
      </c>
      <c r="P55" s="9" t="s">
        <v>0</v>
      </c>
      <c r="Q55" s="11">
        <v>50</v>
      </c>
      <c r="R55" s="9"/>
      <c r="S55" s="9" t="s">
        <v>0</v>
      </c>
      <c r="T55" s="9" t="s">
        <v>0</v>
      </c>
      <c r="U55" s="9"/>
    </row>
    <row r="56" spans="1:21" x14ac:dyDescent="0.25">
      <c r="A56" s="10" t="s">
        <v>22</v>
      </c>
      <c r="B56" s="10" t="s">
        <v>62</v>
      </c>
      <c r="C56" s="10" t="s">
        <v>0</v>
      </c>
      <c r="D56" s="10" t="s">
        <v>0</v>
      </c>
      <c r="E56" s="10" t="s">
        <v>0</v>
      </c>
      <c r="F56" s="10" t="s">
        <v>63</v>
      </c>
      <c r="G56" s="10" t="s">
        <v>64</v>
      </c>
      <c r="H56" s="10" t="s">
        <v>0</v>
      </c>
      <c r="I56" s="10" t="s">
        <v>0</v>
      </c>
      <c r="J56" s="10"/>
      <c r="K56" s="10" t="s">
        <v>0</v>
      </c>
      <c r="L56" s="10" t="s">
        <v>0</v>
      </c>
      <c r="M56" s="12">
        <v>0</v>
      </c>
      <c r="N56" s="10" t="s">
        <v>65</v>
      </c>
      <c r="O56" s="10" t="s">
        <v>66</v>
      </c>
      <c r="P56" s="10" t="s">
        <v>0</v>
      </c>
      <c r="Q56" s="12">
        <v>50</v>
      </c>
      <c r="R56" s="10"/>
      <c r="S56" s="10" t="s">
        <v>0</v>
      </c>
      <c r="T56" s="10" t="s">
        <v>0</v>
      </c>
      <c r="U56" s="10"/>
    </row>
    <row r="57" spans="1:21" x14ac:dyDescent="0.25">
      <c r="A57" s="9" t="s">
        <v>22</v>
      </c>
      <c r="B57" s="9" t="s">
        <v>62</v>
      </c>
      <c r="C57" s="9" t="s">
        <v>0</v>
      </c>
      <c r="D57" s="9" t="s">
        <v>0</v>
      </c>
      <c r="E57" s="9" t="s">
        <v>0</v>
      </c>
      <c r="F57" s="9" t="s">
        <v>63</v>
      </c>
      <c r="G57" s="9" t="s">
        <v>64</v>
      </c>
      <c r="H57" s="9" t="s">
        <v>0</v>
      </c>
      <c r="I57" s="9" t="s">
        <v>0</v>
      </c>
      <c r="J57" s="9"/>
      <c r="K57" s="9" t="s">
        <v>0</v>
      </c>
      <c r="L57" s="9" t="s">
        <v>0</v>
      </c>
      <c r="M57" s="11">
        <v>0</v>
      </c>
      <c r="N57" s="9" t="s">
        <v>65</v>
      </c>
      <c r="O57" s="9" t="s">
        <v>66</v>
      </c>
      <c r="P57" s="9" t="s">
        <v>0</v>
      </c>
      <c r="Q57" s="11">
        <v>50</v>
      </c>
      <c r="R57" s="9"/>
      <c r="S57" s="9" t="s">
        <v>0</v>
      </c>
      <c r="T57" s="9" t="s">
        <v>0</v>
      </c>
      <c r="U57" s="9"/>
    </row>
    <row r="58" spans="1:21" x14ac:dyDescent="0.25">
      <c r="A58" s="10" t="s">
        <v>22</v>
      </c>
      <c r="B58" s="10" t="s">
        <v>62</v>
      </c>
      <c r="C58" s="10" t="s">
        <v>0</v>
      </c>
      <c r="D58" s="10" t="s">
        <v>0</v>
      </c>
      <c r="E58" s="10" t="s">
        <v>0</v>
      </c>
      <c r="F58" s="10" t="s">
        <v>63</v>
      </c>
      <c r="G58" s="10" t="s">
        <v>64</v>
      </c>
      <c r="H58" s="10" t="s">
        <v>0</v>
      </c>
      <c r="I58" s="10" t="s">
        <v>0</v>
      </c>
      <c r="J58" s="10"/>
      <c r="K58" s="10" t="s">
        <v>0</v>
      </c>
      <c r="L58" s="10" t="s">
        <v>0</v>
      </c>
      <c r="M58" s="12">
        <v>0</v>
      </c>
      <c r="N58" s="10" t="s">
        <v>65</v>
      </c>
      <c r="O58" s="10" t="s">
        <v>66</v>
      </c>
      <c r="P58" s="10" t="s">
        <v>0</v>
      </c>
      <c r="Q58" s="12">
        <v>50</v>
      </c>
      <c r="R58" s="10"/>
      <c r="S58" s="10" t="s">
        <v>0</v>
      </c>
      <c r="T58" s="10" t="s">
        <v>0</v>
      </c>
      <c r="U58" s="10"/>
    </row>
    <row r="59" spans="1:21" x14ac:dyDescent="0.25">
      <c r="A59" s="9" t="s">
        <v>22</v>
      </c>
      <c r="B59" s="9" t="s">
        <v>62</v>
      </c>
      <c r="C59" s="9" t="s">
        <v>0</v>
      </c>
      <c r="D59" s="9" t="s">
        <v>0</v>
      </c>
      <c r="E59" s="9" t="s">
        <v>0</v>
      </c>
      <c r="F59" s="9" t="s">
        <v>63</v>
      </c>
      <c r="G59" s="9" t="s">
        <v>64</v>
      </c>
      <c r="H59" s="9" t="s">
        <v>0</v>
      </c>
      <c r="I59" s="9" t="s">
        <v>0</v>
      </c>
      <c r="J59" s="9"/>
      <c r="K59" s="9" t="s">
        <v>0</v>
      </c>
      <c r="L59" s="9" t="s">
        <v>0</v>
      </c>
      <c r="M59" s="11">
        <v>0</v>
      </c>
      <c r="N59" s="9" t="s">
        <v>65</v>
      </c>
      <c r="O59" s="9" t="s">
        <v>66</v>
      </c>
      <c r="P59" s="9" t="s">
        <v>0</v>
      </c>
      <c r="Q59" s="11">
        <v>50</v>
      </c>
      <c r="R59" s="9"/>
      <c r="S59" s="9" t="s">
        <v>0</v>
      </c>
      <c r="T59" s="9" t="s">
        <v>0</v>
      </c>
      <c r="U59" s="9"/>
    </row>
    <row r="60" spans="1:21" x14ac:dyDescent="0.25">
      <c r="A60" s="10" t="s">
        <v>22</v>
      </c>
      <c r="B60" s="10" t="s">
        <v>200</v>
      </c>
      <c r="C60" s="10" t="s">
        <v>81</v>
      </c>
      <c r="D60" s="10" t="s">
        <v>82</v>
      </c>
      <c r="E60" s="10" t="s">
        <v>201</v>
      </c>
      <c r="F60" s="10" t="s">
        <v>202</v>
      </c>
      <c r="G60" s="10" t="s">
        <v>72</v>
      </c>
      <c r="H60" s="10" t="s">
        <v>203</v>
      </c>
      <c r="I60" s="10" t="s">
        <v>87</v>
      </c>
      <c r="J60" s="10" t="s">
        <v>204</v>
      </c>
      <c r="K60" s="10" t="s">
        <v>205</v>
      </c>
      <c r="L60" s="10" t="s">
        <v>206</v>
      </c>
      <c r="M60" s="12">
        <v>-20.62</v>
      </c>
      <c r="N60" s="10" t="s">
        <v>65</v>
      </c>
      <c r="O60" s="10" t="s">
        <v>111</v>
      </c>
      <c r="P60" s="10" t="s">
        <v>78</v>
      </c>
      <c r="Q60" s="12">
        <v>-12.37</v>
      </c>
      <c r="R60" s="10" t="s">
        <v>79</v>
      </c>
      <c r="S60" s="10" t="s">
        <v>0</v>
      </c>
      <c r="T60" s="10" t="s">
        <v>0</v>
      </c>
      <c r="U60" s="10" t="s">
        <v>207</v>
      </c>
    </row>
    <row r="61" spans="1:21" x14ac:dyDescent="0.25">
      <c r="A61" s="9" t="s">
        <v>22</v>
      </c>
      <c r="B61" s="9" t="s">
        <v>200</v>
      </c>
      <c r="C61" s="9" t="s">
        <v>81</v>
      </c>
      <c r="D61" s="9" t="s">
        <v>82</v>
      </c>
      <c r="E61" s="9" t="s">
        <v>201</v>
      </c>
      <c r="F61" s="9" t="s">
        <v>202</v>
      </c>
      <c r="G61" s="9" t="s">
        <v>72</v>
      </c>
      <c r="H61" s="9" t="s">
        <v>203</v>
      </c>
      <c r="I61" s="9" t="s">
        <v>87</v>
      </c>
      <c r="J61" s="9" t="s">
        <v>204</v>
      </c>
      <c r="K61" s="9" t="s">
        <v>205</v>
      </c>
      <c r="L61" s="9" t="s">
        <v>206</v>
      </c>
      <c r="M61" s="11">
        <v>-19.7</v>
      </c>
      <c r="N61" s="9" t="s">
        <v>65</v>
      </c>
      <c r="O61" s="9" t="s">
        <v>111</v>
      </c>
      <c r="P61" s="9" t="s">
        <v>78</v>
      </c>
      <c r="Q61" s="11">
        <v>-11.82</v>
      </c>
      <c r="R61" s="9" t="s">
        <v>79</v>
      </c>
      <c r="S61" s="9" t="s">
        <v>0</v>
      </c>
      <c r="T61" s="9" t="s">
        <v>0</v>
      </c>
      <c r="U61" s="9" t="s">
        <v>207</v>
      </c>
    </row>
    <row r="62" spans="1:21" x14ac:dyDescent="0.25">
      <c r="A62" s="10" t="s">
        <v>22</v>
      </c>
      <c r="B62" s="10" t="s">
        <v>200</v>
      </c>
      <c r="C62" s="10" t="s">
        <v>81</v>
      </c>
      <c r="D62" s="10" t="s">
        <v>82</v>
      </c>
      <c r="E62" s="10" t="s">
        <v>201</v>
      </c>
      <c r="F62" s="10" t="s">
        <v>202</v>
      </c>
      <c r="G62" s="10" t="s">
        <v>72</v>
      </c>
      <c r="H62" s="10" t="s">
        <v>203</v>
      </c>
      <c r="I62" s="10" t="s">
        <v>87</v>
      </c>
      <c r="J62" s="10" t="s">
        <v>204</v>
      </c>
      <c r="K62" s="10" t="s">
        <v>205</v>
      </c>
      <c r="L62" s="10" t="s">
        <v>206</v>
      </c>
      <c r="M62" s="12">
        <v>-12.47</v>
      </c>
      <c r="N62" s="10" t="s">
        <v>65</v>
      </c>
      <c r="O62" s="10" t="s">
        <v>111</v>
      </c>
      <c r="P62" s="10" t="s">
        <v>78</v>
      </c>
      <c r="Q62" s="12">
        <v>-7.48</v>
      </c>
      <c r="R62" s="10" t="s">
        <v>79</v>
      </c>
      <c r="S62" s="10" t="s">
        <v>0</v>
      </c>
      <c r="T62" s="10" t="s">
        <v>0</v>
      </c>
      <c r="U62" s="10" t="s">
        <v>207</v>
      </c>
    </row>
    <row r="63" spans="1:21" x14ac:dyDescent="0.25">
      <c r="A63" s="9" t="s">
        <v>22</v>
      </c>
      <c r="B63" s="9" t="s">
        <v>67</v>
      </c>
      <c r="C63" s="9" t="s">
        <v>208</v>
      </c>
      <c r="D63" s="9" t="s">
        <v>209</v>
      </c>
      <c r="E63" s="9" t="s">
        <v>210</v>
      </c>
      <c r="F63" s="9" t="s">
        <v>211</v>
      </c>
      <c r="G63" s="9" t="s">
        <v>106</v>
      </c>
      <c r="H63" s="9" t="s">
        <v>212</v>
      </c>
      <c r="I63" s="9" t="s">
        <v>74</v>
      </c>
      <c r="J63" s="9" t="s">
        <v>98</v>
      </c>
      <c r="K63" s="9" t="s">
        <v>213</v>
      </c>
      <c r="L63" s="9" t="s">
        <v>99</v>
      </c>
      <c r="M63" s="11">
        <v>28.27</v>
      </c>
      <c r="N63" s="9" t="s">
        <v>65</v>
      </c>
      <c r="O63" s="9" t="s">
        <v>214</v>
      </c>
      <c r="P63" s="9" t="s">
        <v>78</v>
      </c>
      <c r="Q63" s="11">
        <v>2.2599999999999998</v>
      </c>
      <c r="R63" s="9" t="s">
        <v>79</v>
      </c>
      <c r="S63" s="9" t="s">
        <v>0</v>
      </c>
      <c r="T63" s="9" t="s">
        <v>0</v>
      </c>
      <c r="U63" s="9" t="s">
        <v>101</v>
      </c>
    </row>
    <row r="64" spans="1:21" x14ac:dyDescent="0.25">
      <c r="A64" s="10" t="s">
        <v>22</v>
      </c>
      <c r="B64" s="10" t="s">
        <v>67</v>
      </c>
      <c r="C64" s="10" t="s">
        <v>208</v>
      </c>
      <c r="D64" s="10" t="s">
        <v>209</v>
      </c>
      <c r="E64" s="10" t="s">
        <v>210</v>
      </c>
      <c r="F64" s="10" t="s">
        <v>215</v>
      </c>
      <c r="G64" s="10" t="s">
        <v>106</v>
      </c>
      <c r="H64" s="10" t="s">
        <v>212</v>
      </c>
      <c r="I64" s="10" t="s">
        <v>74</v>
      </c>
      <c r="J64" s="10" t="s">
        <v>115</v>
      </c>
      <c r="K64" s="10" t="s">
        <v>213</v>
      </c>
      <c r="L64" s="10" t="s">
        <v>99</v>
      </c>
      <c r="M64" s="12">
        <v>27.8</v>
      </c>
      <c r="N64" s="10" t="s">
        <v>65</v>
      </c>
      <c r="O64" s="10" t="s">
        <v>214</v>
      </c>
      <c r="P64" s="10" t="s">
        <v>78</v>
      </c>
      <c r="Q64" s="12">
        <v>2.2200000000000002</v>
      </c>
      <c r="R64" s="10" t="s">
        <v>79</v>
      </c>
      <c r="S64" s="10" t="s">
        <v>0</v>
      </c>
      <c r="T64" s="10" t="s">
        <v>0</v>
      </c>
      <c r="U64" s="10" t="s">
        <v>118</v>
      </c>
    </row>
    <row r="65" spans="1:21" x14ac:dyDescent="0.25">
      <c r="A65" s="9" t="s">
        <v>22</v>
      </c>
      <c r="B65" s="9" t="s">
        <v>67</v>
      </c>
      <c r="C65" s="9" t="s">
        <v>208</v>
      </c>
      <c r="D65" s="9" t="s">
        <v>209</v>
      </c>
      <c r="E65" s="9" t="s">
        <v>210</v>
      </c>
      <c r="F65" s="9" t="s">
        <v>216</v>
      </c>
      <c r="G65" s="9" t="s">
        <v>106</v>
      </c>
      <c r="H65" s="9" t="s">
        <v>212</v>
      </c>
      <c r="I65" s="9" t="s">
        <v>74</v>
      </c>
      <c r="J65" s="9" t="s">
        <v>217</v>
      </c>
      <c r="K65" s="9" t="s">
        <v>213</v>
      </c>
      <c r="L65" s="9" t="s">
        <v>99</v>
      </c>
      <c r="M65" s="11">
        <v>42.5</v>
      </c>
      <c r="N65" s="9" t="s">
        <v>65</v>
      </c>
      <c r="O65" s="9" t="s">
        <v>173</v>
      </c>
      <c r="P65" s="9" t="s">
        <v>78</v>
      </c>
      <c r="Q65" s="11">
        <v>1.59</v>
      </c>
      <c r="R65" s="9" t="s">
        <v>79</v>
      </c>
      <c r="S65" s="9" t="s">
        <v>0</v>
      </c>
      <c r="T65" s="9" t="s">
        <v>0</v>
      </c>
      <c r="U65" s="9" t="s">
        <v>218</v>
      </c>
    </row>
    <row r="66" spans="1:21" x14ac:dyDescent="0.25">
      <c r="A66" s="10" t="s">
        <v>22</v>
      </c>
      <c r="B66" s="10" t="s">
        <v>62</v>
      </c>
      <c r="C66" s="10" t="s">
        <v>0</v>
      </c>
      <c r="D66" s="10" t="s">
        <v>0</v>
      </c>
      <c r="E66" s="10" t="s">
        <v>0</v>
      </c>
      <c r="F66" s="10" t="s">
        <v>63</v>
      </c>
      <c r="G66" s="10" t="s">
        <v>64</v>
      </c>
      <c r="H66" s="10" t="s">
        <v>0</v>
      </c>
      <c r="I66" s="10" t="s">
        <v>0</v>
      </c>
      <c r="J66" s="10"/>
      <c r="K66" s="10" t="s">
        <v>0</v>
      </c>
      <c r="L66" s="10" t="s">
        <v>0</v>
      </c>
      <c r="M66" s="12">
        <v>0</v>
      </c>
      <c r="N66" s="10" t="s">
        <v>65</v>
      </c>
      <c r="O66" s="10" t="s">
        <v>66</v>
      </c>
      <c r="P66" s="10" t="s">
        <v>0</v>
      </c>
      <c r="Q66" s="12">
        <v>25</v>
      </c>
      <c r="R66" s="10"/>
      <c r="S66" s="10" t="s">
        <v>0</v>
      </c>
      <c r="T66" s="10" t="s">
        <v>0</v>
      </c>
      <c r="U66" s="10"/>
    </row>
    <row r="67" spans="1:21" x14ac:dyDescent="0.25">
      <c r="A67" s="9" t="s">
        <v>22</v>
      </c>
      <c r="B67" s="9" t="s">
        <v>62</v>
      </c>
      <c r="C67" s="9" t="s">
        <v>0</v>
      </c>
      <c r="D67" s="9" t="s">
        <v>0</v>
      </c>
      <c r="E67" s="9" t="s">
        <v>0</v>
      </c>
      <c r="F67" s="9" t="s">
        <v>63</v>
      </c>
      <c r="G67" s="9" t="s">
        <v>64</v>
      </c>
      <c r="H67" s="9" t="s">
        <v>0</v>
      </c>
      <c r="I67" s="9" t="s">
        <v>0</v>
      </c>
      <c r="J67" s="9"/>
      <c r="K67" s="9" t="s">
        <v>0</v>
      </c>
      <c r="L67" s="9" t="s">
        <v>0</v>
      </c>
      <c r="M67" s="11">
        <v>0</v>
      </c>
      <c r="N67" s="9" t="s">
        <v>65</v>
      </c>
      <c r="O67" s="9" t="s">
        <v>66</v>
      </c>
      <c r="P67" s="9" t="s">
        <v>0</v>
      </c>
      <c r="Q67" s="11">
        <v>25</v>
      </c>
      <c r="R67" s="9"/>
      <c r="S67" s="9" t="s">
        <v>0</v>
      </c>
      <c r="T67" s="9" t="s">
        <v>0</v>
      </c>
      <c r="U67" s="9"/>
    </row>
    <row r="68" spans="1:21" x14ac:dyDescent="0.25">
      <c r="A68" s="10" t="s">
        <v>22</v>
      </c>
      <c r="B68" s="10" t="s">
        <v>62</v>
      </c>
      <c r="C68" s="10" t="s">
        <v>0</v>
      </c>
      <c r="D68" s="10" t="s">
        <v>0</v>
      </c>
      <c r="E68" s="10" t="s">
        <v>0</v>
      </c>
      <c r="F68" s="10" t="s">
        <v>63</v>
      </c>
      <c r="G68" s="10" t="s">
        <v>64</v>
      </c>
      <c r="H68" s="10" t="s">
        <v>0</v>
      </c>
      <c r="I68" s="10" t="s">
        <v>0</v>
      </c>
      <c r="J68" s="10"/>
      <c r="K68" s="10" t="s">
        <v>0</v>
      </c>
      <c r="L68" s="10" t="s">
        <v>0</v>
      </c>
      <c r="M68" s="12">
        <v>0</v>
      </c>
      <c r="N68" s="10" t="s">
        <v>65</v>
      </c>
      <c r="O68" s="10" t="s">
        <v>66</v>
      </c>
      <c r="P68" s="10" t="s">
        <v>0</v>
      </c>
      <c r="Q68" s="12">
        <v>25</v>
      </c>
      <c r="R68" s="10"/>
      <c r="S68" s="10" t="s">
        <v>0</v>
      </c>
      <c r="T68" s="10" t="s">
        <v>0</v>
      </c>
      <c r="U68" s="10"/>
    </row>
    <row r="69" spans="1:21" x14ac:dyDescent="0.25">
      <c r="A69" s="9" t="s">
        <v>22</v>
      </c>
      <c r="B69" s="9" t="s">
        <v>67</v>
      </c>
      <c r="C69" s="9" t="s">
        <v>219</v>
      </c>
      <c r="D69" s="9" t="s">
        <v>220</v>
      </c>
      <c r="E69" s="9" t="s">
        <v>221</v>
      </c>
      <c r="F69" s="9" t="s">
        <v>222</v>
      </c>
      <c r="G69" s="9" t="s">
        <v>106</v>
      </c>
      <c r="H69" s="9" t="s">
        <v>223</v>
      </c>
      <c r="I69" s="9" t="s">
        <v>74</v>
      </c>
      <c r="J69" s="9" t="s">
        <v>193</v>
      </c>
      <c r="K69" s="9" t="s">
        <v>223</v>
      </c>
      <c r="L69" s="9" t="s">
        <v>199</v>
      </c>
      <c r="M69" s="11">
        <v>163.6</v>
      </c>
      <c r="N69" s="9" t="s">
        <v>65</v>
      </c>
      <c r="O69" s="9" t="s">
        <v>173</v>
      </c>
      <c r="P69" s="9" t="s">
        <v>78</v>
      </c>
      <c r="Q69" s="11">
        <v>6.14</v>
      </c>
      <c r="R69" s="9" t="s">
        <v>79</v>
      </c>
      <c r="S69" s="9" t="s">
        <v>0</v>
      </c>
      <c r="T69" s="9" t="s">
        <v>0</v>
      </c>
      <c r="U69" s="9" t="s">
        <v>194</v>
      </c>
    </row>
    <row r="70" spans="1:21" x14ac:dyDescent="0.25">
      <c r="A70" s="10" t="s">
        <v>22</v>
      </c>
      <c r="B70" s="10" t="s">
        <v>62</v>
      </c>
      <c r="C70" s="10" t="s">
        <v>0</v>
      </c>
      <c r="D70" s="10" t="s">
        <v>0</v>
      </c>
      <c r="E70" s="10" t="s">
        <v>0</v>
      </c>
      <c r="F70" s="10" t="s">
        <v>63</v>
      </c>
      <c r="G70" s="10" t="s">
        <v>64</v>
      </c>
      <c r="H70" s="10" t="s">
        <v>0</v>
      </c>
      <c r="I70" s="10" t="s">
        <v>0</v>
      </c>
      <c r="J70" s="10"/>
      <c r="K70" s="10" t="s">
        <v>0</v>
      </c>
      <c r="L70" s="10" t="s">
        <v>0</v>
      </c>
      <c r="M70" s="12">
        <v>0</v>
      </c>
      <c r="N70" s="10" t="s">
        <v>65</v>
      </c>
      <c r="O70" s="10" t="s">
        <v>66</v>
      </c>
      <c r="P70" s="10" t="s">
        <v>0</v>
      </c>
      <c r="Q70" s="12">
        <v>50</v>
      </c>
      <c r="R70" s="10"/>
      <c r="S70" s="10" t="s">
        <v>0</v>
      </c>
      <c r="T70" s="10" t="s">
        <v>0</v>
      </c>
      <c r="U70" s="10"/>
    </row>
    <row r="71" spans="1:21" x14ac:dyDescent="0.25">
      <c r="A71" s="9" t="s">
        <v>22</v>
      </c>
      <c r="B71" s="9" t="s">
        <v>62</v>
      </c>
      <c r="C71" s="9" t="s">
        <v>0</v>
      </c>
      <c r="D71" s="9" t="s">
        <v>0</v>
      </c>
      <c r="E71" s="9" t="s">
        <v>0</v>
      </c>
      <c r="F71" s="9" t="s">
        <v>63</v>
      </c>
      <c r="G71" s="9" t="s">
        <v>64</v>
      </c>
      <c r="H71" s="9" t="s">
        <v>0</v>
      </c>
      <c r="I71" s="9" t="s">
        <v>0</v>
      </c>
      <c r="J71" s="9"/>
      <c r="K71" s="9" t="s">
        <v>0</v>
      </c>
      <c r="L71" s="9" t="s">
        <v>0</v>
      </c>
      <c r="M71" s="11">
        <v>0</v>
      </c>
      <c r="N71" s="9" t="s">
        <v>65</v>
      </c>
      <c r="O71" s="9" t="s">
        <v>66</v>
      </c>
      <c r="P71" s="9" t="s">
        <v>0</v>
      </c>
      <c r="Q71" s="11">
        <v>50</v>
      </c>
      <c r="R71" s="9"/>
      <c r="S71" s="9" t="s">
        <v>0</v>
      </c>
      <c r="T71" s="9" t="s">
        <v>0</v>
      </c>
      <c r="U71" s="9"/>
    </row>
    <row r="72" spans="1:21" x14ac:dyDescent="0.25">
      <c r="A72" s="10" t="s">
        <v>22</v>
      </c>
      <c r="B72" s="10" t="s">
        <v>62</v>
      </c>
      <c r="C72" s="10" t="s">
        <v>0</v>
      </c>
      <c r="D72" s="10" t="s">
        <v>0</v>
      </c>
      <c r="E72" s="10" t="s">
        <v>0</v>
      </c>
      <c r="F72" s="10" t="s">
        <v>63</v>
      </c>
      <c r="G72" s="10" t="s">
        <v>64</v>
      </c>
      <c r="H72" s="10" t="s">
        <v>0</v>
      </c>
      <c r="I72" s="10" t="s">
        <v>0</v>
      </c>
      <c r="J72" s="10"/>
      <c r="K72" s="10" t="s">
        <v>0</v>
      </c>
      <c r="L72" s="10" t="s">
        <v>0</v>
      </c>
      <c r="M72" s="12">
        <v>0</v>
      </c>
      <c r="N72" s="10" t="s">
        <v>65</v>
      </c>
      <c r="O72" s="10" t="s">
        <v>66</v>
      </c>
      <c r="P72" s="10" t="s">
        <v>0</v>
      </c>
      <c r="Q72" s="12">
        <v>50</v>
      </c>
      <c r="R72" s="10"/>
      <c r="S72" s="10" t="s">
        <v>0</v>
      </c>
      <c r="T72" s="10" t="s">
        <v>0</v>
      </c>
      <c r="U72" s="10"/>
    </row>
    <row r="73" spans="1:21" x14ac:dyDescent="0.25">
      <c r="A73" s="9" t="s">
        <v>22</v>
      </c>
      <c r="B73" s="9" t="s">
        <v>62</v>
      </c>
      <c r="C73" s="9" t="s">
        <v>0</v>
      </c>
      <c r="D73" s="9" t="s">
        <v>0</v>
      </c>
      <c r="E73" s="9" t="s">
        <v>0</v>
      </c>
      <c r="F73" s="9" t="s">
        <v>63</v>
      </c>
      <c r="G73" s="9" t="s">
        <v>64</v>
      </c>
      <c r="H73" s="9" t="s">
        <v>0</v>
      </c>
      <c r="I73" s="9" t="s">
        <v>0</v>
      </c>
      <c r="J73" s="9"/>
      <c r="K73" s="9" t="s">
        <v>0</v>
      </c>
      <c r="L73" s="9" t="s">
        <v>0</v>
      </c>
      <c r="M73" s="11">
        <v>0</v>
      </c>
      <c r="N73" s="9" t="s">
        <v>65</v>
      </c>
      <c r="O73" s="9" t="s">
        <v>66</v>
      </c>
      <c r="P73" s="9" t="s">
        <v>0</v>
      </c>
      <c r="Q73" s="11">
        <v>50</v>
      </c>
      <c r="R73" s="9"/>
      <c r="S73" s="9" t="s">
        <v>0</v>
      </c>
      <c r="T73" s="9" t="s">
        <v>0</v>
      </c>
      <c r="U73" s="9"/>
    </row>
    <row r="74" spans="1:21" x14ac:dyDescent="0.25">
      <c r="A74" s="10" t="s">
        <v>22</v>
      </c>
      <c r="B74" s="10" t="s">
        <v>62</v>
      </c>
      <c r="C74" s="10" t="s">
        <v>0</v>
      </c>
      <c r="D74" s="10" t="s">
        <v>0</v>
      </c>
      <c r="E74" s="10" t="s">
        <v>0</v>
      </c>
      <c r="F74" s="10" t="s">
        <v>63</v>
      </c>
      <c r="G74" s="10" t="s">
        <v>64</v>
      </c>
      <c r="H74" s="10" t="s">
        <v>0</v>
      </c>
      <c r="I74" s="10" t="s">
        <v>0</v>
      </c>
      <c r="J74" s="10"/>
      <c r="K74" s="10" t="s">
        <v>0</v>
      </c>
      <c r="L74" s="10" t="s">
        <v>0</v>
      </c>
      <c r="M74" s="12">
        <v>0</v>
      </c>
      <c r="N74" s="10" t="s">
        <v>65</v>
      </c>
      <c r="O74" s="10" t="s">
        <v>66</v>
      </c>
      <c r="P74" s="10" t="s">
        <v>0</v>
      </c>
      <c r="Q74" s="12">
        <v>50</v>
      </c>
      <c r="R74" s="10"/>
      <c r="S74" s="10" t="s">
        <v>0</v>
      </c>
      <c r="T74" s="10" t="s">
        <v>0</v>
      </c>
      <c r="U74" s="10"/>
    </row>
    <row r="75" spans="1:21" x14ac:dyDescent="0.25">
      <c r="A75" s="9" t="s">
        <v>22</v>
      </c>
      <c r="B75" s="9" t="s">
        <v>62</v>
      </c>
      <c r="C75" s="9" t="s">
        <v>0</v>
      </c>
      <c r="D75" s="9" t="s">
        <v>0</v>
      </c>
      <c r="E75" s="9" t="s">
        <v>0</v>
      </c>
      <c r="F75" s="9" t="s">
        <v>63</v>
      </c>
      <c r="G75" s="9" t="s">
        <v>64</v>
      </c>
      <c r="H75" s="9" t="s">
        <v>0</v>
      </c>
      <c r="I75" s="9" t="s">
        <v>0</v>
      </c>
      <c r="J75" s="9"/>
      <c r="K75" s="9" t="s">
        <v>0</v>
      </c>
      <c r="L75" s="9" t="s">
        <v>0</v>
      </c>
      <c r="M75" s="11">
        <v>0</v>
      </c>
      <c r="N75" s="9" t="s">
        <v>65</v>
      </c>
      <c r="O75" s="9" t="s">
        <v>66</v>
      </c>
      <c r="P75" s="9" t="s">
        <v>0</v>
      </c>
      <c r="Q75" s="11">
        <v>50</v>
      </c>
      <c r="R75" s="9"/>
      <c r="S75" s="9" t="s">
        <v>0</v>
      </c>
      <c r="T75" s="9" t="s">
        <v>0</v>
      </c>
      <c r="U75" s="9"/>
    </row>
    <row r="76" spans="1:21" x14ac:dyDescent="0.25">
      <c r="A76" s="10" t="s">
        <v>22</v>
      </c>
      <c r="B76" s="10" t="s">
        <v>62</v>
      </c>
      <c r="C76" s="10" t="s">
        <v>0</v>
      </c>
      <c r="D76" s="10" t="s">
        <v>0</v>
      </c>
      <c r="E76" s="10" t="s">
        <v>0</v>
      </c>
      <c r="F76" s="10" t="s">
        <v>63</v>
      </c>
      <c r="G76" s="10" t="s">
        <v>64</v>
      </c>
      <c r="H76" s="10" t="s">
        <v>0</v>
      </c>
      <c r="I76" s="10" t="s">
        <v>0</v>
      </c>
      <c r="J76" s="10"/>
      <c r="K76" s="10" t="s">
        <v>0</v>
      </c>
      <c r="L76" s="10" t="s">
        <v>0</v>
      </c>
      <c r="M76" s="12">
        <v>0</v>
      </c>
      <c r="N76" s="10" t="s">
        <v>65</v>
      </c>
      <c r="O76" s="10" t="s">
        <v>66</v>
      </c>
      <c r="P76" s="10" t="s">
        <v>0</v>
      </c>
      <c r="Q76" s="12">
        <v>50</v>
      </c>
      <c r="R76" s="10"/>
      <c r="S76" s="10" t="s">
        <v>0</v>
      </c>
      <c r="T76" s="10" t="s">
        <v>0</v>
      </c>
      <c r="U76" s="10"/>
    </row>
    <row r="77" spans="1:21" x14ac:dyDescent="0.25">
      <c r="A77" s="9" t="s">
        <v>22</v>
      </c>
      <c r="B77" s="9" t="s">
        <v>62</v>
      </c>
      <c r="C77" s="9" t="s">
        <v>0</v>
      </c>
      <c r="D77" s="9" t="s">
        <v>0</v>
      </c>
      <c r="E77" s="9" t="s">
        <v>0</v>
      </c>
      <c r="F77" s="9" t="s">
        <v>63</v>
      </c>
      <c r="G77" s="9" t="s">
        <v>64</v>
      </c>
      <c r="H77" s="9" t="s">
        <v>0</v>
      </c>
      <c r="I77" s="9" t="s">
        <v>0</v>
      </c>
      <c r="J77" s="9"/>
      <c r="K77" s="9" t="s">
        <v>0</v>
      </c>
      <c r="L77" s="9" t="s">
        <v>0</v>
      </c>
      <c r="M77" s="11">
        <v>0</v>
      </c>
      <c r="N77" s="9" t="s">
        <v>65</v>
      </c>
      <c r="O77" s="9" t="s">
        <v>66</v>
      </c>
      <c r="P77" s="9" t="s">
        <v>0</v>
      </c>
      <c r="Q77" s="11">
        <v>50</v>
      </c>
      <c r="R77" s="9"/>
      <c r="S77" s="9" t="s">
        <v>0</v>
      </c>
      <c r="T77" s="9" t="s">
        <v>0</v>
      </c>
      <c r="U77" s="9"/>
    </row>
    <row r="78" spans="1:21" x14ac:dyDescent="0.25">
      <c r="A78" s="10" t="s">
        <v>22</v>
      </c>
      <c r="B78" s="10" t="s">
        <v>200</v>
      </c>
      <c r="C78" s="10" t="s">
        <v>81</v>
      </c>
      <c r="D78" s="10" t="s">
        <v>82</v>
      </c>
      <c r="E78" s="10" t="s">
        <v>201</v>
      </c>
      <c r="F78" s="10" t="s">
        <v>224</v>
      </c>
      <c r="G78" s="10" t="s">
        <v>72</v>
      </c>
      <c r="H78" s="10" t="s">
        <v>203</v>
      </c>
      <c r="I78" s="10" t="s">
        <v>87</v>
      </c>
      <c r="J78" s="10" t="s">
        <v>98</v>
      </c>
      <c r="K78" s="10" t="s">
        <v>205</v>
      </c>
      <c r="L78" s="10" t="s">
        <v>206</v>
      </c>
      <c r="M78" s="12">
        <v>-49.75</v>
      </c>
      <c r="N78" s="10" t="s">
        <v>65</v>
      </c>
      <c r="O78" s="10" t="s">
        <v>91</v>
      </c>
      <c r="P78" s="10" t="s">
        <v>78</v>
      </c>
      <c r="Q78" s="12">
        <v>-47.26</v>
      </c>
      <c r="R78" s="10" t="s">
        <v>79</v>
      </c>
      <c r="S78" s="10" t="s">
        <v>0</v>
      </c>
      <c r="T78" s="10" t="s">
        <v>0</v>
      </c>
      <c r="U78" s="10" t="s">
        <v>101</v>
      </c>
    </row>
    <row r="79" spans="1:21" x14ac:dyDescent="0.25">
      <c r="A79" s="9" t="s">
        <v>22</v>
      </c>
      <c r="B79" s="9" t="s">
        <v>62</v>
      </c>
      <c r="C79" s="9" t="s">
        <v>0</v>
      </c>
      <c r="D79" s="9" t="s">
        <v>0</v>
      </c>
      <c r="E79" s="9" t="s">
        <v>0</v>
      </c>
      <c r="F79" s="9" t="s">
        <v>63</v>
      </c>
      <c r="G79" s="9" t="s">
        <v>64</v>
      </c>
      <c r="H79" s="9" t="s">
        <v>0</v>
      </c>
      <c r="I79" s="9" t="s">
        <v>0</v>
      </c>
      <c r="J79" s="9"/>
      <c r="K79" s="9" t="s">
        <v>0</v>
      </c>
      <c r="L79" s="9" t="s">
        <v>0</v>
      </c>
      <c r="M79" s="11">
        <v>0</v>
      </c>
      <c r="N79" s="9" t="s">
        <v>65</v>
      </c>
      <c r="O79" s="9" t="s">
        <v>66</v>
      </c>
      <c r="P79" s="9" t="s">
        <v>0</v>
      </c>
      <c r="Q79" s="11">
        <v>50</v>
      </c>
      <c r="R79" s="9"/>
      <c r="S79" s="9" t="s">
        <v>0</v>
      </c>
      <c r="T79" s="9" t="s">
        <v>0</v>
      </c>
      <c r="U79" s="9"/>
    </row>
    <row r="80" spans="1:21" x14ac:dyDescent="0.25">
      <c r="A80" s="10" t="s">
        <v>22</v>
      </c>
      <c r="B80" s="10" t="s">
        <v>62</v>
      </c>
      <c r="C80" s="10" t="s">
        <v>0</v>
      </c>
      <c r="D80" s="10" t="s">
        <v>0</v>
      </c>
      <c r="E80" s="10" t="s">
        <v>0</v>
      </c>
      <c r="F80" s="10" t="s">
        <v>63</v>
      </c>
      <c r="G80" s="10" t="s">
        <v>64</v>
      </c>
      <c r="H80" s="10" t="s">
        <v>0</v>
      </c>
      <c r="I80" s="10" t="s">
        <v>0</v>
      </c>
      <c r="J80" s="10"/>
      <c r="K80" s="10" t="s">
        <v>0</v>
      </c>
      <c r="L80" s="10" t="s">
        <v>0</v>
      </c>
      <c r="M80" s="12">
        <v>0</v>
      </c>
      <c r="N80" s="10" t="s">
        <v>65</v>
      </c>
      <c r="O80" s="10" t="s">
        <v>66</v>
      </c>
      <c r="P80" s="10" t="s">
        <v>0</v>
      </c>
      <c r="Q80" s="12">
        <v>50</v>
      </c>
      <c r="R80" s="10"/>
      <c r="S80" s="10" t="s">
        <v>0</v>
      </c>
      <c r="T80" s="10" t="s">
        <v>0</v>
      </c>
      <c r="U80" s="10"/>
    </row>
    <row r="81" spans="1:21" x14ac:dyDescent="0.25">
      <c r="A81" s="9" t="s">
        <v>22</v>
      </c>
      <c r="B81" s="9" t="s">
        <v>62</v>
      </c>
      <c r="C81" s="9" t="s">
        <v>0</v>
      </c>
      <c r="D81" s="9" t="s">
        <v>0</v>
      </c>
      <c r="E81" s="9" t="s">
        <v>0</v>
      </c>
      <c r="F81" s="9" t="s">
        <v>63</v>
      </c>
      <c r="G81" s="9" t="s">
        <v>64</v>
      </c>
      <c r="H81" s="9" t="s">
        <v>0</v>
      </c>
      <c r="I81" s="9" t="s">
        <v>0</v>
      </c>
      <c r="J81" s="9"/>
      <c r="K81" s="9" t="s">
        <v>0</v>
      </c>
      <c r="L81" s="9" t="s">
        <v>0</v>
      </c>
      <c r="M81" s="11">
        <v>0</v>
      </c>
      <c r="N81" s="9" t="s">
        <v>65</v>
      </c>
      <c r="O81" s="9" t="s">
        <v>66</v>
      </c>
      <c r="P81" s="9" t="s">
        <v>0</v>
      </c>
      <c r="Q81" s="11">
        <v>50</v>
      </c>
      <c r="R81" s="9"/>
      <c r="S81" s="9" t="s">
        <v>0</v>
      </c>
      <c r="T81" s="9" t="s">
        <v>0</v>
      </c>
      <c r="U81" s="9"/>
    </row>
    <row r="82" spans="1:21" x14ac:dyDescent="0.25">
      <c r="A82" s="10" t="s">
        <v>22</v>
      </c>
      <c r="B82" s="10" t="s">
        <v>62</v>
      </c>
      <c r="C82" s="10" t="s">
        <v>0</v>
      </c>
      <c r="D82" s="10" t="s">
        <v>0</v>
      </c>
      <c r="E82" s="10" t="s">
        <v>0</v>
      </c>
      <c r="F82" s="10" t="s">
        <v>63</v>
      </c>
      <c r="G82" s="10" t="s">
        <v>64</v>
      </c>
      <c r="H82" s="10" t="s">
        <v>0</v>
      </c>
      <c r="I82" s="10" t="s">
        <v>0</v>
      </c>
      <c r="J82" s="10"/>
      <c r="K82" s="10" t="s">
        <v>0</v>
      </c>
      <c r="L82" s="10" t="s">
        <v>0</v>
      </c>
      <c r="M82" s="12">
        <v>0</v>
      </c>
      <c r="N82" s="10" t="s">
        <v>65</v>
      </c>
      <c r="O82" s="10" t="s">
        <v>66</v>
      </c>
      <c r="P82" s="10" t="s">
        <v>0</v>
      </c>
      <c r="Q82" s="12">
        <v>50</v>
      </c>
      <c r="R82" s="10"/>
      <c r="S82" s="10" t="s">
        <v>0</v>
      </c>
      <c r="T82" s="10" t="s">
        <v>0</v>
      </c>
      <c r="U82" s="10"/>
    </row>
    <row r="83" spans="1:21" x14ac:dyDescent="0.25">
      <c r="A83" s="9" t="s">
        <v>22</v>
      </c>
      <c r="B83" s="9" t="s">
        <v>62</v>
      </c>
      <c r="C83" s="9" t="s">
        <v>0</v>
      </c>
      <c r="D83" s="9" t="s">
        <v>0</v>
      </c>
      <c r="E83" s="9" t="s">
        <v>0</v>
      </c>
      <c r="F83" s="9" t="s">
        <v>63</v>
      </c>
      <c r="G83" s="9" t="s">
        <v>64</v>
      </c>
      <c r="H83" s="9" t="s">
        <v>0</v>
      </c>
      <c r="I83" s="9" t="s">
        <v>0</v>
      </c>
      <c r="J83" s="9"/>
      <c r="K83" s="9" t="s">
        <v>0</v>
      </c>
      <c r="L83" s="9" t="s">
        <v>0</v>
      </c>
      <c r="M83" s="11">
        <v>0</v>
      </c>
      <c r="N83" s="9" t="s">
        <v>65</v>
      </c>
      <c r="O83" s="9" t="s">
        <v>66</v>
      </c>
      <c r="P83" s="9" t="s">
        <v>0</v>
      </c>
      <c r="Q83" s="11">
        <v>50</v>
      </c>
      <c r="R83" s="9"/>
      <c r="S83" s="9" t="s">
        <v>0</v>
      </c>
      <c r="T83" s="9" t="s">
        <v>0</v>
      </c>
      <c r="U83" s="9"/>
    </row>
    <row r="84" spans="1:21" x14ac:dyDescent="0.25">
      <c r="A84" s="10" t="s">
        <v>22</v>
      </c>
      <c r="B84" s="10" t="s">
        <v>62</v>
      </c>
      <c r="C84" s="10" t="s">
        <v>0</v>
      </c>
      <c r="D84" s="10" t="s">
        <v>0</v>
      </c>
      <c r="E84" s="10" t="s">
        <v>0</v>
      </c>
      <c r="F84" s="10" t="s">
        <v>63</v>
      </c>
      <c r="G84" s="10" t="s">
        <v>64</v>
      </c>
      <c r="H84" s="10" t="s">
        <v>0</v>
      </c>
      <c r="I84" s="10" t="s">
        <v>0</v>
      </c>
      <c r="J84" s="10"/>
      <c r="K84" s="10" t="s">
        <v>0</v>
      </c>
      <c r="L84" s="10" t="s">
        <v>0</v>
      </c>
      <c r="M84" s="12">
        <v>0</v>
      </c>
      <c r="N84" s="10" t="s">
        <v>65</v>
      </c>
      <c r="O84" s="10" t="s">
        <v>66</v>
      </c>
      <c r="P84" s="10" t="s">
        <v>0</v>
      </c>
      <c r="Q84" s="12">
        <v>50</v>
      </c>
      <c r="R84" s="10"/>
      <c r="S84" s="10" t="s">
        <v>0</v>
      </c>
      <c r="T84" s="10" t="s">
        <v>0</v>
      </c>
      <c r="U84" s="10"/>
    </row>
    <row r="85" spans="1:21" x14ac:dyDescent="0.25">
      <c r="A85" s="9" t="s">
        <v>22</v>
      </c>
      <c r="B85" s="9" t="s">
        <v>62</v>
      </c>
      <c r="C85" s="9" t="s">
        <v>0</v>
      </c>
      <c r="D85" s="9" t="s">
        <v>0</v>
      </c>
      <c r="E85" s="9" t="s">
        <v>0</v>
      </c>
      <c r="F85" s="9" t="s">
        <v>63</v>
      </c>
      <c r="G85" s="9" t="s">
        <v>64</v>
      </c>
      <c r="H85" s="9" t="s">
        <v>0</v>
      </c>
      <c r="I85" s="9" t="s">
        <v>0</v>
      </c>
      <c r="J85" s="9"/>
      <c r="K85" s="9" t="s">
        <v>0</v>
      </c>
      <c r="L85" s="9" t="s">
        <v>0</v>
      </c>
      <c r="M85" s="11">
        <v>0</v>
      </c>
      <c r="N85" s="9" t="s">
        <v>65</v>
      </c>
      <c r="O85" s="9" t="s">
        <v>66</v>
      </c>
      <c r="P85" s="9" t="s">
        <v>0</v>
      </c>
      <c r="Q85" s="11">
        <v>50</v>
      </c>
      <c r="R85" s="9"/>
      <c r="S85" s="9" t="s">
        <v>0</v>
      </c>
      <c r="T85" s="9" t="s">
        <v>0</v>
      </c>
      <c r="U85" s="9"/>
    </row>
    <row r="86" spans="1:21" x14ac:dyDescent="0.25">
      <c r="A86" s="10" t="s">
        <v>22</v>
      </c>
      <c r="B86" s="10" t="s">
        <v>62</v>
      </c>
      <c r="C86" s="10" t="s">
        <v>0</v>
      </c>
      <c r="D86" s="10" t="s">
        <v>0</v>
      </c>
      <c r="E86" s="10" t="s">
        <v>0</v>
      </c>
      <c r="F86" s="10" t="s">
        <v>63</v>
      </c>
      <c r="G86" s="10" t="s">
        <v>64</v>
      </c>
      <c r="H86" s="10" t="s">
        <v>0</v>
      </c>
      <c r="I86" s="10" t="s">
        <v>0</v>
      </c>
      <c r="J86" s="10"/>
      <c r="K86" s="10" t="s">
        <v>0</v>
      </c>
      <c r="L86" s="10" t="s">
        <v>0</v>
      </c>
      <c r="M86" s="12">
        <v>0</v>
      </c>
      <c r="N86" s="10" t="s">
        <v>65</v>
      </c>
      <c r="O86" s="10" t="s">
        <v>66</v>
      </c>
      <c r="P86" s="10" t="s">
        <v>0</v>
      </c>
      <c r="Q86" s="12">
        <v>50</v>
      </c>
      <c r="R86" s="10"/>
      <c r="S86" s="10" t="s">
        <v>0</v>
      </c>
      <c r="T86" s="10" t="s">
        <v>0</v>
      </c>
      <c r="U86" s="10"/>
    </row>
    <row r="87" spans="1:21" x14ac:dyDescent="0.25">
      <c r="A87" s="9" t="s">
        <v>22</v>
      </c>
      <c r="B87" s="9" t="s">
        <v>62</v>
      </c>
      <c r="C87" s="9" t="s">
        <v>0</v>
      </c>
      <c r="D87" s="9" t="s">
        <v>0</v>
      </c>
      <c r="E87" s="9" t="s">
        <v>0</v>
      </c>
      <c r="F87" s="9" t="s">
        <v>63</v>
      </c>
      <c r="G87" s="9" t="s">
        <v>64</v>
      </c>
      <c r="H87" s="9" t="s">
        <v>0</v>
      </c>
      <c r="I87" s="9" t="s">
        <v>0</v>
      </c>
      <c r="J87" s="9"/>
      <c r="K87" s="9" t="s">
        <v>0</v>
      </c>
      <c r="L87" s="9" t="s">
        <v>0</v>
      </c>
      <c r="M87" s="11">
        <v>0</v>
      </c>
      <c r="N87" s="9" t="s">
        <v>65</v>
      </c>
      <c r="O87" s="9" t="s">
        <v>66</v>
      </c>
      <c r="P87" s="9" t="s">
        <v>0</v>
      </c>
      <c r="Q87" s="11">
        <v>50</v>
      </c>
      <c r="R87" s="9"/>
      <c r="S87" s="9" t="s">
        <v>0</v>
      </c>
      <c r="T87" s="9" t="s">
        <v>0</v>
      </c>
      <c r="U87" s="9"/>
    </row>
    <row r="88" spans="1:21" x14ac:dyDescent="0.25">
      <c r="A88" s="10" t="s">
        <v>22</v>
      </c>
      <c r="B88" s="10" t="s">
        <v>62</v>
      </c>
      <c r="C88" s="10" t="s">
        <v>0</v>
      </c>
      <c r="D88" s="10" t="s">
        <v>0</v>
      </c>
      <c r="E88" s="10" t="s">
        <v>0</v>
      </c>
      <c r="F88" s="10" t="s">
        <v>63</v>
      </c>
      <c r="G88" s="10" t="s">
        <v>64</v>
      </c>
      <c r="H88" s="10" t="s">
        <v>0</v>
      </c>
      <c r="I88" s="10" t="s">
        <v>0</v>
      </c>
      <c r="J88" s="10"/>
      <c r="K88" s="10" t="s">
        <v>0</v>
      </c>
      <c r="L88" s="10" t="s">
        <v>0</v>
      </c>
      <c r="M88" s="12">
        <v>0</v>
      </c>
      <c r="N88" s="10" t="s">
        <v>65</v>
      </c>
      <c r="O88" s="10" t="s">
        <v>66</v>
      </c>
      <c r="P88" s="10" t="s">
        <v>0</v>
      </c>
      <c r="Q88" s="12">
        <v>50</v>
      </c>
      <c r="R88" s="10"/>
      <c r="S88" s="10" t="s">
        <v>0</v>
      </c>
      <c r="T88" s="10" t="s">
        <v>0</v>
      </c>
      <c r="U88" s="10"/>
    </row>
    <row r="89" spans="1:21" x14ac:dyDescent="0.25">
      <c r="A89" s="9" t="s">
        <v>22</v>
      </c>
      <c r="B89" s="9" t="s">
        <v>62</v>
      </c>
      <c r="C89" s="9" t="s">
        <v>0</v>
      </c>
      <c r="D89" s="9" t="s">
        <v>0</v>
      </c>
      <c r="E89" s="9" t="s">
        <v>0</v>
      </c>
      <c r="F89" s="9" t="s">
        <v>63</v>
      </c>
      <c r="G89" s="9" t="s">
        <v>64</v>
      </c>
      <c r="H89" s="9" t="s">
        <v>0</v>
      </c>
      <c r="I89" s="9" t="s">
        <v>0</v>
      </c>
      <c r="J89" s="9"/>
      <c r="K89" s="9" t="s">
        <v>0</v>
      </c>
      <c r="L89" s="9" t="s">
        <v>0</v>
      </c>
      <c r="M89" s="11">
        <v>0</v>
      </c>
      <c r="N89" s="9" t="s">
        <v>65</v>
      </c>
      <c r="O89" s="9" t="s">
        <v>66</v>
      </c>
      <c r="P89" s="9" t="s">
        <v>0</v>
      </c>
      <c r="Q89" s="11">
        <v>50</v>
      </c>
      <c r="R89" s="9"/>
      <c r="S89" s="9" t="s">
        <v>0</v>
      </c>
      <c r="T89" s="9" t="s">
        <v>0</v>
      </c>
      <c r="U89" s="9"/>
    </row>
    <row r="90" spans="1:21" x14ac:dyDescent="0.25">
      <c r="A90" s="10" t="s">
        <v>22</v>
      </c>
      <c r="B90" s="10" t="s">
        <v>62</v>
      </c>
      <c r="C90" s="10" t="s">
        <v>0</v>
      </c>
      <c r="D90" s="10" t="s">
        <v>0</v>
      </c>
      <c r="E90" s="10" t="s">
        <v>0</v>
      </c>
      <c r="F90" s="10" t="s">
        <v>63</v>
      </c>
      <c r="G90" s="10" t="s">
        <v>64</v>
      </c>
      <c r="H90" s="10" t="s">
        <v>0</v>
      </c>
      <c r="I90" s="10" t="s">
        <v>0</v>
      </c>
      <c r="J90" s="10"/>
      <c r="K90" s="10" t="s">
        <v>0</v>
      </c>
      <c r="L90" s="10" t="s">
        <v>0</v>
      </c>
      <c r="M90" s="12">
        <v>0</v>
      </c>
      <c r="N90" s="10" t="s">
        <v>65</v>
      </c>
      <c r="O90" s="10" t="s">
        <v>66</v>
      </c>
      <c r="P90" s="10" t="s">
        <v>0</v>
      </c>
      <c r="Q90" s="12">
        <v>50</v>
      </c>
      <c r="R90" s="10"/>
      <c r="S90" s="10" t="s">
        <v>0</v>
      </c>
      <c r="T90" s="10" t="s">
        <v>0</v>
      </c>
      <c r="U90" s="10"/>
    </row>
    <row r="91" spans="1:21" x14ac:dyDescent="0.25">
      <c r="A91" s="9" t="s">
        <v>22</v>
      </c>
      <c r="B91" s="9" t="s">
        <v>62</v>
      </c>
      <c r="C91" s="9" t="s">
        <v>0</v>
      </c>
      <c r="D91" s="9" t="s">
        <v>0</v>
      </c>
      <c r="E91" s="9" t="s">
        <v>0</v>
      </c>
      <c r="F91" s="9" t="s">
        <v>63</v>
      </c>
      <c r="G91" s="9" t="s">
        <v>64</v>
      </c>
      <c r="H91" s="9" t="s">
        <v>0</v>
      </c>
      <c r="I91" s="9" t="s">
        <v>0</v>
      </c>
      <c r="J91" s="9"/>
      <c r="K91" s="9" t="s">
        <v>0</v>
      </c>
      <c r="L91" s="9" t="s">
        <v>0</v>
      </c>
      <c r="M91" s="11">
        <v>0</v>
      </c>
      <c r="N91" s="9" t="s">
        <v>65</v>
      </c>
      <c r="O91" s="9" t="s">
        <v>66</v>
      </c>
      <c r="P91" s="9" t="s">
        <v>0</v>
      </c>
      <c r="Q91" s="11">
        <v>50</v>
      </c>
      <c r="R91" s="9"/>
      <c r="S91" s="9" t="s">
        <v>0</v>
      </c>
      <c r="T91" s="9" t="s">
        <v>0</v>
      </c>
      <c r="U91" s="9"/>
    </row>
    <row r="92" spans="1:21" x14ac:dyDescent="0.25">
      <c r="A92" s="10" t="s">
        <v>22</v>
      </c>
      <c r="B92" s="10" t="s">
        <v>62</v>
      </c>
      <c r="C92" s="10" t="s">
        <v>0</v>
      </c>
      <c r="D92" s="10" t="s">
        <v>0</v>
      </c>
      <c r="E92" s="10" t="s">
        <v>0</v>
      </c>
      <c r="F92" s="10" t="s">
        <v>63</v>
      </c>
      <c r="G92" s="10" t="s">
        <v>64</v>
      </c>
      <c r="H92" s="10" t="s">
        <v>0</v>
      </c>
      <c r="I92" s="10" t="s">
        <v>0</v>
      </c>
      <c r="J92" s="10"/>
      <c r="K92" s="10" t="s">
        <v>0</v>
      </c>
      <c r="L92" s="10" t="s">
        <v>0</v>
      </c>
      <c r="M92" s="12">
        <v>0</v>
      </c>
      <c r="N92" s="10" t="s">
        <v>65</v>
      </c>
      <c r="O92" s="10" t="s">
        <v>66</v>
      </c>
      <c r="P92" s="10" t="s">
        <v>0</v>
      </c>
      <c r="Q92" s="12">
        <v>50</v>
      </c>
      <c r="R92" s="10"/>
      <c r="S92" s="10" t="s">
        <v>0</v>
      </c>
      <c r="T92" s="10" t="s">
        <v>0</v>
      </c>
      <c r="U92" s="10"/>
    </row>
    <row r="93" spans="1:21" x14ac:dyDescent="0.25">
      <c r="A93" s="9" t="s">
        <v>21</v>
      </c>
      <c r="B93" s="9" t="s">
        <v>67</v>
      </c>
      <c r="C93" s="9" t="s">
        <v>225</v>
      </c>
      <c r="D93" s="9" t="s">
        <v>226</v>
      </c>
      <c r="E93" s="9" t="s">
        <v>227</v>
      </c>
      <c r="F93" s="9" t="s">
        <v>228</v>
      </c>
      <c r="G93" s="9" t="s">
        <v>106</v>
      </c>
      <c r="H93" s="9" t="s">
        <v>229</v>
      </c>
      <c r="I93" s="9" t="s">
        <v>124</v>
      </c>
      <c r="J93" s="9" t="s">
        <v>230</v>
      </c>
      <c r="K93" s="9" t="s">
        <v>145</v>
      </c>
      <c r="L93" s="9" t="s">
        <v>99</v>
      </c>
      <c r="M93" s="11">
        <v>155.94</v>
      </c>
      <c r="N93" s="9" t="s">
        <v>65</v>
      </c>
      <c r="O93" s="9" t="s">
        <v>231</v>
      </c>
      <c r="P93" s="9" t="s">
        <v>78</v>
      </c>
      <c r="Q93" s="11">
        <v>40.54</v>
      </c>
      <c r="R93" s="9" t="s">
        <v>79</v>
      </c>
      <c r="S93" s="9" t="s">
        <v>0</v>
      </c>
      <c r="T93" s="9" t="s">
        <v>0</v>
      </c>
      <c r="U93" s="9" t="s">
        <v>232</v>
      </c>
    </row>
    <row r="94" spans="1:21" x14ac:dyDescent="0.25">
      <c r="A94" s="10" t="s">
        <v>22</v>
      </c>
      <c r="B94" s="10" t="s">
        <v>62</v>
      </c>
      <c r="C94" s="10" t="s">
        <v>0</v>
      </c>
      <c r="D94" s="10" t="s">
        <v>0</v>
      </c>
      <c r="E94" s="10" t="s">
        <v>0</v>
      </c>
      <c r="F94" s="10" t="s">
        <v>63</v>
      </c>
      <c r="G94" s="10" t="s">
        <v>64</v>
      </c>
      <c r="H94" s="10" t="s">
        <v>0</v>
      </c>
      <c r="I94" s="10" t="s">
        <v>0</v>
      </c>
      <c r="J94" s="10"/>
      <c r="K94" s="10" t="s">
        <v>0</v>
      </c>
      <c r="L94" s="10" t="s">
        <v>0</v>
      </c>
      <c r="M94" s="12">
        <v>0</v>
      </c>
      <c r="N94" s="10" t="s">
        <v>65</v>
      </c>
      <c r="O94" s="10" t="s">
        <v>66</v>
      </c>
      <c r="P94" s="10" t="s">
        <v>0</v>
      </c>
      <c r="Q94" s="12">
        <v>50</v>
      </c>
      <c r="R94" s="10"/>
      <c r="S94" s="10" t="s">
        <v>0</v>
      </c>
      <c r="T94" s="10" t="s">
        <v>0</v>
      </c>
      <c r="U94" s="10"/>
    </row>
    <row r="95" spans="1:21" x14ac:dyDescent="0.25">
      <c r="A95" s="9" t="s">
        <v>22</v>
      </c>
      <c r="B95" s="9" t="s">
        <v>62</v>
      </c>
      <c r="C95" s="9" t="s">
        <v>0</v>
      </c>
      <c r="D95" s="9" t="s">
        <v>0</v>
      </c>
      <c r="E95" s="9" t="s">
        <v>0</v>
      </c>
      <c r="F95" s="9" t="s">
        <v>63</v>
      </c>
      <c r="G95" s="9" t="s">
        <v>64</v>
      </c>
      <c r="H95" s="9" t="s">
        <v>0</v>
      </c>
      <c r="I95" s="9" t="s">
        <v>0</v>
      </c>
      <c r="J95" s="9"/>
      <c r="K95" s="9" t="s">
        <v>0</v>
      </c>
      <c r="L95" s="9" t="s">
        <v>0</v>
      </c>
      <c r="M95" s="11">
        <v>0</v>
      </c>
      <c r="N95" s="9" t="s">
        <v>65</v>
      </c>
      <c r="O95" s="9" t="s">
        <v>66</v>
      </c>
      <c r="P95" s="9" t="s">
        <v>0</v>
      </c>
      <c r="Q95" s="11">
        <v>50</v>
      </c>
      <c r="R95" s="9"/>
      <c r="S95" s="9" t="s">
        <v>0</v>
      </c>
      <c r="T95" s="9" t="s">
        <v>0</v>
      </c>
      <c r="U95" s="9"/>
    </row>
    <row r="96" spans="1:21" x14ac:dyDescent="0.25">
      <c r="A96" s="10" t="s">
        <v>22</v>
      </c>
      <c r="B96" s="10" t="s">
        <v>62</v>
      </c>
      <c r="C96" s="10" t="s">
        <v>0</v>
      </c>
      <c r="D96" s="10" t="s">
        <v>0</v>
      </c>
      <c r="E96" s="10" t="s">
        <v>0</v>
      </c>
      <c r="F96" s="10" t="s">
        <v>63</v>
      </c>
      <c r="G96" s="10" t="s">
        <v>64</v>
      </c>
      <c r="H96" s="10" t="s">
        <v>0</v>
      </c>
      <c r="I96" s="10" t="s">
        <v>0</v>
      </c>
      <c r="J96" s="10"/>
      <c r="K96" s="10" t="s">
        <v>0</v>
      </c>
      <c r="L96" s="10" t="s">
        <v>0</v>
      </c>
      <c r="M96" s="12">
        <v>0</v>
      </c>
      <c r="N96" s="10" t="s">
        <v>65</v>
      </c>
      <c r="O96" s="10" t="s">
        <v>66</v>
      </c>
      <c r="P96" s="10" t="s">
        <v>0</v>
      </c>
      <c r="Q96" s="12">
        <v>50</v>
      </c>
      <c r="R96" s="10"/>
      <c r="S96" s="10" t="s">
        <v>0</v>
      </c>
      <c r="T96" s="10" t="s">
        <v>0</v>
      </c>
      <c r="U96" s="10"/>
    </row>
    <row r="97" spans="1:21" x14ac:dyDescent="0.25">
      <c r="A97" s="9" t="s">
        <v>22</v>
      </c>
      <c r="B97" s="9" t="s">
        <v>62</v>
      </c>
      <c r="C97" s="9" t="s">
        <v>0</v>
      </c>
      <c r="D97" s="9" t="s">
        <v>0</v>
      </c>
      <c r="E97" s="9" t="s">
        <v>0</v>
      </c>
      <c r="F97" s="9" t="s">
        <v>63</v>
      </c>
      <c r="G97" s="9" t="s">
        <v>64</v>
      </c>
      <c r="H97" s="9" t="s">
        <v>0</v>
      </c>
      <c r="I97" s="9" t="s">
        <v>0</v>
      </c>
      <c r="J97" s="9"/>
      <c r="K97" s="9" t="s">
        <v>0</v>
      </c>
      <c r="L97" s="9" t="s">
        <v>0</v>
      </c>
      <c r="M97" s="11">
        <v>0</v>
      </c>
      <c r="N97" s="9" t="s">
        <v>65</v>
      </c>
      <c r="O97" s="9" t="s">
        <v>66</v>
      </c>
      <c r="P97" s="9" t="s">
        <v>0</v>
      </c>
      <c r="Q97" s="11">
        <v>50</v>
      </c>
      <c r="R97" s="9"/>
      <c r="S97" s="9" t="s">
        <v>0</v>
      </c>
      <c r="T97" s="9" t="s">
        <v>0</v>
      </c>
      <c r="U97" s="9"/>
    </row>
    <row r="98" spans="1:21" x14ac:dyDescent="0.25">
      <c r="A98" s="10" t="s">
        <v>22</v>
      </c>
      <c r="B98" s="10" t="s">
        <v>62</v>
      </c>
      <c r="C98" s="10" t="s">
        <v>0</v>
      </c>
      <c r="D98" s="10" t="s">
        <v>0</v>
      </c>
      <c r="E98" s="10" t="s">
        <v>0</v>
      </c>
      <c r="F98" s="10" t="s">
        <v>63</v>
      </c>
      <c r="G98" s="10" t="s">
        <v>64</v>
      </c>
      <c r="H98" s="10" t="s">
        <v>0</v>
      </c>
      <c r="I98" s="10" t="s">
        <v>0</v>
      </c>
      <c r="J98" s="10"/>
      <c r="K98" s="10" t="s">
        <v>0</v>
      </c>
      <c r="L98" s="10" t="s">
        <v>0</v>
      </c>
      <c r="M98" s="12">
        <v>0</v>
      </c>
      <c r="N98" s="10" t="s">
        <v>65</v>
      </c>
      <c r="O98" s="10" t="s">
        <v>66</v>
      </c>
      <c r="P98" s="10" t="s">
        <v>0</v>
      </c>
      <c r="Q98" s="12">
        <v>50</v>
      </c>
      <c r="R98" s="10"/>
      <c r="S98" s="10" t="s">
        <v>0</v>
      </c>
      <c r="T98" s="10" t="s">
        <v>0</v>
      </c>
      <c r="U98" s="10"/>
    </row>
    <row r="99" spans="1:21" x14ac:dyDescent="0.25">
      <c r="A99" s="9" t="s">
        <v>22</v>
      </c>
      <c r="B99" s="9" t="s">
        <v>62</v>
      </c>
      <c r="C99" s="9" t="s">
        <v>0</v>
      </c>
      <c r="D99" s="9" t="s">
        <v>0</v>
      </c>
      <c r="E99" s="9" t="s">
        <v>0</v>
      </c>
      <c r="F99" s="9" t="s">
        <v>63</v>
      </c>
      <c r="G99" s="9" t="s">
        <v>64</v>
      </c>
      <c r="H99" s="9" t="s">
        <v>0</v>
      </c>
      <c r="I99" s="9" t="s">
        <v>0</v>
      </c>
      <c r="J99" s="9"/>
      <c r="K99" s="9" t="s">
        <v>0</v>
      </c>
      <c r="L99" s="9" t="s">
        <v>0</v>
      </c>
      <c r="M99" s="11">
        <v>0</v>
      </c>
      <c r="N99" s="9" t="s">
        <v>65</v>
      </c>
      <c r="O99" s="9" t="s">
        <v>66</v>
      </c>
      <c r="P99" s="9" t="s">
        <v>0</v>
      </c>
      <c r="Q99" s="11">
        <v>50</v>
      </c>
      <c r="R99" s="9"/>
      <c r="S99" s="9" t="s">
        <v>0</v>
      </c>
      <c r="T99" s="9" t="s">
        <v>0</v>
      </c>
      <c r="U99" s="9"/>
    </row>
    <row r="100" spans="1:21" x14ac:dyDescent="0.25">
      <c r="A100" s="10" t="s">
        <v>22</v>
      </c>
      <c r="B100" s="10" t="s">
        <v>62</v>
      </c>
      <c r="C100" s="10" t="s">
        <v>0</v>
      </c>
      <c r="D100" s="10" t="s">
        <v>0</v>
      </c>
      <c r="E100" s="10" t="s">
        <v>0</v>
      </c>
      <c r="F100" s="10" t="s">
        <v>63</v>
      </c>
      <c r="G100" s="10" t="s">
        <v>64</v>
      </c>
      <c r="H100" s="10" t="s">
        <v>0</v>
      </c>
      <c r="I100" s="10" t="s">
        <v>0</v>
      </c>
      <c r="J100" s="10"/>
      <c r="K100" s="10" t="s">
        <v>0</v>
      </c>
      <c r="L100" s="10" t="s">
        <v>0</v>
      </c>
      <c r="M100" s="12">
        <v>0</v>
      </c>
      <c r="N100" s="10" t="s">
        <v>65</v>
      </c>
      <c r="O100" s="10" t="s">
        <v>66</v>
      </c>
      <c r="P100" s="10" t="s">
        <v>0</v>
      </c>
      <c r="Q100" s="12">
        <v>50</v>
      </c>
      <c r="R100" s="10"/>
      <c r="S100" s="10" t="s">
        <v>0</v>
      </c>
      <c r="T100" s="10" t="s">
        <v>0</v>
      </c>
      <c r="U100" s="10"/>
    </row>
    <row r="101" spans="1:21" x14ac:dyDescent="0.25">
      <c r="A101" s="9" t="s">
        <v>22</v>
      </c>
      <c r="B101" s="9" t="s">
        <v>62</v>
      </c>
      <c r="C101" s="9" t="s">
        <v>0</v>
      </c>
      <c r="D101" s="9" t="s">
        <v>0</v>
      </c>
      <c r="E101" s="9" t="s">
        <v>0</v>
      </c>
      <c r="F101" s="9" t="s">
        <v>63</v>
      </c>
      <c r="G101" s="9" t="s">
        <v>64</v>
      </c>
      <c r="H101" s="9" t="s">
        <v>0</v>
      </c>
      <c r="I101" s="9" t="s">
        <v>0</v>
      </c>
      <c r="J101" s="9"/>
      <c r="K101" s="9" t="s">
        <v>0</v>
      </c>
      <c r="L101" s="9" t="s">
        <v>0</v>
      </c>
      <c r="M101" s="11">
        <v>0</v>
      </c>
      <c r="N101" s="9" t="s">
        <v>65</v>
      </c>
      <c r="O101" s="9" t="s">
        <v>66</v>
      </c>
      <c r="P101" s="9" t="s">
        <v>0</v>
      </c>
      <c r="Q101" s="11">
        <v>50</v>
      </c>
      <c r="R101" s="9"/>
      <c r="S101" s="9" t="s">
        <v>0</v>
      </c>
      <c r="T101" s="9" t="s">
        <v>0</v>
      </c>
      <c r="U101" s="9"/>
    </row>
    <row r="102" spans="1:21" x14ac:dyDescent="0.25">
      <c r="A102" s="10" t="s">
        <v>22</v>
      </c>
      <c r="B102" s="10" t="s">
        <v>62</v>
      </c>
      <c r="C102" s="10" t="s">
        <v>0</v>
      </c>
      <c r="D102" s="10" t="s">
        <v>0</v>
      </c>
      <c r="E102" s="10" t="s">
        <v>0</v>
      </c>
      <c r="F102" s="10" t="s">
        <v>63</v>
      </c>
      <c r="G102" s="10" t="s">
        <v>64</v>
      </c>
      <c r="H102" s="10" t="s">
        <v>0</v>
      </c>
      <c r="I102" s="10" t="s">
        <v>0</v>
      </c>
      <c r="J102" s="10"/>
      <c r="K102" s="10" t="s">
        <v>0</v>
      </c>
      <c r="L102" s="10" t="s">
        <v>0</v>
      </c>
      <c r="M102" s="12">
        <v>0</v>
      </c>
      <c r="N102" s="10" t="s">
        <v>65</v>
      </c>
      <c r="O102" s="10" t="s">
        <v>66</v>
      </c>
      <c r="P102" s="10" t="s">
        <v>0</v>
      </c>
      <c r="Q102" s="12">
        <v>50</v>
      </c>
      <c r="R102" s="10"/>
      <c r="S102" s="10" t="s">
        <v>0</v>
      </c>
      <c r="T102" s="10" t="s">
        <v>0</v>
      </c>
      <c r="U102" s="10"/>
    </row>
    <row r="103" spans="1:21" x14ac:dyDescent="0.25">
      <c r="A103" s="9" t="s">
        <v>22</v>
      </c>
      <c r="B103" s="9" t="s">
        <v>62</v>
      </c>
      <c r="C103" s="9" t="s">
        <v>0</v>
      </c>
      <c r="D103" s="9" t="s">
        <v>0</v>
      </c>
      <c r="E103" s="9" t="s">
        <v>0</v>
      </c>
      <c r="F103" s="9" t="s">
        <v>63</v>
      </c>
      <c r="G103" s="9" t="s">
        <v>64</v>
      </c>
      <c r="H103" s="9" t="s">
        <v>0</v>
      </c>
      <c r="I103" s="9" t="s">
        <v>0</v>
      </c>
      <c r="J103" s="9"/>
      <c r="K103" s="9" t="s">
        <v>0</v>
      </c>
      <c r="L103" s="9" t="s">
        <v>0</v>
      </c>
      <c r="M103" s="11">
        <v>0</v>
      </c>
      <c r="N103" s="9" t="s">
        <v>65</v>
      </c>
      <c r="O103" s="9" t="s">
        <v>66</v>
      </c>
      <c r="P103" s="9" t="s">
        <v>0</v>
      </c>
      <c r="Q103" s="11">
        <v>50</v>
      </c>
      <c r="R103" s="9"/>
      <c r="S103" s="9" t="s">
        <v>0</v>
      </c>
      <c r="T103" s="9" t="s">
        <v>0</v>
      </c>
      <c r="U103" s="9"/>
    </row>
    <row r="104" spans="1:21" x14ac:dyDescent="0.25">
      <c r="A104" s="10" t="s">
        <v>22</v>
      </c>
      <c r="B104" s="10" t="s">
        <v>62</v>
      </c>
      <c r="C104" s="10" t="s">
        <v>0</v>
      </c>
      <c r="D104" s="10" t="s">
        <v>0</v>
      </c>
      <c r="E104" s="10" t="s">
        <v>0</v>
      </c>
      <c r="F104" s="10" t="s">
        <v>63</v>
      </c>
      <c r="G104" s="10" t="s">
        <v>64</v>
      </c>
      <c r="H104" s="10" t="s">
        <v>0</v>
      </c>
      <c r="I104" s="10" t="s">
        <v>0</v>
      </c>
      <c r="J104" s="10"/>
      <c r="K104" s="10" t="s">
        <v>0</v>
      </c>
      <c r="L104" s="10" t="s">
        <v>0</v>
      </c>
      <c r="M104" s="12">
        <v>0</v>
      </c>
      <c r="N104" s="10" t="s">
        <v>65</v>
      </c>
      <c r="O104" s="10" t="s">
        <v>66</v>
      </c>
      <c r="P104" s="10" t="s">
        <v>0</v>
      </c>
      <c r="Q104" s="12">
        <v>50</v>
      </c>
      <c r="R104" s="10"/>
      <c r="S104" s="10" t="s">
        <v>0</v>
      </c>
      <c r="T104" s="10" t="s">
        <v>0</v>
      </c>
      <c r="U104" s="10"/>
    </row>
    <row r="105" spans="1:21" x14ac:dyDescent="0.25">
      <c r="A105" s="9" t="s">
        <v>22</v>
      </c>
      <c r="B105" s="9" t="s">
        <v>62</v>
      </c>
      <c r="C105" s="9" t="s">
        <v>0</v>
      </c>
      <c r="D105" s="9" t="s">
        <v>0</v>
      </c>
      <c r="E105" s="9" t="s">
        <v>0</v>
      </c>
      <c r="F105" s="9" t="s">
        <v>63</v>
      </c>
      <c r="G105" s="9" t="s">
        <v>64</v>
      </c>
      <c r="H105" s="9" t="s">
        <v>0</v>
      </c>
      <c r="I105" s="9" t="s">
        <v>0</v>
      </c>
      <c r="J105" s="9"/>
      <c r="K105" s="9" t="s">
        <v>0</v>
      </c>
      <c r="L105" s="9" t="s">
        <v>0</v>
      </c>
      <c r="M105" s="11">
        <v>0</v>
      </c>
      <c r="N105" s="9" t="s">
        <v>65</v>
      </c>
      <c r="O105" s="9" t="s">
        <v>66</v>
      </c>
      <c r="P105" s="9" t="s">
        <v>0</v>
      </c>
      <c r="Q105" s="11">
        <v>50</v>
      </c>
      <c r="R105" s="9"/>
      <c r="S105" s="9" t="s">
        <v>0</v>
      </c>
      <c r="T105" s="9" t="s">
        <v>0</v>
      </c>
      <c r="U105" s="9"/>
    </row>
    <row r="106" spans="1:21" x14ac:dyDescent="0.25">
      <c r="A106" s="10" t="s">
        <v>22</v>
      </c>
      <c r="B106" s="10" t="s">
        <v>200</v>
      </c>
      <c r="C106" s="10" t="s">
        <v>81</v>
      </c>
      <c r="D106" s="10" t="s">
        <v>82</v>
      </c>
      <c r="E106" s="10" t="s">
        <v>201</v>
      </c>
      <c r="F106" s="10" t="s">
        <v>233</v>
      </c>
      <c r="G106" s="10" t="s">
        <v>72</v>
      </c>
      <c r="H106" s="10" t="s">
        <v>203</v>
      </c>
      <c r="I106" s="10" t="s">
        <v>87</v>
      </c>
      <c r="J106" s="10" t="s">
        <v>115</v>
      </c>
      <c r="K106" s="10" t="s">
        <v>205</v>
      </c>
      <c r="L106" s="10" t="s">
        <v>206</v>
      </c>
      <c r="M106" s="12">
        <v>-45.62</v>
      </c>
      <c r="N106" s="10" t="s">
        <v>65</v>
      </c>
      <c r="O106" s="10" t="s">
        <v>91</v>
      </c>
      <c r="P106" s="10" t="s">
        <v>78</v>
      </c>
      <c r="Q106" s="12">
        <v>-43.34</v>
      </c>
      <c r="R106" s="10" t="s">
        <v>79</v>
      </c>
      <c r="S106" s="10" t="s">
        <v>0</v>
      </c>
      <c r="T106" s="10" t="s">
        <v>0</v>
      </c>
      <c r="U106" s="10" t="s">
        <v>118</v>
      </c>
    </row>
    <row r="107" spans="1:21" x14ac:dyDescent="0.25">
      <c r="A107" s="9" t="s">
        <v>22</v>
      </c>
      <c r="B107" s="9" t="s">
        <v>62</v>
      </c>
      <c r="C107" s="9" t="s">
        <v>0</v>
      </c>
      <c r="D107" s="9" t="s">
        <v>0</v>
      </c>
      <c r="E107" s="9" t="s">
        <v>0</v>
      </c>
      <c r="F107" s="9" t="s">
        <v>63</v>
      </c>
      <c r="G107" s="9" t="s">
        <v>64</v>
      </c>
      <c r="H107" s="9" t="s">
        <v>0</v>
      </c>
      <c r="I107" s="9" t="s">
        <v>0</v>
      </c>
      <c r="J107" s="9"/>
      <c r="K107" s="9" t="s">
        <v>0</v>
      </c>
      <c r="L107" s="9" t="s">
        <v>0</v>
      </c>
      <c r="M107" s="11">
        <v>0</v>
      </c>
      <c r="N107" s="9" t="s">
        <v>65</v>
      </c>
      <c r="O107" s="9" t="s">
        <v>66</v>
      </c>
      <c r="P107" s="9" t="s">
        <v>0</v>
      </c>
      <c r="Q107" s="11">
        <v>50</v>
      </c>
      <c r="R107" s="9"/>
      <c r="S107" s="9" t="s">
        <v>0</v>
      </c>
      <c r="T107" s="9" t="s">
        <v>0</v>
      </c>
      <c r="U107" s="9"/>
    </row>
    <row r="108" spans="1:21" x14ac:dyDescent="0.25">
      <c r="A108" s="10" t="s">
        <v>22</v>
      </c>
      <c r="B108" s="10" t="s">
        <v>67</v>
      </c>
      <c r="C108" s="10" t="s">
        <v>68</v>
      </c>
      <c r="D108" s="10" t="s">
        <v>69</v>
      </c>
      <c r="E108" s="10" t="s">
        <v>234</v>
      </c>
      <c r="F108" s="10" t="s">
        <v>235</v>
      </c>
      <c r="G108" s="10" t="s">
        <v>85</v>
      </c>
      <c r="H108" s="10" t="s">
        <v>236</v>
      </c>
      <c r="I108" s="10" t="s">
        <v>192</v>
      </c>
      <c r="J108" s="10" t="s">
        <v>75</v>
      </c>
      <c r="K108" s="10" t="s">
        <v>236</v>
      </c>
      <c r="L108" s="10" t="s">
        <v>199</v>
      </c>
      <c r="M108" s="12">
        <v>28.83</v>
      </c>
      <c r="N108" s="10" t="s">
        <v>65</v>
      </c>
      <c r="O108" s="10" t="s">
        <v>111</v>
      </c>
      <c r="P108" s="10" t="s">
        <v>78</v>
      </c>
      <c r="Q108" s="12">
        <v>17.3</v>
      </c>
      <c r="R108" s="10" t="s">
        <v>79</v>
      </c>
      <c r="S108" s="10" t="s">
        <v>0</v>
      </c>
      <c r="T108" s="10" t="s">
        <v>0</v>
      </c>
      <c r="U108" s="10" t="s">
        <v>80</v>
      </c>
    </row>
    <row r="109" spans="1:21" x14ac:dyDescent="0.25">
      <c r="A109" s="9" t="s">
        <v>22</v>
      </c>
      <c r="B109" s="9" t="s">
        <v>67</v>
      </c>
      <c r="C109" s="9" t="s">
        <v>68</v>
      </c>
      <c r="D109" s="9" t="s">
        <v>69</v>
      </c>
      <c r="E109" s="9" t="s">
        <v>234</v>
      </c>
      <c r="F109" s="9" t="s">
        <v>235</v>
      </c>
      <c r="G109" s="9" t="s">
        <v>85</v>
      </c>
      <c r="H109" s="9" t="s">
        <v>236</v>
      </c>
      <c r="I109" s="9" t="s">
        <v>192</v>
      </c>
      <c r="J109" s="9" t="s">
        <v>75</v>
      </c>
      <c r="K109" s="9" t="s">
        <v>236</v>
      </c>
      <c r="L109" s="9" t="s">
        <v>199</v>
      </c>
      <c r="M109" s="11">
        <v>16.8</v>
      </c>
      <c r="N109" s="9" t="s">
        <v>65</v>
      </c>
      <c r="O109" s="9" t="s">
        <v>111</v>
      </c>
      <c r="P109" s="9" t="s">
        <v>78</v>
      </c>
      <c r="Q109" s="11">
        <v>10.08</v>
      </c>
      <c r="R109" s="9" t="s">
        <v>79</v>
      </c>
      <c r="S109" s="9" t="s">
        <v>0</v>
      </c>
      <c r="T109" s="9" t="s">
        <v>0</v>
      </c>
      <c r="U109" s="9" t="s">
        <v>80</v>
      </c>
    </row>
    <row r="110" spans="1:21" x14ac:dyDescent="0.25">
      <c r="A110" s="10" t="s">
        <v>22</v>
      </c>
      <c r="B110" s="10" t="s">
        <v>67</v>
      </c>
      <c r="C110" s="10" t="s">
        <v>68</v>
      </c>
      <c r="D110" s="10" t="s">
        <v>69</v>
      </c>
      <c r="E110" s="10" t="s">
        <v>234</v>
      </c>
      <c r="F110" s="10" t="s">
        <v>235</v>
      </c>
      <c r="G110" s="10" t="s">
        <v>85</v>
      </c>
      <c r="H110" s="10" t="s">
        <v>236</v>
      </c>
      <c r="I110" s="10" t="s">
        <v>192</v>
      </c>
      <c r="J110" s="10" t="s">
        <v>75</v>
      </c>
      <c r="K110" s="10" t="s">
        <v>236</v>
      </c>
      <c r="L110" s="10" t="s">
        <v>199</v>
      </c>
      <c r="M110" s="12">
        <v>21.58</v>
      </c>
      <c r="N110" s="10" t="s">
        <v>65</v>
      </c>
      <c r="O110" s="10" t="s">
        <v>111</v>
      </c>
      <c r="P110" s="10" t="s">
        <v>78</v>
      </c>
      <c r="Q110" s="12">
        <v>12.95</v>
      </c>
      <c r="R110" s="10" t="s">
        <v>79</v>
      </c>
      <c r="S110" s="10" t="s">
        <v>0</v>
      </c>
      <c r="T110" s="10" t="s">
        <v>0</v>
      </c>
      <c r="U110" s="10" t="s">
        <v>80</v>
      </c>
    </row>
    <row r="111" spans="1:21" x14ac:dyDescent="0.25">
      <c r="A111" s="9" t="s">
        <v>22</v>
      </c>
      <c r="B111" s="9" t="s">
        <v>67</v>
      </c>
      <c r="C111" s="9" t="s">
        <v>68</v>
      </c>
      <c r="D111" s="9" t="s">
        <v>69</v>
      </c>
      <c r="E111" s="9" t="s">
        <v>234</v>
      </c>
      <c r="F111" s="9" t="s">
        <v>235</v>
      </c>
      <c r="G111" s="9" t="s">
        <v>85</v>
      </c>
      <c r="H111" s="9" t="s">
        <v>236</v>
      </c>
      <c r="I111" s="9" t="s">
        <v>192</v>
      </c>
      <c r="J111" s="9" t="s">
        <v>75</v>
      </c>
      <c r="K111" s="9" t="s">
        <v>236</v>
      </c>
      <c r="L111" s="9" t="s">
        <v>199</v>
      </c>
      <c r="M111" s="11">
        <v>32.380000000000003</v>
      </c>
      <c r="N111" s="9" t="s">
        <v>65</v>
      </c>
      <c r="O111" s="9" t="s">
        <v>111</v>
      </c>
      <c r="P111" s="9" t="s">
        <v>78</v>
      </c>
      <c r="Q111" s="11">
        <v>19.43</v>
      </c>
      <c r="R111" s="9" t="s">
        <v>79</v>
      </c>
      <c r="S111" s="9" t="s">
        <v>0</v>
      </c>
      <c r="T111" s="9" t="s">
        <v>0</v>
      </c>
      <c r="U111" s="9" t="s">
        <v>80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0062-3F21-4BE1-A151-28311E2E13EE}">
  <dimension ref="A1:P61"/>
  <sheetViews>
    <sheetView tabSelected="1" topLeftCell="C1" workbookViewId="0">
      <selection activeCell="H25" sqref="H1:H1048576"/>
    </sheetView>
  </sheetViews>
  <sheetFormatPr defaultRowHeight="15" x14ac:dyDescent="0.25"/>
  <cols>
    <col min="1" max="1" width="12" style="29" customWidth="1"/>
    <col min="2" max="2" width="19" style="29" customWidth="1"/>
    <col min="3" max="3" width="17" style="29" customWidth="1"/>
    <col min="4" max="4" width="23" style="29" customWidth="1"/>
    <col min="5" max="5" width="26" style="29" customWidth="1"/>
    <col min="6" max="6" width="11" style="29" customWidth="1"/>
    <col min="7" max="7" width="10" style="29" customWidth="1"/>
    <col min="8" max="9" width="21" style="29" customWidth="1"/>
    <col min="10" max="10" width="19.5703125" style="29" bestFit="1" customWidth="1"/>
    <col min="11" max="11" width="9.140625" style="29"/>
    <col min="12" max="12" width="9.7109375" style="29" bestFit="1" customWidth="1"/>
    <col min="13" max="13" width="19.7109375" style="29" bestFit="1" customWidth="1"/>
    <col min="14" max="14" width="9.140625" style="29"/>
    <col min="15" max="15" width="15.140625" style="29" bestFit="1" customWidth="1"/>
    <col min="16" max="16384" width="9.140625" style="29"/>
  </cols>
  <sheetData>
    <row r="1" spans="1:16" x14ac:dyDescent="0.25">
      <c r="A1" s="28" t="s">
        <v>41</v>
      </c>
      <c r="B1" s="28" t="s">
        <v>42</v>
      </c>
      <c r="C1" s="28" t="s">
        <v>46</v>
      </c>
      <c r="D1" s="28" t="s">
        <v>47</v>
      </c>
      <c r="E1" s="28" t="s">
        <v>53</v>
      </c>
      <c r="F1" s="28" t="s">
        <v>54</v>
      </c>
      <c r="G1" s="28" t="s">
        <v>55</v>
      </c>
      <c r="H1" s="28" t="s">
        <v>57</v>
      </c>
      <c r="I1" s="28"/>
    </row>
    <row r="2" spans="1:16" x14ac:dyDescent="0.25">
      <c r="A2" s="30" t="s">
        <v>22</v>
      </c>
      <c r="B2" s="30" t="s">
        <v>62</v>
      </c>
      <c r="C2" s="30" t="s">
        <v>63</v>
      </c>
      <c r="D2" s="30" t="s">
        <v>64</v>
      </c>
      <c r="E2" s="31">
        <v>0</v>
      </c>
      <c r="F2" s="30" t="s">
        <v>65</v>
      </c>
      <c r="G2" s="30" t="s">
        <v>66</v>
      </c>
      <c r="H2" s="31">
        <v>25</v>
      </c>
      <c r="I2" s="31" t="str">
        <f>CONCATENATE("-",H2)</f>
        <v>-25</v>
      </c>
      <c r="J2" s="29" t="s">
        <v>263</v>
      </c>
      <c r="K2" s="32">
        <v>25</v>
      </c>
      <c r="L2" s="33">
        <v>46163</v>
      </c>
      <c r="M2" s="29" t="s">
        <v>264</v>
      </c>
      <c r="N2" s="29">
        <v>7146581</v>
      </c>
      <c r="O2" s="29" t="s">
        <v>337</v>
      </c>
      <c r="P2" s="29" t="str">
        <f>CONCATENATE(O2," ",M2)</f>
        <v>Aetna Medsupp Bonus for CLI7540819</v>
      </c>
    </row>
    <row r="3" spans="1:16" x14ac:dyDescent="0.25">
      <c r="A3" s="30" t="s">
        <v>22</v>
      </c>
      <c r="B3" s="30" t="s">
        <v>62</v>
      </c>
      <c r="C3" s="30" t="s">
        <v>63</v>
      </c>
      <c r="D3" s="30" t="s">
        <v>64</v>
      </c>
      <c r="E3" s="31">
        <v>0</v>
      </c>
      <c r="F3" s="30" t="s">
        <v>65</v>
      </c>
      <c r="G3" s="30" t="s">
        <v>66</v>
      </c>
      <c r="H3" s="31">
        <v>50</v>
      </c>
      <c r="I3" s="31" t="str">
        <f t="shared" ref="I3:I61" si="0">CONCATENATE("-",H3)</f>
        <v>-50</v>
      </c>
      <c r="J3" s="29" t="s">
        <v>263</v>
      </c>
      <c r="K3" s="32">
        <v>50</v>
      </c>
      <c r="L3" s="33">
        <v>46163</v>
      </c>
      <c r="M3" s="29" t="s">
        <v>323</v>
      </c>
      <c r="N3" s="29">
        <v>7146581</v>
      </c>
      <c r="O3" s="29" t="s">
        <v>337</v>
      </c>
      <c r="P3" s="29" t="str">
        <f t="shared" ref="P3:P61" si="1">CONCATENATE(O3," ",M3)</f>
        <v>Aetna Medsupp Bonus for CLI7540820</v>
      </c>
    </row>
    <row r="4" spans="1:16" x14ac:dyDescent="0.25">
      <c r="A4" s="30" t="s">
        <v>22</v>
      </c>
      <c r="B4" s="30" t="s">
        <v>62</v>
      </c>
      <c r="C4" s="30" t="s">
        <v>63</v>
      </c>
      <c r="D4" s="30" t="s">
        <v>64</v>
      </c>
      <c r="E4" s="31">
        <v>0</v>
      </c>
      <c r="F4" s="30" t="s">
        <v>65</v>
      </c>
      <c r="G4" s="30" t="s">
        <v>66</v>
      </c>
      <c r="H4" s="31">
        <v>50</v>
      </c>
      <c r="I4" s="31" t="str">
        <f t="shared" si="0"/>
        <v>-50</v>
      </c>
      <c r="J4" s="29" t="s">
        <v>297</v>
      </c>
      <c r="K4" s="32">
        <v>50</v>
      </c>
      <c r="L4" s="33">
        <v>46163</v>
      </c>
      <c r="M4" s="29" t="s">
        <v>298</v>
      </c>
      <c r="N4" s="29">
        <v>17554531</v>
      </c>
      <c r="O4" s="29" t="s">
        <v>337</v>
      </c>
      <c r="P4" s="29" t="str">
        <f t="shared" si="1"/>
        <v>Aetna Medsupp Bonus for CLI7545731</v>
      </c>
    </row>
    <row r="5" spans="1:16" x14ac:dyDescent="0.25">
      <c r="A5" s="30" t="s">
        <v>22</v>
      </c>
      <c r="B5" s="30" t="s">
        <v>62</v>
      </c>
      <c r="C5" s="30" t="s">
        <v>63</v>
      </c>
      <c r="D5" s="30" t="s">
        <v>64</v>
      </c>
      <c r="E5" s="31">
        <v>0</v>
      </c>
      <c r="F5" s="30" t="s">
        <v>65</v>
      </c>
      <c r="G5" s="30" t="s">
        <v>66</v>
      </c>
      <c r="H5" s="31">
        <v>50</v>
      </c>
      <c r="I5" s="31" t="str">
        <f t="shared" si="0"/>
        <v>-50</v>
      </c>
      <c r="J5" s="29" t="s">
        <v>297</v>
      </c>
      <c r="K5" s="32">
        <v>50</v>
      </c>
      <c r="L5" s="33">
        <v>46163</v>
      </c>
      <c r="M5" s="29" t="s">
        <v>312</v>
      </c>
      <c r="N5" s="29">
        <v>17554531</v>
      </c>
      <c r="O5" s="29" t="s">
        <v>337</v>
      </c>
      <c r="P5" s="29" t="str">
        <f t="shared" si="1"/>
        <v>Aetna Medsupp Bonus for CLI7545730</v>
      </c>
    </row>
    <row r="6" spans="1:16" x14ac:dyDescent="0.25">
      <c r="A6" s="30" t="s">
        <v>22</v>
      </c>
      <c r="B6" s="30" t="s">
        <v>62</v>
      </c>
      <c r="C6" s="30" t="s">
        <v>63</v>
      </c>
      <c r="D6" s="30" t="s">
        <v>64</v>
      </c>
      <c r="E6" s="31">
        <v>0</v>
      </c>
      <c r="F6" s="30" t="s">
        <v>65</v>
      </c>
      <c r="G6" s="30" t="s">
        <v>66</v>
      </c>
      <c r="H6" s="31">
        <v>50</v>
      </c>
      <c r="I6" s="31" t="str">
        <f t="shared" si="0"/>
        <v>-50</v>
      </c>
      <c r="J6" s="29" t="s">
        <v>321</v>
      </c>
      <c r="K6" s="32">
        <v>50</v>
      </c>
      <c r="L6" s="33">
        <v>46163</v>
      </c>
      <c r="M6" s="29" t="s">
        <v>322</v>
      </c>
      <c r="N6" s="29">
        <v>20003537</v>
      </c>
      <c r="O6" s="29" t="s">
        <v>337</v>
      </c>
      <c r="P6" s="29" t="str">
        <f t="shared" si="1"/>
        <v>Aetna Medsupp Bonus for CLI7541700</v>
      </c>
    </row>
    <row r="7" spans="1:16" x14ac:dyDescent="0.25">
      <c r="A7" s="30" t="s">
        <v>22</v>
      </c>
      <c r="B7" s="30" t="s">
        <v>62</v>
      </c>
      <c r="C7" s="30" t="s">
        <v>63</v>
      </c>
      <c r="D7" s="30" t="s">
        <v>64</v>
      </c>
      <c r="E7" s="31">
        <v>0</v>
      </c>
      <c r="F7" s="30" t="s">
        <v>65</v>
      </c>
      <c r="G7" s="30" t="s">
        <v>66</v>
      </c>
      <c r="H7" s="31">
        <v>50</v>
      </c>
      <c r="I7" s="31" t="str">
        <f t="shared" si="0"/>
        <v>-50</v>
      </c>
      <c r="J7" s="29" t="s">
        <v>313</v>
      </c>
      <c r="K7" s="32">
        <v>50</v>
      </c>
      <c r="L7" s="33">
        <v>46163</v>
      </c>
      <c r="M7" s="29" t="s">
        <v>314</v>
      </c>
      <c r="N7" s="29">
        <v>8325282</v>
      </c>
      <c r="O7" s="29" t="s">
        <v>337</v>
      </c>
      <c r="P7" s="29" t="str">
        <f t="shared" si="1"/>
        <v>Aetna Medsupp Bonus for CLI7543828</v>
      </c>
    </row>
    <row r="8" spans="1:16" x14ac:dyDescent="0.25">
      <c r="A8" s="30" t="s">
        <v>22</v>
      </c>
      <c r="B8" s="30" t="s">
        <v>62</v>
      </c>
      <c r="C8" s="30" t="s">
        <v>63</v>
      </c>
      <c r="D8" s="30" t="s">
        <v>64</v>
      </c>
      <c r="E8" s="31">
        <v>0</v>
      </c>
      <c r="F8" s="30" t="s">
        <v>65</v>
      </c>
      <c r="G8" s="30" t="s">
        <v>66</v>
      </c>
      <c r="H8" s="31">
        <v>50</v>
      </c>
      <c r="I8" s="31" t="str">
        <f t="shared" si="0"/>
        <v>-50</v>
      </c>
      <c r="J8" s="29" t="s">
        <v>313</v>
      </c>
      <c r="K8" s="32">
        <v>50</v>
      </c>
      <c r="L8" s="33">
        <v>46163</v>
      </c>
      <c r="M8" s="29" t="s">
        <v>315</v>
      </c>
      <c r="N8" s="29">
        <v>8325282</v>
      </c>
      <c r="O8" s="29" t="s">
        <v>337</v>
      </c>
      <c r="P8" s="29" t="str">
        <f t="shared" si="1"/>
        <v>Aetna Medsupp Bonus for CLI7543827</v>
      </c>
    </row>
    <row r="9" spans="1:16" x14ac:dyDescent="0.25">
      <c r="A9" s="30" t="s">
        <v>22</v>
      </c>
      <c r="B9" s="30" t="s">
        <v>62</v>
      </c>
      <c r="C9" s="30" t="s">
        <v>63</v>
      </c>
      <c r="D9" s="30" t="s">
        <v>64</v>
      </c>
      <c r="E9" s="31">
        <v>0</v>
      </c>
      <c r="F9" s="30" t="s">
        <v>65</v>
      </c>
      <c r="G9" s="30" t="s">
        <v>66</v>
      </c>
      <c r="H9" s="31">
        <v>50</v>
      </c>
      <c r="I9" s="31" t="str">
        <f t="shared" si="0"/>
        <v>-50</v>
      </c>
      <c r="J9" s="29" t="s">
        <v>313</v>
      </c>
      <c r="K9" s="32">
        <v>50</v>
      </c>
      <c r="L9" s="33">
        <v>46163</v>
      </c>
      <c r="M9" s="29" t="s">
        <v>329</v>
      </c>
      <c r="N9" s="29">
        <v>8325282</v>
      </c>
      <c r="O9" s="29" t="s">
        <v>337</v>
      </c>
      <c r="P9" s="29" t="str">
        <f t="shared" si="1"/>
        <v>Aetna Medsupp Bonus for CLI7531569</v>
      </c>
    </row>
    <row r="10" spans="1:16" x14ac:dyDescent="0.25">
      <c r="A10" s="30" t="s">
        <v>22</v>
      </c>
      <c r="B10" s="30" t="s">
        <v>62</v>
      </c>
      <c r="C10" s="30" t="s">
        <v>63</v>
      </c>
      <c r="D10" s="30" t="s">
        <v>64</v>
      </c>
      <c r="E10" s="31">
        <v>0</v>
      </c>
      <c r="F10" s="30" t="s">
        <v>65</v>
      </c>
      <c r="G10" s="30" t="s">
        <v>66</v>
      </c>
      <c r="H10" s="31">
        <v>50</v>
      </c>
      <c r="I10" s="31" t="str">
        <f t="shared" si="0"/>
        <v>-50</v>
      </c>
      <c r="J10" s="29" t="s">
        <v>313</v>
      </c>
      <c r="K10" s="32">
        <v>50</v>
      </c>
      <c r="L10" s="33">
        <v>46163</v>
      </c>
      <c r="M10" s="29" t="s">
        <v>330</v>
      </c>
      <c r="N10" s="29">
        <v>8325282</v>
      </c>
      <c r="O10" s="29" t="s">
        <v>337</v>
      </c>
      <c r="P10" s="29" t="str">
        <f t="shared" si="1"/>
        <v>Aetna Medsupp Bonus for CLI7531568</v>
      </c>
    </row>
    <row r="11" spans="1:16" x14ac:dyDescent="0.25">
      <c r="A11" s="30" t="s">
        <v>22</v>
      </c>
      <c r="B11" s="30" t="s">
        <v>62</v>
      </c>
      <c r="C11" s="30" t="s">
        <v>63</v>
      </c>
      <c r="D11" s="30" t="s">
        <v>64</v>
      </c>
      <c r="E11" s="31">
        <v>0</v>
      </c>
      <c r="F11" s="30" t="s">
        <v>65</v>
      </c>
      <c r="G11" s="30" t="s">
        <v>66</v>
      </c>
      <c r="H11" s="31">
        <v>50</v>
      </c>
      <c r="I11" s="31" t="str">
        <f t="shared" si="0"/>
        <v>-50</v>
      </c>
      <c r="J11" s="29" t="s">
        <v>268</v>
      </c>
      <c r="K11" s="32">
        <v>50</v>
      </c>
      <c r="L11" s="33">
        <v>46163</v>
      </c>
      <c r="M11" s="29" t="s">
        <v>269</v>
      </c>
      <c r="N11" s="29">
        <v>16849453</v>
      </c>
      <c r="O11" s="29" t="s">
        <v>337</v>
      </c>
      <c r="P11" s="29" t="str">
        <f t="shared" si="1"/>
        <v>Aetna Medsupp Bonus for CLI7499355</v>
      </c>
    </row>
    <row r="12" spans="1:16" x14ac:dyDescent="0.25">
      <c r="A12" s="30" t="s">
        <v>22</v>
      </c>
      <c r="B12" s="30" t="s">
        <v>62</v>
      </c>
      <c r="C12" s="30" t="s">
        <v>63</v>
      </c>
      <c r="D12" s="30" t="s">
        <v>64</v>
      </c>
      <c r="E12" s="31">
        <v>0</v>
      </c>
      <c r="F12" s="30" t="s">
        <v>65</v>
      </c>
      <c r="G12" s="30" t="s">
        <v>66</v>
      </c>
      <c r="H12" s="31">
        <v>50</v>
      </c>
      <c r="I12" s="31" t="str">
        <f t="shared" si="0"/>
        <v>-50</v>
      </c>
      <c r="J12" s="29" t="s">
        <v>268</v>
      </c>
      <c r="K12" s="32">
        <v>50</v>
      </c>
      <c r="L12" s="33">
        <v>46163</v>
      </c>
      <c r="M12" s="29" t="s">
        <v>273</v>
      </c>
      <c r="N12" s="29">
        <v>16849453</v>
      </c>
      <c r="O12" s="29" t="s">
        <v>337</v>
      </c>
      <c r="P12" s="29" t="str">
        <f t="shared" si="1"/>
        <v>Aetna Medsupp Bonus for CLI7526214</v>
      </c>
    </row>
    <row r="13" spans="1:16" x14ac:dyDescent="0.25">
      <c r="A13" s="30" t="s">
        <v>22</v>
      </c>
      <c r="B13" s="30" t="s">
        <v>62</v>
      </c>
      <c r="C13" s="30" t="s">
        <v>63</v>
      </c>
      <c r="D13" s="30" t="s">
        <v>64</v>
      </c>
      <c r="E13" s="31">
        <v>0</v>
      </c>
      <c r="F13" s="30" t="s">
        <v>65</v>
      </c>
      <c r="G13" s="30" t="s">
        <v>66</v>
      </c>
      <c r="H13" s="31">
        <v>50</v>
      </c>
      <c r="I13" s="31" t="str">
        <f t="shared" si="0"/>
        <v>-50</v>
      </c>
      <c r="J13" s="29" t="s">
        <v>332</v>
      </c>
      <c r="K13" s="32">
        <v>50</v>
      </c>
      <c r="L13" s="33">
        <v>46163</v>
      </c>
      <c r="M13" s="29" t="s">
        <v>333</v>
      </c>
      <c r="N13" s="29">
        <v>17528908</v>
      </c>
      <c r="O13" s="29" t="s">
        <v>337</v>
      </c>
      <c r="P13" s="29" t="str">
        <f t="shared" si="1"/>
        <v>Aetna Medsupp Bonus for CLI7529447</v>
      </c>
    </row>
    <row r="14" spans="1:16" x14ac:dyDescent="0.25">
      <c r="A14" s="30" t="s">
        <v>22</v>
      </c>
      <c r="B14" s="30" t="s">
        <v>62</v>
      </c>
      <c r="C14" s="30" t="s">
        <v>63</v>
      </c>
      <c r="D14" s="30" t="s">
        <v>64</v>
      </c>
      <c r="E14" s="31">
        <v>0</v>
      </c>
      <c r="F14" s="30" t="s">
        <v>65</v>
      </c>
      <c r="G14" s="30" t="s">
        <v>66</v>
      </c>
      <c r="H14" s="31">
        <v>50</v>
      </c>
      <c r="I14" s="31" t="str">
        <f t="shared" si="0"/>
        <v>-50</v>
      </c>
      <c r="J14" s="29" t="s">
        <v>332</v>
      </c>
      <c r="K14" s="32">
        <v>50</v>
      </c>
      <c r="L14" s="33">
        <v>46163</v>
      </c>
      <c r="M14" s="29" t="s">
        <v>334</v>
      </c>
      <c r="N14" s="29">
        <v>17528908</v>
      </c>
      <c r="O14" s="29" t="s">
        <v>337</v>
      </c>
      <c r="P14" s="29" t="str">
        <f t="shared" si="1"/>
        <v>Aetna Medsupp Bonus for CLI7529445</v>
      </c>
    </row>
    <row r="15" spans="1:16" x14ac:dyDescent="0.25">
      <c r="A15" s="30" t="s">
        <v>22</v>
      </c>
      <c r="B15" s="30" t="s">
        <v>62</v>
      </c>
      <c r="C15" s="30" t="s">
        <v>63</v>
      </c>
      <c r="D15" s="30" t="s">
        <v>64</v>
      </c>
      <c r="E15" s="31">
        <v>0</v>
      </c>
      <c r="F15" s="30" t="s">
        <v>65</v>
      </c>
      <c r="G15" s="30" t="s">
        <v>66</v>
      </c>
      <c r="H15" s="31">
        <v>25</v>
      </c>
      <c r="I15" s="31" t="str">
        <f t="shared" si="0"/>
        <v>-25</v>
      </c>
      <c r="J15" s="29" t="s">
        <v>257</v>
      </c>
      <c r="K15" s="32">
        <v>25</v>
      </c>
      <c r="L15" s="33">
        <v>46163</v>
      </c>
      <c r="M15" s="29" t="s">
        <v>258</v>
      </c>
      <c r="N15" s="29">
        <v>9213293</v>
      </c>
      <c r="O15" s="29" t="s">
        <v>337</v>
      </c>
      <c r="P15" s="29" t="str">
        <f t="shared" si="1"/>
        <v>Aetna Medsupp Bonus for CLI7519023</v>
      </c>
    </row>
    <row r="16" spans="1:16" x14ac:dyDescent="0.25">
      <c r="A16" s="30" t="s">
        <v>22</v>
      </c>
      <c r="B16" s="30" t="s">
        <v>62</v>
      </c>
      <c r="C16" s="30" t="s">
        <v>63</v>
      </c>
      <c r="D16" s="30" t="s">
        <v>64</v>
      </c>
      <c r="E16" s="31">
        <v>0</v>
      </c>
      <c r="F16" s="30" t="s">
        <v>65</v>
      </c>
      <c r="G16" s="30" t="s">
        <v>66</v>
      </c>
      <c r="H16" s="31">
        <v>25</v>
      </c>
      <c r="I16" s="31" t="str">
        <f t="shared" si="0"/>
        <v>-25</v>
      </c>
      <c r="J16" s="29" t="s">
        <v>257</v>
      </c>
      <c r="K16" s="32">
        <v>25</v>
      </c>
      <c r="L16" s="33">
        <v>46163</v>
      </c>
      <c r="M16" s="29" t="s">
        <v>265</v>
      </c>
      <c r="N16" s="29">
        <v>9213293</v>
      </c>
      <c r="O16" s="29" t="s">
        <v>337</v>
      </c>
      <c r="P16" s="29" t="str">
        <f t="shared" si="1"/>
        <v>Aetna Medsupp Bonus for CLI7543112</v>
      </c>
    </row>
    <row r="17" spans="1:16" x14ac:dyDescent="0.25">
      <c r="A17" s="30" t="s">
        <v>22</v>
      </c>
      <c r="B17" s="30" t="s">
        <v>62</v>
      </c>
      <c r="C17" s="30" t="s">
        <v>63</v>
      </c>
      <c r="D17" s="30" t="s">
        <v>64</v>
      </c>
      <c r="E17" s="31">
        <v>0</v>
      </c>
      <c r="F17" s="30" t="s">
        <v>65</v>
      </c>
      <c r="G17" s="30" t="s">
        <v>66</v>
      </c>
      <c r="H17" s="31">
        <v>50</v>
      </c>
      <c r="I17" s="31" t="str">
        <f t="shared" si="0"/>
        <v>-50</v>
      </c>
      <c r="J17" s="29" t="s">
        <v>257</v>
      </c>
      <c r="K17" s="32">
        <v>50</v>
      </c>
      <c r="L17" s="33">
        <v>46163</v>
      </c>
      <c r="M17" s="29" t="s">
        <v>270</v>
      </c>
      <c r="N17" s="29">
        <v>9213293</v>
      </c>
      <c r="O17" s="29" t="s">
        <v>337</v>
      </c>
      <c r="P17" s="29" t="str">
        <f t="shared" si="1"/>
        <v>Aetna Medsupp Bonus for CLI7516590</v>
      </c>
    </row>
    <row r="18" spans="1:16" x14ac:dyDescent="0.25">
      <c r="A18" s="30" t="s">
        <v>22</v>
      </c>
      <c r="B18" s="30" t="s">
        <v>62</v>
      </c>
      <c r="C18" s="30" t="s">
        <v>63</v>
      </c>
      <c r="D18" s="30" t="s">
        <v>64</v>
      </c>
      <c r="E18" s="31">
        <v>0</v>
      </c>
      <c r="F18" s="30" t="s">
        <v>65</v>
      </c>
      <c r="G18" s="30" t="s">
        <v>66</v>
      </c>
      <c r="H18" s="31">
        <v>50</v>
      </c>
      <c r="I18" s="31" t="str">
        <f t="shared" si="0"/>
        <v>-50</v>
      </c>
      <c r="J18" s="29" t="s">
        <v>257</v>
      </c>
      <c r="K18" s="32">
        <v>50</v>
      </c>
      <c r="L18" s="33">
        <v>46163</v>
      </c>
      <c r="M18" s="29" t="s">
        <v>296</v>
      </c>
      <c r="N18" s="29">
        <v>9213293</v>
      </c>
      <c r="O18" s="29" t="s">
        <v>337</v>
      </c>
      <c r="P18" s="29" t="str">
        <f t="shared" si="1"/>
        <v>Aetna Medsupp Bonus for CLI7540603</v>
      </c>
    </row>
    <row r="19" spans="1:16" x14ac:dyDescent="0.25">
      <c r="A19" s="30" t="s">
        <v>22</v>
      </c>
      <c r="B19" s="30" t="s">
        <v>62</v>
      </c>
      <c r="C19" s="30" t="s">
        <v>63</v>
      </c>
      <c r="D19" s="30" t="s">
        <v>64</v>
      </c>
      <c r="E19" s="31">
        <v>0</v>
      </c>
      <c r="F19" s="30" t="s">
        <v>65</v>
      </c>
      <c r="G19" s="30" t="s">
        <v>66</v>
      </c>
      <c r="H19" s="31">
        <v>50</v>
      </c>
      <c r="I19" s="31" t="str">
        <f t="shared" si="0"/>
        <v>-50</v>
      </c>
      <c r="J19" s="29" t="s">
        <v>257</v>
      </c>
      <c r="K19" s="32">
        <v>50</v>
      </c>
      <c r="L19" s="33">
        <v>46163</v>
      </c>
      <c r="M19" s="29" t="s">
        <v>304</v>
      </c>
      <c r="N19" s="29">
        <v>9213293</v>
      </c>
      <c r="O19" s="29" t="s">
        <v>337</v>
      </c>
      <c r="P19" s="29" t="str">
        <f t="shared" si="1"/>
        <v>Aetna Medsupp Bonus for CLI7551332</v>
      </c>
    </row>
    <row r="20" spans="1:16" x14ac:dyDescent="0.25">
      <c r="A20" s="30" t="s">
        <v>22</v>
      </c>
      <c r="B20" s="30" t="s">
        <v>62</v>
      </c>
      <c r="C20" s="30" t="s">
        <v>63</v>
      </c>
      <c r="D20" s="30" t="s">
        <v>64</v>
      </c>
      <c r="E20" s="31">
        <v>0</v>
      </c>
      <c r="F20" s="30" t="s">
        <v>65</v>
      </c>
      <c r="G20" s="30" t="s">
        <v>66</v>
      </c>
      <c r="H20" s="31">
        <v>50</v>
      </c>
      <c r="I20" s="31" t="str">
        <f t="shared" si="0"/>
        <v>-50</v>
      </c>
      <c r="J20" s="29" t="s">
        <v>257</v>
      </c>
      <c r="K20" s="32">
        <v>50</v>
      </c>
      <c r="L20" s="33">
        <v>46163</v>
      </c>
      <c r="M20" s="29" t="s">
        <v>305</v>
      </c>
      <c r="N20" s="29">
        <v>9213293</v>
      </c>
      <c r="O20" s="29" t="s">
        <v>337</v>
      </c>
      <c r="P20" s="29" t="str">
        <f t="shared" si="1"/>
        <v>Aetna Medsupp Bonus for CLI7551356</v>
      </c>
    </row>
    <row r="21" spans="1:16" x14ac:dyDescent="0.25">
      <c r="A21" s="30" t="s">
        <v>22</v>
      </c>
      <c r="B21" s="30" t="s">
        <v>62</v>
      </c>
      <c r="C21" s="30" t="s">
        <v>63</v>
      </c>
      <c r="D21" s="30" t="s">
        <v>64</v>
      </c>
      <c r="E21" s="31">
        <v>0</v>
      </c>
      <c r="F21" s="30" t="s">
        <v>65</v>
      </c>
      <c r="G21" s="30" t="s">
        <v>66</v>
      </c>
      <c r="H21" s="31">
        <v>50</v>
      </c>
      <c r="I21" s="31" t="str">
        <f t="shared" si="0"/>
        <v>-50</v>
      </c>
      <c r="J21" s="29" t="s">
        <v>257</v>
      </c>
      <c r="K21" s="32">
        <v>50</v>
      </c>
      <c r="L21" s="33">
        <v>46163</v>
      </c>
      <c r="M21" s="29" t="s">
        <v>309</v>
      </c>
      <c r="N21" s="29">
        <v>9213293</v>
      </c>
      <c r="O21" s="29" t="s">
        <v>337</v>
      </c>
      <c r="P21" s="29" t="str">
        <f t="shared" si="1"/>
        <v>Aetna Medsupp Bonus for CLI7556391</v>
      </c>
    </row>
    <row r="22" spans="1:16" x14ac:dyDescent="0.25">
      <c r="A22" s="30" t="s">
        <v>22</v>
      </c>
      <c r="B22" s="30" t="s">
        <v>62</v>
      </c>
      <c r="C22" s="30" t="s">
        <v>63</v>
      </c>
      <c r="D22" s="30" t="s">
        <v>64</v>
      </c>
      <c r="E22" s="31">
        <v>0</v>
      </c>
      <c r="F22" s="30" t="s">
        <v>65</v>
      </c>
      <c r="G22" s="30" t="s">
        <v>66</v>
      </c>
      <c r="H22" s="31">
        <v>50</v>
      </c>
      <c r="I22" s="31" t="str">
        <f t="shared" si="0"/>
        <v>-50</v>
      </c>
      <c r="J22" s="29" t="s">
        <v>257</v>
      </c>
      <c r="K22" s="32">
        <v>50</v>
      </c>
      <c r="L22" s="33">
        <v>46163</v>
      </c>
      <c r="M22" s="29" t="s">
        <v>324</v>
      </c>
      <c r="N22" s="29">
        <v>9213293</v>
      </c>
      <c r="O22" s="29" t="s">
        <v>337</v>
      </c>
      <c r="P22" s="29" t="str">
        <f t="shared" si="1"/>
        <v>Aetna Medsupp Bonus for CLI7540604</v>
      </c>
    </row>
    <row r="23" spans="1:16" x14ac:dyDescent="0.25">
      <c r="A23" s="30" t="s">
        <v>22</v>
      </c>
      <c r="B23" s="30" t="s">
        <v>62</v>
      </c>
      <c r="C23" s="30" t="s">
        <v>63</v>
      </c>
      <c r="D23" s="30" t="s">
        <v>64</v>
      </c>
      <c r="E23" s="31">
        <v>0</v>
      </c>
      <c r="F23" s="30" t="s">
        <v>65</v>
      </c>
      <c r="G23" s="30" t="s">
        <v>66</v>
      </c>
      <c r="H23" s="31">
        <v>25</v>
      </c>
      <c r="I23" s="31" t="str">
        <f t="shared" si="0"/>
        <v>-25</v>
      </c>
      <c r="J23" s="29" t="s">
        <v>255</v>
      </c>
      <c r="K23" s="32">
        <v>25</v>
      </c>
      <c r="L23" s="33">
        <v>46163</v>
      </c>
      <c r="M23" s="29" t="s">
        <v>256</v>
      </c>
      <c r="N23" s="29">
        <v>8307933</v>
      </c>
      <c r="O23" s="29" t="s">
        <v>337</v>
      </c>
      <c r="P23" s="29" t="str">
        <f t="shared" si="1"/>
        <v>Aetna Medsupp Bonus for CLI7507026</v>
      </c>
    </row>
    <row r="24" spans="1:16" x14ac:dyDescent="0.25">
      <c r="A24" s="30" t="s">
        <v>22</v>
      </c>
      <c r="B24" s="30" t="s">
        <v>62</v>
      </c>
      <c r="C24" s="30" t="s">
        <v>63</v>
      </c>
      <c r="D24" s="30" t="s">
        <v>64</v>
      </c>
      <c r="E24" s="31">
        <v>0</v>
      </c>
      <c r="F24" s="30" t="s">
        <v>65</v>
      </c>
      <c r="G24" s="30" t="s">
        <v>66</v>
      </c>
      <c r="H24" s="31">
        <v>50</v>
      </c>
      <c r="I24" s="31" t="str">
        <f t="shared" si="0"/>
        <v>-50</v>
      </c>
      <c r="J24" s="29" t="s">
        <v>276</v>
      </c>
      <c r="K24" s="32">
        <v>50</v>
      </c>
      <c r="L24" s="33">
        <v>46163</v>
      </c>
      <c r="M24" s="29" t="s">
        <v>277</v>
      </c>
      <c r="N24" s="29">
        <v>8046194</v>
      </c>
      <c r="O24" s="29" t="s">
        <v>337</v>
      </c>
      <c r="P24" s="29" t="str">
        <f t="shared" si="1"/>
        <v>Aetna Medsupp Bonus for CLI7527923</v>
      </c>
    </row>
    <row r="25" spans="1:16" x14ac:dyDescent="0.25">
      <c r="A25" s="30" t="s">
        <v>22</v>
      </c>
      <c r="B25" s="30" t="s">
        <v>62</v>
      </c>
      <c r="C25" s="30" t="s">
        <v>63</v>
      </c>
      <c r="D25" s="30" t="s">
        <v>64</v>
      </c>
      <c r="E25" s="31">
        <v>0</v>
      </c>
      <c r="F25" s="30" t="s">
        <v>65</v>
      </c>
      <c r="G25" s="30" t="s">
        <v>66</v>
      </c>
      <c r="H25" s="31">
        <v>50</v>
      </c>
      <c r="I25" s="31" t="str">
        <f t="shared" si="0"/>
        <v>-50</v>
      </c>
      <c r="J25" s="29" t="s">
        <v>278</v>
      </c>
      <c r="K25" s="32">
        <v>50</v>
      </c>
      <c r="L25" s="33">
        <v>46163</v>
      </c>
      <c r="M25" s="29" t="s">
        <v>279</v>
      </c>
      <c r="N25" s="29">
        <v>18754354</v>
      </c>
      <c r="O25" s="29" t="s">
        <v>337</v>
      </c>
      <c r="P25" s="29" t="str">
        <f t="shared" si="1"/>
        <v>Aetna Medsupp Bonus for CLI7527963</v>
      </c>
    </row>
    <row r="26" spans="1:16" x14ac:dyDescent="0.25">
      <c r="A26" s="30" t="s">
        <v>22</v>
      </c>
      <c r="B26" s="30" t="s">
        <v>62</v>
      </c>
      <c r="C26" s="30" t="s">
        <v>63</v>
      </c>
      <c r="D26" s="30" t="s">
        <v>64</v>
      </c>
      <c r="E26" s="31">
        <v>0</v>
      </c>
      <c r="F26" s="30" t="s">
        <v>65</v>
      </c>
      <c r="G26" s="30" t="s">
        <v>66</v>
      </c>
      <c r="H26" s="31">
        <v>50</v>
      </c>
      <c r="I26" s="31" t="str">
        <f t="shared" si="0"/>
        <v>-50</v>
      </c>
      <c r="J26" s="29" t="s">
        <v>278</v>
      </c>
      <c r="K26" s="32">
        <v>50</v>
      </c>
      <c r="L26" s="33">
        <v>46163</v>
      </c>
      <c r="M26" s="29" t="s">
        <v>280</v>
      </c>
      <c r="N26" s="29">
        <v>18754354</v>
      </c>
      <c r="O26" s="29" t="s">
        <v>337</v>
      </c>
      <c r="P26" s="29" t="str">
        <f t="shared" si="1"/>
        <v>Aetna Medsupp Bonus for CLI7527964</v>
      </c>
    </row>
    <row r="27" spans="1:16" x14ac:dyDescent="0.25">
      <c r="A27" s="30" t="s">
        <v>22</v>
      </c>
      <c r="B27" s="30" t="s">
        <v>62</v>
      </c>
      <c r="C27" s="30" t="s">
        <v>63</v>
      </c>
      <c r="D27" s="30" t="s">
        <v>64</v>
      </c>
      <c r="E27" s="31">
        <v>0</v>
      </c>
      <c r="F27" s="30" t="s">
        <v>65</v>
      </c>
      <c r="G27" s="30" t="s">
        <v>66</v>
      </c>
      <c r="H27" s="31">
        <v>50</v>
      </c>
      <c r="I27" s="31" t="str">
        <f t="shared" si="0"/>
        <v>-50</v>
      </c>
      <c r="J27" s="29" t="s">
        <v>278</v>
      </c>
      <c r="K27" s="32">
        <v>50</v>
      </c>
      <c r="L27" s="33">
        <v>46163</v>
      </c>
      <c r="M27" s="29" t="s">
        <v>325</v>
      </c>
      <c r="N27" s="29">
        <v>18754354</v>
      </c>
      <c r="O27" s="29" t="s">
        <v>337</v>
      </c>
      <c r="P27" s="29" t="str">
        <f t="shared" si="1"/>
        <v>Aetna Medsupp Bonus for CLI7533192</v>
      </c>
    </row>
    <row r="28" spans="1:16" x14ac:dyDescent="0.25">
      <c r="A28" s="30" t="s">
        <v>22</v>
      </c>
      <c r="B28" s="30" t="s">
        <v>62</v>
      </c>
      <c r="C28" s="30" t="s">
        <v>63</v>
      </c>
      <c r="D28" s="30" t="s">
        <v>64</v>
      </c>
      <c r="E28" s="31">
        <v>0</v>
      </c>
      <c r="F28" s="30" t="s">
        <v>65</v>
      </c>
      <c r="G28" s="30" t="s">
        <v>66</v>
      </c>
      <c r="H28" s="31">
        <v>50</v>
      </c>
      <c r="I28" s="31" t="str">
        <f t="shared" si="0"/>
        <v>-50</v>
      </c>
      <c r="J28" s="29" t="s">
        <v>278</v>
      </c>
      <c r="K28" s="32">
        <v>50</v>
      </c>
      <c r="L28" s="33">
        <v>46163</v>
      </c>
      <c r="M28" s="29" t="s">
        <v>326</v>
      </c>
      <c r="N28" s="29">
        <v>18754354</v>
      </c>
      <c r="O28" s="29" t="s">
        <v>337</v>
      </c>
      <c r="P28" s="29" t="str">
        <f t="shared" si="1"/>
        <v>Aetna Medsupp Bonus for CLI7533191</v>
      </c>
    </row>
    <row r="29" spans="1:16" x14ac:dyDescent="0.25">
      <c r="A29" s="30" t="s">
        <v>22</v>
      </c>
      <c r="B29" s="30" t="s">
        <v>62</v>
      </c>
      <c r="C29" s="30" t="s">
        <v>63</v>
      </c>
      <c r="D29" s="30" t="s">
        <v>64</v>
      </c>
      <c r="E29" s="31">
        <v>0</v>
      </c>
      <c r="F29" s="30" t="s">
        <v>65</v>
      </c>
      <c r="G29" s="30" t="s">
        <v>66</v>
      </c>
      <c r="H29" s="31">
        <v>50</v>
      </c>
      <c r="I29" s="31" t="str">
        <f t="shared" si="0"/>
        <v>-50</v>
      </c>
      <c r="J29" s="29" t="s">
        <v>278</v>
      </c>
      <c r="K29" s="32">
        <v>50</v>
      </c>
      <c r="L29" s="33">
        <v>46163</v>
      </c>
      <c r="M29" s="29" t="s">
        <v>336</v>
      </c>
      <c r="N29" s="29">
        <v>18754354</v>
      </c>
      <c r="O29" s="29" t="s">
        <v>337</v>
      </c>
      <c r="P29" s="29" t="str">
        <f t="shared" si="1"/>
        <v>Aetna Medsupp Bonus for CLI7527965</v>
      </c>
    </row>
    <row r="30" spans="1:16" x14ac:dyDescent="0.25">
      <c r="A30" s="30" t="s">
        <v>22</v>
      </c>
      <c r="B30" s="30" t="s">
        <v>62</v>
      </c>
      <c r="C30" s="30" t="s">
        <v>63</v>
      </c>
      <c r="D30" s="30" t="s">
        <v>64</v>
      </c>
      <c r="E30" s="31">
        <v>0</v>
      </c>
      <c r="F30" s="30" t="s">
        <v>65</v>
      </c>
      <c r="G30" s="30" t="s">
        <v>66</v>
      </c>
      <c r="H30" s="31">
        <v>25</v>
      </c>
      <c r="I30" s="31" t="str">
        <f t="shared" si="0"/>
        <v>-25</v>
      </c>
      <c r="J30" s="29" t="s">
        <v>259</v>
      </c>
      <c r="K30" s="32">
        <v>25</v>
      </c>
      <c r="L30" s="33">
        <v>46163</v>
      </c>
      <c r="M30" s="29" t="s">
        <v>260</v>
      </c>
      <c r="N30" s="29">
        <v>19279958</v>
      </c>
      <c r="O30" s="29" t="s">
        <v>337</v>
      </c>
      <c r="P30" s="29" t="str">
        <f t="shared" si="1"/>
        <v>Aetna Medsupp Bonus for CLI7532280</v>
      </c>
    </row>
    <row r="31" spans="1:16" s="36" customFormat="1" x14ac:dyDescent="0.25">
      <c r="A31" s="34" t="s">
        <v>22</v>
      </c>
      <c r="B31" s="34" t="s">
        <v>62</v>
      </c>
      <c r="C31" s="34" t="s">
        <v>63</v>
      </c>
      <c r="D31" s="34" t="s">
        <v>64</v>
      </c>
      <c r="E31" s="35">
        <v>0</v>
      </c>
      <c r="F31" s="34" t="s">
        <v>65</v>
      </c>
      <c r="G31" s="34" t="s">
        <v>66</v>
      </c>
      <c r="H31" s="35">
        <v>50</v>
      </c>
      <c r="I31" s="31" t="str">
        <f t="shared" si="0"/>
        <v>-50</v>
      </c>
      <c r="J31" s="36" t="s">
        <v>327</v>
      </c>
      <c r="K31" s="37">
        <v>50</v>
      </c>
      <c r="L31" s="38">
        <v>46163</v>
      </c>
      <c r="M31" s="36" t="s">
        <v>328</v>
      </c>
      <c r="N31" s="36">
        <v>16170994</v>
      </c>
      <c r="O31" s="29" t="s">
        <v>337</v>
      </c>
      <c r="P31" s="29" t="str">
        <f t="shared" si="1"/>
        <v>Aetna Medsupp Bonus for CLI7531729</v>
      </c>
    </row>
    <row r="32" spans="1:16" x14ac:dyDescent="0.25">
      <c r="A32" s="30" t="s">
        <v>22</v>
      </c>
      <c r="B32" s="30" t="s">
        <v>62</v>
      </c>
      <c r="C32" s="30" t="s">
        <v>63</v>
      </c>
      <c r="D32" s="30" t="s">
        <v>64</v>
      </c>
      <c r="E32" s="31">
        <v>0</v>
      </c>
      <c r="F32" s="30" t="s">
        <v>65</v>
      </c>
      <c r="G32" s="30" t="s">
        <v>66</v>
      </c>
      <c r="H32" s="31">
        <v>50</v>
      </c>
      <c r="I32" s="31" t="str">
        <f t="shared" si="0"/>
        <v>-50</v>
      </c>
      <c r="J32" s="29" t="s">
        <v>293</v>
      </c>
      <c r="K32" s="32">
        <v>50</v>
      </c>
      <c r="L32" s="33">
        <v>46163</v>
      </c>
      <c r="M32" s="29" t="s">
        <v>294</v>
      </c>
      <c r="N32" s="29">
        <v>1706194</v>
      </c>
      <c r="O32" s="29" t="s">
        <v>337</v>
      </c>
      <c r="P32" s="29" t="str">
        <f t="shared" si="1"/>
        <v>Aetna Medsupp Bonus for CLI7539524</v>
      </c>
    </row>
    <row r="33" spans="1:16" x14ac:dyDescent="0.25">
      <c r="A33" s="30" t="s">
        <v>22</v>
      </c>
      <c r="B33" s="30" t="s">
        <v>62</v>
      </c>
      <c r="C33" s="30" t="s">
        <v>63</v>
      </c>
      <c r="D33" s="30" t="s">
        <v>64</v>
      </c>
      <c r="E33" s="31">
        <v>0</v>
      </c>
      <c r="F33" s="30" t="s">
        <v>65</v>
      </c>
      <c r="G33" s="30" t="s">
        <v>66</v>
      </c>
      <c r="H33" s="31">
        <v>50</v>
      </c>
      <c r="I33" s="31" t="str">
        <f t="shared" si="0"/>
        <v>-50</v>
      </c>
      <c r="J33" s="29" t="s">
        <v>293</v>
      </c>
      <c r="K33" s="32">
        <v>50</v>
      </c>
      <c r="L33" s="33">
        <v>46163</v>
      </c>
      <c r="M33" s="29" t="s">
        <v>295</v>
      </c>
      <c r="N33" s="29">
        <v>1706194</v>
      </c>
      <c r="O33" s="29" t="s">
        <v>337</v>
      </c>
      <c r="P33" s="29" t="str">
        <f t="shared" si="1"/>
        <v>Aetna Medsupp Bonus for CLI7539525</v>
      </c>
    </row>
    <row r="34" spans="1:16" x14ac:dyDescent="0.25">
      <c r="A34" s="30" t="s">
        <v>22</v>
      </c>
      <c r="B34" s="30" t="s">
        <v>62</v>
      </c>
      <c r="C34" s="30" t="s">
        <v>63</v>
      </c>
      <c r="D34" s="30" t="s">
        <v>64</v>
      </c>
      <c r="E34" s="31">
        <v>0</v>
      </c>
      <c r="F34" s="30" t="s">
        <v>65</v>
      </c>
      <c r="G34" s="30" t="s">
        <v>66</v>
      </c>
      <c r="H34" s="31">
        <v>50</v>
      </c>
      <c r="I34" s="31" t="str">
        <f t="shared" si="0"/>
        <v>-50</v>
      </c>
      <c r="J34" s="29" t="s">
        <v>293</v>
      </c>
      <c r="K34" s="32">
        <v>50</v>
      </c>
      <c r="L34" s="33">
        <v>46163</v>
      </c>
      <c r="M34" s="29" t="s">
        <v>319</v>
      </c>
      <c r="N34" s="29">
        <v>1706194</v>
      </c>
      <c r="O34" s="29" t="s">
        <v>337</v>
      </c>
      <c r="P34" s="29" t="str">
        <f t="shared" si="1"/>
        <v>Aetna Medsupp Bonus for CLI7542607</v>
      </c>
    </row>
    <row r="35" spans="1:16" x14ac:dyDescent="0.25">
      <c r="A35" s="30" t="s">
        <v>22</v>
      </c>
      <c r="B35" s="30" t="s">
        <v>62</v>
      </c>
      <c r="C35" s="30" t="s">
        <v>63</v>
      </c>
      <c r="D35" s="30" t="s">
        <v>64</v>
      </c>
      <c r="E35" s="31">
        <v>0</v>
      </c>
      <c r="F35" s="30" t="s">
        <v>65</v>
      </c>
      <c r="G35" s="30" t="s">
        <v>66</v>
      </c>
      <c r="H35" s="31">
        <v>50</v>
      </c>
      <c r="I35" s="31" t="str">
        <f t="shared" si="0"/>
        <v>-50</v>
      </c>
      <c r="J35" s="29" t="s">
        <v>293</v>
      </c>
      <c r="K35" s="32">
        <v>50</v>
      </c>
      <c r="L35" s="33">
        <v>46163</v>
      </c>
      <c r="M35" s="29" t="s">
        <v>320</v>
      </c>
      <c r="N35" s="29">
        <v>1706194</v>
      </c>
      <c r="O35" s="29" t="s">
        <v>337</v>
      </c>
      <c r="P35" s="29" t="str">
        <f t="shared" si="1"/>
        <v>Aetna Medsupp Bonus for CLI7542606</v>
      </c>
    </row>
    <row r="36" spans="1:16" x14ac:dyDescent="0.25">
      <c r="A36" s="30" t="s">
        <v>22</v>
      </c>
      <c r="B36" s="30" t="s">
        <v>62</v>
      </c>
      <c r="C36" s="30" t="s">
        <v>63</v>
      </c>
      <c r="D36" s="30" t="s">
        <v>64</v>
      </c>
      <c r="E36" s="31">
        <v>0</v>
      </c>
      <c r="F36" s="30" t="s">
        <v>65</v>
      </c>
      <c r="G36" s="30" t="s">
        <v>66</v>
      </c>
      <c r="H36" s="31">
        <v>25</v>
      </c>
      <c r="I36" s="31" t="str">
        <f t="shared" si="0"/>
        <v>-25</v>
      </c>
      <c r="J36" s="29" t="s">
        <v>261</v>
      </c>
      <c r="K36" s="32">
        <v>25</v>
      </c>
      <c r="L36" s="33">
        <v>46163</v>
      </c>
      <c r="M36" s="29" t="s">
        <v>262</v>
      </c>
      <c r="N36" s="29">
        <v>18794740</v>
      </c>
      <c r="O36" s="29" t="s">
        <v>337</v>
      </c>
      <c r="P36" s="29" t="str">
        <f t="shared" si="1"/>
        <v>Aetna Medsupp Bonus for CLI7536318</v>
      </c>
    </row>
    <row r="37" spans="1:16" x14ac:dyDescent="0.25">
      <c r="A37" s="30" t="s">
        <v>22</v>
      </c>
      <c r="B37" s="30" t="s">
        <v>62</v>
      </c>
      <c r="C37" s="30" t="s">
        <v>63</v>
      </c>
      <c r="D37" s="30" t="s">
        <v>64</v>
      </c>
      <c r="E37" s="31">
        <v>0</v>
      </c>
      <c r="F37" s="30" t="s">
        <v>65</v>
      </c>
      <c r="G37" s="30" t="s">
        <v>66</v>
      </c>
      <c r="H37" s="31">
        <v>50</v>
      </c>
      <c r="I37" s="31" t="str">
        <f t="shared" si="0"/>
        <v>-50</v>
      </c>
      <c r="J37" s="29" t="s">
        <v>274</v>
      </c>
      <c r="K37" s="32">
        <v>50</v>
      </c>
      <c r="L37" s="33">
        <v>46163</v>
      </c>
      <c r="M37" s="29" t="s">
        <v>275</v>
      </c>
      <c r="N37" s="29">
        <v>19200754</v>
      </c>
      <c r="O37" s="29" t="s">
        <v>337</v>
      </c>
      <c r="P37" s="29" t="str">
        <f t="shared" si="1"/>
        <v>Aetna Medsupp Bonus for CLI7527099</v>
      </c>
    </row>
    <row r="38" spans="1:16" x14ac:dyDescent="0.25">
      <c r="A38" s="30" t="s">
        <v>22</v>
      </c>
      <c r="B38" s="30" t="s">
        <v>62</v>
      </c>
      <c r="C38" s="30" t="s">
        <v>63</v>
      </c>
      <c r="D38" s="30" t="s">
        <v>64</v>
      </c>
      <c r="E38" s="31">
        <v>0</v>
      </c>
      <c r="F38" s="30" t="s">
        <v>65</v>
      </c>
      <c r="G38" s="30" t="s">
        <v>66</v>
      </c>
      <c r="H38" s="31">
        <v>50</v>
      </c>
      <c r="I38" s="31" t="str">
        <f t="shared" si="0"/>
        <v>-50</v>
      </c>
      <c r="J38" s="29" t="s">
        <v>274</v>
      </c>
      <c r="K38" s="32">
        <v>50</v>
      </c>
      <c r="L38" s="33">
        <v>46163</v>
      </c>
      <c r="M38" s="29" t="s">
        <v>281</v>
      </c>
      <c r="N38" s="29">
        <v>19200754</v>
      </c>
      <c r="O38" s="29" t="s">
        <v>337</v>
      </c>
      <c r="P38" s="29" t="str">
        <f t="shared" si="1"/>
        <v>Aetna Medsupp Bonus for CLI7533332</v>
      </c>
    </row>
    <row r="39" spans="1:16" x14ac:dyDescent="0.25">
      <c r="A39" s="30" t="s">
        <v>22</v>
      </c>
      <c r="B39" s="30" t="s">
        <v>62</v>
      </c>
      <c r="C39" s="30" t="s">
        <v>63</v>
      </c>
      <c r="D39" s="30" t="s">
        <v>64</v>
      </c>
      <c r="E39" s="31">
        <v>0</v>
      </c>
      <c r="F39" s="30" t="s">
        <v>65</v>
      </c>
      <c r="G39" s="30" t="s">
        <v>66</v>
      </c>
      <c r="H39" s="31">
        <v>50</v>
      </c>
      <c r="I39" s="31" t="str">
        <f t="shared" si="0"/>
        <v>-50</v>
      </c>
      <c r="J39" s="29" t="s">
        <v>274</v>
      </c>
      <c r="K39" s="32">
        <v>50</v>
      </c>
      <c r="L39" s="33">
        <v>46163</v>
      </c>
      <c r="M39" s="29" t="s">
        <v>335</v>
      </c>
      <c r="N39" s="29">
        <v>19200754</v>
      </c>
      <c r="O39" s="29" t="s">
        <v>337</v>
      </c>
      <c r="P39" s="29" t="str">
        <f t="shared" si="1"/>
        <v>Aetna Medsupp Bonus for CLI7528741</v>
      </c>
    </row>
    <row r="40" spans="1:16" x14ac:dyDescent="0.25">
      <c r="A40" s="30" t="s">
        <v>22</v>
      </c>
      <c r="B40" s="30" t="s">
        <v>62</v>
      </c>
      <c r="C40" s="30" t="s">
        <v>63</v>
      </c>
      <c r="D40" s="30" t="s">
        <v>64</v>
      </c>
      <c r="E40" s="31">
        <v>0</v>
      </c>
      <c r="F40" s="30" t="s">
        <v>65</v>
      </c>
      <c r="G40" s="30" t="s">
        <v>66</v>
      </c>
      <c r="H40" s="31">
        <v>50</v>
      </c>
      <c r="I40" s="31" t="str">
        <f t="shared" si="0"/>
        <v>-50</v>
      </c>
      <c r="J40" s="29" t="s">
        <v>284</v>
      </c>
      <c r="K40" s="32">
        <v>50</v>
      </c>
      <c r="L40" s="33">
        <v>46163</v>
      </c>
      <c r="M40" s="29" t="s">
        <v>285</v>
      </c>
      <c r="N40" s="29">
        <v>5442438</v>
      </c>
      <c r="O40" s="29" t="s">
        <v>337</v>
      </c>
      <c r="P40" s="29" t="str">
        <f t="shared" si="1"/>
        <v>Aetna Medsupp Bonus for CLI7533755</v>
      </c>
    </row>
    <row r="41" spans="1:16" x14ac:dyDescent="0.25">
      <c r="A41" s="30" t="s">
        <v>22</v>
      </c>
      <c r="B41" s="30" t="s">
        <v>62</v>
      </c>
      <c r="C41" s="30" t="s">
        <v>63</v>
      </c>
      <c r="D41" s="30" t="s">
        <v>64</v>
      </c>
      <c r="E41" s="31">
        <v>0</v>
      </c>
      <c r="F41" s="30" t="s">
        <v>65</v>
      </c>
      <c r="G41" s="30" t="s">
        <v>66</v>
      </c>
      <c r="H41" s="31">
        <v>50</v>
      </c>
      <c r="I41" s="31" t="str">
        <f t="shared" si="0"/>
        <v>-50</v>
      </c>
      <c r="J41" s="29" t="s">
        <v>284</v>
      </c>
      <c r="K41" s="32">
        <v>50</v>
      </c>
      <c r="L41" s="33">
        <v>46163</v>
      </c>
      <c r="M41" s="29" t="s">
        <v>286</v>
      </c>
      <c r="N41" s="29">
        <v>5442438</v>
      </c>
      <c r="O41" s="29" t="s">
        <v>337</v>
      </c>
      <c r="P41" s="29" t="str">
        <f t="shared" si="1"/>
        <v>Aetna Medsupp Bonus for CLI7533756</v>
      </c>
    </row>
    <row r="42" spans="1:16" x14ac:dyDescent="0.25">
      <c r="A42" s="30" t="s">
        <v>22</v>
      </c>
      <c r="B42" s="30" t="s">
        <v>62</v>
      </c>
      <c r="C42" s="30" t="s">
        <v>63</v>
      </c>
      <c r="D42" s="30" t="s">
        <v>64</v>
      </c>
      <c r="E42" s="31">
        <v>0</v>
      </c>
      <c r="F42" s="30" t="s">
        <v>65</v>
      </c>
      <c r="G42" s="30" t="s">
        <v>66</v>
      </c>
      <c r="H42" s="31">
        <v>50</v>
      </c>
      <c r="I42" s="31" t="str">
        <f t="shared" si="0"/>
        <v>-50</v>
      </c>
      <c r="J42" s="29" t="s">
        <v>284</v>
      </c>
      <c r="K42" s="32">
        <v>50</v>
      </c>
      <c r="L42" s="33">
        <v>46163</v>
      </c>
      <c r="M42" s="29" t="s">
        <v>291</v>
      </c>
      <c r="N42" s="29">
        <v>5442438</v>
      </c>
      <c r="O42" s="29" t="s">
        <v>337</v>
      </c>
      <c r="P42" s="29" t="str">
        <f t="shared" si="1"/>
        <v>Aetna Medsupp Bonus for CLI7539468</v>
      </c>
    </row>
    <row r="43" spans="1:16" x14ac:dyDescent="0.25">
      <c r="A43" s="30" t="s">
        <v>22</v>
      </c>
      <c r="B43" s="30" t="s">
        <v>62</v>
      </c>
      <c r="C43" s="30" t="s">
        <v>63</v>
      </c>
      <c r="D43" s="30" t="s">
        <v>64</v>
      </c>
      <c r="E43" s="31">
        <v>0</v>
      </c>
      <c r="F43" s="30" t="s">
        <v>65</v>
      </c>
      <c r="G43" s="30" t="s">
        <v>66</v>
      </c>
      <c r="H43" s="31">
        <v>50</v>
      </c>
      <c r="I43" s="31" t="str">
        <f t="shared" si="0"/>
        <v>-50</v>
      </c>
      <c r="J43" s="29" t="s">
        <v>284</v>
      </c>
      <c r="K43" s="32">
        <v>50</v>
      </c>
      <c r="L43" s="33">
        <v>46163</v>
      </c>
      <c r="M43" s="29" t="s">
        <v>292</v>
      </c>
      <c r="N43" s="29">
        <v>5442438</v>
      </c>
      <c r="O43" s="29" t="s">
        <v>337</v>
      </c>
      <c r="P43" s="29" t="str">
        <f t="shared" si="1"/>
        <v>Aetna Medsupp Bonus for CLI7539469</v>
      </c>
    </row>
    <row r="44" spans="1:16" x14ac:dyDescent="0.25">
      <c r="A44" s="30" t="s">
        <v>22</v>
      </c>
      <c r="B44" s="30" t="s">
        <v>62</v>
      </c>
      <c r="C44" s="30" t="s">
        <v>63</v>
      </c>
      <c r="D44" s="30" t="s">
        <v>64</v>
      </c>
      <c r="E44" s="31">
        <v>0</v>
      </c>
      <c r="F44" s="30" t="s">
        <v>65</v>
      </c>
      <c r="G44" s="30" t="s">
        <v>66</v>
      </c>
      <c r="H44" s="31">
        <v>50</v>
      </c>
      <c r="I44" s="31" t="str">
        <f t="shared" si="0"/>
        <v>-50</v>
      </c>
      <c r="J44" s="29" t="s">
        <v>284</v>
      </c>
      <c r="K44" s="32">
        <v>50</v>
      </c>
      <c r="L44" s="33">
        <v>46163</v>
      </c>
      <c r="M44" s="29" t="s">
        <v>301</v>
      </c>
      <c r="N44" s="29">
        <v>5442438</v>
      </c>
      <c r="O44" s="29" t="s">
        <v>337</v>
      </c>
      <c r="P44" s="29" t="str">
        <f t="shared" si="1"/>
        <v>Aetna Medsupp Bonus for CLI7549725</v>
      </c>
    </row>
    <row r="45" spans="1:16" x14ac:dyDescent="0.25">
      <c r="A45" s="30" t="s">
        <v>22</v>
      </c>
      <c r="B45" s="30" t="s">
        <v>62</v>
      </c>
      <c r="C45" s="30" t="s">
        <v>63</v>
      </c>
      <c r="D45" s="30" t="s">
        <v>64</v>
      </c>
      <c r="E45" s="31">
        <v>0</v>
      </c>
      <c r="F45" s="30" t="s">
        <v>65</v>
      </c>
      <c r="G45" s="30" t="s">
        <v>66</v>
      </c>
      <c r="H45" s="31">
        <v>50</v>
      </c>
      <c r="I45" s="31" t="str">
        <f t="shared" si="0"/>
        <v>-50</v>
      </c>
      <c r="J45" s="29" t="s">
        <v>284</v>
      </c>
      <c r="K45" s="32">
        <v>50</v>
      </c>
      <c r="L45" s="33">
        <v>46163</v>
      </c>
      <c r="M45" s="29" t="s">
        <v>302</v>
      </c>
      <c r="N45" s="29">
        <v>5442438</v>
      </c>
      <c r="O45" s="29" t="s">
        <v>337</v>
      </c>
      <c r="P45" s="29" t="str">
        <f t="shared" si="1"/>
        <v>Aetna Medsupp Bonus for CLI7549726</v>
      </c>
    </row>
    <row r="46" spans="1:16" x14ac:dyDescent="0.25">
      <c r="A46" s="30" t="s">
        <v>22</v>
      </c>
      <c r="B46" s="30" t="s">
        <v>62</v>
      </c>
      <c r="C46" s="30" t="s">
        <v>63</v>
      </c>
      <c r="D46" s="30" t="s">
        <v>64</v>
      </c>
      <c r="E46" s="31">
        <v>0</v>
      </c>
      <c r="F46" s="30" t="s">
        <v>65</v>
      </c>
      <c r="G46" s="30" t="s">
        <v>66</v>
      </c>
      <c r="H46" s="31">
        <v>50</v>
      </c>
      <c r="I46" s="31" t="str">
        <f t="shared" si="0"/>
        <v>-50</v>
      </c>
      <c r="J46" s="29" t="s">
        <v>284</v>
      </c>
      <c r="K46" s="32">
        <v>50</v>
      </c>
      <c r="L46" s="33">
        <v>46163</v>
      </c>
      <c r="M46" s="29" t="s">
        <v>303</v>
      </c>
      <c r="N46" s="29">
        <v>5442438</v>
      </c>
      <c r="O46" s="29" t="s">
        <v>337</v>
      </c>
      <c r="P46" s="29" t="str">
        <f t="shared" si="1"/>
        <v>Aetna Medsupp Bonus for CLI7549727</v>
      </c>
    </row>
    <row r="47" spans="1:16" x14ac:dyDescent="0.25">
      <c r="A47" s="30" t="s">
        <v>22</v>
      </c>
      <c r="B47" s="30" t="s">
        <v>62</v>
      </c>
      <c r="C47" s="30" t="s">
        <v>63</v>
      </c>
      <c r="D47" s="30" t="s">
        <v>64</v>
      </c>
      <c r="E47" s="31">
        <v>0</v>
      </c>
      <c r="F47" s="30" t="s">
        <v>65</v>
      </c>
      <c r="G47" s="30" t="s">
        <v>66</v>
      </c>
      <c r="H47" s="31">
        <v>50</v>
      </c>
      <c r="I47" s="31" t="str">
        <f t="shared" si="0"/>
        <v>-50</v>
      </c>
      <c r="J47" s="29" t="s">
        <v>284</v>
      </c>
      <c r="K47" s="32">
        <v>50</v>
      </c>
      <c r="L47" s="33">
        <v>46163</v>
      </c>
      <c r="M47" s="29" t="s">
        <v>310</v>
      </c>
      <c r="N47" s="29">
        <v>5442438</v>
      </c>
      <c r="O47" s="29" t="s">
        <v>337</v>
      </c>
      <c r="P47" s="29" t="str">
        <f t="shared" si="1"/>
        <v>Aetna Medsupp Bonus for CLI7557500</v>
      </c>
    </row>
    <row r="48" spans="1:16" x14ac:dyDescent="0.25">
      <c r="A48" s="30" t="s">
        <v>22</v>
      </c>
      <c r="B48" s="30" t="s">
        <v>62</v>
      </c>
      <c r="C48" s="30" t="s">
        <v>63</v>
      </c>
      <c r="D48" s="30" t="s">
        <v>64</v>
      </c>
      <c r="E48" s="31">
        <v>0</v>
      </c>
      <c r="F48" s="30" t="s">
        <v>65</v>
      </c>
      <c r="G48" s="30" t="s">
        <v>66</v>
      </c>
      <c r="H48" s="31">
        <v>50</v>
      </c>
      <c r="I48" s="31" t="str">
        <f t="shared" si="0"/>
        <v>-50</v>
      </c>
      <c r="J48" s="29" t="s">
        <v>284</v>
      </c>
      <c r="K48" s="32">
        <v>50</v>
      </c>
      <c r="L48" s="33">
        <v>46163</v>
      </c>
      <c r="M48" s="29" t="s">
        <v>311</v>
      </c>
      <c r="N48" s="29">
        <v>5442438</v>
      </c>
      <c r="O48" s="29" t="s">
        <v>337</v>
      </c>
      <c r="P48" s="29" t="str">
        <f t="shared" si="1"/>
        <v>Aetna Medsupp Bonus for CLI7557501</v>
      </c>
    </row>
    <row r="49" spans="1:16" x14ac:dyDescent="0.25">
      <c r="A49" s="30" t="s">
        <v>22</v>
      </c>
      <c r="B49" s="30" t="s">
        <v>62</v>
      </c>
      <c r="C49" s="30" t="s">
        <v>63</v>
      </c>
      <c r="D49" s="30" t="s">
        <v>64</v>
      </c>
      <c r="E49" s="31">
        <v>0</v>
      </c>
      <c r="F49" s="30" t="s">
        <v>65</v>
      </c>
      <c r="G49" s="30" t="s">
        <v>66</v>
      </c>
      <c r="H49" s="31">
        <v>50</v>
      </c>
      <c r="I49" s="31" t="str">
        <f t="shared" si="0"/>
        <v>-50</v>
      </c>
      <c r="J49" s="29" t="s">
        <v>282</v>
      </c>
      <c r="K49" s="32">
        <v>50</v>
      </c>
      <c r="L49" s="33">
        <v>46163</v>
      </c>
      <c r="M49" s="29" t="s">
        <v>283</v>
      </c>
      <c r="N49" s="29">
        <v>8977234</v>
      </c>
      <c r="O49" s="29" t="s">
        <v>337</v>
      </c>
      <c r="P49" s="29" t="str">
        <f t="shared" si="1"/>
        <v>Aetna Medsupp Bonus for CLI7533682</v>
      </c>
    </row>
    <row r="50" spans="1:16" x14ac:dyDescent="0.25">
      <c r="A50" s="30" t="s">
        <v>22</v>
      </c>
      <c r="B50" s="30" t="s">
        <v>62</v>
      </c>
      <c r="C50" s="30" t="s">
        <v>63</v>
      </c>
      <c r="D50" s="30" t="s">
        <v>64</v>
      </c>
      <c r="E50" s="31">
        <v>0</v>
      </c>
      <c r="F50" s="30" t="s">
        <v>65</v>
      </c>
      <c r="G50" s="30" t="s">
        <v>66</v>
      </c>
      <c r="H50" s="31">
        <v>50</v>
      </c>
      <c r="I50" s="31" t="str">
        <f t="shared" si="0"/>
        <v>-50</v>
      </c>
      <c r="J50" s="29" t="s">
        <v>282</v>
      </c>
      <c r="K50" s="32">
        <v>50</v>
      </c>
      <c r="L50" s="33">
        <v>46163</v>
      </c>
      <c r="M50" s="29" t="s">
        <v>289</v>
      </c>
      <c r="N50" s="29">
        <v>8977234</v>
      </c>
      <c r="O50" s="29" t="s">
        <v>337</v>
      </c>
      <c r="P50" s="29" t="str">
        <f t="shared" si="1"/>
        <v>Aetna Medsupp Bonus for CLI7535980</v>
      </c>
    </row>
    <row r="51" spans="1:16" x14ac:dyDescent="0.25">
      <c r="A51" s="30" t="s">
        <v>22</v>
      </c>
      <c r="B51" s="30" t="s">
        <v>62</v>
      </c>
      <c r="C51" s="30" t="s">
        <v>63</v>
      </c>
      <c r="D51" s="30" t="s">
        <v>64</v>
      </c>
      <c r="E51" s="31">
        <v>0</v>
      </c>
      <c r="F51" s="30" t="s">
        <v>65</v>
      </c>
      <c r="G51" s="30" t="s">
        <v>66</v>
      </c>
      <c r="H51" s="31">
        <v>50</v>
      </c>
      <c r="I51" s="31" t="str">
        <f t="shared" si="0"/>
        <v>-50</v>
      </c>
      <c r="J51" s="29" t="s">
        <v>282</v>
      </c>
      <c r="K51" s="32">
        <v>50</v>
      </c>
      <c r="L51" s="33">
        <v>46163</v>
      </c>
      <c r="M51" s="29" t="s">
        <v>290</v>
      </c>
      <c r="N51" s="29">
        <v>8977234</v>
      </c>
      <c r="O51" s="29" t="s">
        <v>337</v>
      </c>
      <c r="P51" s="29" t="str">
        <f t="shared" si="1"/>
        <v>Aetna Medsupp Bonus for CLI7537949</v>
      </c>
    </row>
    <row r="52" spans="1:16" x14ac:dyDescent="0.25">
      <c r="A52" s="30" t="s">
        <v>22</v>
      </c>
      <c r="B52" s="30" t="s">
        <v>62</v>
      </c>
      <c r="C52" s="30" t="s">
        <v>63</v>
      </c>
      <c r="D52" s="30" t="s">
        <v>64</v>
      </c>
      <c r="E52" s="31">
        <v>0</v>
      </c>
      <c r="F52" s="30" t="s">
        <v>65</v>
      </c>
      <c r="G52" s="30" t="s">
        <v>66</v>
      </c>
      <c r="H52" s="31">
        <v>50</v>
      </c>
      <c r="I52" s="31" t="str">
        <f t="shared" si="0"/>
        <v>-50</v>
      </c>
      <c r="J52" s="29" t="s">
        <v>282</v>
      </c>
      <c r="K52" s="32">
        <v>50</v>
      </c>
      <c r="L52" s="33">
        <v>46163</v>
      </c>
      <c r="M52" s="29" t="s">
        <v>299</v>
      </c>
      <c r="N52" s="29">
        <v>8977234</v>
      </c>
      <c r="O52" s="29" t="s">
        <v>337</v>
      </c>
      <c r="P52" s="29" t="str">
        <f t="shared" si="1"/>
        <v>Aetna Medsupp Bonus for CLI7546498</v>
      </c>
    </row>
    <row r="53" spans="1:16" x14ac:dyDescent="0.25">
      <c r="A53" s="30" t="s">
        <v>22</v>
      </c>
      <c r="B53" s="30" t="s">
        <v>62</v>
      </c>
      <c r="C53" s="30" t="s">
        <v>63</v>
      </c>
      <c r="D53" s="30" t="s">
        <v>64</v>
      </c>
      <c r="E53" s="31">
        <v>0</v>
      </c>
      <c r="F53" s="30" t="s">
        <v>65</v>
      </c>
      <c r="G53" s="30" t="s">
        <v>66</v>
      </c>
      <c r="H53" s="31">
        <v>50</v>
      </c>
      <c r="I53" s="31" t="str">
        <f t="shared" si="0"/>
        <v>-50</v>
      </c>
      <c r="J53" s="29" t="s">
        <v>282</v>
      </c>
      <c r="K53" s="32">
        <v>50</v>
      </c>
      <c r="L53" s="33">
        <v>46163</v>
      </c>
      <c r="M53" s="29" t="s">
        <v>300</v>
      </c>
      <c r="N53" s="29">
        <v>8977234</v>
      </c>
      <c r="O53" s="29" t="s">
        <v>337</v>
      </c>
      <c r="P53" s="29" t="str">
        <f t="shared" si="1"/>
        <v>Aetna Medsupp Bonus for CLI7546512</v>
      </c>
    </row>
    <row r="54" spans="1:16" x14ac:dyDescent="0.25">
      <c r="A54" s="30" t="s">
        <v>22</v>
      </c>
      <c r="B54" s="30" t="s">
        <v>62</v>
      </c>
      <c r="C54" s="30" t="s">
        <v>63</v>
      </c>
      <c r="D54" s="30" t="s">
        <v>64</v>
      </c>
      <c r="E54" s="31">
        <v>0</v>
      </c>
      <c r="F54" s="30" t="s">
        <v>65</v>
      </c>
      <c r="G54" s="30" t="s">
        <v>66</v>
      </c>
      <c r="H54" s="31">
        <v>50</v>
      </c>
      <c r="I54" s="31" t="str">
        <f t="shared" si="0"/>
        <v>-50</v>
      </c>
      <c r="J54" s="29" t="s">
        <v>282</v>
      </c>
      <c r="K54" s="32">
        <v>50</v>
      </c>
      <c r="L54" s="33">
        <v>46163</v>
      </c>
      <c r="M54" s="29" t="s">
        <v>331</v>
      </c>
      <c r="N54" s="29">
        <v>8977234</v>
      </c>
      <c r="O54" s="29" t="s">
        <v>337</v>
      </c>
      <c r="P54" s="29" t="str">
        <f t="shared" si="1"/>
        <v>Aetna Medsupp Bonus for CLI7531001</v>
      </c>
    </row>
    <row r="55" spans="1:16" x14ac:dyDescent="0.25">
      <c r="A55" s="30" t="s">
        <v>22</v>
      </c>
      <c r="B55" s="30" t="s">
        <v>62</v>
      </c>
      <c r="C55" s="30" t="s">
        <v>63</v>
      </c>
      <c r="D55" s="30" t="s">
        <v>64</v>
      </c>
      <c r="E55" s="31">
        <v>0</v>
      </c>
      <c r="F55" s="30" t="s">
        <v>65</v>
      </c>
      <c r="G55" s="30" t="s">
        <v>66</v>
      </c>
      <c r="H55" s="31">
        <v>50</v>
      </c>
      <c r="I55" s="31" t="str">
        <f t="shared" si="0"/>
        <v>-50</v>
      </c>
      <c r="J55" s="29" t="s">
        <v>287</v>
      </c>
      <c r="K55" s="32">
        <v>50</v>
      </c>
      <c r="L55" s="33">
        <v>46163</v>
      </c>
      <c r="M55" s="29" t="s">
        <v>288</v>
      </c>
      <c r="N55" s="29">
        <v>16170994</v>
      </c>
      <c r="O55" s="29" t="s">
        <v>337</v>
      </c>
      <c r="P55" s="29" t="str">
        <f t="shared" si="1"/>
        <v>Aetna Medsupp Bonus for CLI7534579</v>
      </c>
    </row>
    <row r="56" spans="1:16" x14ac:dyDescent="0.25">
      <c r="A56" s="30" t="s">
        <v>22</v>
      </c>
      <c r="B56" s="30" t="s">
        <v>62</v>
      </c>
      <c r="C56" s="30" t="s">
        <v>63</v>
      </c>
      <c r="D56" s="30" t="s">
        <v>64</v>
      </c>
      <c r="E56" s="31">
        <v>0</v>
      </c>
      <c r="F56" s="30" t="s">
        <v>65</v>
      </c>
      <c r="G56" s="30" t="s">
        <v>66</v>
      </c>
      <c r="H56" s="31">
        <v>50</v>
      </c>
      <c r="I56" s="31" t="str">
        <f t="shared" si="0"/>
        <v>-50</v>
      </c>
      <c r="J56" s="29" t="s">
        <v>271</v>
      </c>
      <c r="K56" s="32">
        <v>50</v>
      </c>
      <c r="L56" s="33">
        <v>46163</v>
      </c>
      <c r="M56" s="29" t="s">
        <v>272</v>
      </c>
      <c r="N56" s="29">
        <v>19645587</v>
      </c>
      <c r="O56" s="29" t="s">
        <v>337</v>
      </c>
      <c r="P56" s="29" t="str">
        <f t="shared" si="1"/>
        <v>Aetna Medsupp Bonus for CLI7516941</v>
      </c>
    </row>
    <row r="57" spans="1:16" x14ac:dyDescent="0.25">
      <c r="A57" s="30" t="s">
        <v>22</v>
      </c>
      <c r="B57" s="30" t="s">
        <v>62</v>
      </c>
      <c r="C57" s="30" t="s">
        <v>63</v>
      </c>
      <c r="D57" s="30" t="s">
        <v>64</v>
      </c>
      <c r="E57" s="31">
        <v>0</v>
      </c>
      <c r="F57" s="30" t="s">
        <v>65</v>
      </c>
      <c r="G57" s="30" t="s">
        <v>66</v>
      </c>
      <c r="H57" s="31">
        <v>50</v>
      </c>
      <c r="I57" s="31" t="str">
        <f t="shared" si="0"/>
        <v>-50</v>
      </c>
      <c r="J57" s="29" t="s">
        <v>306</v>
      </c>
      <c r="K57" s="32">
        <v>50</v>
      </c>
      <c r="L57" s="33">
        <v>46163</v>
      </c>
      <c r="M57" s="29" t="s">
        <v>307</v>
      </c>
      <c r="N57" s="29">
        <v>17126004</v>
      </c>
      <c r="O57" s="29" t="s">
        <v>337</v>
      </c>
      <c r="P57" s="29" t="str">
        <f t="shared" si="1"/>
        <v>Aetna Medsupp Bonus for CLI7552894</v>
      </c>
    </row>
    <row r="58" spans="1:16" x14ac:dyDescent="0.25">
      <c r="A58" s="30" t="s">
        <v>22</v>
      </c>
      <c r="B58" s="30" t="s">
        <v>62</v>
      </c>
      <c r="C58" s="30" t="s">
        <v>63</v>
      </c>
      <c r="D58" s="30" t="s">
        <v>64</v>
      </c>
      <c r="E58" s="31">
        <v>0</v>
      </c>
      <c r="F58" s="30" t="s">
        <v>65</v>
      </c>
      <c r="G58" s="30" t="s">
        <v>66</v>
      </c>
      <c r="H58" s="31">
        <v>50</v>
      </c>
      <c r="I58" s="31" t="str">
        <f t="shared" si="0"/>
        <v>-50</v>
      </c>
      <c r="J58" s="29" t="s">
        <v>306</v>
      </c>
      <c r="K58" s="32">
        <v>50</v>
      </c>
      <c r="L58" s="33">
        <v>46163</v>
      </c>
      <c r="M58" s="29" t="s">
        <v>308</v>
      </c>
      <c r="N58" s="29">
        <v>17126004</v>
      </c>
      <c r="O58" s="29" t="s">
        <v>337</v>
      </c>
      <c r="P58" s="29" t="str">
        <f t="shared" si="1"/>
        <v>Aetna Medsupp Bonus for CLI7552895</v>
      </c>
    </row>
    <row r="59" spans="1:16" x14ac:dyDescent="0.25">
      <c r="A59" s="30" t="s">
        <v>22</v>
      </c>
      <c r="B59" s="30" t="s">
        <v>62</v>
      </c>
      <c r="C59" s="30" t="s">
        <v>63</v>
      </c>
      <c r="D59" s="30" t="s">
        <v>64</v>
      </c>
      <c r="E59" s="31">
        <v>0</v>
      </c>
      <c r="F59" s="30" t="s">
        <v>65</v>
      </c>
      <c r="G59" s="30" t="s">
        <v>66</v>
      </c>
      <c r="H59" s="31">
        <v>50</v>
      </c>
      <c r="I59" s="31" t="str">
        <f t="shared" si="0"/>
        <v>-50</v>
      </c>
      <c r="J59" s="29" t="s">
        <v>306</v>
      </c>
      <c r="K59" s="32">
        <v>50</v>
      </c>
      <c r="L59" s="33">
        <v>46163</v>
      </c>
      <c r="M59" s="29" t="s">
        <v>318</v>
      </c>
      <c r="N59" s="29">
        <v>17126004</v>
      </c>
      <c r="O59" s="29" t="s">
        <v>337</v>
      </c>
      <c r="P59" s="29" t="str">
        <f t="shared" si="1"/>
        <v>Aetna Medsupp Bonus for CLI7542645</v>
      </c>
    </row>
    <row r="60" spans="1:16" x14ac:dyDescent="0.25">
      <c r="A60" s="30" t="s">
        <v>22</v>
      </c>
      <c r="B60" s="30" t="s">
        <v>62</v>
      </c>
      <c r="C60" s="30" t="s">
        <v>63</v>
      </c>
      <c r="D60" s="30" t="s">
        <v>64</v>
      </c>
      <c r="E60" s="31">
        <v>0</v>
      </c>
      <c r="F60" s="30" t="s">
        <v>65</v>
      </c>
      <c r="G60" s="30" t="s">
        <v>66</v>
      </c>
      <c r="H60" s="31">
        <v>25</v>
      </c>
      <c r="I60" s="31" t="str">
        <f t="shared" si="0"/>
        <v>-25</v>
      </c>
      <c r="J60" s="29" t="s">
        <v>266</v>
      </c>
      <c r="K60" s="32">
        <v>25</v>
      </c>
      <c r="L60" s="33">
        <v>46163</v>
      </c>
      <c r="M60" s="29" t="s">
        <v>267</v>
      </c>
      <c r="N60" s="29">
        <v>19491313</v>
      </c>
      <c r="O60" s="29" t="s">
        <v>337</v>
      </c>
      <c r="P60" s="29" t="str">
        <f t="shared" si="1"/>
        <v>Aetna Medsupp Bonus for CLI7554165</v>
      </c>
    </row>
    <row r="61" spans="1:16" x14ac:dyDescent="0.25">
      <c r="A61" s="30" t="s">
        <v>22</v>
      </c>
      <c r="B61" s="30" t="s">
        <v>62</v>
      </c>
      <c r="C61" s="30" t="s">
        <v>63</v>
      </c>
      <c r="D61" s="30" t="s">
        <v>64</v>
      </c>
      <c r="E61" s="31">
        <v>0</v>
      </c>
      <c r="F61" s="30" t="s">
        <v>65</v>
      </c>
      <c r="G61" s="30" t="s">
        <v>66</v>
      </c>
      <c r="H61" s="31">
        <v>50</v>
      </c>
      <c r="I61" s="31" t="str">
        <f t="shared" si="0"/>
        <v>-50</v>
      </c>
      <c r="J61" s="29" t="s">
        <v>316</v>
      </c>
      <c r="K61" s="32">
        <v>50</v>
      </c>
      <c r="L61" s="33">
        <v>46163</v>
      </c>
      <c r="M61" s="29" t="s">
        <v>317</v>
      </c>
      <c r="N61" s="29">
        <v>16202925</v>
      </c>
      <c r="O61" s="29" t="s">
        <v>337</v>
      </c>
      <c r="P61" s="29" t="str">
        <f t="shared" si="1"/>
        <v>Aetna Medsupp Bonus for CLI7543090</v>
      </c>
    </row>
  </sheetData>
  <sortState xmlns:xlrd2="http://schemas.microsoft.com/office/spreadsheetml/2017/richdata2" ref="A2:U113">
    <sortCondition ref="J2:J1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2550-6BFE-41FA-967F-1F0F42C0477C}">
  <dimension ref="A1:Z50"/>
  <sheetViews>
    <sheetView topLeftCell="D14" workbookViewId="0">
      <selection activeCell="P2" sqref="P2:P50"/>
    </sheetView>
  </sheetViews>
  <sheetFormatPr defaultRowHeight="15" x14ac:dyDescent="0.25"/>
  <cols>
    <col min="1" max="1" width="21" style="14" customWidth="1"/>
    <col min="2" max="2" width="14.140625" style="14" customWidth="1"/>
    <col min="3" max="3" width="8.85546875" style="14" customWidth="1"/>
    <col min="4" max="4" width="10.5703125" style="14" customWidth="1"/>
    <col min="5" max="5" width="11" style="14" customWidth="1"/>
    <col min="6" max="6" width="17" style="14" customWidth="1"/>
    <col min="7" max="7" width="15.7109375" style="14" customWidth="1"/>
    <col min="8" max="8" width="10" style="14" customWidth="1"/>
    <col min="9" max="9" width="22.28515625" style="14" customWidth="1"/>
    <col min="10" max="10" width="27" style="14" customWidth="1"/>
    <col min="11" max="11" width="14.7109375" style="14" customWidth="1"/>
    <col min="12" max="13" width="17.140625" style="14" customWidth="1"/>
    <col min="14" max="14" width="11.42578125" style="14" customWidth="1"/>
    <col min="15" max="15" width="10" style="14" customWidth="1"/>
    <col min="16" max="16" width="12" style="14" customWidth="1"/>
    <col min="17" max="17" width="9" style="14" customWidth="1"/>
    <col min="18" max="18" width="20" style="14" customWidth="1"/>
    <col min="19" max="16384" width="9.140625" style="14"/>
  </cols>
  <sheetData>
    <row r="1" spans="1:26" x14ac:dyDescent="0.25">
      <c r="A1" s="13" t="s">
        <v>44</v>
      </c>
      <c r="B1" s="13"/>
      <c r="C1" s="13"/>
      <c r="D1" s="13"/>
      <c r="E1" s="13" t="s">
        <v>45</v>
      </c>
      <c r="F1" s="13" t="s">
        <v>46</v>
      </c>
      <c r="G1" s="13" t="s">
        <v>47</v>
      </c>
      <c r="H1" s="13" t="s">
        <v>49</v>
      </c>
      <c r="I1" s="13" t="s">
        <v>50</v>
      </c>
      <c r="J1" s="13"/>
      <c r="K1" s="13" t="s">
        <v>51</v>
      </c>
      <c r="L1" s="13" t="s">
        <v>52</v>
      </c>
      <c r="M1" s="13"/>
      <c r="N1" s="13" t="s">
        <v>53</v>
      </c>
      <c r="O1" s="13" t="s">
        <v>55</v>
      </c>
      <c r="P1" s="13" t="s">
        <v>57</v>
      </c>
      <c r="Q1" s="13" t="s">
        <v>58</v>
      </c>
      <c r="R1" s="13" t="s">
        <v>61</v>
      </c>
    </row>
    <row r="2" spans="1:26" x14ac:dyDescent="0.25">
      <c r="A2" s="17" t="s">
        <v>157</v>
      </c>
      <c r="B2" s="17" t="s">
        <v>252</v>
      </c>
      <c r="C2" s="17" t="s">
        <v>253</v>
      </c>
      <c r="D2" s="17" t="s">
        <v>238</v>
      </c>
      <c r="E2" s="17" t="s">
        <v>158</v>
      </c>
      <c r="F2" s="17" t="s">
        <v>159</v>
      </c>
      <c r="G2" s="17" t="s">
        <v>72</v>
      </c>
      <c r="H2" s="17" t="s">
        <v>74</v>
      </c>
      <c r="I2" s="17" t="s">
        <v>75</v>
      </c>
      <c r="J2" s="17" t="s">
        <v>242</v>
      </c>
      <c r="K2" s="17" t="s">
        <v>99</v>
      </c>
      <c r="L2" s="17" t="s">
        <v>99</v>
      </c>
      <c r="M2" s="22">
        <f t="shared" ref="M2:M33" si="0">DATE(YEAR(L2), MONTH(L2) +1, DAY(L2))</f>
        <v>46204</v>
      </c>
      <c r="N2" s="18">
        <v>80.88</v>
      </c>
      <c r="O2" s="21">
        <v>0.65</v>
      </c>
      <c r="P2" s="18">
        <v>52.57</v>
      </c>
      <c r="Q2" s="17" t="s">
        <v>92</v>
      </c>
      <c r="R2" s="17" t="s">
        <v>80</v>
      </c>
      <c r="S2" s="19"/>
      <c r="T2" s="19"/>
      <c r="U2" s="19"/>
      <c r="V2" s="19"/>
      <c r="W2" s="19"/>
      <c r="X2" s="19"/>
      <c r="Y2" s="19"/>
      <c r="Z2" s="19"/>
    </row>
    <row r="3" spans="1:26" x14ac:dyDescent="0.25">
      <c r="A3" s="17" t="s">
        <v>196</v>
      </c>
      <c r="B3" s="17" t="s">
        <v>254</v>
      </c>
      <c r="C3" s="17" t="s">
        <v>253</v>
      </c>
      <c r="D3" s="17" t="s">
        <v>238</v>
      </c>
      <c r="E3" s="17" t="s">
        <v>197</v>
      </c>
      <c r="F3" s="17" t="s">
        <v>198</v>
      </c>
      <c r="G3" s="17" t="s">
        <v>72</v>
      </c>
      <c r="H3" s="17" t="s">
        <v>74</v>
      </c>
      <c r="I3" s="17" t="s">
        <v>75</v>
      </c>
      <c r="J3" s="17" t="s">
        <v>242</v>
      </c>
      <c r="K3" s="17" t="s">
        <v>99</v>
      </c>
      <c r="L3" s="17" t="s">
        <v>99</v>
      </c>
      <c r="M3" s="22">
        <f t="shared" si="0"/>
        <v>46204</v>
      </c>
      <c r="N3" s="18">
        <v>7.08</v>
      </c>
      <c r="O3" s="21">
        <v>0.65</v>
      </c>
      <c r="P3" s="18">
        <v>4.5999999999999996</v>
      </c>
      <c r="Q3" s="17" t="s">
        <v>79</v>
      </c>
      <c r="R3" s="17" t="s">
        <v>80</v>
      </c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17" t="s">
        <v>196</v>
      </c>
      <c r="B4" s="17" t="s">
        <v>254</v>
      </c>
      <c r="C4" s="17" t="s">
        <v>253</v>
      </c>
      <c r="D4" s="17" t="s">
        <v>238</v>
      </c>
      <c r="E4" s="17" t="s">
        <v>197</v>
      </c>
      <c r="F4" s="17" t="s">
        <v>198</v>
      </c>
      <c r="G4" s="17" t="s">
        <v>72</v>
      </c>
      <c r="H4" s="17" t="s">
        <v>74</v>
      </c>
      <c r="I4" s="17" t="s">
        <v>75</v>
      </c>
      <c r="J4" s="17" t="s">
        <v>242</v>
      </c>
      <c r="K4" s="17" t="s">
        <v>99</v>
      </c>
      <c r="L4" s="17" t="s">
        <v>99</v>
      </c>
      <c r="M4" s="22">
        <f t="shared" si="0"/>
        <v>46204</v>
      </c>
      <c r="N4" s="18">
        <v>29.5</v>
      </c>
      <c r="O4" s="21">
        <v>0.65</v>
      </c>
      <c r="P4" s="18">
        <v>19.18</v>
      </c>
      <c r="Q4" s="17" t="s">
        <v>79</v>
      </c>
      <c r="R4" s="17" t="s">
        <v>80</v>
      </c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7" t="s">
        <v>82</v>
      </c>
      <c r="B5" s="17" t="s">
        <v>247</v>
      </c>
      <c r="C5" s="17" t="s">
        <v>251</v>
      </c>
      <c r="D5" s="17" t="s">
        <v>237</v>
      </c>
      <c r="E5" s="17" t="s">
        <v>201</v>
      </c>
      <c r="F5" s="17" t="s">
        <v>233</v>
      </c>
      <c r="G5" s="17" t="s">
        <v>72</v>
      </c>
      <c r="H5" s="17" t="s">
        <v>87</v>
      </c>
      <c r="I5" s="17" t="s">
        <v>115</v>
      </c>
      <c r="J5" s="17" t="s">
        <v>239</v>
      </c>
      <c r="K5" s="17" t="s">
        <v>205</v>
      </c>
      <c r="L5" s="17" t="s">
        <v>206</v>
      </c>
      <c r="M5" s="22">
        <f t="shared" si="0"/>
        <v>46184</v>
      </c>
      <c r="N5" s="18">
        <v>-45.62</v>
      </c>
      <c r="O5" s="21">
        <v>0.95</v>
      </c>
      <c r="P5" s="18">
        <v>-43.34</v>
      </c>
      <c r="Q5" s="17" t="s">
        <v>79</v>
      </c>
      <c r="R5" s="17" t="s">
        <v>118</v>
      </c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17" t="s">
        <v>82</v>
      </c>
      <c r="B6" s="17" t="s">
        <v>247</v>
      </c>
      <c r="C6" s="17" t="s">
        <v>251</v>
      </c>
      <c r="D6" s="17" t="s">
        <v>237</v>
      </c>
      <c r="E6" s="17" t="s">
        <v>201</v>
      </c>
      <c r="F6" s="17" t="s">
        <v>224</v>
      </c>
      <c r="G6" s="17" t="s">
        <v>72</v>
      </c>
      <c r="H6" s="17" t="s">
        <v>87</v>
      </c>
      <c r="I6" s="17" t="s">
        <v>98</v>
      </c>
      <c r="J6" s="17" t="s">
        <v>239</v>
      </c>
      <c r="K6" s="17" t="s">
        <v>205</v>
      </c>
      <c r="L6" s="17" t="s">
        <v>206</v>
      </c>
      <c r="M6" s="22">
        <f t="shared" si="0"/>
        <v>46184</v>
      </c>
      <c r="N6" s="18">
        <v>-49.75</v>
      </c>
      <c r="O6" s="21">
        <v>0.95</v>
      </c>
      <c r="P6" s="18">
        <v>-47.26</v>
      </c>
      <c r="Q6" s="17" t="s">
        <v>79</v>
      </c>
      <c r="R6" s="17" t="s">
        <v>101</v>
      </c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7" t="s">
        <v>69</v>
      </c>
      <c r="B7" s="17">
        <v>9213293</v>
      </c>
      <c r="C7" s="17" t="s">
        <v>251</v>
      </c>
      <c r="D7" s="17" t="s">
        <v>237</v>
      </c>
      <c r="E7" s="17" t="s">
        <v>70</v>
      </c>
      <c r="F7" s="17" t="s">
        <v>71</v>
      </c>
      <c r="G7" s="17" t="s">
        <v>72</v>
      </c>
      <c r="H7" s="17" t="s">
        <v>74</v>
      </c>
      <c r="I7" s="17" t="s">
        <v>75</v>
      </c>
      <c r="J7" s="17" t="s">
        <v>242</v>
      </c>
      <c r="K7" s="17" t="s">
        <v>76</v>
      </c>
      <c r="L7" s="17" t="s">
        <v>76</v>
      </c>
      <c r="M7" s="22">
        <f t="shared" si="0"/>
        <v>46266</v>
      </c>
      <c r="N7" s="18">
        <v>39.33</v>
      </c>
      <c r="O7" s="21">
        <v>0.65</v>
      </c>
      <c r="P7" s="18">
        <v>25.56</v>
      </c>
      <c r="Q7" s="17" t="s">
        <v>79</v>
      </c>
      <c r="R7" s="17" t="s">
        <v>80</v>
      </c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17" t="s">
        <v>69</v>
      </c>
      <c r="B8" s="17">
        <v>9213293</v>
      </c>
      <c r="C8" s="17" t="s">
        <v>251</v>
      </c>
      <c r="D8" s="17" t="s">
        <v>237</v>
      </c>
      <c r="E8" s="17" t="s">
        <v>70</v>
      </c>
      <c r="F8" s="17" t="s">
        <v>71</v>
      </c>
      <c r="G8" s="17" t="s">
        <v>72</v>
      </c>
      <c r="H8" s="17" t="s">
        <v>74</v>
      </c>
      <c r="I8" s="17" t="s">
        <v>75</v>
      </c>
      <c r="J8" s="17" t="s">
        <v>242</v>
      </c>
      <c r="K8" s="17" t="s">
        <v>76</v>
      </c>
      <c r="L8" s="17" t="s">
        <v>76</v>
      </c>
      <c r="M8" s="22">
        <f t="shared" si="0"/>
        <v>46266</v>
      </c>
      <c r="N8" s="18">
        <v>14.17</v>
      </c>
      <c r="O8" s="21">
        <v>0.65</v>
      </c>
      <c r="P8" s="18">
        <v>9.2100000000000009</v>
      </c>
      <c r="Q8" s="17" t="s">
        <v>79</v>
      </c>
      <c r="R8" s="17" t="s">
        <v>80</v>
      </c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17" t="s">
        <v>149</v>
      </c>
      <c r="B9" s="17">
        <v>21758900</v>
      </c>
      <c r="C9" s="17" t="s">
        <v>251</v>
      </c>
      <c r="D9" s="17" t="s">
        <v>237</v>
      </c>
      <c r="E9" s="17" t="s">
        <v>150</v>
      </c>
      <c r="F9" s="17" t="s">
        <v>151</v>
      </c>
      <c r="G9" s="17" t="s">
        <v>72</v>
      </c>
      <c r="H9" s="17" t="s">
        <v>124</v>
      </c>
      <c r="I9" s="17" t="s">
        <v>153</v>
      </c>
      <c r="J9" s="17" t="s">
        <v>243</v>
      </c>
      <c r="K9" s="17" t="s">
        <v>99</v>
      </c>
      <c r="L9" s="17" t="s">
        <v>99</v>
      </c>
      <c r="M9" s="22">
        <f t="shared" si="0"/>
        <v>46204</v>
      </c>
      <c r="N9" s="18">
        <v>74.62</v>
      </c>
      <c r="O9" s="21">
        <v>0.57999999999999996</v>
      </c>
      <c r="P9" s="18">
        <v>43.28</v>
      </c>
      <c r="Q9" s="17" t="s">
        <v>79</v>
      </c>
      <c r="R9" s="17" t="s">
        <v>155</v>
      </c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7" t="s">
        <v>82</v>
      </c>
      <c r="B10" s="17" t="s">
        <v>247</v>
      </c>
      <c r="C10" s="17" t="s">
        <v>251</v>
      </c>
      <c r="D10" s="17" t="s">
        <v>237</v>
      </c>
      <c r="E10" s="17" t="s">
        <v>201</v>
      </c>
      <c r="F10" s="17" t="s">
        <v>202</v>
      </c>
      <c r="G10" s="17" t="s">
        <v>72</v>
      </c>
      <c r="H10" s="17" t="s">
        <v>87</v>
      </c>
      <c r="I10" s="17" t="s">
        <v>204</v>
      </c>
      <c r="J10" s="17" t="s">
        <v>241</v>
      </c>
      <c r="K10" s="17" t="s">
        <v>205</v>
      </c>
      <c r="L10" s="17" t="s">
        <v>206</v>
      </c>
      <c r="M10" s="22">
        <f t="shared" si="0"/>
        <v>46184</v>
      </c>
      <c r="N10" s="18">
        <v>-20.62</v>
      </c>
      <c r="O10" s="21">
        <v>0.6</v>
      </c>
      <c r="P10" s="18">
        <v>-12.37</v>
      </c>
      <c r="Q10" s="17" t="s">
        <v>79</v>
      </c>
      <c r="R10" s="17" t="s">
        <v>207</v>
      </c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17" t="s">
        <v>82</v>
      </c>
      <c r="B11" s="17" t="s">
        <v>247</v>
      </c>
      <c r="C11" s="17" t="s">
        <v>251</v>
      </c>
      <c r="D11" s="17" t="s">
        <v>237</v>
      </c>
      <c r="E11" s="17" t="s">
        <v>201</v>
      </c>
      <c r="F11" s="17" t="s">
        <v>202</v>
      </c>
      <c r="G11" s="17" t="s">
        <v>72</v>
      </c>
      <c r="H11" s="17" t="s">
        <v>87</v>
      </c>
      <c r="I11" s="17" t="s">
        <v>204</v>
      </c>
      <c r="J11" s="17" t="s">
        <v>241</v>
      </c>
      <c r="K11" s="17" t="s">
        <v>205</v>
      </c>
      <c r="L11" s="17" t="s">
        <v>206</v>
      </c>
      <c r="M11" s="22">
        <f t="shared" si="0"/>
        <v>46184</v>
      </c>
      <c r="N11" s="18">
        <v>-19.7</v>
      </c>
      <c r="O11" s="21">
        <v>0.6</v>
      </c>
      <c r="P11" s="18">
        <v>-11.82</v>
      </c>
      <c r="Q11" s="17" t="s">
        <v>79</v>
      </c>
      <c r="R11" s="17" t="s">
        <v>207</v>
      </c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7" t="s">
        <v>82</v>
      </c>
      <c r="B12" s="17" t="s">
        <v>247</v>
      </c>
      <c r="C12" s="17" t="s">
        <v>251</v>
      </c>
      <c r="D12" s="17" t="s">
        <v>237</v>
      </c>
      <c r="E12" s="17" t="s">
        <v>201</v>
      </c>
      <c r="F12" s="17" t="s">
        <v>202</v>
      </c>
      <c r="G12" s="17" t="s">
        <v>72</v>
      </c>
      <c r="H12" s="17" t="s">
        <v>87</v>
      </c>
      <c r="I12" s="17" t="s">
        <v>204</v>
      </c>
      <c r="J12" s="17" t="s">
        <v>241</v>
      </c>
      <c r="K12" s="17" t="s">
        <v>205</v>
      </c>
      <c r="L12" s="17" t="s">
        <v>206</v>
      </c>
      <c r="M12" s="22">
        <f t="shared" si="0"/>
        <v>46184</v>
      </c>
      <c r="N12" s="18">
        <v>-12.47</v>
      </c>
      <c r="O12" s="21">
        <v>0.6</v>
      </c>
      <c r="P12" s="18">
        <v>-7.48</v>
      </c>
      <c r="Q12" s="17" t="s">
        <v>79</v>
      </c>
      <c r="R12" s="17" t="s">
        <v>207</v>
      </c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5" t="s">
        <v>82</v>
      </c>
      <c r="B13" s="15" t="s">
        <v>247</v>
      </c>
      <c r="C13" s="15" t="s">
        <v>251</v>
      </c>
      <c r="D13" s="15" t="s">
        <v>237</v>
      </c>
      <c r="E13" s="15" t="s">
        <v>83</v>
      </c>
      <c r="F13" s="15" t="s">
        <v>129</v>
      </c>
      <c r="G13" s="15" t="s">
        <v>85</v>
      </c>
      <c r="H13" s="15" t="s">
        <v>87</v>
      </c>
      <c r="I13" s="15" t="s">
        <v>130</v>
      </c>
      <c r="J13" s="15" t="s">
        <v>239</v>
      </c>
      <c r="K13" s="15" t="s">
        <v>89</v>
      </c>
      <c r="L13" s="15" t="s">
        <v>90</v>
      </c>
      <c r="M13" s="23">
        <f t="shared" si="0"/>
        <v>46197</v>
      </c>
      <c r="N13" s="16">
        <v>57.6</v>
      </c>
      <c r="O13" s="20">
        <v>0.95</v>
      </c>
      <c r="P13" s="16">
        <v>54.72</v>
      </c>
      <c r="Q13" s="15" t="s">
        <v>79</v>
      </c>
      <c r="R13" s="15" t="s">
        <v>131</v>
      </c>
    </row>
    <row r="14" spans="1:26" x14ac:dyDescent="0.25">
      <c r="A14" s="15" t="s">
        <v>162</v>
      </c>
      <c r="B14" s="15" t="s">
        <v>248</v>
      </c>
      <c r="C14" s="15" t="s">
        <v>251</v>
      </c>
      <c r="D14" s="15" t="s">
        <v>238</v>
      </c>
      <c r="E14" s="15" t="s">
        <v>162</v>
      </c>
      <c r="F14" s="15" t="s">
        <v>163</v>
      </c>
      <c r="G14" s="15" t="s">
        <v>85</v>
      </c>
      <c r="H14" s="15" t="s">
        <v>87</v>
      </c>
      <c r="I14" s="15" t="s">
        <v>115</v>
      </c>
      <c r="J14" s="15" t="s">
        <v>239</v>
      </c>
      <c r="K14" s="15" t="s">
        <v>165</v>
      </c>
      <c r="L14" s="15" t="s">
        <v>152</v>
      </c>
      <c r="M14" s="23">
        <f t="shared" si="0"/>
        <v>46195</v>
      </c>
      <c r="N14" s="16">
        <v>92.9</v>
      </c>
      <c r="O14" s="20">
        <v>0.95</v>
      </c>
      <c r="P14" s="16">
        <v>88.26</v>
      </c>
      <c r="Q14" s="15" t="s">
        <v>79</v>
      </c>
      <c r="R14" s="15" t="s">
        <v>118</v>
      </c>
    </row>
    <row r="15" spans="1:26" x14ac:dyDescent="0.25">
      <c r="A15" s="15" t="s">
        <v>82</v>
      </c>
      <c r="B15" s="15" t="s">
        <v>247</v>
      </c>
      <c r="C15" s="15" t="s">
        <v>251</v>
      </c>
      <c r="D15" s="15" t="s">
        <v>237</v>
      </c>
      <c r="E15" s="15" t="s">
        <v>83</v>
      </c>
      <c r="F15" s="15" t="s">
        <v>84</v>
      </c>
      <c r="G15" s="15" t="s">
        <v>85</v>
      </c>
      <c r="H15" s="15" t="s">
        <v>87</v>
      </c>
      <c r="I15" s="15" t="s">
        <v>88</v>
      </c>
      <c r="J15" s="15" t="s">
        <v>239</v>
      </c>
      <c r="K15" s="15" t="s">
        <v>89</v>
      </c>
      <c r="L15" s="15" t="s">
        <v>90</v>
      </c>
      <c r="M15" s="23">
        <f t="shared" si="0"/>
        <v>46197</v>
      </c>
      <c r="N15" s="16">
        <v>54</v>
      </c>
      <c r="O15" s="20">
        <v>0.95</v>
      </c>
      <c r="P15" s="16">
        <v>51.3</v>
      </c>
      <c r="Q15" s="15" t="s">
        <v>92</v>
      </c>
      <c r="R15" s="15" t="s">
        <v>93</v>
      </c>
    </row>
    <row r="16" spans="1:26" x14ac:dyDescent="0.25">
      <c r="A16" s="15" t="s">
        <v>69</v>
      </c>
      <c r="B16" s="15">
        <v>9213293</v>
      </c>
      <c r="C16" s="15" t="s">
        <v>251</v>
      </c>
      <c r="D16" s="15" t="s">
        <v>237</v>
      </c>
      <c r="E16" s="15" t="s">
        <v>112</v>
      </c>
      <c r="F16" s="15" t="s">
        <v>113</v>
      </c>
      <c r="G16" s="15" t="s">
        <v>85</v>
      </c>
      <c r="H16" s="15" t="s">
        <v>97</v>
      </c>
      <c r="I16" s="15" t="s">
        <v>115</v>
      </c>
      <c r="J16" s="15" t="s">
        <v>240</v>
      </c>
      <c r="K16" s="15" t="s">
        <v>116</v>
      </c>
      <c r="L16" s="15" t="s">
        <v>117</v>
      </c>
      <c r="M16" s="23">
        <f t="shared" si="0"/>
        <v>46191</v>
      </c>
      <c r="N16" s="16">
        <v>24.13</v>
      </c>
      <c r="O16" s="20">
        <v>1</v>
      </c>
      <c r="P16" s="16">
        <v>24.13</v>
      </c>
      <c r="Q16" s="15" t="s">
        <v>79</v>
      </c>
      <c r="R16" s="15" t="s">
        <v>118</v>
      </c>
    </row>
    <row r="17" spans="1:18" x14ac:dyDescent="0.25">
      <c r="A17" s="15" t="s">
        <v>69</v>
      </c>
      <c r="B17" s="15">
        <v>9213293</v>
      </c>
      <c r="C17" s="15" t="s">
        <v>251</v>
      </c>
      <c r="D17" s="15" t="s">
        <v>237</v>
      </c>
      <c r="E17" s="15" t="s">
        <v>94</v>
      </c>
      <c r="F17" s="15" t="s">
        <v>95</v>
      </c>
      <c r="G17" s="15" t="s">
        <v>85</v>
      </c>
      <c r="H17" s="15" t="s">
        <v>97</v>
      </c>
      <c r="I17" s="15" t="s">
        <v>98</v>
      </c>
      <c r="J17" s="15" t="s">
        <v>240</v>
      </c>
      <c r="K17" s="15" t="s">
        <v>96</v>
      </c>
      <c r="L17" s="15" t="s">
        <v>99</v>
      </c>
      <c r="M17" s="23">
        <f t="shared" si="0"/>
        <v>46204</v>
      </c>
      <c r="N17" s="16">
        <v>25.36</v>
      </c>
      <c r="O17" s="20">
        <v>1</v>
      </c>
      <c r="P17" s="16">
        <v>25.36</v>
      </c>
      <c r="Q17" s="15" t="s">
        <v>79</v>
      </c>
      <c r="R17" s="15" t="s">
        <v>101</v>
      </c>
    </row>
    <row r="18" spans="1:18" x14ac:dyDescent="0.25">
      <c r="A18" s="15" t="s">
        <v>209</v>
      </c>
      <c r="B18" s="15">
        <v>8814784</v>
      </c>
      <c r="C18" s="15" t="s">
        <v>251</v>
      </c>
      <c r="D18" s="15" t="s">
        <v>237</v>
      </c>
      <c r="E18" s="15" t="s">
        <v>210</v>
      </c>
      <c r="F18" s="15" t="s">
        <v>215</v>
      </c>
      <c r="G18" s="15" t="s">
        <v>106</v>
      </c>
      <c r="H18" s="15" t="s">
        <v>74</v>
      </c>
      <c r="I18" s="15" t="s">
        <v>115</v>
      </c>
      <c r="J18" s="15" t="s">
        <v>240</v>
      </c>
      <c r="K18" s="15" t="s">
        <v>213</v>
      </c>
      <c r="L18" s="15" t="s">
        <v>99</v>
      </c>
      <c r="M18" s="23">
        <f t="shared" si="0"/>
        <v>46204</v>
      </c>
      <c r="N18" s="16">
        <v>27.8</v>
      </c>
      <c r="O18" s="20">
        <v>0.08</v>
      </c>
      <c r="P18" s="16">
        <v>2.2200000000000002</v>
      </c>
      <c r="Q18" s="15" t="s">
        <v>79</v>
      </c>
      <c r="R18" s="15" t="s">
        <v>118</v>
      </c>
    </row>
    <row r="19" spans="1:18" x14ac:dyDescent="0.25">
      <c r="A19" s="15" t="s">
        <v>209</v>
      </c>
      <c r="B19" s="15">
        <v>8814784</v>
      </c>
      <c r="C19" s="15" t="s">
        <v>251</v>
      </c>
      <c r="D19" s="15" t="s">
        <v>237</v>
      </c>
      <c r="E19" s="15" t="s">
        <v>210</v>
      </c>
      <c r="F19" s="15" t="s">
        <v>211</v>
      </c>
      <c r="G19" s="15" t="s">
        <v>106</v>
      </c>
      <c r="H19" s="15" t="s">
        <v>74</v>
      </c>
      <c r="I19" s="15" t="s">
        <v>98</v>
      </c>
      <c r="J19" s="15" t="s">
        <v>240</v>
      </c>
      <c r="K19" s="15" t="s">
        <v>213</v>
      </c>
      <c r="L19" s="15" t="s">
        <v>99</v>
      </c>
      <c r="M19" s="23">
        <f t="shared" si="0"/>
        <v>46204</v>
      </c>
      <c r="N19" s="16">
        <v>28.27</v>
      </c>
      <c r="O19" s="20">
        <v>0.08</v>
      </c>
      <c r="P19" s="16">
        <v>2.2599999999999998</v>
      </c>
      <c r="Q19" s="15" t="s">
        <v>79</v>
      </c>
      <c r="R19" s="15" t="s">
        <v>101</v>
      </c>
    </row>
    <row r="20" spans="1:18" x14ac:dyDescent="0.25">
      <c r="A20" s="15" t="s">
        <v>167</v>
      </c>
      <c r="B20" s="15">
        <v>9079571</v>
      </c>
      <c r="C20" s="15" t="s">
        <v>251</v>
      </c>
      <c r="D20" s="15" t="s">
        <v>237</v>
      </c>
      <c r="E20" s="15" t="s">
        <v>184</v>
      </c>
      <c r="F20" s="15" t="s">
        <v>185</v>
      </c>
      <c r="G20" s="15" t="s">
        <v>106</v>
      </c>
      <c r="H20" s="15" t="s">
        <v>87</v>
      </c>
      <c r="I20" s="15" t="s">
        <v>171</v>
      </c>
      <c r="J20" s="15" t="s">
        <v>171</v>
      </c>
      <c r="K20" s="15" t="s">
        <v>187</v>
      </c>
      <c r="L20" s="15" t="s">
        <v>99</v>
      </c>
      <c r="M20" s="23">
        <f t="shared" si="0"/>
        <v>46204</v>
      </c>
      <c r="N20" s="16">
        <v>22.42</v>
      </c>
      <c r="O20" s="20">
        <v>3.5000000000000003E-2</v>
      </c>
      <c r="P20" s="16">
        <v>0.78</v>
      </c>
      <c r="Q20" s="15" t="s">
        <v>79</v>
      </c>
      <c r="R20" s="15" t="s">
        <v>174</v>
      </c>
    </row>
    <row r="21" spans="1:18" x14ac:dyDescent="0.25">
      <c r="A21" s="15" t="s">
        <v>167</v>
      </c>
      <c r="B21" s="15">
        <v>9079571</v>
      </c>
      <c r="C21" s="15" t="s">
        <v>251</v>
      </c>
      <c r="D21" s="15" t="s">
        <v>237</v>
      </c>
      <c r="E21" s="15" t="s">
        <v>168</v>
      </c>
      <c r="F21" s="15" t="s">
        <v>169</v>
      </c>
      <c r="G21" s="15" t="s">
        <v>106</v>
      </c>
      <c r="H21" s="15" t="s">
        <v>87</v>
      </c>
      <c r="I21" s="15" t="s">
        <v>171</v>
      </c>
      <c r="J21" s="15" t="s">
        <v>245</v>
      </c>
      <c r="K21" s="15" t="s">
        <v>172</v>
      </c>
      <c r="L21" s="15" t="s">
        <v>152</v>
      </c>
      <c r="M21" s="23">
        <f t="shared" si="0"/>
        <v>46195</v>
      </c>
      <c r="N21" s="16">
        <v>64.260000000000005</v>
      </c>
      <c r="O21" s="20">
        <v>3.7499999999999999E-2</v>
      </c>
      <c r="P21" s="16">
        <v>2.41</v>
      </c>
      <c r="Q21" s="15" t="s">
        <v>79</v>
      </c>
      <c r="R21" s="15" t="s">
        <v>174</v>
      </c>
    </row>
    <row r="22" spans="1:18" x14ac:dyDescent="0.25">
      <c r="A22" s="15" t="s">
        <v>209</v>
      </c>
      <c r="B22" s="15">
        <v>8814784</v>
      </c>
      <c r="C22" s="15" t="s">
        <v>251</v>
      </c>
      <c r="D22" s="15" t="s">
        <v>237</v>
      </c>
      <c r="E22" s="15" t="s">
        <v>210</v>
      </c>
      <c r="F22" s="15" t="s">
        <v>216</v>
      </c>
      <c r="G22" s="15" t="s">
        <v>106</v>
      </c>
      <c r="H22" s="15" t="s">
        <v>74</v>
      </c>
      <c r="I22" s="15" t="s">
        <v>217</v>
      </c>
      <c r="J22" s="15" t="s">
        <v>245</v>
      </c>
      <c r="K22" s="15" t="s">
        <v>213</v>
      </c>
      <c r="L22" s="15" t="s">
        <v>99</v>
      </c>
      <c r="M22" s="23">
        <f t="shared" si="0"/>
        <v>46204</v>
      </c>
      <c r="N22" s="16">
        <v>42.5</v>
      </c>
      <c r="O22" s="20">
        <v>3.7499999999999999E-2</v>
      </c>
      <c r="P22" s="16">
        <v>1.59</v>
      </c>
      <c r="Q22" s="15" t="s">
        <v>79</v>
      </c>
      <c r="R22" s="15" t="s">
        <v>218</v>
      </c>
    </row>
    <row r="23" spans="1:18" x14ac:dyDescent="0.25">
      <c r="A23" s="15" t="s">
        <v>167</v>
      </c>
      <c r="B23" s="15">
        <v>9079571</v>
      </c>
      <c r="C23" s="15" t="s">
        <v>251</v>
      </c>
      <c r="D23" s="15" t="s">
        <v>237</v>
      </c>
      <c r="E23" s="15" t="s">
        <v>189</v>
      </c>
      <c r="F23" s="15" t="s">
        <v>190</v>
      </c>
      <c r="G23" s="15" t="s">
        <v>106</v>
      </c>
      <c r="H23" s="15" t="s">
        <v>192</v>
      </c>
      <c r="I23" s="15" t="s">
        <v>193</v>
      </c>
      <c r="J23" s="15" t="s">
        <v>245</v>
      </c>
      <c r="K23" s="15" t="s">
        <v>191</v>
      </c>
      <c r="L23" s="15" t="s">
        <v>152</v>
      </c>
      <c r="M23" s="23">
        <f t="shared" si="0"/>
        <v>46195</v>
      </c>
      <c r="N23" s="16">
        <v>75.92</v>
      </c>
      <c r="O23" s="20">
        <v>3.7499999999999999E-2</v>
      </c>
      <c r="P23" s="16">
        <v>2.85</v>
      </c>
      <c r="Q23" s="15" t="s">
        <v>79</v>
      </c>
      <c r="R23" s="15" t="s">
        <v>194</v>
      </c>
    </row>
    <row r="24" spans="1:18" x14ac:dyDescent="0.25">
      <c r="A24" s="15" t="s">
        <v>220</v>
      </c>
      <c r="B24" s="15">
        <v>8325282</v>
      </c>
      <c r="C24" s="15" t="s">
        <v>251</v>
      </c>
      <c r="D24" s="15" t="s">
        <v>237</v>
      </c>
      <c r="E24" s="15" t="s">
        <v>221</v>
      </c>
      <c r="F24" s="15" t="s">
        <v>222</v>
      </c>
      <c r="G24" s="15" t="s">
        <v>106</v>
      </c>
      <c r="H24" s="15" t="s">
        <v>74</v>
      </c>
      <c r="I24" s="15" t="s">
        <v>193</v>
      </c>
      <c r="J24" s="15" t="s">
        <v>246</v>
      </c>
      <c r="K24" s="15" t="s">
        <v>223</v>
      </c>
      <c r="L24" s="15" t="s">
        <v>199</v>
      </c>
      <c r="M24" s="23">
        <f t="shared" si="0"/>
        <v>46194</v>
      </c>
      <c r="N24" s="16">
        <v>163.6</v>
      </c>
      <c r="O24" s="20">
        <v>3.7499999999999999E-2</v>
      </c>
      <c r="P24" s="16">
        <v>6.14</v>
      </c>
      <c r="Q24" s="15" t="s">
        <v>79</v>
      </c>
      <c r="R24" s="15" t="s">
        <v>194</v>
      </c>
    </row>
    <row r="25" spans="1:18" x14ac:dyDescent="0.25">
      <c r="A25" s="15" t="s">
        <v>176</v>
      </c>
      <c r="B25" s="15" t="s">
        <v>249</v>
      </c>
      <c r="C25" s="15" t="s">
        <v>251</v>
      </c>
      <c r="D25" s="15" t="s">
        <v>237</v>
      </c>
      <c r="E25" s="15" t="s">
        <v>177</v>
      </c>
      <c r="F25" s="15" t="s">
        <v>178</v>
      </c>
      <c r="G25" s="15" t="s">
        <v>85</v>
      </c>
      <c r="H25" s="15" t="s">
        <v>124</v>
      </c>
      <c r="I25" s="15" t="s">
        <v>75</v>
      </c>
      <c r="J25" s="15" t="s">
        <v>242</v>
      </c>
      <c r="K25" s="15" t="s">
        <v>180</v>
      </c>
      <c r="L25" s="15" t="s">
        <v>99</v>
      </c>
      <c r="M25" s="23">
        <f t="shared" si="0"/>
        <v>46204</v>
      </c>
      <c r="N25" s="16">
        <v>2.63</v>
      </c>
      <c r="O25" s="20">
        <v>0.65</v>
      </c>
      <c r="P25" s="16">
        <v>1.71</v>
      </c>
      <c r="Q25" s="15" t="s">
        <v>79</v>
      </c>
      <c r="R25" s="15" t="s">
        <v>80</v>
      </c>
    </row>
    <row r="26" spans="1:18" x14ac:dyDescent="0.25">
      <c r="A26" s="15" t="s">
        <v>176</v>
      </c>
      <c r="B26" s="15" t="s">
        <v>249</v>
      </c>
      <c r="C26" s="15" t="s">
        <v>251</v>
      </c>
      <c r="D26" s="15" t="s">
        <v>237</v>
      </c>
      <c r="E26" s="15" t="s">
        <v>177</v>
      </c>
      <c r="F26" s="15" t="s">
        <v>178</v>
      </c>
      <c r="G26" s="15" t="s">
        <v>85</v>
      </c>
      <c r="H26" s="15" t="s">
        <v>124</v>
      </c>
      <c r="I26" s="15" t="s">
        <v>75</v>
      </c>
      <c r="J26" s="15" t="s">
        <v>242</v>
      </c>
      <c r="K26" s="15" t="s">
        <v>180</v>
      </c>
      <c r="L26" s="15" t="s">
        <v>99</v>
      </c>
      <c r="M26" s="23">
        <f t="shared" si="0"/>
        <v>46204</v>
      </c>
      <c r="N26" s="16">
        <v>6.04</v>
      </c>
      <c r="O26" s="20">
        <v>0.65</v>
      </c>
      <c r="P26" s="16">
        <v>3.93</v>
      </c>
      <c r="Q26" s="15" t="s">
        <v>79</v>
      </c>
      <c r="R26" s="15" t="s">
        <v>80</v>
      </c>
    </row>
    <row r="27" spans="1:18" x14ac:dyDescent="0.25">
      <c r="A27" s="15" t="s">
        <v>176</v>
      </c>
      <c r="B27" s="15" t="s">
        <v>249</v>
      </c>
      <c r="C27" s="15" t="s">
        <v>251</v>
      </c>
      <c r="D27" s="15" t="s">
        <v>237</v>
      </c>
      <c r="E27" s="15" t="s">
        <v>177</v>
      </c>
      <c r="F27" s="15" t="s">
        <v>178</v>
      </c>
      <c r="G27" s="15" t="s">
        <v>85</v>
      </c>
      <c r="H27" s="15" t="s">
        <v>124</v>
      </c>
      <c r="I27" s="15" t="s">
        <v>75</v>
      </c>
      <c r="J27" s="15" t="s">
        <v>242</v>
      </c>
      <c r="K27" s="15" t="s">
        <v>180</v>
      </c>
      <c r="L27" s="15" t="s">
        <v>99</v>
      </c>
      <c r="M27" s="23">
        <f t="shared" si="0"/>
        <v>46204</v>
      </c>
      <c r="N27" s="16">
        <v>9.17</v>
      </c>
      <c r="O27" s="20">
        <v>0.65</v>
      </c>
      <c r="P27" s="16">
        <v>5.96</v>
      </c>
      <c r="Q27" s="15" t="s">
        <v>79</v>
      </c>
      <c r="R27" s="15" t="s">
        <v>80</v>
      </c>
    </row>
    <row r="28" spans="1:18" x14ac:dyDescent="0.25">
      <c r="A28" s="15" t="s">
        <v>176</v>
      </c>
      <c r="B28" s="15" t="s">
        <v>249</v>
      </c>
      <c r="C28" s="15" t="s">
        <v>251</v>
      </c>
      <c r="D28" s="15" t="s">
        <v>237</v>
      </c>
      <c r="E28" s="15" t="s">
        <v>177</v>
      </c>
      <c r="F28" s="15" t="s">
        <v>178</v>
      </c>
      <c r="G28" s="15" t="s">
        <v>85</v>
      </c>
      <c r="H28" s="15" t="s">
        <v>124</v>
      </c>
      <c r="I28" s="15" t="s">
        <v>75</v>
      </c>
      <c r="J28" s="15" t="s">
        <v>242</v>
      </c>
      <c r="K28" s="15" t="s">
        <v>180</v>
      </c>
      <c r="L28" s="15" t="s">
        <v>99</v>
      </c>
      <c r="M28" s="23">
        <f t="shared" si="0"/>
        <v>46204</v>
      </c>
      <c r="N28" s="16">
        <v>25.5</v>
      </c>
      <c r="O28" s="20">
        <v>0.65</v>
      </c>
      <c r="P28" s="16">
        <v>16.579999999999998</v>
      </c>
      <c r="Q28" s="15" t="s">
        <v>79</v>
      </c>
      <c r="R28" s="15" t="s">
        <v>80</v>
      </c>
    </row>
    <row r="29" spans="1:18" x14ac:dyDescent="0.25">
      <c r="A29" s="15" t="s">
        <v>69</v>
      </c>
      <c r="B29" s="15">
        <v>9213293</v>
      </c>
      <c r="C29" s="15" t="s">
        <v>251</v>
      </c>
      <c r="D29" s="15" t="s">
        <v>237</v>
      </c>
      <c r="E29" s="15" t="s">
        <v>181</v>
      </c>
      <c r="F29" s="15" t="s">
        <v>182</v>
      </c>
      <c r="G29" s="15" t="s">
        <v>85</v>
      </c>
      <c r="H29" s="15" t="s">
        <v>74</v>
      </c>
      <c r="I29" s="15" t="s">
        <v>75</v>
      </c>
      <c r="J29" s="15" t="s">
        <v>242</v>
      </c>
      <c r="K29" s="15" t="s">
        <v>183</v>
      </c>
      <c r="L29" s="15" t="s">
        <v>99</v>
      </c>
      <c r="M29" s="23">
        <f t="shared" si="0"/>
        <v>46204</v>
      </c>
      <c r="N29" s="16">
        <v>25.5</v>
      </c>
      <c r="O29" s="20">
        <v>0.65</v>
      </c>
      <c r="P29" s="16">
        <v>16.579999999999998</v>
      </c>
      <c r="Q29" s="15" t="s">
        <v>79</v>
      </c>
      <c r="R29" s="15" t="s">
        <v>80</v>
      </c>
    </row>
    <row r="30" spans="1:18" x14ac:dyDescent="0.25">
      <c r="A30" s="15" t="s">
        <v>69</v>
      </c>
      <c r="B30" s="15">
        <v>9213293</v>
      </c>
      <c r="C30" s="15" t="s">
        <v>251</v>
      </c>
      <c r="D30" s="15" t="s">
        <v>237</v>
      </c>
      <c r="E30" s="15" t="s">
        <v>132</v>
      </c>
      <c r="F30" s="15" t="s">
        <v>133</v>
      </c>
      <c r="G30" s="15" t="s">
        <v>106</v>
      </c>
      <c r="H30" s="15" t="s">
        <v>74</v>
      </c>
      <c r="I30" s="15" t="s">
        <v>75</v>
      </c>
      <c r="J30" s="15" t="s">
        <v>242</v>
      </c>
      <c r="K30" s="15" t="s">
        <v>135</v>
      </c>
      <c r="L30" s="15" t="s">
        <v>136</v>
      </c>
      <c r="M30" s="23">
        <f t="shared" si="0"/>
        <v>46213</v>
      </c>
      <c r="N30" s="16">
        <v>62.54</v>
      </c>
      <c r="O30" s="20">
        <v>0.18</v>
      </c>
      <c r="P30" s="16">
        <v>11.26</v>
      </c>
      <c r="Q30" s="15" t="s">
        <v>92</v>
      </c>
      <c r="R30" s="15" t="s">
        <v>80</v>
      </c>
    </row>
    <row r="31" spans="1:18" x14ac:dyDescent="0.25">
      <c r="A31" s="15" t="s">
        <v>69</v>
      </c>
      <c r="B31" s="15">
        <v>9213293</v>
      </c>
      <c r="C31" s="15" t="s">
        <v>251</v>
      </c>
      <c r="D31" s="15" t="s">
        <v>237</v>
      </c>
      <c r="E31" s="15" t="s">
        <v>132</v>
      </c>
      <c r="F31" s="15" t="s">
        <v>133</v>
      </c>
      <c r="G31" s="15" t="s">
        <v>106</v>
      </c>
      <c r="H31" s="15" t="s">
        <v>74</v>
      </c>
      <c r="I31" s="15" t="s">
        <v>75</v>
      </c>
      <c r="J31" s="15" t="s">
        <v>242</v>
      </c>
      <c r="K31" s="15" t="s">
        <v>135</v>
      </c>
      <c r="L31" s="15" t="s">
        <v>136</v>
      </c>
      <c r="M31" s="23">
        <f t="shared" si="0"/>
        <v>46213</v>
      </c>
      <c r="N31" s="16">
        <v>22.53</v>
      </c>
      <c r="O31" s="20">
        <v>0.18</v>
      </c>
      <c r="P31" s="16">
        <v>4.0599999999999996</v>
      </c>
      <c r="Q31" s="15" t="s">
        <v>92</v>
      </c>
      <c r="R31" s="15" t="s">
        <v>80</v>
      </c>
    </row>
    <row r="32" spans="1:18" x14ac:dyDescent="0.25">
      <c r="A32" s="15" t="s">
        <v>69</v>
      </c>
      <c r="B32" s="15">
        <v>9213293</v>
      </c>
      <c r="C32" s="15" t="s">
        <v>251</v>
      </c>
      <c r="D32" s="15" t="s">
        <v>237</v>
      </c>
      <c r="E32" s="15" t="s">
        <v>132</v>
      </c>
      <c r="F32" s="15" t="s">
        <v>133</v>
      </c>
      <c r="G32" s="15" t="s">
        <v>106</v>
      </c>
      <c r="H32" s="15" t="s">
        <v>74</v>
      </c>
      <c r="I32" s="15" t="s">
        <v>75</v>
      </c>
      <c r="J32" s="15" t="s">
        <v>242</v>
      </c>
      <c r="K32" s="15" t="s">
        <v>135</v>
      </c>
      <c r="L32" s="15" t="s">
        <v>136</v>
      </c>
      <c r="M32" s="23">
        <f t="shared" si="0"/>
        <v>46213</v>
      </c>
      <c r="N32" s="16">
        <v>25.12</v>
      </c>
      <c r="O32" s="20">
        <v>0.18</v>
      </c>
      <c r="P32" s="16">
        <v>4.5199999999999996</v>
      </c>
      <c r="Q32" s="15" t="s">
        <v>92</v>
      </c>
      <c r="R32" s="15" t="s">
        <v>80</v>
      </c>
    </row>
    <row r="33" spans="1:18" x14ac:dyDescent="0.25">
      <c r="A33" s="15" t="s">
        <v>69</v>
      </c>
      <c r="B33" s="15">
        <v>9213293</v>
      </c>
      <c r="C33" s="15" t="s">
        <v>251</v>
      </c>
      <c r="D33" s="15" t="s">
        <v>237</v>
      </c>
      <c r="E33" s="15" t="s">
        <v>132</v>
      </c>
      <c r="F33" s="15" t="s">
        <v>133</v>
      </c>
      <c r="G33" s="15" t="s">
        <v>106</v>
      </c>
      <c r="H33" s="15" t="s">
        <v>74</v>
      </c>
      <c r="I33" s="15" t="s">
        <v>75</v>
      </c>
      <c r="J33" s="15" t="s">
        <v>242</v>
      </c>
      <c r="K33" s="15" t="s">
        <v>135</v>
      </c>
      <c r="L33" s="15" t="s">
        <v>136</v>
      </c>
      <c r="M33" s="23">
        <f t="shared" si="0"/>
        <v>46213</v>
      </c>
      <c r="N33" s="16">
        <v>35.11</v>
      </c>
      <c r="O33" s="20">
        <v>0.18</v>
      </c>
      <c r="P33" s="16">
        <v>6.32</v>
      </c>
      <c r="Q33" s="15" t="s">
        <v>92</v>
      </c>
      <c r="R33" s="15" t="s">
        <v>80</v>
      </c>
    </row>
    <row r="34" spans="1:18" x14ac:dyDescent="0.25">
      <c r="A34" s="15" t="s">
        <v>103</v>
      </c>
      <c r="B34" s="15">
        <v>8977234</v>
      </c>
      <c r="C34" s="15" t="s">
        <v>251</v>
      </c>
      <c r="D34" s="15" t="s">
        <v>237</v>
      </c>
      <c r="E34" s="15" t="s">
        <v>104</v>
      </c>
      <c r="F34" s="15" t="s">
        <v>105</v>
      </c>
      <c r="G34" s="15" t="s">
        <v>106</v>
      </c>
      <c r="H34" s="15" t="s">
        <v>97</v>
      </c>
      <c r="I34" s="15" t="s">
        <v>75</v>
      </c>
      <c r="J34" s="15" t="s">
        <v>243</v>
      </c>
      <c r="K34" s="15" t="s">
        <v>108</v>
      </c>
      <c r="L34" s="15" t="s">
        <v>90</v>
      </c>
      <c r="M34" s="23">
        <f t="shared" ref="M34:M65" si="1">DATE(YEAR(L34), MONTH(L34) +1, DAY(L34))</f>
        <v>46197</v>
      </c>
      <c r="N34" s="16">
        <v>0.78</v>
      </c>
      <c r="O34" s="20">
        <v>0.12</v>
      </c>
      <c r="P34" s="16">
        <v>0.09</v>
      </c>
      <c r="Q34" s="15" t="s">
        <v>79</v>
      </c>
      <c r="R34" s="15" t="s">
        <v>80</v>
      </c>
    </row>
    <row r="35" spans="1:18" x14ac:dyDescent="0.25">
      <c r="A35" s="15" t="s">
        <v>103</v>
      </c>
      <c r="B35" s="15">
        <v>8977234</v>
      </c>
      <c r="C35" s="15" t="s">
        <v>251</v>
      </c>
      <c r="D35" s="15" t="s">
        <v>237</v>
      </c>
      <c r="E35" s="15" t="s">
        <v>104</v>
      </c>
      <c r="F35" s="15" t="s">
        <v>105</v>
      </c>
      <c r="G35" s="15" t="s">
        <v>106</v>
      </c>
      <c r="H35" s="15" t="s">
        <v>97</v>
      </c>
      <c r="I35" s="15" t="s">
        <v>75</v>
      </c>
      <c r="J35" s="15" t="s">
        <v>243</v>
      </c>
      <c r="K35" s="15" t="s">
        <v>108</v>
      </c>
      <c r="L35" s="15" t="s">
        <v>90</v>
      </c>
      <c r="M35" s="23">
        <f t="shared" si="1"/>
        <v>46197</v>
      </c>
      <c r="N35" s="16">
        <v>7.05</v>
      </c>
      <c r="O35" s="20">
        <v>0.12</v>
      </c>
      <c r="P35" s="16">
        <v>0.85</v>
      </c>
      <c r="Q35" s="15" t="s">
        <v>79</v>
      </c>
      <c r="R35" s="15" t="s">
        <v>80</v>
      </c>
    </row>
    <row r="36" spans="1:18" x14ac:dyDescent="0.25">
      <c r="A36" s="15" t="s">
        <v>103</v>
      </c>
      <c r="B36" s="15">
        <v>8977234</v>
      </c>
      <c r="C36" s="15" t="s">
        <v>251</v>
      </c>
      <c r="D36" s="15" t="s">
        <v>237</v>
      </c>
      <c r="E36" s="15" t="s">
        <v>104</v>
      </c>
      <c r="F36" s="15" t="s">
        <v>105</v>
      </c>
      <c r="G36" s="15" t="s">
        <v>106</v>
      </c>
      <c r="H36" s="15" t="s">
        <v>97</v>
      </c>
      <c r="I36" s="15" t="s">
        <v>75</v>
      </c>
      <c r="J36" s="15" t="s">
        <v>243</v>
      </c>
      <c r="K36" s="15" t="s">
        <v>108</v>
      </c>
      <c r="L36" s="15" t="s">
        <v>90</v>
      </c>
      <c r="M36" s="23">
        <f t="shared" si="1"/>
        <v>46197</v>
      </c>
      <c r="N36" s="16">
        <v>19.649999999999999</v>
      </c>
      <c r="O36" s="20">
        <v>0.12</v>
      </c>
      <c r="P36" s="16">
        <v>2.36</v>
      </c>
      <c r="Q36" s="15" t="s">
        <v>79</v>
      </c>
      <c r="R36" s="15" t="s">
        <v>80</v>
      </c>
    </row>
    <row r="37" spans="1:18" x14ac:dyDescent="0.25">
      <c r="A37" s="15" t="s">
        <v>103</v>
      </c>
      <c r="B37" s="15">
        <v>8977234</v>
      </c>
      <c r="C37" s="15" t="s">
        <v>251</v>
      </c>
      <c r="D37" s="15" t="s">
        <v>237</v>
      </c>
      <c r="E37" s="15" t="s">
        <v>104</v>
      </c>
      <c r="F37" s="15" t="s">
        <v>105</v>
      </c>
      <c r="G37" s="15" t="s">
        <v>106</v>
      </c>
      <c r="H37" s="15" t="s">
        <v>97</v>
      </c>
      <c r="I37" s="15" t="s">
        <v>75</v>
      </c>
      <c r="J37" s="15" t="s">
        <v>243</v>
      </c>
      <c r="K37" s="15" t="s">
        <v>108</v>
      </c>
      <c r="L37" s="15" t="s">
        <v>90</v>
      </c>
      <c r="M37" s="23">
        <f t="shared" si="1"/>
        <v>46197</v>
      </c>
      <c r="N37" s="16">
        <v>12.09</v>
      </c>
      <c r="O37" s="20">
        <v>0.12</v>
      </c>
      <c r="P37" s="16">
        <v>1.45</v>
      </c>
      <c r="Q37" s="15" t="s">
        <v>79</v>
      </c>
      <c r="R37" s="15" t="s">
        <v>80</v>
      </c>
    </row>
    <row r="38" spans="1:18" x14ac:dyDescent="0.25">
      <c r="A38" s="15" t="s">
        <v>69</v>
      </c>
      <c r="B38" s="15">
        <v>9213293</v>
      </c>
      <c r="C38" s="15" t="s">
        <v>251</v>
      </c>
      <c r="D38" s="15" t="s">
        <v>237</v>
      </c>
      <c r="E38" s="15" t="s">
        <v>94</v>
      </c>
      <c r="F38" s="15" t="s">
        <v>110</v>
      </c>
      <c r="G38" s="15" t="s">
        <v>85</v>
      </c>
      <c r="H38" s="15" t="s">
        <v>97</v>
      </c>
      <c r="I38" s="15" t="s">
        <v>75</v>
      </c>
      <c r="J38" s="15" t="s">
        <v>241</v>
      </c>
      <c r="K38" s="15" t="s">
        <v>96</v>
      </c>
      <c r="L38" s="15" t="s">
        <v>99</v>
      </c>
      <c r="M38" s="23">
        <f t="shared" si="1"/>
        <v>46204</v>
      </c>
      <c r="N38" s="16">
        <v>4.93</v>
      </c>
      <c r="O38" s="20">
        <v>0.6</v>
      </c>
      <c r="P38" s="16">
        <v>2.96</v>
      </c>
      <c r="Q38" s="15" t="s">
        <v>79</v>
      </c>
      <c r="R38" s="15" t="s">
        <v>80</v>
      </c>
    </row>
    <row r="39" spans="1:18" x14ac:dyDescent="0.25">
      <c r="A39" s="15" t="s">
        <v>69</v>
      </c>
      <c r="B39" s="15">
        <v>9213293</v>
      </c>
      <c r="C39" s="15" t="s">
        <v>251</v>
      </c>
      <c r="D39" s="15" t="s">
        <v>237</v>
      </c>
      <c r="E39" s="15" t="s">
        <v>94</v>
      </c>
      <c r="F39" s="15" t="s">
        <v>110</v>
      </c>
      <c r="G39" s="15" t="s">
        <v>85</v>
      </c>
      <c r="H39" s="15" t="s">
        <v>97</v>
      </c>
      <c r="I39" s="15" t="s">
        <v>75</v>
      </c>
      <c r="J39" s="15" t="s">
        <v>241</v>
      </c>
      <c r="K39" s="15" t="s">
        <v>96</v>
      </c>
      <c r="L39" s="15" t="s">
        <v>99</v>
      </c>
      <c r="M39" s="23">
        <f t="shared" si="1"/>
        <v>46204</v>
      </c>
      <c r="N39" s="16">
        <v>13.34</v>
      </c>
      <c r="O39" s="20">
        <v>0.6</v>
      </c>
      <c r="P39" s="16">
        <v>8</v>
      </c>
      <c r="Q39" s="15" t="s">
        <v>79</v>
      </c>
      <c r="R39" s="15" t="s">
        <v>80</v>
      </c>
    </row>
    <row r="40" spans="1:18" x14ac:dyDescent="0.25">
      <c r="A40" s="15" t="s">
        <v>69</v>
      </c>
      <c r="B40" s="15">
        <v>9213293</v>
      </c>
      <c r="C40" s="15" t="s">
        <v>251</v>
      </c>
      <c r="D40" s="15" t="s">
        <v>237</v>
      </c>
      <c r="E40" s="15" t="s">
        <v>94</v>
      </c>
      <c r="F40" s="15" t="s">
        <v>110</v>
      </c>
      <c r="G40" s="15" t="s">
        <v>85</v>
      </c>
      <c r="H40" s="15" t="s">
        <v>97</v>
      </c>
      <c r="I40" s="15" t="s">
        <v>75</v>
      </c>
      <c r="J40" s="15" t="s">
        <v>241</v>
      </c>
      <c r="K40" s="15" t="s">
        <v>96</v>
      </c>
      <c r="L40" s="15" t="s">
        <v>99</v>
      </c>
      <c r="M40" s="23">
        <f t="shared" si="1"/>
        <v>46204</v>
      </c>
      <c r="N40" s="16">
        <v>5.48</v>
      </c>
      <c r="O40" s="20">
        <v>0.6</v>
      </c>
      <c r="P40" s="16">
        <v>3.29</v>
      </c>
      <c r="Q40" s="15" t="s">
        <v>79</v>
      </c>
      <c r="R40" s="15" t="s">
        <v>80</v>
      </c>
    </row>
    <row r="41" spans="1:18" x14ac:dyDescent="0.25">
      <c r="A41" s="15" t="s">
        <v>69</v>
      </c>
      <c r="B41" s="15">
        <v>9213293</v>
      </c>
      <c r="C41" s="15" t="s">
        <v>251</v>
      </c>
      <c r="D41" s="15" t="s">
        <v>237</v>
      </c>
      <c r="E41" s="15" t="s">
        <v>94</v>
      </c>
      <c r="F41" s="15" t="s">
        <v>110</v>
      </c>
      <c r="G41" s="15" t="s">
        <v>85</v>
      </c>
      <c r="H41" s="15" t="s">
        <v>97</v>
      </c>
      <c r="I41" s="15" t="s">
        <v>75</v>
      </c>
      <c r="J41" s="15" t="s">
        <v>241</v>
      </c>
      <c r="K41" s="15" t="s">
        <v>96</v>
      </c>
      <c r="L41" s="15" t="s">
        <v>99</v>
      </c>
      <c r="M41" s="23">
        <f t="shared" si="1"/>
        <v>46204</v>
      </c>
      <c r="N41" s="16">
        <v>3.53</v>
      </c>
      <c r="O41" s="20">
        <v>0.6</v>
      </c>
      <c r="P41" s="16">
        <v>2.12</v>
      </c>
      <c r="Q41" s="15" t="s">
        <v>79</v>
      </c>
      <c r="R41" s="15" t="s">
        <v>80</v>
      </c>
    </row>
    <row r="42" spans="1:18" x14ac:dyDescent="0.25">
      <c r="A42" s="15" t="s">
        <v>69</v>
      </c>
      <c r="B42" s="15">
        <v>9213293</v>
      </c>
      <c r="C42" s="15" t="s">
        <v>251</v>
      </c>
      <c r="D42" s="15" t="s">
        <v>237</v>
      </c>
      <c r="E42" s="15" t="s">
        <v>94</v>
      </c>
      <c r="F42" s="15" t="s">
        <v>110</v>
      </c>
      <c r="G42" s="15" t="s">
        <v>85</v>
      </c>
      <c r="H42" s="15" t="s">
        <v>97</v>
      </c>
      <c r="I42" s="15" t="s">
        <v>75</v>
      </c>
      <c r="J42" s="15" t="s">
        <v>241</v>
      </c>
      <c r="K42" s="15" t="s">
        <v>96</v>
      </c>
      <c r="L42" s="15" t="s">
        <v>99</v>
      </c>
      <c r="M42" s="23">
        <f t="shared" si="1"/>
        <v>46204</v>
      </c>
      <c r="N42" s="16">
        <v>0.98</v>
      </c>
      <c r="O42" s="20">
        <v>0.6</v>
      </c>
      <c r="P42" s="16">
        <v>0.59</v>
      </c>
      <c r="Q42" s="15" t="s">
        <v>79</v>
      </c>
      <c r="R42" s="15" t="s">
        <v>80</v>
      </c>
    </row>
    <row r="43" spans="1:18" x14ac:dyDescent="0.25">
      <c r="A43" s="15" t="s">
        <v>69</v>
      </c>
      <c r="B43" s="15">
        <v>9213293</v>
      </c>
      <c r="C43" s="15" t="s">
        <v>251</v>
      </c>
      <c r="D43" s="15" t="s">
        <v>237</v>
      </c>
      <c r="E43" s="15" t="s">
        <v>94</v>
      </c>
      <c r="F43" s="15" t="s">
        <v>110</v>
      </c>
      <c r="G43" s="15" t="s">
        <v>85</v>
      </c>
      <c r="H43" s="15" t="s">
        <v>97</v>
      </c>
      <c r="I43" s="15" t="s">
        <v>75</v>
      </c>
      <c r="J43" s="15" t="s">
        <v>241</v>
      </c>
      <c r="K43" s="15" t="s">
        <v>96</v>
      </c>
      <c r="L43" s="15" t="s">
        <v>99</v>
      </c>
      <c r="M43" s="23">
        <f t="shared" si="1"/>
        <v>46204</v>
      </c>
      <c r="N43" s="16">
        <v>9.5</v>
      </c>
      <c r="O43" s="20">
        <v>0.6</v>
      </c>
      <c r="P43" s="16">
        <v>5.7</v>
      </c>
      <c r="Q43" s="15" t="s">
        <v>79</v>
      </c>
      <c r="R43" s="15" t="s">
        <v>80</v>
      </c>
    </row>
    <row r="44" spans="1:18" x14ac:dyDescent="0.25">
      <c r="A44" s="15" t="s">
        <v>69</v>
      </c>
      <c r="B44" s="15">
        <v>9213293</v>
      </c>
      <c r="C44" s="15" t="s">
        <v>251</v>
      </c>
      <c r="D44" s="15" t="s">
        <v>237</v>
      </c>
      <c r="E44" s="15" t="s">
        <v>234</v>
      </c>
      <c r="F44" s="15" t="s">
        <v>235</v>
      </c>
      <c r="G44" s="15" t="s">
        <v>85</v>
      </c>
      <c r="H44" s="15" t="s">
        <v>192</v>
      </c>
      <c r="I44" s="15" t="s">
        <v>75</v>
      </c>
      <c r="J44" s="15" t="s">
        <v>241</v>
      </c>
      <c r="K44" s="15" t="s">
        <v>236</v>
      </c>
      <c r="L44" s="15" t="s">
        <v>199</v>
      </c>
      <c r="M44" s="23">
        <f t="shared" si="1"/>
        <v>46194</v>
      </c>
      <c r="N44" s="16">
        <v>28.83</v>
      </c>
      <c r="O44" s="20">
        <v>0.6</v>
      </c>
      <c r="P44" s="16">
        <v>17.3</v>
      </c>
      <c r="Q44" s="15" t="s">
        <v>79</v>
      </c>
      <c r="R44" s="15" t="s">
        <v>80</v>
      </c>
    </row>
    <row r="45" spans="1:18" x14ac:dyDescent="0.25">
      <c r="A45" s="15" t="s">
        <v>69</v>
      </c>
      <c r="B45" s="15">
        <v>9213293</v>
      </c>
      <c r="C45" s="15" t="s">
        <v>251</v>
      </c>
      <c r="D45" s="15" t="s">
        <v>237</v>
      </c>
      <c r="E45" s="15" t="s">
        <v>234</v>
      </c>
      <c r="F45" s="15" t="s">
        <v>235</v>
      </c>
      <c r="G45" s="15" t="s">
        <v>85</v>
      </c>
      <c r="H45" s="15" t="s">
        <v>192</v>
      </c>
      <c r="I45" s="15" t="s">
        <v>75</v>
      </c>
      <c r="J45" s="15" t="s">
        <v>241</v>
      </c>
      <c r="K45" s="15" t="s">
        <v>236</v>
      </c>
      <c r="L45" s="15" t="s">
        <v>199</v>
      </c>
      <c r="M45" s="23">
        <f t="shared" si="1"/>
        <v>46194</v>
      </c>
      <c r="N45" s="16">
        <v>16.8</v>
      </c>
      <c r="O45" s="20">
        <v>0.6</v>
      </c>
      <c r="P45" s="16">
        <v>10.08</v>
      </c>
      <c r="Q45" s="15" t="s">
        <v>79</v>
      </c>
      <c r="R45" s="15" t="s">
        <v>80</v>
      </c>
    </row>
    <row r="46" spans="1:18" x14ac:dyDescent="0.25">
      <c r="A46" s="15" t="s">
        <v>69</v>
      </c>
      <c r="B46" s="15">
        <v>9213293</v>
      </c>
      <c r="C46" s="15" t="s">
        <v>251</v>
      </c>
      <c r="D46" s="15" t="s">
        <v>237</v>
      </c>
      <c r="E46" s="15" t="s">
        <v>234</v>
      </c>
      <c r="F46" s="15" t="s">
        <v>235</v>
      </c>
      <c r="G46" s="15" t="s">
        <v>85</v>
      </c>
      <c r="H46" s="15" t="s">
        <v>192</v>
      </c>
      <c r="I46" s="15" t="s">
        <v>75</v>
      </c>
      <c r="J46" s="15" t="s">
        <v>241</v>
      </c>
      <c r="K46" s="15" t="s">
        <v>236</v>
      </c>
      <c r="L46" s="15" t="s">
        <v>199</v>
      </c>
      <c r="M46" s="23">
        <f t="shared" si="1"/>
        <v>46194</v>
      </c>
      <c r="N46" s="16">
        <v>21.58</v>
      </c>
      <c r="O46" s="20">
        <v>0.6</v>
      </c>
      <c r="P46" s="16">
        <v>12.95</v>
      </c>
      <c r="Q46" s="15" t="s">
        <v>79</v>
      </c>
      <c r="R46" s="15" t="s">
        <v>80</v>
      </c>
    </row>
    <row r="47" spans="1:18" x14ac:dyDescent="0.25">
      <c r="A47" s="15" t="s">
        <v>69</v>
      </c>
      <c r="B47" s="15">
        <v>9213293</v>
      </c>
      <c r="C47" s="15" t="s">
        <v>251</v>
      </c>
      <c r="D47" s="15" t="s">
        <v>237</v>
      </c>
      <c r="E47" s="15" t="s">
        <v>234</v>
      </c>
      <c r="F47" s="15" t="s">
        <v>235</v>
      </c>
      <c r="G47" s="15" t="s">
        <v>85</v>
      </c>
      <c r="H47" s="15" t="s">
        <v>192</v>
      </c>
      <c r="I47" s="15" t="s">
        <v>75</v>
      </c>
      <c r="J47" s="15" t="s">
        <v>241</v>
      </c>
      <c r="K47" s="15" t="s">
        <v>236</v>
      </c>
      <c r="L47" s="15" t="s">
        <v>199</v>
      </c>
      <c r="M47" s="23">
        <f t="shared" si="1"/>
        <v>46194</v>
      </c>
      <c r="N47" s="16">
        <v>32.380000000000003</v>
      </c>
      <c r="O47" s="20">
        <v>0.6</v>
      </c>
      <c r="P47" s="16">
        <v>19.43</v>
      </c>
      <c r="Q47" s="15" t="s">
        <v>79</v>
      </c>
      <c r="R47" s="15" t="s">
        <v>80</v>
      </c>
    </row>
    <row r="48" spans="1:18" x14ac:dyDescent="0.25">
      <c r="A48" s="15" t="s">
        <v>226</v>
      </c>
      <c r="B48" s="15" t="s">
        <v>250</v>
      </c>
      <c r="C48" s="15" t="s">
        <v>251</v>
      </c>
      <c r="D48" s="15" t="s">
        <v>237</v>
      </c>
      <c r="E48" s="15" t="s">
        <v>227</v>
      </c>
      <c r="F48" s="15" t="s">
        <v>228</v>
      </c>
      <c r="G48" s="15" t="s">
        <v>106</v>
      </c>
      <c r="H48" s="15" t="s">
        <v>124</v>
      </c>
      <c r="I48" s="15" t="s">
        <v>230</v>
      </c>
      <c r="J48" s="15" t="s">
        <v>230</v>
      </c>
      <c r="K48" s="15" t="s">
        <v>145</v>
      </c>
      <c r="L48" s="15" t="s">
        <v>99</v>
      </c>
      <c r="M48" s="23">
        <f t="shared" si="1"/>
        <v>46204</v>
      </c>
      <c r="N48" s="16">
        <v>155.94</v>
      </c>
      <c r="O48" s="20">
        <v>0.26</v>
      </c>
      <c r="P48" s="16">
        <v>40.54</v>
      </c>
      <c r="Q48" s="15" t="s">
        <v>79</v>
      </c>
      <c r="R48" s="15" t="s">
        <v>232</v>
      </c>
    </row>
    <row r="49" spans="1:18" x14ac:dyDescent="0.25">
      <c r="A49" s="15" t="s">
        <v>139</v>
      </c>
      <c r="B49" s="15">
        <v>16212649</v>
      </c>
      <c r="C49" s="15" t="s">
        <v>251</v>
      </c>
      <c r="D49" s="15" t="s">
        <v>237</v>
      </c>
      <c r="E49" s="15" t="s">
        <v>140</v>
      </c>
      <c r="F49" s="15" t="s">
        <v>141</v>
      </c>
      <c r="G49" s="15" t="s">
        <v>106</v>
      </c>
      <c r="H49" s="15" t="s">
        <v>143</v>
      </c>
      <c r="I49" s="15" t="s">
        <v>144</v>
      </c>
      <c r="J49" s="15" t="s">
        <v>125</v>
      </c>
      <c r="K49" s="15" t="s">
        <v>145</v>
      </c>
      <c r="L49" s="15" t="s">
        <v>99</v>
      </c>
      <c r="M49" s="23">
        <f t="shared" si="1"/>
        <v>46204</v>
      </c>
      <c r="N49" s="16">
        <v>148.05000000000001</v>
      </c>
      <c r="O49" s="20">
        <v>1.4999999999999999E-2</v>
      </c>
      <c r="P49" s="16">
        <v>2.2200000000000002</v>
      </c>
      <c r="Q49" s="15" t="s">
        <v>79</v>
      </c>
      <c r="R49" s="15" t="s">
        <v>147</v>
      </c>
    </row>
    <row r="50" spans="1:18" x14ac:dyDescent="0.25">
      <c r="A50" s="15" t="s">
        <v>120</v>
      </c>
      <c r="B50" s="15">
        <v>14936854</v>
      </c>
      <c r="C50" s="15" t="s">
        <v>251</v>
      </c>
      <c r="D50" s="15" t="s">
        <v>237</v>
      </c>
      <c r="E50" s="15" t="s">
        <v>121</v>
      </c>
      <c r="F50" s="15" t="s">
        <v>122</v>
      </c>
      <c r="G50" s="15" t="s">
        <v>106</v>
      </c>
      <c r="H50" s="15" t="s">
        <v>124</v>
      </c>
      <c r="I50" s="15" t="s">
        <v>125</v>
      </c>
      <c r="J50" s="15" t="s">
        <v>244</v>
      </c>
      <c r="K50" s="15" t="s">
        <v>126</v>
      </c>
      <c r="L50" s="15" t="s">
        <v>99</v>
      </c>
      <c r="M50" s="23">
        <f t="shared" si="1"/>
        <v>46204</v>
      </c>
      <c r="N50" s="16">
        <v>118.87</v>
      </c>
      <c r="O50" s="20">
        <v>0.04</v>
      </c>
      <c r="P50" s="16">
        <v>4.75</v>
      </c>
      <c r="Q50" s="15" t="s">
        <v>79</v>
      </c>
      <c r="R50" s="15" t="s">
        <v>128</v>
      </c>
    </row>
  </sheetData>
  <sortState xmlns:xlrd2="http://schemas.microsoft.com/office/spreadsheetml/2017/richdata2" ref="A2:Z117">
    <sortCondition sortBy="cellColor" ref="C2:C117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2026-06-29T17:36:36Z</dcterms:created>
  <dcterms:modified xsi:type="dcterms:W3CDTF">2026-07-01T12:37:56Z</dcterms:modified>
</cp:coreProperties>
</file>