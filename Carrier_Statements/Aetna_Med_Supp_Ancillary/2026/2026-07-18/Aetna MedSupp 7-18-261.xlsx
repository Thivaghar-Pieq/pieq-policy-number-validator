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etna_Med_Supp_Ancillary\2026\2026-07-18\"/>
    </mc:Choice>
  </mc:AlternateContent>
  <xr:revisionPtr revIDLastSave="0" documentId="8_{617FC5BB-EB37-4864-9C3A-07997E17294F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2" i="3"/>
</calcChain>
</file>

<file path=xl/sharedStrings.xml><?xml version="1.0" encoding="utf-8"?>
<sst xmlns="http://schemas.openxmlformats.org/spreadsheetml/2006/main" count="1622" uniqueCount="314">
  <si>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</si>
  <si>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</si>
  <si>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</si>
  <si>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</si>
  <si>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</si>
  <si>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</si>
  <si>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</si>
  <si>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07/18/2026</t>
  </si>
  <si>
    <t>Day of Week</t>
  </si>
  <si>
    <t>FRIDAY</t>
  </si>
  <si>
    <t>ACCENDO INSURANCE COMPANY(ACC)</t>
  </si>
  <si>
    <t>$68.54</t>
  </si>
  <si>
    <t>Aetna Health Ins Company(AHIC)</t>
  </si>
  <si>
    <t>$279.55</t>
  </si>
  <si>
    <t>CONTINENTAL LIFE INSURANCE CO(CLI)</t>
  </si>
  <si>
    <t>$531.52</t>
  </si>
  <si>
    <t>Total Commission Paid</t>
  </si>
  <si>
    <t>$879.61</t>
  </si>
  <si>
    <t>Commission payments through EFT</t>
  </si>
  <si>
    <t>COMPANY SUMMARY</t>
  </si>
  <si>
    <t>ACC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</si>
  <si>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</si>
  <si>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</si>
  <si>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</si>
  <si>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</si>
  <si>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</si>
  <si>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</si>
  <si>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</si>
  <si>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</si>
  <si>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$140.75</t>
  </si>
  <si>
    <t>First Year Total:</t>
  </si>
  <si>
    <t>First Year Override:</t>
  </si>
  <si>
    <t>$291.13</t>
  </si>
  <si>
    <t>Renewal Total:</t>
  </si>
  <si>
    <t>Renewal Override:</t>
  </si>
  <si>
    <t>$99.64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</si>
  <si>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</si>
  <si>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</si>
  <si>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</si>
  <si>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</si>
  <si>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</si>
  <si>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</si>
  <si>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</si>
  <si>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</si>
  <si>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</si>
  <si>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</si>
  <si>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</si>
  <si>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</si>
  <si>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</si>
  <si>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</si>
  <si>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</si>
  <si>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</si>
  <si>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</si>
  <si>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</si>
  <si>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</si>
  <si>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</si>
  <si>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</si>
  <si>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</si>
  <si>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</si>
  <si>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</si>
  <si>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</si>
  <si>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</si>
  <si>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GNW5027638</t>
  </si>
  <si>
    <t>BRITTANY OLIVER</t>
  </si>
  <si>
    <t>JOHN HOBSON</t>
  </si>
  <si>
    <t>ACC7227455</t>
  </si>
  <si>
    <t>First Year</t>
  </si>
  <si>
    <t>06/17/2026</t>
  </si>
  <si>
    <t>MD</t>
  </si>
  <si>
    <t>ACC Final Exp Level</t>
  </si>
  <si>
    <t>07/17/2026</t>
  </si>
  <si>
    <t>0.00</t>
  </si>
  <si>
    <t>144.00%</t>
  </si>
  <si>
    <t>000</t>
  </si>
  <si>
    <t>Monthly</t>
  </si>
  <si>
    <t xml:space="preserve">ACC Final Exp Level Ben       </t>
  </si>
  <si>
    <t>GNW0087421</t>
  </si>
  <si>
    <t>ANNE KOZACHECK</t>
  </si>
  <si>
    <t>CATHLEEN GREENHOW</t>
  </si>
  <si>
    <t>AHC6711278</t>
  </si>
  <si>
    <t>Renewal</t>
  </si>
  <si>
    <t>10/17/2023</t>
  </si>
  <si>
    <t>PA</t>
  </si>
  <si>
    <t>Medicare Supplement Plan N</t>
  </si>
  <si>
    <t>11/01/2023</t>
  </si>
  <si>
    <t>08/01/2026</t>
  </si>
  <si>
    <t>29.00%</t>
  </si>
  <si>
    <t xml:space="preserve">Med Supp Plan N 2010          </t>
  </si>
  <si>
    <t>GNW5007313</t>
  </si>
  <si>
    <t>DEBORAH INSKIPT</t>
  </si>
  <si>
    <t>WILLIAM SCHALLER</t>
  </si>
  <si>
    <t>AHC6731790</t>
  </si>
  <si>
    <t>06/06/2024</t>
  </si>
  <si>
    <t>Medicare Supplement Plan G</t>
  </si>
  <si>
    <t>08/01/2024</t>
  </si>
  <si>
    <t>25.00%</t>
  </si>
  <si>
    <t>Quarterly</t>
  </si>
  <si>
    <t xml:space="preserve">Med Supp Plan G 2010          </t>
  </si>
  <si>
    <t>GNW5014631</t>
  </si>
  <si>
    <t>PAMELA DEATON</t>
  </si>
  <si>
    <t>STEVEN SMITH</t>
  </si>
  <si>
    <t>AHC6741008</t>
  </si>
  <si>
    <t>11/15/2024</t>
  </si>
  <si>
    <t>IL</t>
  </si>
  <si>
    <t>01/01/2025</t>
  </si>
  <si>
    <t>07/01/2026</t>
  </si>
  <si>
    <t>GNW5021656</t>
  </si>
  <si>
    <t>GARY PORTUGAL</t>
  </si>
  <si>
    <t>MARY MADDEN</t>
  </si>
  <si>
    <t>AHC6742455</t>
  </si>
  <si>
    <t>11/29/2024</t>
  </si>
  <si>
    <t>SC</t>
  </si>
  <si>
    <t>12/01/2024</t>
  </si>
  <si>
    <t>GNW5005221</t>
  </si>
  <si>
    <t>THOMAS KUCAN</t>
  </si>
  <si>
    <t>ANN DELLARCO</t>
  </si>
  <si>
    <t>AHC6746928</t>
  </si>
  <si>
    <t>02/12/2025</t>
  </si>
  <si>
    <t>03/01/2025</t>
  </si>
  <si>
    <t>26.00%</t>
  </si>
  <si>
    <t>GNW0089678</t>
  </si>
  <si>
    <t>RYAN CALTAGIRONE</t>
  </si>
  <si>
    <t>LEONARD PINAULT</t>
  </si>
  <si>
    <t>CLI7007951</t>
  </si>
  <si>
    <t>05/17/2023</t>
  </si>
  <si>
    <t>FL</t>
  </si>
  <si>
    <t>Cancer Insurance with Recurrence Benefit</t>
  </si>
  <si>
    <t>05/18/2023</t>
  </si>
  <si>
    <t>3.50%</t>
  </si>
  <si>
    <t>CHAS PLUS CANCER ONLY W/ RECUR</t>
  </si>
  <si>
    <t>CLI7007952</t>
  </si>
  <si>
    <t>Heart Attack or Stroke Insurance with Recurrence Benefit</t>
  </si>
  <si>
    <t xml:space="preserve">CHAS PLUS Heart/Strk w/ recuc </t>
  </si>
  <si>
    <t>GNW0089726</t>
  </si>
  <si>
    <t>KELLY CARRYER</t>
  </si>
  <si>
    <t>DOUGLAS WAXLER</t>
  </si>
  <si>
    <t>CLI7017561</t>
  </si>
  <si>
    <t>06/08/2023</t>
  </si>
  <si>
    <t>07/01/2023</t>
  </si>
  <si>
    <t>7.50%</t>
  </si>
  <si>
    <t>Refund of Unearned Commissions</t>
  </si>
  <si>
    <t>GNW0089770</t>
  </si>
  <si>
    <t>ADAM RICHTER</t>
  </si>
  <si>
    <t>JOHN BRILL</t>
  </si>
  <si>
    <t>CLI7075753</t>
  </si>
  <si>
    <t>10/26/2023</t>
  </si>
  <si>
    <t>Dental Only 2000</t>
  </si>
  <si>
    <t xml:space="preserve">Dental Only 2000 MD           </t>
  </si>
  <si>
    <t>GNW5002731</t>
  </si>
  <si>
    <t>LANEECE WHITE</t>
  </si>
  <si>
    <t>WINTHA FESSUH</t>
  </si>
  <si>
    <t>CLI7111284</t>
  </si>
  <si>
    <t>01/05/2024</t>
  </si>
  <si>
    <t>Dental Only 1000</t>
  </si>
  <si>
    <t>01/09/2024</t>
  </si>
  <si>
    <t>07/09/2026</t>
  </si>
  <si>
    <t xml:space="preserve">Dental Only 1000 MD           </t>
  </si>
  <si>
    <t>CIANA BREDEN</t>
  </si>
  <si>
    <t>CLI7199839</t>
  </si>
  <si>
    <t>07/17/2024</t>
  </si>
  <si>
    <t>3.75%</t>
  </si>
  <si>
    <t>ALFRED CHESTNUT</t>
  </si>
  <si>
    <t>CLI7199928</t>
  </si>
  <si>
    <t>FRANCES AROKE</t>
  </si>
  <si>
    <t>CLI7214119</t>
  </si>
  <si>
    <t>08/13/2024</t>
  </si>
  <si>
    <t>HIP Flex Hospital Admission Indemnity</t>
  </si>
  <si>
    <t>08/15/2024</t>
  </si>
  <si>
    <t>07/15/2026</t>
  </si>
  <si>
    <t>12.00%</t>
  </si>
  <si>
    <t>HOSPITAL CONFINEMENT INDEMNITY</t>
  </si>
  <si>
    <t>GNW5016123</t>
  </si>
  <si>
    <t>WILLIAM SCHAEFFER</t>
  </si>
  <si>
    <t>DUSTIN KILLIAN</t>
  </si>
  <si>
    <t>CLI7222341</t>
  </si>
  <si>
    <t>08/29/2024</t>
  </si>
  <si>
    <t>DVH PLUS 5000</t>
  </si>
  <si>
    <t>09/01/2024</t>
  </si>
  <si>
    <t xml:space="preserve">DVH PLUS PA 5000 100 DED      </t>
  </si>
  <si>
    <t>BRIAN SPISAK</t>
  </si>
  <si>
    <t>CLI7288107</t>
  </si>
  <si>
    <t>12/15/2024</t>
  </si>
  <si>
    <t>8.00%</t>
  </si>
  <si>
    <t>GNW5015801</t>
  </si>
  <si>
    <t>RONALD MAX</t>
  </si>
  <si>
    <t>JERE KATES</t>
  </si>
  <si>
    <t>CLI7288154</t>
  </si>
  <si>
    <t>12/16/2024</t>
  </si>
  <si>
    <t>12/17/2024</t>
  </si>
  <si>
    <t>GNW5002639</t>
  </si>
  <si>
    <t>MATTHEW DAUGHERTY</t>
  </si>
  <si>
    <t>MAGDALENA CASTANON</t>
  </si>
  <si>
    <t>CLI7289945</t>
  </si>
  <si>
    <t>12/18/2024</t>
  </si>
  <si>
    <t>TX</t>
  </si>
  <si>
    <t>01/18/2025</t>
  </si>
  <si>
    <t>PAULA STONE  BOND</t>
  </si>
  <si>
    <t>CLI7317896</t>
  </si>
  <si>
    <t>02/20/2025</t>
  </si>
  <si>
    <t>GA</t>
  </si>
  <si>
    <t>HIP Flex Daily Hospital Indemnity</t>
  </si>
  <si>
    <t>07/20/2026</t>
  </si>
  <si>
    <t>18.00%</t>
  </si>
  <si>
    <t xml:space="preserve">DAILY HOSPITAL INDEMNITY      </t>
  </si>
  <si>
    <t>DAISY GARCIA</t>
  </si>
  <si>
    <t>CLI7356536</t>
  </si>
  <si>
    <t>05/07/2025</t>
  </si>
  <si>
    <t>06/18/2025</t>
  </si>
  <si>
    <t>GNW5019378</t>
  </si>
  <si>
    <t>CHRIS TAUGNER</t>
  </si>
  <si>
    <t>CAROLYN FINAZZO</t>
  </si>
  <si>
    <t>CLI7361902</t>
  </si>
  <si>
    <t>05/16/2025</t>
  </si>
  <si>
    <t>Recovery Care</t>
  </si>
  <si>
    <t>05/17/2025</t>
  </si>
  <si>
    <t xml:space="preserve">RC - Nursing Facility         </t>
  </si>
  <si>
    <t>GNW5021353</t>
  </si>
  <si>
    <t>JACOB YALE</t>
  </si>
  <si>
    <t>KATHERINE ESPARRA</t>
  </si>
  <si>
    <t>CLI7388175</t>
  </si>
  <si>
    <t>07/07/2025</t>
  </si>
  <si>
    <t>07/11/2025</t>
  </si>
  <si>
    <t>06/11/2026</t>
  </si>
  <si>
    <t>100.00%</t>
  </si>
  <si>
    <t>GNW5020386</t>
  </si>
  <si>
    <t>FRANK LISKOVEC</t>
  </si>
  <si>
    <t>CLI7395270</t>
  </si>
  <si>
    <t>07/17/2025</t>
  </si>
  <si>
    <t>08/01/2025</t>
  </si>
  <si>
    <t>8.50%</t>
  </si>
  <si>
    <t>MALA CADMAN</t>
  </si>
  <si>
    <t>CLI7434666</t>
  </si>
  <si>
    <t>10/02/2025</t>
  </si>
  <si>
    <t>08/02/2026</t>
  </si>
  <si>
    <t>65.00%</t>
  </si>
  <si>
    <t>DOROTHY BARNES</t>
  </si>
  <si>
    <t>CLI7442573</t>
  </si>
  <si>
    <t>10/16/2025</t>
  </si>
  <si>
    <t>07/16/2026</t>
  </si>
  <si>
    <t>95.00%</t>
  </si>
  <si>
    <t>DENNIS WILLIAMS</t>
  </si>
  <si>
    <t>CLI7444619</t>
  </si>
  <si>
    <t>10/20/2025</t>
  </si>
  <si>
    <t>Cancer Insurance</t>
  </si>
  <si>
    <t>10/21/2025</t>
  </si>
  <si>
    <t>06/21/2026</t>
  </si>
  <si>
    <t xml:space="preserve">CHAS PLUS CANCER ONLY         </t>
  </si>
  <si>
    <t>GNW5035079</t>
  </si>
  <si>
    <t>JILL SHEPARD</t>
  </si>
  <si>
    <t>LUCY SANTIAGO</t>
  </si>
  <si>
    <t>CLI7465751</t>
  </si>
  <si>
    <t>11/15/2025</t>
  </si>
  <si>
    <t>OH</t>
  </si>
  <si>
    <t>11/16/2025</t>
  </si>
  <si>
    <t>DAMIAN DEFEYTER</t>
  </si>
  <si>
    <t>CLI7477978</t>
  </si>
  <si>
    <t>12/02/2025</t>
  </si>
  <si>
    <t>MI</t>
  </si>
  <si>
    <t>12/03/2025</t>
  </si>
  <si>
    <t>06/03/2026</t>
  </si>
  <si>
    <t>CLI7477979</t>
  </si>
  <si>
    <t>GNW5039937</t>
  </si>
  <si>
    <t>STEVEN BRANDT</t>
  </si>
  <si>
    <t>TERESA HAYNES</t>
  </si>
  <si>
    <t>CLI7488886</t>
  </si>
  <si>
    <t>12/17/2025</t>
  </si>
  <si>
    <t>02/01/2026</t>
  </si>
  <si>
    <t>30.00%</t>
  </si>
  <si>
    <t>GNW5038866</t>
  </si>
  <si>
    <t>JOHN RADER</t>
  </si>
  <si>
    <t>JACQUI HART</t>
  </si>
  <si>
    <t>CLI7514746</t>
  </si>
  <si>
    <t>02/11/2026</t>
  </si>
  <si>
    <t>DVH FLX Option 1</t>
  </si>
  <si>
    <t>02/18/2026</t>
  </si>
  <si>
    <t>58.00%</t>
  </si>
  <si>
    <t xml:space="preserve">DVH FLX Option 1              </t>
  </si>
  <si>
    <t>06/18/2026</t>
  </si>
  <si>
    <t>GNW5020580</t>
  </si>
  <si>
    <t>STACEY PORTUGAL</t>
  </si>
  <si>
    <t>JEFFREY GARRETT</t>
  </si>
  <si>
    <t>CLI7560468</t>
  </si>
  <si>
    <t>04/28/2026</t>
  </si>
  <si>
    <t>06/01/2026</t>
  </si>
  <si>
    <t>CLI7592079</t>
  </si>
  <si>
    <t>THERESIA EYONG</t>
  </si>
  <si>
    <t>CLI7610862</t>
  </si>
  <si>
    <t>Initial</t>
  </si>
  <si>
    <t>07/14/2026</t>
  </si>
  <si>
    <t>GNW5031952</t>
  </si>
  <si>
    <t>DANNA GREEN</t>
  </si>
  <si>
    <t>CARL CHRISTIAN</t>
  </si>
  <si>
    <t>CLI7611710</t>
  </si>
  <si>
    <t>IN</t>
  </si>
  <si>
    <t>ACC Final Expense</t>
  </si>
  <si>
    <t>Medicare Supplement Plan G 2024</t>
  </si>
  <si>
    <t>Cancer &amp; Heart Attack/Stroke +AZ, DE, FL, IN, MI, ND, OH, SC, UT, VT</t>
  </si>
  <si>
    <t>Cancer and Heart</t>
  </si>
  <si>
    <t>Dental, Vision, and Hearing Plus</t>
  </si>
  <si>
    <t>Hospital Indemnity Flex: AZ, CT, FL, IA, MA, MD, MI, ND, NH, SC, UT, VA, VT</t>
  </si>
  <si>
    <t>Cancer and Heart Attack or Stroke 100%</t>
  </si>
  <si>
    <t>Home Recovery Hospital Nursing Care 65</t>
  </si>
  <si>
    <t>Cancer and Heart Attack or Stroke 105</t>
  </si>
  <si>
    <t>Medicare Supplement Plan N 30%</t>
  </si>
  <si>
    <t>17554531AV8</t>
  </si>
  <si>
    <t>19278370old</t>
  </si>
  <si>
    <t>5442438O</t>
  </si>
  <si>
    <t>8814784AV8</t>
  </si>
  <si>
    <t>19645587AV8</t>
  </si>
  <si>
    <t>AV</t>
  </si>
  <si>
    <t>AE</t>
  </si>
  <si>
    <t>NB</t>
  </si>
  <si>
    <t>RN</t>
  </si>
  <si>
    <t>16849453AV8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</si>
</sst>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1" x14ac:knownFonts="1">
    <font>
      <sz val="11"/>
      <color indexed="8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left"/>
    </xf>
    <xf numFmtId="164" fontId="10" fillId="0" borderId="0" xfId="0" applyNumberFormat="1" applyFont="1" applyAlignment="1">
      <alignment horizontal="left"/>
    </xf>
    <xf numFmtId="10" fontId="10" fillId="0" borderId="0" xfId="0" applyNumberFormat="1" applyFont="1" applyAlignment="1">
      <alignment horizontal="left"/>
    </xf>
    <xf numFmtId="0" fontId="10" fillId="4" borderId="0" xfId="0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0" fontId="10" fillId="4" borderId="0" xfId="0" applyFont="1" applyFill="1"/>
    <xf numFmtId="14" fontId="10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7109375" customWidth="1"/>
    <col min="8" max="8" width="19.5703125" customWidth="1"/>
  </cols>
  <sheetData>
    <row r="1" spans="1:19" x14ac:dyDescent="0.25">
      <c r="D1" s="23" t="s">
        <v>0</v>
      </c>
      <c r="E1" s="24"/>
      <c r="F1" s="24"/>
    </row>
    <row r="2" spans="1:19" x14ac:dyDescent="0.25">
      <c r="A2" s="25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F11" s="5" t="s">
        <v>16</v>
      </c>
      <c r="G11" s="5" t="s">
        <v>17</v>
      </c>
    </row>
    <row r="12" spans="1:19" x14ac:dyDescent="0.25">
      <c r="H12" s="6" t="s">
        <v>18</v>
      </c>
    </row>
    <row r="14" spans="1:19" x14ac:dyDescent="0.25">
      <c r="A14" s="25" t="s">
        <v>19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</row>
    <row r="15" spans="1:19" x14ac:dyDescent="0.25">
      <c r="D15" s="7" t="s">
        <v>20</v>
      </c>
      <c r="E15" s="7" t="s">
        <v>21</v>
      </c>
      <c r="F15" s="7" t="s">
        <v>22</v>
      </c>
    </row>
    <row r="16" spans="1:19" x14ac:dyDescent="0.25">
      <c r="C16" s="2" t="s">
        <v>23</v>
      </c>
      <c r="D16" s="1" t="s">
        <v>24</v>
      </c>
      <c r="E16" s="1" t="s">
        <v>24</v>
      </c>
      <c r="F16" s="1" t="s">
        <v>24</v>
      </c>
    </row>
    <row r="17" spans="3:6" x14ac:dyDescent="0.25">
      <c r="C17" s="2" t="s">
        <v>25</v>
      </c>
      <c r="D17" s="1" t="s">
        <v>24</v>
      </c>
      <c r="E17" s="1" t="s">
        <v>24</v>
      </c>
      <c r="F17" s="1" t="s">
        <v>24</v>
      </c>
    </row>
    <row r="18" spans="3:6" x14ac:dyDescent="0.25">
      <c r="C18" s="2" t="s">
        <v>26</v>
      </c>
      <c r="D18" s="1" t="s">
        <v>24</v>
      </c>
      <c r="E18" s="1" t="s">
        <v>24</v>
      </c>
      <c r="F18" s="1" t="s">
        <v>24</v>
      </c>
    </row>
    <row r="19" spans="3:6" x14ac:dyDescent="0.25">
      <c r="C19" s="2" t="s">
        <v>27</v>
      </c>
      <c r="D19" s="1" t="s">
        <v>24</v>
      </c>
      <c r="E19" s="1" t="s">
        <v>24</v>
      </c>
      <c r="F19" s="1" t="s">
        <v>24</v>
      </c>
    </row>
    <row r="20" spans="3:6" x14ac:dyDescent="0.25">
      <c r="C20" s="2" t="s">
        <v>28</v>
      </c>
      <c r="D20" s="1" t="s">
        <v>24</v>
      </c>
      <c r="E20" s="1" t="s">
        <v>24</v>
      </c>
      <c r="F20" s="1" t="s">
        <v>29</v>
      </c>
    </row>
    <row r="21" spans="3:6" x14ac:dyDescent="0.25">
      <c r="C21" s="2" t="s">
        <v>30</v>
      </c>
      <c r="D21" s="1" t="s">
        <v>24</v>
      </c>
      <c r="E21" s="1" t="s">
        <v>24</v>
      </c>
      <c r="F21" s="1" t="s">
        <v>24</v>
      </c>
    </row>
    <row r="22" spans="3:6" x14ac:dyDescent="0.25">
      <c r="C22" s="2" t="s">
        <v>31</v>
      </c>
      <c r="D22" s="1" t="s">
        <v>11</v>
      </c>
      <c r="E22" s="1" t="s">
        <v>24</v>
      </c>
      <c r="F22" s="1" t="s">
        <v>32</v>
      </c>
    </row>
    <row r="23" spans="3:6" x14ac:dyDescent="0.25">
      <c r="C23" s="2" t="s">
        <v>33</v>
      </c>
      <c r="D23" s="1" t="s">
        <v>24</v>
      </c>
      <c r="E23" s="1" t="s">
        <v>24</v>
      </c>
      <c r="F23" s="1" t="s">
        <v>24</v>
      </c>
    </row>
    <row r="24" spans="3:6" x14ac:dyDescent="0.25">
      <c r="C24" s="2" t="s">
        <v>34</v>
      </c>
      <c r="D24" s="1" t="s">
        <v>24</v>
      </c>
      <c r="E24" s="1" t="s">
        <v>13</v>
      </c>
      <c r="F24" s="1" t="s">
        <v>35</v>
      </c>
    </row>
    <row r="25" spans="3:6" x14ac:dyDescent="0.25">
      <c r="C25" s="2" t="s">
        <v>36</v>
      </c>
      <c r="D25" s="1" t="s">
        <v>24</v>
      </c>
      <c r="E25" s="1" t="s">
        <v>24</v>
      </c>
      <c r="F25" s="1" t="s">
        <v>24</v>
      </c>
    </row>
    <row r="26" spans="3:6" x14ac:dyDescent="0.25">
      <c r="C26" s="2" t="s">
        <v>37</v>
      </c>
      <c r="D26" s="1" t="s">
        <v>24</v>
      </c>
      <c r="E26" s="1" t="s">
        <v>24</v>
      </c>
      <c r="F26" s="1" t="s">
        <v>24</v>
      </c>
    </row>
    <row r="27" spans="3:6" x14ac:dyDescent="0.25">
      <c r="C27" s="4" t="s">
        <v>38</v>
      </c>
      <c r="D27" s="3" t="s">
        <v>11</v>
      </c>
      <c r="E27" s="3" t="s">
        <v>13</v>
      </c>
      <c r="F27" s="3" t="s">
        <v>15</v>
      </c>
    </row>
  </sheetData>
  <mergeCells count="3">
    <mergeCell ref="D1:F1"/>
    <mergeCell ref="A2:S2"/>
    <mergeCell ref="A14:S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ySplit="2" topLeftCell="A3" activePane="bottomLeft" state="frozen"/>
      <selection pane="bottomLeft" sqref="A1:XFD1048576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26" t="s">
        <v>39</v>
      </c>
      <c r="E1" s="24"/>
      <c r="F1" s="24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20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67</v>
      </c>
      <c r="L3" s="9" t="s">
        <v>70</v>
      </c>
      <c r="M3" s="11">
        <v>47.6</v>
      </c>
      <c r="N3" s="9" t="s">
        <v>71</v>
      </c>
      <c r="O3" s="9" t="s">
        <v>72</v>
      </c>
      <c r="P3" s="9" t="s">
        <v>73</v>
      </c>
      <c r="Q3" s="11">
        <v>68.540000000000006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21</v>
      </c>
      <c r="B4" s="10" t="s">
        <v>61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2">
        <v>95.36</v>
      </c>
      <c r="N4" s="10" t="s">
        <v>71</v>
      </c>
      <c r="O4" s="10" t="s">
        <v>86</v>
      </c>
      <c r="P4" s="10" t="s">
        <v>73</v>
      </c>
      <c r="Q4" s="12">
        <v>27.65</v>
      </c>
      <c r="R4" s="10" t="s">
        <v>74</v>
      </c>
      <c r="S4" s="10" t="s">
        <v>0</v>
      </c>
      <c r="T4" s="10" t="s">
        <v>0</v>
      </c>
      <c r="U4" s="10" t="s">
        <v>87</v>
      </c>
    </row>
    <row r="5" spans="1:21" x14ac:dyDescent="0.25">
      <c r="A5" s="9" t="s">
        <v>21</v>
      </c>
      <c r="B5" s="9" t="s">
        <v>61</v>
      </c>
      <c r="C5" s="9" t="s">
        <v>88</v>
      </c>
      <c r="D5" s="9" t="s">
        <v>89</v>
      </c>
      <c r="E5" s="9" t="s">
        <v>90</v>
      </c>
      <c r="F5" s="9" t="s">
        <v>91</v>
      </c>
      <c r="G5" s="9" t="s">
        <v>80</v>
      </c>
      <c r="H5" s="9" t="s">
        <v>92</v>
      </c>
      <c r="I5" s="9" t="s">
        <v>82</v>
      </c>
      <c r="J5" s="9" t="s">
        <v>93</v>
      </c>
      <c r="K5" s="9" t="s">
        <v>94</v>
      </c>
      <c r="L5" s="9" t="s">
        <v>85</v>
      </c>
      <c r="M5" s="11">
        <v>529.13</v>
      </c>
      <c r="N5" s="9" t="s">
        <v>71</v>
      </c>
      <c r="O5" s="9" t="s">
        <v>95</v>
      </c>
      <c r="P5" s="9" t="s">
        <v>73</v>
      </c>
      <c r="Q5" s="11">
        <v>132.28</v>
      </c>
      <c r="R5" s="9" t="s">
        <v>96</v>
      </c>
      <c r="S5" s="9" t="s">
        <v>0</v>
      </c>
      <c r="T5" s="9" t="s">
        <v>0</v>
      </c>
      <c r="U5" s="9" t="s">
        <v>97</v>
      </c>
    </row>
    <row r="6" spans="1:21" x14ac:dyDescent="0.25">
      <c r="A6" s="10" t="s">
        <v>21</v>
      </c>
      <c r="B6" s="10" t="s">
        <v>61</v>
      </c>
      <c r="C6" s="10" t="s">
        <v>98</v>
      </c>
      <c r="D6" s="10" t="s">
        <v>99</v>
      </c>
      <c r="E6" s="10" t="s">
        <v>100</v>
      </c>
      <c r="F6" s="10" t="s">
        <v>101</v>
      </c>
      <c r="G6" s="10" t="s">
        <v>80</v>
      </c>
      <c r="H6" s="10" t="s">
        <v>102</v>
      </c>
      <c r="I6" s="10" t="s">
        <v>103</v>
      </c>
      <c r="J6" s="10" t="s">
        <v>93</v>
      </c>
      <c r="K6" s="10" t="s">
        <v>104</v>
      </c>
      <c r="L6" s="10" t="s">
        <v>105</v>
      </c>
      <c r="M6" s="12">
        <v>170.5</v>
      </c>
      <c r="N6" s="10" t="s">
        <v>71</v>
      </c>
      <c r="O6" s="10" t="s">
        <v>95</v>
      </c>
      <c r="P6" s="10" t="s">
        <v>73</v>
      </c>
      <c r="Q6" s="12">
        <v>42.63</v>
      </c>
      <c r="R6" s="10" t="s">
        <v>74</v>
      </c>
      <c r="S6" s="10" t="s">
        <v>0</v>
      </c>
      <c r="T6" s="10" t="s">
        <v>0</v>
      </c>
      <c r="U6" s="10" t="s">
        <v>97</v>
      </c>
    </row>
    <row r="7" spans="1:21" x14ac:dyDescent="0.25">
      <c r="A7" s="9" t="s">
        <v>21</v>
      </c>
      <c r="B7" s="9" t="s">
        <v>61</v>
      </c>
      <c r="C7" s="9" t="s">
        <v>106</v>
      </c>
      <c r="D7" s="9" t="s">
        <v>107</v>
      </c>
      <c r="E7" s="9" t="s">
        <v>108</v>
      </c>
      <c r="F7" s="9" t="s">
        <v>109</v>
      </c>
      <c r="G7" s="9" t="s">
        <v>80</v>
      </c>
      <c r="H7" s="9" t="s">
        <v>110</v>
      </c>
      <c r="I7" s="9" t="s">
        <v>111</v>
      </c>
      <c r="J7" s="9" t="s">
        <v>93</v>
      </c>
      <c r="K7" s="9" t="s">
        <v>112</v>
      </c>
      <c r="L7" s="9" t="s">
        <v>85</v>
      </c>
      <c r="M7" s="11">
        <v>118.99</v>
      </c>
      <c r="N7" s="9" t="s">
        <v>71</v>
      </c>
      <c r="O7" s="9" t="s">
        <v>95</v>
      </c>
      <c r="P7" s="9" t="s">
        <v>73</v>
      </c>
      <c r="Q7" s="11">
        <v>29.75</v>
      </c>
      <c r="R7" s="9" t="s">
        <v>74</v>
      </c>
      <c r="S7" s="9" t="s">
        <v>0</v>
      </c>
      <c r="T7" s="9" t="s">
        <v>0</v>
      </c>
      <c r="U7" s="9" t="s">
        <v>97</v>
      </c>
    </row>
    <row r="8" spans="1:21" x14ac:dyDescent="0.25">
      <c r="A8" s="10" t="s">
        <v>21</v>
      </c>
      <c r="B8" s="10" t="s">
        <v>61</v>
      </c>
      <c r="C8" s="10" t="s">
        <v>113</v>
      </c>
      <c r="D8" s="10" t="s">
        <v>114</v>
      </c>
      <c r="E8" s="10" t="s">
        <v>115</v>
      </c>
      <c r="F8" s="10" t="s">
        <v>116</v>
      </c>
      <c r="G8" s="10" t="s">
        <v>80</v>
      </c>
      <c r="H8" s="10" t="s">
        <v>117</v>
      </c>
      <c r="I8" s="10" t="s">
        <v>68</v>
      </c>
      <c r="J8" s="10" t="s">
        <v>93</v>
      </c>
      <c r="K8" s="10" t="s">
        <v>118</v>
      </c>
      <c r="L8" s="10" t="s">
        <v>85</v>
      </c>
      <c r="M8" s="12">
        <v>181.68</v>
      </c>
      <c r="N8" s="10" t="s">
        <v>71</v>
      </c>
      <c r="O8" s="10" t="s">
        <v>119</v>
      </c>
      <c r="P8" s="10" t="s">
        <v>73</v>
      </c>
      <c r="Q8" s="12">
        <v>47.24</v>
      </c>
      <c r="R8" s="10" t="s">
        <v>74</v>
      </c>
      <c r="S8" s="10" t="s">
        <v>0</v>
      </c>
      <c r="T8" s="10" t="s">
        <v>0</v>
      </c>
      <c r="U8" s="10" t="s">
        <v>97</v>
      </c>
    </row>
    <row r="9" spans="1:21" x14ac:dyDescent="0.25">
      <c r="A9" s="9" t="s">
        <v>22</v>
      </c>
      <c r="B9" s="9" t="s">
        <v>61</v>
      </c>
      <c r="C9" s="9" t="s">
        <v>120</v>
      </c>
      <c r="D9" s="9" t="s">
        <v>121</v>
      </c>
      <c r="E9" s="9" t="s">
        <v>122</v>
      </c>
      <c r="F9" s="9" t="s">
        <v>123</v>
      </c>
      <c r="G9" s="9" t="s">
        <v>80</v>
      </c>
      <c r="H9" s="9" t="s">
        <v>124</v>
      </c>
      <c r="I9" s="9" t="s">
        <v>125</v>
      </c>
      <c r="J9" s="9" t="s">
        <v>126</v>
      </c>
      <c r="K9" s="9" t="s">
        <v>127</v>
      </c>
      <c r="L9" s="9" t="s">
        <v>7</v>
      </c>
      <c r="M9" s="11">
        <v>36.19</v>
      </c>
      <c r="N9" s="9" t="s">
        <v>71</v>
      </c>
      <c r="O9" s="9" t="s">
        <v>128</v>
      </c>
      <c r="P9" s="9" t="s">
        <v>73</v>
      </c>
      <c r="Q9" s="11">
        <v>1.27</v>
      </c>
      <c r="R9" s="9" t="s">
        <v>74</v>
      </c>
      <c r="S9" s="9" t="s">
        <v>0</v>
      </c>
      <c r="T9" s="9" t="s">
        <v>0</v>
      </c>
      <c r="U9" s="9" t="s">
        <v>129</v>
      </c>
    </row>
    <row r="10" spans="1:21" x14ac:dyDescent="0.25">
      <c r="A10" s="10" t="s">
        <v>22</v>
      </c>
      <c r="B10" s="10" t="s">
        <v>61</v>
      </c>
      <c r="C10" s="10" t="s">
        <v>120</v>
      </c>
      <c r="D10" s="10" t="s">
        <v>121</v>
      </c>
      <c r="E10" s="10" t="s">
        <v>122</v>
      </c>
      <c r="F10" s="10" t="s">
        <v>130</v>
      </c>
      <c r="G10" s="10" t="s">
        <v>80</v>
      </c>
      <c r="H10" s="10" t="s">
        <v>124</v>
      </c>
      <c r="I10" s="10" t="s">
        <v>125</v>
      </c>
      <c r="J10" s="10" t="s">
        <v>131</v>
      </c>
      <c r="K10" s="10" t="s">
        <v>127</v>
      </c>
      <c r="L10" s="10" t="s">
        <v>7</v>
      </c>
      <c r="M10" s="12">
        <v>105.94</v>
      </c>
      <c r="N10" s="10" t="s">
        <v>71</v>
      </c>
      <c r="O10" s="10" t="s">
        <v>128</v>
      </c>
      <c r="P10" s="10" t="s">
        <v>73</v>
      </c>
      <c r="Q10" s="12">
        <v>3.71</v>
      </c>
      <c r="R10" s="10" t="s">
        <v>74</v>
      </c>
      <c r="S10" s="10" t="s">
        <v>0</v>
      </c>
      <c r="T10" s="10" t="s">
        <v>0</v>
      </c>
      <c r="U10" s="10" t="s">
        <v>132</v>
      </c>
    </row>
    <row r="11" spans="1:21" x14ac:dyDescent="0.25">
      <c r="A11" s="9" t="s">
        <v>22</v>
      </c>
      <c r="B11" s="9" t="s">
        <v>61</v>
      </c>
      <c r="C11" s="9" t="s">
        <v>133</v>
      </c>
      <c r="D11" s="9" t="s">
        <v>134</v>
      </c>
      <c r="E11" s="9" t="s">
        <v>135</v>
      </c>
      <c r="F11" s="9" t="s">
        <v>136</v>
      </c>
      <c r="G11" s="9" t="s">
        <v>80</v>
      </c>
      <c r="H11" s="9" t="s">
        <v>137</v>
      </c>
      <c r="I11" s="9" t="s">
        <v>82</v>
      </c>
      <c r="J11" s="9" t="s">
        <v>126</v>
      </c>
      <c r="K11" s="9" t="s">
        <v>138</v>
      </c>
      <c r="L11" s="9" t="s">
        <v>85</v>
      </c>
      <c r="M11" s="11">
        <v>41.7</v>
      </c>
      <c r="N11" s="9" t="s">
        <v>71</v>
      </c>
      <c r="O11" s="9" t="s">
        <v>139</v>
      </c>
      <c r="P11" s="9" t="s">
        <v>73</v>
      </c>
      <c r="Q11" s="11">
        <v>3.13</v>
      </c>
      <c r="R11" s="9" t="s">
        <v>74</v>
      </c>
      <c r="S11" s="9" t="s">
        <v>0</v>
      </c>
      <c r="T11" s="9" t="s">
        <v>0</v>
      </c>
      <c r="U11" s="9" t="s">
        <v>129</v>
      </c>
    </row>
    <row r="12" spans="1:21" x14ac:dyDescent="0.25">
      <c r="A12" s="10" t="s">
        <v>22</v>
      </c>
      <c r="B12" s="10" t="s">
        <v>140</v>
      </c>
      <c r="C12" s="10" t="s">
        <v>141</v>
      </c>
      <c r="D12" s="10" t="s">
        <v>142</v>
      </c>
      <c r="E12" s="10" t="s">
        <v>143</v>
      </c>
      <c r="F12" s="10" t="s">
        <v>144</v>
      </c>
      <c r="G12" s="10" t="s">
        <v>80</v>
      </c>
      <c r="H12" s="10" t="s">
        <v>145</v>
      </c>
      <c r="I12" s="10" t="s">
        <v>68</v>
      </c>
      <c r="J12" s="10" t="s">
        <v>146</v>
      </c>
      <c r="K12" s="10" t="s">
        <v>84</v>
      </c>
      <c r="L12" s="10" t="s">
        <v>85</v>
      </c>
      <c r="M12" s="12">
        <v>-27.63</v>
      </c>
      <c r="N12" s="10" t="s">
        <v>71</v>
      </c>
      <c r="O12" s="10" t="s">
        <v>128</v>
      </c>
      <c r="P12" s="10" t="s">
        <v>73</v>
      </c>
      <c r="Q12" s="12">
        <v>-0.97</v>
      </c>
      <c r="R12" s="10" t="s">
        <v>96</v>
      </c>
      <c r="S12" s="10" t="s">
        <v>0</v>
      </c>
      <c r="T12" s="10" t="s">
        <v>0</v>
      </c>
      <c r="U12" s="10" t="s">
        <v>147</v>
      </c>
    </row>
    <row r="13" spans="1:21" x14ac:dyDescent="0.25">
      <c r="A13" s="9" t="s">
        <v>22</v>
      </c>
      <c r="B13" s="9" t="s">
        <v>61</v>
      </c>
      <c r="C13" s="9" t="s">
        <v>148</v>
      </c>
      <c r="D13" s="9" t="s">
        <v>149</v>
      </c>
      <c r="E13" s="9" t="s">
        <v>150</v>
      </c>
      <c r="F13" s="9" t="s">
        <v>151</v>
      </c>
      <c r="G13" s="9" t="s">
        <v>80</v>
      </c>
      <c r="H13" s="9" t="s">
        <v>152</v>
      </c>
      <c r="I13" s="9" t="s">
        <v>68</v>
      </c>
      <c r="J13" s="9" t="s">
        <v>153</v>
      </c>
      <c r="K13" s="9" t="s">
        <v>154</v>
      </c>
      <c r="L13" s="9" t="s">
        <v>155</v>
      </c>
      <c r="M13" s="11">
        <v>21.68</v>
      </c>
      <c r="N13" s="9" t="s">
        <v>71</v>
      </c>
      <c r="O13" s="9" t="s">
        <v>128</v>
      </c>
      <c r="P13" s="9" t="s">
        <v>73</v>
      </c>
      <c r="Q13" s="11">
        <v>0.76</v>
      </c>
      <c r="R13" s="9" t="s">
        <v>74</v>
      </c>
      <c r="S13" s="9" t="s">
        <v>0</v>
      </c>
      <c r="T13" s="9" t="s">
        <v>0</v>
      </c>
      <c r="U13" s="9" t="s">
        <v>156</v>
      </c>
    </row>
    <row r="14" spans="1:21" x14ac:dyDescent="0.25">
      <c r="A14" s="10" t="s">
        <v>22</v>
      </c>
      <c r="B14" s="10" t="s">
        <v>61</v>
      </c>
      <c r="C14" s="10" t="s">
        <v>141</v>
      </c>
      <c r="D14" s="10" t="s">
        <v>142</v>
      </c>
      <c r="E14" s="10" t="s">
        <v>157</v>
      </c>
      <c r="F14" s="10" t="s">
        <v>158</v>
      </c>
      <c r="G14" s="10" t="s">
        <v>80</v>
      </c>
      <c r="H14" s="10" t="s">
        <v>159</v>
      </c>
      <c r="I14" s="10" t="s">
        <v>68</v>
      </c>
      <c r="J14" s="10" t="s">
        <v>146</v>
      </c>
      <c r="K14" s="10" t="s">
        <v>159</v>
      </c>
      <c r="L14" s="10" t="s">
        <v>70</v>
      </c>
      <c r="M14" s="12">
        <v>27.63</v>
      </c>
      <c r="N14" s="10" t="s">
        <v>71</v>
      </c>
      <c r="O14" s="10" t="s">
        <v>160</v>
      </c>
      <c r="P14" s="10" t="s">
        <v>73</v>
      </c>
      <c r="Q14" s="12">
        <v>1.04</v>
      </c>
      <c r="R14" s="10" t="s">
        <v>74</v>
      </c>
      <c r="S14" s="10" t="s">
        <v>0</v>
      </c>
      <c r="T14" s="10" t="s">
        <v>0</v>
      </c>
      <c r="U14" s="10" t="s">
        <v>147</v>
      </c>
    </row>
    <row r="15" spans="1:21" x14ac:dyDescent="0.25">
      <c r="A15" s="9" t="s">
        <v>22</v>
      </c>
      <c r="B15" s="9" t="s">
        <v>61</v>
      </c>
      <c r="C15" s="9" t="s">
        <v>141</v>
      </c>
      <c r="D15" s="9" t="s">
        <v>142</v>
      </c>
      <c r="E15" s="9" t="s">
        <v>161</v>
      </c>
      <c r="F15" s="9" t="s">
        <v>162</v>
      </c>
      <c r="G15" s="9" t="s">
        <v>80</v>
      </c>
      <c r="H15" s="9" t="s">
        <v>159</v>
      </c>
      <c r="I15" s="9" t="s">
        <v>68</v>
      </c>
      <c r="J15" s="9" t="s">
        <v>146</v>
      </c>
      <c r="K15" s="9" t="s">
        <v>159</v>
      </c>
      <c r="L15" s="9" t="s">
        <v>70</v>
      </c>
      <c r="M15" s="11">
        <v>32.130000000000003</v>
      </c>
      <c r="N15" s="9" t="s">
        <v>71</v>
      </c>
      <c r="O15" s="9" t="s">
        <v>160</v>
      </c>
      <c r="P15" s="9" t="s">
        <v>73</v>
      </c>
      <c r="Q15" s="11">
        <v>1.2</v>
      </c>
      <c r="R15" s="9" t="s">
        <v>74</v>
      </c>
      <c r="S15" s="9" t="s">
        <v>0</v>
      </c>
      <c r="T15" s="9" t="s">
        <v>0</v>
      </c>
      <c r="U15" s="9" t="s">
        <v>147</v>
      </c>
    </row>
    <row r="16" spans="1:21" x14ac:dyDescent="0.25">
      <c r="A16" s="10" t="s">
        <v>22</v>
      </c>
      <c r="B16" s="10" t="s">
        <v>61</v>
      </c>
      <c r="C16" s="10" t="s">
        <v>113</v>
      </c>
      <c r="D16" s="10" t="s">
        <v>114</v>
      </c>
      <c r="E16" s="10" t="s">
        <v>163</v>
      </c>
      <c r="F16" s="10" t="s">
        <v>164</v>
      </c>
      <c r="G16" s="10" t="s">
        <v>80</v>
      </c>
      <c r="H16" s="10" t="s">
        <v>165</v>
      </c>
      <c r="I16" s="10" t="s">
        <v>68</v>
      </c>
      <c r="J16" s="10" t="s">
        <v>166</v>
      </c>
      <c r="K16" s="10" t="s">
        <v>167</v>
      </c>
      <c r="L16" s="10" t="s">
        <v>168</v>
      </c>
      <c r="M16" s="12">
        <v>37.4</v>
      </c>
      <c r="N16" s="10" t="s">
        <v>71</v>
      </c>
      <c r="O16" s="10" t="s">
        <v>169</v>
      </c>
      <c r="P16" s="10" t="s">
        <v>73</v>
      </c>
      <c r="Q16" s="12">
        <v>4.49</v>
      </c>
      <c r="R16" s="10" t="s">
        <v>74</v>
      </c>
      <c r="S16" s="10" t="s">
        <v>0</v>
      </c>
      <c r="T16" s="10" t="s">
        <v>0</v>
      </c>
      <c r="U16" s="10" t="s">
        <v>170</v>
      </c>
    </row>
    <row r="17" spans="1:21" x14ac:dyDescent="0.25">
      <c r="A17" s="9" t="s">
        <v>22</v>
      </c>
      <c r="B17" s="9" t="s">
        <v>140</v>
      </c>
      <c r="C17" s="9" t="s">
        <v>171</v>
      </c>
      <c r="D17" s="9" t="s">
        <v>172</v>
      </c>
      <c r="E17" s="9" t="s">
        <v>173</v>
      </c>
      <c r="F17" s="9" t="s">
        <v>174</v>
      </c>
      <c r="G17" s="9" t="s">
        <v>80</v>
      </c>
      <c r="H17" s="9" t="s">
        <v>175</v>
      </c>
      <c r="I17" s="9" t="s">
        <v>82</v>
      </c>
      <c r="J17" s="9" t="s">
        <v>176</v>
      </c>
      <c r="K17" s="9" t="s">
        <v>177</v>
      </c>
      <c r="L17" s="9" t="s">
        <v>85</v>
      </c>
      <c r="M17" s="11">
        <v>-64.77</v>
      </c>
      <c r="N17" s="9" t="s">
        <v>71</v>
      </c>
      <c r="O17" s="9" t="s">
        <v>160</v>
      </c>
      <c r="P17" s="9" t="s">
        <v>73</v>
      </c>
      <c r="Q17" s="11">
        <v>-2.4300000000000002</v>
      </c>
      <c r="R17" s="9" t="s">
        <v>96</v>
      </c>
      <c r="S17" s="9" t="s">
        <v>0</v>
      </c>
      <c r="T17" s="9" t="s">
        <v>0</v>
      </c>
      <c r="U17" s="9" t="s">
        <v>178</v>
      </c>
    </row>
    <row r="18" spans="1:21" x14ac:dyDescent="0.25">
      <c r="A18" s="10" t="s">
        <v>22</v>
      </c>
      <c r="B18" s="10" t="s">
        <v>61</v>
      </c>
      <c r="C18" s="10" t="s">
        <v>106</v>
      </c>
      <c r="D18" s="10" t="s">
        <v>107</v>
      </c>
      <c r="E18" s="10" t="s">
        <v>179</v>
      </c>
      <c r="F18" s="10" t="s">
        <v>180</v>
      </c>
      <c r="G18" s="10" t="s">
        <v>80</v>
      </c>
      <c r="H18" s="10" t="s">
        <v>181</v>
      </c>
      <c r="I18" s="10" t="s">
        <v>103</v>
      </c>
      <c r="J18" s="10" t="s">
        <v>126</v>
      </c>
      <c r="K18" s="10" t="s">
        <v>181</v>
      </c>
      <c r="L18" s="10" t="s">
        <v>168</v>
      </c>
      <c r="M18" s="12">
        <v>22.5</v>
      </c>
      <c r="N18" s="10" t="s">
        <v>71</v>
      </c>
      <c r="O18" s="10" t="s">
        <v>182</v>
      </c>
      <c r="P18" s="10" t="s">
        <v>73</v>
      </c>
      <c r="Q18" s="12">
        <v>1.8</v>
      </c>
      <c r="R18" s="10" t="s">
        <v>74</v>
      </c>
      <c r="S18" s="10" t="s">
        <v>0</v>
      </c>
      <c r="T18" s="10" t="s">
        <v>0</v>
      </c>
      <c r="U18" s="10" t="s">
        <v>129</v>
      </c>
    </row>
    <row r="19" spans="1:21" x14ac:dyDescent="0.25">
      <c r="A19" s="9" t="s">
        <v>22</v>
      </c>
      <c r="B19" s="9" t="s">
        <v>61</v>
      </c>
      <c r="C19" s="9" t="s">
        <v>183</v>
      </c>
      <c r="D19" s="9" t="s">
        <v>184</v>
      </c>
      <c r="E19" s="9" t="s">
        <v>185</v>
      </c>
      <c r="F19" s="9" t="s">
        <v>186</v>
      </c>
      <c r="G19" s="9" t="s">
        <v>80</v>
      </c>
      <c r="H19" s="9" t="s">
        <v>187</v>
      </c>
      <c r="I19" s="9" t="s">
        <v>68</v>
      </c>
      <c r="J19" s="9" t="s">
        <v>146</v>
      </c>
      <c r="K19" s="9" t="s">
        <v>188</v>
      </c>
      <c r="L19" s="9" t="s">
        <v>70</v>
      </c>
      <c r="M19" s="11">
        <v>32.130000000000003</v>
      </c>
      <c r="N19" s="9" t="s">
        <v>71</v>
      </c>
      <c r="O19" s="9" t="s">
        <v>160</v>
      </c>
      <c r="P19" s="9" t="s">
        <v>73</v>
      </c>
      <c r="Q19" s="11">
        <v>1.2</v>
      </c>
      <c r="R19" s="9" t="s">
        <v>74</v>
      </c>
      <c r="S19" s="9" t="s">
        <v>0</v>
      </c>
      <c r="T19" s="9" t="s">
        <v>0</v>
      </c>
      <c r="U19" s="9" t="s">
        <v>147</v>
      </c>
    </row>
    <row r="20" spans="1:21" x14ac:dyDescent="0.25">
      <c r="A20" s="10" t="s">
        <v>22</v>
      </c>
      <c r="B20" s="10" t="s">
        <v>61</v>
      </c>
      <c r="C20" s="10" t="s">
        <v>189</v>
      </c>
      <c r="D20" s="10" t="s">
        <v>190</v>
      </c>
      <c r="E20" s="10" t="s">
        <v>191</v>
      </c>
      <c r="F20" s="10" t="s">
        <v>192</v>
      </c>
      <c r="G20" s="10" t="s">
        <v>80</v>
      </c>
      <c r="H20" s="10" t="s">
        <v>193</v>
      </c>
      <c r="I20" s="10" t="s">
        <v>194</v>
      </c>
      <c r="J20" s="10" t="s">
        <v>131</v>
      </c>
      <c r="K20" s="10" t="s">
        <v>195</v>
      </c>
      <c r="L20" s="10" t="s">
        <v>7</v>
      </c>
      <c r="M20" s="12">
        <v>142.16</v>
      </c>
      <c r="N20" s="10" t="s">
        <v>71</v>
      </c>
      <c r="O20" s="10" t="s">
        <v>182</v>
      </c>
      <c r="P20" s="10" t="s">
        <v>73</v>
      </c>
      <c r="Q20" s="12">
        <v>11.37</v>
      </c>
      <c r="R20" s="10" t="s">
        <v>74</v>
      </c>
      <c r="S20" s="10" t="s">
        <v>0</v>
      </c>
      <c r="T20" s="10" t="s">
        <v>0</v>
      </c>
      <c r="U20" s="10" t="s">
        <v>132</v>
      </c>
    </row>
    <row r="21" spans="1:21" x14ac:dyDescent="0.25">
      <c r="A21" s="9" t="s">
        <v>22</v>
      </c>
      <c r="B21" s="9" t="s">
        <v>61</v>
      </c>
      <c r="C21" s="9" t="s">
        <v>106</v>
      </c>
      <c r="D21" s="9" t="s">
        <v>107</v>
      </c>
      <c r="E21" s="9" t="s">
        <v>196</v>
      </c>
      <c r="F21" s="9" t="s">
        <v>197</v>
      </c>
      <c r="G21" s="9" t="s">
        <v>80</v>
      </c>
      <c r="H21" s="9" t="s">
        <v>198</v>
      </c>
      <c r="I21" s="9" t="s">
        <v>199</v>
      </c>
      <c r="J21" s="9" t="s">
        <v>200</v>
      </c>
      <c r="K21" s="9" t="s">
        <v>198</v>
      </c>
      <c r="L21" s="9" t="s">
        <v>201</v>
      </c>
      <c r="M21" s="11">
        <v>13.38</v>
      </c>
      <c r="N21" s="9" t="s">
        <v>71</v>
      </c>
      <c r="O21" s="9" t="s">
        <v>202</v>
      </c>
      <c r="P21" s="9" t="s">
        <v>73</v>
      </c>
      <c r="Q21" s="11">
        <v>2.41</v>
      </c>
      <c r="R21" s="9" t="s">
        <v>74</v>
      </c>
      <c r="S21" s="9" t="s">
        <v>0</v>
      </c>
      <c r="T21" s="9" t="s">
        <v>0</v>
      </c>
      <c r="U21" s="9" t="s">
        <v>203</v>
      </c>
    </row>
    <row r="22" spans="1:21" x14ac:dyDescent="0.25">
      <c r="A22" s="10" t="s">
        <v>22</v>
      </c>
      <c r="B22" s="10" t="s">
        <v>61</v>
      </c>
      <c r="C22" s="10" t="s">
        <v>106</v>
      </c>
      <c r="D22" s="10" t="s">
        <v>107</v>
      </c>
      <c r="E22" s="10" t="s">
        <v>196</v>
      </c>
      <c r="F22" s="10" t="s">
        <v>197</v>
      </c>
      <c r="G22" s="10" t="s">
        <v>80</v>
      </c>
      <c r="H22" s="10" t="s">
        <v>198</v>
      </c>
      <c r="I22" s="10" t="s">
        <v>199</v>
      </c>
      <c r="J22" s="10" t="s">
        <v>200</v>
      </c>
      <c r="K22" s="10" t="s">
        <v>198</v>
      </c>
      <c r="L22" s="10" t="s">
        <v>201</v>
      </c>
      <c r="M22" s="12">
        <v>37.369999999999997</v>
      </c>
      <c r="N22" s="10" t="s">
        <v>71</v>
      </c>
      <c r="O22" s="10" t="s">
        <v>202</v>
      </c>
      <c r="P22" s="10" t="s">
        <v>73</v>
      </c>
      <c r="Q22" s="12">
        <v>6.73</v>
      </c>
      <c r="R22" s="10" t="s">
        <v>74</v>
      </c>
      <c r="S22" s="10" t="s">
        <v>0</v>
      </c>
      <c r="T22" s="10" t="s">
        <v>0</v>
      </c>
      <c r="U22" s="10" t="s">
        <v>203</v>
      </c>
    </row>
    <row r="23" spans="1:21" x14ac:dyDescent="0.25">
      <c r="A23" s="9" t="s">
        <v>22</v>
      </c>
      <c r="B23" s="9" t="s">
        <v>61</v>
      </c>
      <c r="C23" s="9" t="s">
        <v>106</v>
      </c>
      <c r="D23" s="9" t="s">
        <v>107</v>
      </c>
      <c r="E23" s="9" t="s">
        <v>196</v>
      </c>
      <c r="F23" s="9" t="s">
        <v>197</v>
      </c>
      <c r="G23" s="9" t="s">
        <v>80</v>
      </c>
      <c r="H23" s="9" t="s">
        <v>198</v>
      </c>
      <c r="I23" s="9" t="s">
        <v>199</v>
      </c>
      <c r="J23" s="9" t="s">
        <v>200</v>
      </c>
      <c r="K23" s="9" t="s">
        <v>198</v>
      </c>
      <c r="L23" s="9" t="s">
        <v>201</v>
      </c>
      <c r="M23" s="11">
        <v>28.33</v>
      </c>
      <c r="N23" s="9" t="s">
        <v>71</v>
      </c>
      <c r="O23" s="9" t="s">
        <v>202</v>
      </c>
      <c r="P23" s="9" t="s">
        <v>73</v>
      </c>
      <c r="Q23" s="11">
        <v>5.0999999999999996</v>
      </c>
      <c r="R23" s="9" t="s">
        <v>74</v>
      </c>
      <c r="S23" s="9" t="s">
        <v>0</v>
      </c>
      <c r="T23" s="9" t="s">
        <v>0</v>
      </c>
      <c r="U23" s="9" t="s">
        <v>203</v>
      </c>
    </row>
    <row r="24" spans="1:21" x14ac:dyDescent="0.25">
      <c r="A24" s="10" t="s">
        <v>22</v>
      </c>
      <c r="B24" s="10" t="s">
        <v>61</v>
      </c>
      <c r="C24" s="10" t="s">
        <v>106</v>
      </c>
      <c r="D24" s="10" t="s">
        <v>107</v>
      </c>
      <c r="E24" s="10" t="s">
        <v>196</v>
      </c>
      <c r="F24" s="10" t="s">
        <v>197</v>
      </c>
      <c r="G24" s="10" t="s">
        <v>80</v>
      </c>
      <c r="H24" s="10" t="s">
        <v>198</v>
      </c>
      <c r="I24" s="10" t="s">
        <v>199</v>
      </c>
      <c r="J24" s="10" t="s">
        <v>200</v>
      </c>
      <c r="K24" s="10" t="s">
        <v>198</v>
      </c>
      <c r="L24" s="10" t="s">
        <v>201</v>
      </c>
      <c r="M24" s="12">
        <v>15.8</v>
      </c>
      <c r="N24" s="10" t="s">
        <v>71</v>
      </c>
      <c r="O24" s="10" t="s">
        <v>202</v>
      </c>
      <c r="P24" s="10" t="s">
        <v>73</v>
      </c>
      <c r="Q24" s="12">
        <v>2.84</v>
      </c>
      <c r="R24" s="10" t="s">
        <v>74</v>
      </c>
      <c r="S24" s="10" t="s">
        <v>0</v>
      </c>
      <c r="T24" s="10" t="s">
        <v>0</v>
      </c>
      <c r="U24" s="10" t="s">
        <v>203</v>
      </c>
    </row>
    <row r="25" spans="1:21" x14ac:dyDescent="0.25">
      <c r="A25" s="9" t="s">
        <v>22</v>
      </c>
      <c r="B25" s="9" t="s">
        <v>61</v>
      </c>
      <c r="C25" s="9" t="s">
        <v>106</v>
      </c>
      <c r="D25" s="9" t="s">
        <v>107</v>
      </c>
      <c r="E25" s="9" t="s">
        <v>196</v>
      </c>
      <c r="F25" s="9" t="s">
        <v>197</v>
      </c>
      <c r="G25" s="9" t="s">
        <v>80</v>
      </c>
      <c r="H25" s="9" t="s">
        <v>198</v>
      </c>
      <c r="I25" s="9" t="s">
        <v>199</v>
      </c>
      <c r="J25" s="9" t="s">
        <v>200</v>
      </c>
      <c r="K25" s="9" t="s">
        <v>198</v>
      </c>
      <c r="L25" s="9" t="s">
        <v>201</v>
      </c>
      <c r="M25" s="11">
        <v>22.08</v>
      </c>
      <c r="N25" s="9" t="s">
        <v>71</v>
      </c>
      <c r="O25" s="9" t="s">
        <v>202</v>
      </c>
      <c r="P25" s="9" t="s">
        <v>73</v>
      </c>
      <c r="Q25" s="11">
        <v>3.97</v>
      </c>
      <c r="R25" s="9" t="s">
        <v>74</v>
      </c>
      <c r="S25" s="9" t="s">
        <v>0</v>
      </c>
      <c r="T25" s="9" t="s">
        <v>0</v>
      </c>
      <c r="U25" s="9" t="s">
        <v>203</v>
      </c>
    </row>
    <row r="26" spans="1:21" x14ac:dyDescent="0.25">
      <c r="A26" s="10" t="s">
        <v>22</v>
      </c>
      <c r="B26" s="10" t="s">
        <v>61</v>
      </c>
      <c r="C26" s="10" t="s">
        <v>106</v>
      </c>
      <c r="D26" s="10" t="s">
        <v>107</v>
      </c>
      <c r="E26" s="10" t="s">
        <v>204</v>
      </c>
      <c r="F26" s="10" t="s">
        <v>205</v>
      </c>
      <c r="G26" s="10" t="s">
        <v>80</v>
      </c>
      <c r="H26" s="10" t="s">
        <v>206</v>
      </c>
      <c r="I26" s="10" t="s">
        <v>103</v>
      </c>
      <c r="J26" s="10" t="s">
        <v>200</v>
      </c>
      <c r="K26" s="10" t="s">
        <v>207</v>
      </c>
      <c r="L26" s="10" t="s">
        <v>7</v>
      </c>
      <c r="M26" s="12">
        <v>7.08</v>
      </c>
      <c r="N26" s="10" t="s">
        <v>71</v>
      </c>
      <c r="O26" s="10" t="s">
        <v>202</v>
      </c>
      <c r="P26" s="10" t="s">
        <v>73</v>
      </c>
      <c r="Q26" s="12">
        <v>1.27</v>
      </c>
      <c r="R26" s="10" t="s">
        <v>74</v>
      </c>
      <c r="S26" s="10" t="s">
        <v>0</v>
      </c>
      <c r="T26" s="10" t="s">
        <v>0</v>
      </c>
      <c r="U26" s="10" t="s">
        <v>203</v>
      </c>
    </row>
    <row r="27" spans="1:21" x14ac:dyDescent="0.25">
      <c r="A27" s="9" t="s">
        <v>22</v>
      </c>
      <c r="B27" s="9" t="s">
        <v>61</v>
      </c>
      <c r="C27" s="9" t="s">
        <v>106</v>
      </c>
      <c r="D27" s="9" t="s">
        <v>107</v>
      </c>
      <c r="E27" s="9" t="s">
        <v>204</v>
      </c>
      <c r="F27" s="9" t="s">
        <v>205</v>
      </c>
      <c r="G27" s="9" t="s">
        <v>80</v>
      </c>
      <c r="H27" s="9" t="s">
        <v>206</v>
      </c>
      <c r="I27" s="9" t="s">
        <v>103</v>
      </c>
      <c r="J27" s="9" t="s">
        <v>200</v>
      </c>
      <c r="K27" s="9" t="s">
        <v>207</v>
      </c>
      <c r="L27" s="9" t="s">
        <v>7</v>
      </c>
      <c r="M27" s="11">
        <v>15.8</v>
      </c>
      <c r="N27" s="9" t="s">
        <v>71</v>
      </c>
      <c r="O27" s="9" t="s">
        <v>202</v>
      </c>
      <c r="P27" s="9" t="s">
        <v>73</v>
      </c>
      <c r="Q27" s="11">
        <v>2.84</v>
      </c>
      <c r="R27" s="9" t="s">
        <v>74</v>
      </c>
      <c r="S27" s="9" t="s">
        <v>0</v>
      </c>
      <c r="T27" s="9" t="s">
        <v>0</v>
      </c>
      <c r="U27" s="9" t="s">
        <v>203</v>
      </c>
    </row>
    <row r="28" spans="1:21" x14ac:dyDescent="0.25">
      <c r="A28" s="10" t="s">
        <v>22</v>
      </c>
      <c r="B28" s="10" t="s">
        <v>61</v>
      </c>
      <c r="C28" s="10" t="s">
        <v>106</v>
      </c>
      <c r="D28" s="10" t="s">
        <v>107</v>
      </c>
      <c r="E28" s="10" t="s">
        <v>204</v>
      </c>
      <c r="F28" s="10" t="s">
        <v>205</v>
      </c>
      <c r="G28" s="10" t="s">
        <v>80</v>
      </c>
      <c r="H28" s="10" t="s">
        <v>206</v>
      </c>
      <c r="I28" s="10" t="s">
        <v>103</v>
      </c>
      <c r="J28" s="10" t="s">
        <v>200</v>
      </c>
      <c r="K28" s="10" t="s">
        <v>207</v>
      </c>
      <c r="L28" s="10" t="s">
        <v>7</v>
      </c>
      <c r="M28" s="12">
        <v>23.6</v>
      </c>
      <c r="N28" s="10" t="s">
        <v>71</v>
      </c>
      <c r="O28" s="10" t="s">
        <v>202</v>
      </c>
      <c r="P28" s="10" t="s">
        <v>73</v>
      </c>
      <c r="Q28" s="12">
        <v>4.25</v>
      </c>
      <c r="R28" s="10" t="s">
        <v>74</v>
      </c>
      <c r="S28" s="10" t="s">
        <v>0</v>
      </c>
      <c r="T28" s="10" t="s">
        <v>0</v>
      </c>
      <c r="U28" s="10" t="s">
        <v>203</v>
      </c>
    </row>
    <row r="29" spans="1:21" x14ac:dyDescent="0.25">
      <c r="A29" s="9" t="s">
        <v>22</v>
      </c>
      <c r="B29" s="9" t="s">
        <v>61</v>
      </c>
      <c r="C29" s="9" t="s">
        <v>208</v>
      </c>
      <c r="D29" s="9" t="s">
        <v>209</v>
      </c>
      <c r="E29" s="9" t="s">
        <v>210</v>
      </c>
      <c r="F29" s="9" t="s">
        <v>211</v>
      </c>
      <c r="G29" s="9" t="s">
        <v>80</v>
      </c>
      <c r="H29" s="9" t="s">
        <v>212</v>
      </c>
      <c r="I29" s="9" t="s">
        <v>103</v>
      </c>
      <c r="J29" s="9" t="s">
        <v>213</v>
      </c>
      <c r="K29" s="9" t="s">
        <v>214</v>
      </c>
      <c r="L29" s="9" t="s">
        <v>70</v>
      </c>
      <c r="M29" s="11">
        <v>2.52</v>
      </c>
      <c r="N29" s="9" t="s">
        <v>71</v>
      </c>
      <c r="O29" s="9" t="s">
        <v>202</v>
      </c>
      <c r="P29" s="9" t="s">
        <v>73</v>
      </c>
      <c r="Q29" s="11">
        <v>0.45</v>
      </c>
      <c r="R29" s="9" t="s">
        <v>74</v>
      </c>
      <c r="S29" s="9" t="s">
        <v>0</v>
      </c>
      <c r="T29" s="9" t="s">
        <v>0</v>
      </c>
      <c r="U29" s="9" t="s">
        <v>215</v>
      </c>
    </row>
    <row r="30" spans="1:21" x14ac:dyDescent="0.25">
      <c r="A30" s="10" t="s">
        <v>22</v>
      </c>
      <c r="B30" s="10" t="s">
        <v>61</v>
      </c>
      <c r="C30" s="10" t="s">
        <v>208</v>
      </c>
      <c r="D30" s="10" t="s">
        <v>209</v>
      </c>
      <c r="E30" s="10" t="s">
        <v>210</v>
      </c>
      <c r="F30" s="10" t="s">
        <v>211</v>
      </c>
      <c r="G30" s="10" t="s">
        <v>80</v>
      </c>
      <c r="H30" s="10" t="s">
        <v>212</v>
      </c>
      <c r="I30" s="10" t="s">
        <v>103</v>
      </c>
      <c r="J30" s="10" t="s">
        <v>213</v>
      </c>
      <c r="K30" s="10" t="s">
        <v>214</v>
      </c>
      <c r="L30" s="10" t="s">
        <v>70</v>
      </c>
      <c r="M30" s="12">
        <v>233.49</v>
      </c>
      <c r="N30" s="10" t="s">
        <v>71</v>
      </c>
      <c r="O30" s="10" t="s">
        <v>202</v>
      </c>
      <c r="P30" s="10" t="s">
        <v>73</v>
      </c>
      <c r="Q30" s="12">
        <v>42.03</v>
      </c>
      <c r="R30" s="10" t="s">
        <v>74</v>
      </c>
      <c r="S30" s="10" t="s">
        <v>0</v>
      </c>
      <c r="T30" s="10" t="s">
        <v>0</v>
      </c>
      <c r="U30" s="10" t="s">
        <v>215</v>
      </c>
    </row>
    <row r="31" spans="1:21" x14ac:dyDescent="0.25">
      <c r="A31" s="9" t="s">
        <v>22</v>
      </c>
      <c r="B31" s="9" t="s">
        <v>61</v>
      </c>
      <c r="C31" s="9" t="s">
        <v>216</v>
      </c>
      <c r="D31" s="9" t="s">
        <v>217</v>
      </c>
      <c r="E31" s="9" t="s">
        <v>218</v>
      </c>
      <c r="F31" s="9" t="s">
        <v>219</v>
      </c>
      <c r="G31" s="9" t="s">
        <v>66</v>
      </c>
      <c r="H31" s="9" t="s">
        <v>220</v>
      </c>
      <c r="I31" s="9" t="s">
        <v>125</v>
      </c>
      <c r="J31" s="9" t="s">
        <v>126</v>
      </c>
      <c r="K31" s="9" t="s">
        <v>221</v>
      </c>
      <c r="L31" s="9" t="s">
        <v>222</v>
      </c>
      <c r="M31" s="11">
        <v>28.79</v>
      </c>
      <c r="N31" s="9" t="s">
        <v>71</v>
      </c>
      <c r="O31" s="9" t="s">
        <v>223</v>
      </c>
      <c r="P31" s="9" t="s">
        <v>73</v>
      </c>
      <c r="Q31" s="11">
        <v>28.79</v>
      </c>
      <c r="R31" s="9" t="s">
        <v>74</v>
      </c>
      <c r="S31" s="9" t="s">
        <v>0</v>
      </c>
      <c r="T31" s="9" t="s">
        <v>0</v>
      </c>
      <c r="U31" s="9" t="s">
        <v>129</v>
      </c>
    </row>
    <row r="32" spans="1:21" x14ac:dyDescent="0.25">
      <c r="A32" s="10" t="s">
        <v>22</v>
      </c>
      <c r="B32" s="10" t="s">
        <v>61</v>
      </c>
      <c r="C32" s="10" t="s">
        <v>224</v>
      </c>
      <c r="D32" s="10" t="s">
        <v>225</v>
      </c>
      <c r="E32" s="10" t="s">
        <v>225</v>
      </c>
      <c r="F32" s="10" t="s">
        <v>226</v>
      </c>
      <c r="G32" s="10" t="s">
        <v>80</v>
      </c>
      <c r="H32" s="10" t="s">
        <v>227</v>
      </c>
      <c r="I32" s="10" t="s">
        <v>103</v>
      </c>
      <c r="J32" s="10" t="s">
        <v>126</v>
      </c>
      <c r="K32" s="10" t="s">
        <v>228</v>
      </c>
      <c r="L32" s="10" t="s">
        <v>85</v>
      </c>
      <c r="M32" s="12">
        <v>13.9</v>
      </c>
      <c r="N32" s="10" t="s">
        <v>71</v>
      </c>
      <c r="O32" s="10" t="s">
        <v>229</v>
      </c>
      <c r="P32" s="10" t="s">
        <v>73</v>
      </c>
      <c r="Q32" s="12">
        <v>1.18</v>
      </c>
      <c r="R32" s="10" t="s">
        <v>74</v>
      </c>
      <c r="S32" s="10" t="s">
        <v>0</v>
      </c>
      <c r="T32" s="10" t="s">
        <v>0</v>
      </c>
      <c r="U32" s="10" t="s">
        <v>129</v>
      </c>
    </row>
    <row r="33" spans="1:21" x14ac:dyDescent="0.25">
      <c r="A33" s="9" t="s">
        <v>22</v>
      </c>
      <c r="B33" s="9" t="s">
        <v>61</v>
      </c>
      <c r="C33" s="9" t="s">
        <v>106</v>
      </c>
      <c r="D33" s="9" t="s">
        <v>107</v>
      </c>
      <c r="E33" s="9" t="s">
        <v>230</v>
      </c>
      <c r="F33" s="9" t="s">
        <v>231</v>
      </c>
      <c r="G33" s="9" t="s">
        <v>66</v>
      </c>
      <c r="H33" s="9" t="s">
        <v>232</v>
      </c>
      <c r="I33" s="9" t="s">
        <v>103</v>
      </c>
      <c r="J33" s="9" t="s">
        <v>200</v>
      </c>
      <c r="K33" s="9" t="s">
        <v>232</v>
      </c>
      <c r="L33" s="9" t="s">
        <v>233</v>
      </c>
      <c r="M33" s="11">
        <v>32.9</v>
      </c>
      <c r="N33" s="9" t="s">
        <v>71</v>
      </c>
      <c r="O33" s="9" t="s">
        <v>234</v>
      </c>
      <c r="P33" s="9" t="s">
        <v>73</v>
      </c>
      <c r="Q33" s="11">
        <v>21.39</v>
      </c>
      <c r="R33" s="9" t="s">
        <v>74</v>
      </c>
      <c r="S33" s="9" t="s">
        <v>0</v>
      </c>
      <c r="T33" s="9" t="s">
        <v>0</v>
      </c>
      <c r="U33" s="9" t="s">
        <v>203</v>
      </c>
    </row>
    <row r="34" spans="1:21" x14ac:dyDescent="0.25">
      <c r="A34" s="10" t="s">
        <v>22</v>
      </c>
      <c r="B34" s="10" t="s">
        <v>61</v>
      </c>
      <c r="C34" s="10" t="s">
        <v>106</v>
      </c>
      <c r="D34" s="10" t="s">
        <v>107</v>
      </c>
      <c r="E34" s="10" t="s">
        <v>230</v>
      </c>
      <c r="F34" s="10" t="s">
        <v>231</v>
      </c>
      <c r="G34" s="10" t="s">
        <v>66</v>
      </c>
      <c r="H34" s="10" t="s">
        <v>232</v>
      </c>
      <c r="I34" s="10" t="s">
        <v>103</v>
      </c>
      <c r="J34" s="10" t="s">
        <v>200</v>
      </c>
      <c r="K34" s="10" t="s">
        <v>232</v>
      </c>
      <c r="L34" s="10" t="s">
        <v>233</v>
      </c>
      <c r="M34" s="12">
        <v>11.87</v>
      </c>
      <c r="N34" s="10" t="s">
        <v>71</v>
      </c>
      <c r="O34" s="10" t="s">
        <v>234</v>
      </c>
      <c r="P34" s="10" t="s">
        <v>73</v>
      </c>
      <c r="Q34" s="12">
        <v>7.72</v>
      </c>
      <c r="R34" s="10" t="s">
        <v>74</v>
      </c>
      <c r="S34" s="10" t="s">
        <v>0</v>
      </c>
      <c r="T34" s="10" t="s">
        <v>0</v>
      </c>
      <c r="U34" s="10" t="s">
        <v>203</v>
      </c>
    </row>
    <row r="35" spans="1:21" x14ac:dyDescent="0.25">
      <c r="A35" s="9" t="s">
        <v>22</v>
      </c>
      <c r="B35" s="9" t="s">
        <v>61</v>
      </c>
      <c r="C35" s="9" t="s">
        <v>141</v>
      </c>
      <c r="D35" s="9" t="s">
        <v>142</v>
      </c>
      <c r="E35" s="9" t="s">
        <v>235</v>
      </c>
      <c r="F35" s="9" t="s">
        <v>236</v>
      </c>
      <c r="G35" s="9" t="s">
        <v>66</v>
      </c>
      <c r="H35" s="9" t="s">
        <v>237</v>
      </c>
      <c r="I35" s="9" t="s">
        <v>68</v>
      </c>
      <c r="J35" s="9" t="s">
        <v>126</v>
      </c>
      <c r="K35" s="9" t="s">
        <v>237</v>
      </c>
      <c r="L35" s="9" t="s">
        <v>238</v>
      </c>
      <c r="M35" s="11">
        <v>28.27</v>
      </c>
      <c r="N35" s="9" t="s">
        <v>71</v>
      </c>
      <c r="O35" s="9" t="s">
        <v>239</v>
      </c>
      <c r="P35" s="9" t="s">
        <v>73</v>
      </c>
      <c r="Q35" s="11">
        <v>26.86</v>
      </c>
      <c r="R35" s="9" t="s">
        <v>74</v>
      </c>
      <c r="S35" s="9" t="s">
        <v>0</v>
      </c>
      <c r="T35" s="9" t="s">
        <v>0</v>
      </c>
      <c r="U35" s="9" t="s">
        <v>129</v>
      </c>
    </row>
    <row r="36" spans="1:21" x14ac:dyDescent="0.25">
      <c r="A36" s="10" t="s">
        <v>22</v>
      </c>
      <c r="B36" s="10" t="s">
        <v>61</v>
      </c>
      <c r="C36" s="10" t="s">
        <v>183</v>
      </c>
      <c r="D36" s="10" t="s">
        <v>184</v>
      </c>
      <c r="E36" s="10" t="s">
        <v>240</v>
      </c>
      <c r="F36" s="10" t="s">
        <v>241</v>
      </c>
      <c r="G36" s="10" t="s">
        <v>66</v>
      </c>
      <c r="H36" s="10" t="s">
        <v>242</v>
      </c>
      <c r="I36" s="10" t="s">
        <v>68</v>
      </c>
      <c r="J36" s="10" t="s">
        <v>243</v>
      </c>
      <c r="K36" s="10" t="s">
        <v>244</v>
      </c>
      <c r="L36" s="10" t="s">
        <v>245</v>
      </c>
      <c r="M36" s="12">
        <v>133.88999999999999</v>
      </c>
      <c r="N36" s="10" t="s">
        <v>71</v>
      </c>
      <c r="O36" s="10" t="s">
        <v>239</v>
      </c>
      <c r="P36" s="10" t="s">
        <v>73</v>
      </c>
      <c r="Q36" s="12">
        <v>127.2</v>
      </c>
      <c r="R36" s="10" t="s">
        <v>74</v>
      </c>
      <c r="S36" s="10" t="s">
        <v>0</v>
      </c>
      <c r="T36" s="10" t="s">
        <v>0</v>
      </c>
      <c r="U36" s="10" t="s">
        <v>246</v>
      </c>
    </row>
    <row r="37" spans="1:21" x14ac:dyDescent="0.25">
      <c r="A37" s="9" t="s">
        <v>22</v>
      </c>
      <c r="B37" s="9" t="s">
        <v>61</v>
      </c>
      <c r="C37" s="9" t="s">
        <v>247</v>
      </c>
      <c r="D37" s="9" t="s">
        <v>248</v>
      </c>
      <c r="E37" s="9" t="s">
        <v>249</v>
      </c>
      <c r="F37" s="9" t="s">
        <v>250</v>
      </c>
      <c r="G37" s="9" t="s">
        <v>66</v>
      </c>
      <c r="H37" s="9" t="s">
        <v>251</v>
      </c>
      <c r="I37" s="9" t="s">
        <v>252</v>
      </c>
      <c r="J37" s="9" t="s">
        <v>243</v>
      </c>
      <c r="K37" s="9" t="s">
        <v>253</v>
      </c>
      <c r="L37" s="9" t="s">
        <v>238</v>
      </c>
      <c r="M37" s="11">
        <v>65.16</v>
      </c>
      <c r="N37" s="9" t="s">
        <v>71</v>
      </c>
      <c r="O37" s="9" t="s">
        <v>223</v>
      </c>
      <c r="P37" s="9" t="s">
        <v>73</v>
      </c>
      <c r="Q37" s="11">
        <v>65.16</v>
      </c>
      <c r="R37" s="9" t="s">
        <v>74</v>
      </c>
      <c r="S37" s="9" t="s">
        <v>0</v>
      </c>
      <c r="T37" s="9" t="s">
        <v>0</v>
      </c>
      <c r="U37" s="9" t="s">
        <v>246</v>
      </c>
    </row>
    <row r="38" spans="1:21" x14ac:dyDescent="0.25">
      <c r="A38" s="10" t="s">
        <v>22</v>
      </c>
      <c r="B38" s="10" t="s">
        <v>140</v>
      </c>
      <c r="C38" s="10" t="s">
        <v>216</v>
      </c>
      <c r="D38" s="10" t="s">
        <v>217</v>
      </c>
      <c r="E38" s="10" t="s">
        <v>254</v>
      </c>
      <c r="F38" s="10" t="s">
        <v>255</v>
      </c>
      <c r="G38" s="10" t="s">
        <v>66</v>
      </c>
      <c r="H38" s="10" t="s">
        <v>256</v>
      </c>
      <c r="I38" s="10" t="s">
        <v>257</v>
      </c>
      <c r="J38" s="10" t="s">
        <v>126</v>
      </c>
      <c r="K38" s="10" t="s">
        <v>258</v>
      </c>
      <c r="L38" s="10" t="s">
        <v>259</v>
      </c>
      <c r="M38" s="12">
        <v>-8.1300000000000008</v>
      </c>
      <c r="N38" s="10" t="s">
        <v>71</v>
      </c>
      <c r="O38" s="10" t="s">
        <v>223</v>
      </c>
      <c r="P38" s="10" t="s">
        <v>73</v>
      </c>
      <c r="Q38" s="12">
        <v>-8.1300000000000008</v>
      </c>
      <c r="R38" s="10" t="s">
        <v>74</v>
      </c>
      <c r="S38" s="10" t="s">
        <v>0</v>
      </c>
      <c r="T38" s="10" t="s">
        <v>0</v>
      </c>
      <c r="U38" s="10" t="s">
        <v>129</v>
      </c>
    </row>
    <row r="39" spans="1:21" x14ac:dyDescent="0.25">
      <c r="A39" s="9" t="s">
        <v>22</v>
      </c>
      <c r="B39" s="9" t="s">
        <v>140</v>
      </c>
      <c r="C39" s="9" t="s">
        <v>216</v>
      </c>
      <c r="D39" s="9" t="s">
        <v>217</v>
      </c>
      <c r="E39" s="9" t="s">
        <v>254</v>
      </c>
      <c r="F39" s="9" t="s">
        <v>260</v>
      </c>
      <c r="G39" s="9" t="s">
        <v>66</v>
      </c>
      <c r="H39" s="9" t="s">
        <v>256</v>
      </c>
      <c r="I39" s="9" t="s">
        <v>257</v>
      </c>
      <c r="J39" s="9" t="s">
        <v>131</v>
      </c>
      <c r="K39" s="9" t="s">
        <v>258</v>
      </c>
      <c r="L39" s="9" t="s">
        <v>259</v>
      </c>
      <c r="M39" s="11">
        <v>-7.78</v>
      </c>
      <c r="N39" s="9" t="s">
        <v>71</v>
      </c>
      <c r="O39" s="9" t="s">
        <v>223</v>
      </c>
      <c r="P39" s="9" t="s">
        <v>73</v>
      </c>
      <c r="Q39" s="11">
        <v>-7.78</v>
      </c>
      <c r="R39" s="9" t="s">
        <v>74</v>
      </c>
      <c r="S39" s="9" t="s">
        <v>0</v>
      </c>
      <c r="T39" s="9" t="s">
        <v>0</v>
      </c>
      <c r="U39" s="9" t="s">
        <v>132</v>
      </c>
    </row>
    <row r="40" spans="1:21" x14ac:dyDescent="0.25">
      <c r="A40" s="10" t="s">
        <v>22</v>
      </c>
      <c r="B40" s="10" t="s">
        <v>61</v>
      </c>
      <c r="C40" s="10" t="s">
        <v>261</v>
      </c>
      <c r="D40" s="10" t="s">
        <v>262</v>
      </c>
      <c r="E40" s="10" t="s">
        <v>263</v>
      </c>
      <c r="F40" s="10" t="s">
        <v>264</v>
      </c>
      <c r="G40" s="10" t="s">
        <v>66</v>
      </c>
      <c r="H40" s="10" t="s">
        <v>265</v>
      </c>
      <c r="I40" s="10" t="s">
        <v>252</v>
      </c>
      <c r="J40" s="10" t="s">
        <v>83</v>
      </c>
      <c r="K40" s="10" t="s">
        <v>266</v>
      </c>
      <c r="L40" s="10" t="s">
        <v>85</v>
      </c>
      <c r="M40" s="12">
        <v>103.54</v>
      </c>
      <c r="N40" s="10" t="s">
        <v>71</v>
      </c>
      <c r="O40" s="10" t="s">
        <v>267</v>
      </c>
      <c r="P40" s="10" t="s">
        <v>73</v>
      </c>
      <c r="Q40" s="12">
        <v>31.06</v>
      </c>
      <c r="R40" s="10" t="s">
        <v>74</v>
      </c>
      <c r="S40" s="10" t="s">
        <v>0</v>
      </c>
      <c r="T40" s="10" t="s">
        <v>0</v>
      </c>
      <c r="U40" s="10" t="s">
        <v>87</v>
      </c>
    </row>
    <row r="41" spans="1:21" x14ac:dyDescent="0.25">
      <c r="A41" s="9" t="s">
        <v>22</v>
      </c>
      <c r="B41" s="9" t="s">
        <v>140</v>
      </c>
      <c r="C41" s="9" t="s">
        <v>268</v>
      </c>
      <c r="D41" s="9" t="s">
        <v>269</v>
      </c>
      <c r="E41" s="9" t="s">
        <v>270</v>
      </c>
      <c r="F41" s="9" t="s">
        <v>271</v>
      </c>
      <c r="G41" s="9" t="s">
        <v>66</v>
      </c>
      <c r="H41" s="9" t="s">
        <v>272</v>
      </c>
      <c r="I41" s="9" t="s">
        <v>82</v>
      </c>
      <c r="J41" s="9" t="s">
        <v>273</v>
      </c>
      <c r="K41" s="9" t="s">
        <v>274</v>
      </c>
      <c r="L41" s="9" t="s">
        <v>7</v>
      </c>
      <c r="M41" s="11">
        <v>-74.62</v>
      </c>
      <c r="N41" s="9" t="s">
        <v>71</v>
      </c>
      <c r="O41" s="9" t="s">
        <v>275</v>
      </c>
      <c r="P41" s="9" t="s">
        <v>73</v>
      </c>
      <c r="Q41" s="11">
        <v>-43.28</v>
      </c>
      <c r="R41" s="9" t="s">
        <v>74</v>
      </c>
      <c r="S41" s="9" t="s">
        <v>0</v>
      </c>
      <c r="T41" s="9" t="s">
        <v>0</v>
      </c>
      <c r="U41" s="9" t="s">
        <v>276</v>
      </c>
    </row>
    <row r="42" spans="1:21" x14ac:dyDescent="0.25">
      <c r="A42" s="10" t="s">
        <v>22</v>
      </c>
      <c r="B42" s="10" t="s">
        <v>140</v>
      </c>
      <c r="C42" s="10" t="s">
        <v>268</v>
      </c>
      <c r="D42" s="10" t="s">
        <v>269</v>
      </c>
      <c r="E42" s="10" t="s">
        <v>270</v>
      </c>
      <c r="F42" s="10" t="s">
        <v>271</v>
      </c>
      <c r="G42" s="10" t="s">
        <v>66</v>
      </c>
      <c r="H42" s="10" t="s">
        <v>272</v>
      </c>
      <c r="I42" s="10" t="s">
        <v>82</v>
      </c>
      <c r="J42" s="10" t="s">
        <v>273</v>
      </c>
      <c r="K42" s="10" t="s">
        <v>274</v>
      </c>
      <c r="L42" s="10" t="s">
        <v>277</v>
      </c>
      <c r="M42" s="12">
        <v>-61.33</v>
      </c>
      <c r="N42" s="10" t="s">
        <v>71</v>
      </c>
      <c r="O42" s="10" t="s">
        <v>275</v>
      </c>
      <c r="P42" s="10" t="s">
        <v>73</v>
      </c>
      <c r="Q42" s="12">
        <v>-35.57</v>
      </c>
      <c r="R42" s="10" t="s">
        <v>74</v>
      </c>
      <c r="S42" s="10" t="s">
        <v>0</v>
      </c>
      <c r="T42" s="10" t="s">
        <v>0</v>
      </c>
      <c r="U42" s="10" t="s">
        <v>276</v>
      </c>
    </row>
    <row r="43" spans="1:21" x14ac:dyDescent="0.25">
      <c r="A43" s="9" t="s">
        <v>22</v>
      </c>
      <c r="B43" s="9" t="s">
        <v>140</v>
      </c>
      <c r="C43" s="9" t="s">
        <v>278</v>
      </c>
      <c r="D43" s="9" t="s">
        <v>279</v>
      </c>
      <c r="E43" s="9" t="s">
        <v>280</v>
      </c>
      <c r="F43" s="9" t="s">
        <v>281</v>
      </c>
      <c r="G43" s="9" t="s">
        <v>66</v>
      </c>
      <c r="H43" s="9" t="s">
        <v>282</v>
      </c>
      <c r="I43" s="9" t="s">
        <v>103</v>
      </c>
      <c r="J43" s="9" t="s">
        <v>273</v>
      </c>
      <c r="K43" s="9" t="s">
        <v>283</v>
      </c>
      <c r="L43" s="9" t="s">
        <v>85</v>
      </c>
      <c r="M43" s="11">
        <v>-77.55</v>
      </c>
      <c r="N43" s="9" t="s">
        <v>71</v>
      </c>
      <c r="O43" s="9" t="s">
        <v>275</v>
      </c>
      <c r="P43" s="9" t="s">
        <v>73</v>
      </c>
      <c r="Q43" s="11">
        <v>-44.98</v>
      </c>
      <c r="R43" s="9" t="s">
        <v>74</v>
      </c>
      <c r="S43" s="9" t="s">
        <v>0</v>
      </c>
      <c r="T43" s="9" t="s">
        <v>0</v>
      </c>
      <c r="U43" s="9" t="s">
        <v>276</v>
      </c>
    </row>
    <row r="44" spans="1:21" x14ac:dyDescent="0.25">
      <c r="A44" s="10" t="s">
        <v>22</v>
      </c>
      <c r="B44" s="10" t="s">
        <v>61</v>
      </c>
      <c r="C44" s="10" t="s">
        <v>278</v>
      </c>
      <c r="D44" s="10" t="s">
        <v>279</v>
      </c>
      <c r="E44" s="10" t="s">
        <v>280</v>
      </c>
      <c r="F44" s="10" t="s">
        <v>281</v>
      </c>
      <c r="G44" s="10" t="s">
        <v>66</v>
      </c>
      <c r="H44" s="10" t="s">
        <v>282</v>
      </c>
      <c r="I44" s="10" t="s">
        <v>103</v>
      </c>
      <c r="J44" s="10" t="s">
        <v>273</v>
      </c>
      <c r="K44" s="10" t="s">
        <v>283</v>
      </c>
      <c r="L44" s="10" t="s">
        <v>85</v>
      </c>
      <c r="M44" s="12">
        <v>65.91</v>
      </c>
      <c r="N44" s="10" t="s">
        <v>71</v>
      </c>
      <c r="O44" s="10" t="s">
        <v>275</v>
      </c>
      <c r="P44" s="10" t="s">
        <v>73</v>
      </c>
      <c r="Q44" s="12">
        <v>38.229999999999997</v>
      </c>
      <c r="R44" s="10" t="s">
        <v>74</v>
      </c>
      <c r="S44" s="10" t="s">
        <v>0</v>
      </c>
      <c r="T44" s="10" t="s">
        <v>0</v>
      </c>
      <c r="U44" s="10" t="s">
        <v>276</v>
      </c>
    </row>
    <row r="45" spans="1:21" x14ac:dyDescent="0.25">
      <c r="A45" s="9" t="s">
        <v>22</v>
      </c>
      <c r="B45" s="9" t="s">
        <v>61</v>
      </c>
      <c r="C45" s="9" t="s">
        <v>278</v>
      </c>
      <c r="D45" s="9" t="s">
        <v>279</v>
      </c>
      <c r="E45" s="9" t="s">
        <v>280</v>
      </c>
      <c r="F45" s="9" t="s">
        <v>281</v>
      </c>
      <c r="G45" s="9" t="s">
        <v>66</v>
      </c>
      <c r="H45" s="9" t="s">
        <v>282</v>
      </c>
      <c r="I45" s="9" t="s">
        <v>103</v>
      </c>
      <c r="J45" s="9" t="s">
        <v>273</v>
      </c>
      <c r="K45" s="9" t="s">
        <v>283</v>
      </c>
      <c r="L45" s="9" t="s">
        <v>105</v>
      </c>
      <c r="M45" s="11">
        <v>65.91</v>
      </c>
      <c r="N45" s="9" t="s">
        <v>71</v>
      </c>
      <c r="O45" s="9" t="s">
        <v>275</v>
      </c>
      <c r="P45" s="9" t="s">
        <v>73</v>
      </c>
      <c r="Q45" s="11">
        <v>38.229999999999997</v>
      </c>
      <c r="R45" s="9" t="s">
        <v>74</v>
      </c>
      <c r="S45" s="9" t="s">
        <v>0</v>
      </c>
      <c r="T45" s="9" t="s">
        <v>0</v>
      </c>
      <c r="U45" s="9" t="s">
        <v>276</v>
      </c>
    </row>
    <row r="46" spans="1:21" x14ac:dyDescent="0.25">
      <c r="A46" s="10" t="s">
        <v>22</v>
      </c>
      <c r="B46" s="10" t="s">
        <v>61</v>
      </c>
      <c r="C46" s="10" t="s">
        <v>62</v>
      </c>
      <c r="D46" s="10" t="s">
        <v>63</v>
      </c>
      <c r="E46" s="10" t="s">
        <v>64</v>
      </c>
      <c r="F46" s="10" t="s">
        <v>284</v>
      </c>
      <c r="G46" s="10" t="s">
        <v>66</v>
      </c>
      <c r="H46" s="10" t="s">
        <v>67</v>
      </c>
      <c r="I46" s="10" t="s">
        <v>68</v>
      </c>
      <c r="J46" s="10" t="s">
        <v>126</v>
      </c>
      <c r="K46" s="10" t="s">
        <v>67</v>
      </c>
      <c r="L46" s="10" t="s">
        <v>70</v>
      </c>
      <c r="M46" s="12">
        <v>48.66</v>
      </c>
      <c r="N46" s="10" t="s">
        <v>71</v>
      </c>
      <c r="O46" s="10" t="s">
        <v>239</v>
      </c>
      <c r="P46" s="10" t="s">
        <v>73</v>
      </c>
      <c r="Q46" s="12">
        <v>46.23</v>
      </c>
      <c r="R46" s="10" t="s">
        <v>74</v>
      </c>
      <c r="S46" s="10" t="s">
        <v>0</v>
      </c>
      <c r="T46" s="10" t="s">
        <v>0</v>
      </c>
      <c r="U46" s="10" t="s">
        <v>129</v>
      </c>
    </row>
    <row r="47" spans="1:21" x14ac:dyDescent="0.25">
      <c r="A47" s="9" t="s">
        <v>22</v>
      </c>
      <c r="B47" s="9" t="s">
        <v>61</v>
      </c>
      <c r="C47" s="9" t="s">
        <v>62</v>
      </c>
      <c r="D47" s="9" t="s">
        <v>63</v>
      </c>
      <c r="E47" s="9" t="s">
        <v>285</v>
      </c>
      <c r="F47" s="9" t="s">
        <v>286</v>
      </c>
      <c r="G47" s="9" t="s">
        <v>287</v>
      </c>
      <c r="H47" s="9" t="s">
        <v>288</v>
      </c>
      <c r="I47" s="9" t="s">
        <v>68</v>
      </c>
      <c r="J47" s="9" t="s">
        <v>243</v>
      </c>
      <c r="K47" s="9" t="s">
        <v>288</v>
      </c>
      <c r="L47" s="9" t="s">
        <v>288</v>
      </c>
      <c r="M47" s="11">
        <v>116.06</v>
      </c>
      <c r="N47" s="9" t="s">
        <v>71</v>
      </c>
      <c r="O47" s="9" t="s">
        <v>239</v>
      </c>
      <c r="P47" s="9" t="s">
        <v>73</v>
      </c>
      <c r="Q47" s="11">
        <v>110.26</v>
      </c>
      <c r="R47" s="9" t="s">
        <v>74</v>
      </c>
      <c r="S47" s="9" t="s">
        <v>0</v>
      </c>
      <c r="T47" s="9" t="s">
        <v>0</v>
      </c>
      <c r="U47" s="9" t="s">
        <v>246</v>
      </c>
    </row>
    <row r="48" spans="1:21" x14ac:dyDescent="0.25">
      <c r="A48" s="10" t="s">
        <v>22</v>
      </c>
      <c r="B48" s="10" t="s">
        <v>61</v>
      </c>
      <c r="C48" s="10" t="s">
        <v>289</v>
      </c>
      <c r="D48" s="10" t="s">
        <v>290</v>
      </c>
      <c r="E48" s="10" t="s">
        <v>291</v>
      </c>
      <c r="F48" s="10" t="s">
        <v>292</v>
      </c>
      <c r="G48" s="10" t="s">
        <v>287</v>
      </c>
      <c r="H48" s="10" t="s">
        <v>168</v>
      </c>
      <c r="I48" s="10" t="s">
        <v>293</v>
      </c>
      <c r="J48" s="10" t="s">
        <v>200</v>
      </c>
      <c r="K48" s="10" t="s">
        <v>238</v>
      </c>
      <c r="L48" s="10" t="s">
        <v>238</v>
      </c>
      <c r="M48" s="12">
        <v>12.1</v>
      </c>
      <c r="N48" s="10" t="s">
        <v>71</v>
      </c>
      <c r="O48" s="10" t="s">
        <v>234</v>
      </c>
      <c r="P48" s="10" t="s">
        <v>73</v>
      </c>
      <c r="Q48" s="12">
        <v>7.87</v>
      </c>
      <c r="R48" s="10" t="s">
        <v>74</v>
      </c>
      <c r="S48" s="10" t="s">
        <v>0</v>
      </c>
      <c r="T48" s="10" t="s">
        <v>0</v>
      </c>
      <c r="U48" s="10" t="s">
        <v>203</v>
      </c>
    </row>
    <row r="49" spans="1:21" x14ac:dyDescent="0.25">
      <c r="A49" s="9" t="s">
        <v>22</v>
      </c>
      <c r="B49" s="9" t="s">
        <v>61</v>
      </c>
      <c r="C49" s="9" t="s">
        <v>289</v>
      </c>
      <c r="D49" s="9" t="s">
        <v>290</v>
      </c>
      <c r="E49" s="9" t="s">
        <v>291</v>
      </c>
      <c r="F49" s="9" t="s">
        <v>292</v>
      </c>
      <c r="G49" s="9" t="s">
        <v>287</v>
      </c>
      <c r="H49" s="9" t="s">
        <v>168</v>
      </c>
      <c r="I49" s="9" t="s">
        <v>293</v>
      </c>
      <c r="J49" s="9" t="s">
        <v>200</v>
      </c>
      <c r="K49" s="9" t="s">
        <v>238</v>
      </c>
      <c r="L49" s="9" t="s">
        <v>238</v>
      </c>
      <c r="M49" s="11">
        <v>34.799999999999997</v>
      </c>
      <c r="N49" s="9" t="s">
        <v>71</v>
      </c>
      <c r="O49" s="9" t="s">
        <v>234</v>
      </c>
      <c r="P49" s="9" t="s">
        <v>73</v>
      </c>
      <c r="Q49" s="11">
        <v>22.62</v>
      </c>
      <c r="R49" s="9" t="s">
        <v>74</v>
      </c>
      <c r="S49" s="9" t="s">
        <v>0</v>
      </c>
      <c r="T49" s="9" t="s">
        <v>0</v>
      </c>
      <c r="U49" s="9" t="s">
        <v>203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FC1C9-C62E-4965-B718-3D39DBA9E9E1}">
  <dimension ref="A1:Z48"/>
  <sheetViews>
    <sheetView tabSelected="1" topLeftCell="H17" workbookViewId="0">
      <selection activeCell="R29" sqref="R29"/>
    </sheetView>
  </sheetViews>
  <sheetFormatPr defaultRowHeight="15" x14ac:dyDescent="0.25"/>
  <cols>
    <col min="1" max="1" width="21" style="14" customWidth="1"/>
    <col min="2" max="2" width="14.7109375" style="14" customWidth="1"/>
    <col min="3" max="3" width="11.140625" style="14" customWidth="1"/>
    <col min="4" max="4" width="11.85546875" style="14" customWidth="1"/>
    <col min="5" max="5" width="11" style="14" customWidth="1"/>
    <col min="6" max="6" width="17" style="14" customWidth="1"/>
    <col min="7" max="7" width="16.85546875" style="14" customWidth="1"/>
    <col min="8" max="8" width="10" style="14" customWidth="1"/>
    <col min="9" max="9" width="20.7109375" style="14" customWidth="1"/>
    <col min="10" max="10" width="21" style="14" customWidth="1"/>
    <col min="11" max="11" width="13.5703125" style="14" customWidth="1"/>
    <col min="12" max="13" width="15.85546875" style="14" customWidth="1"/>
    <col min="14" max="14" width="14.42578125" style="14" customWidth="1"/>
    <col min="15" max="15" width="10" style="14" customWidth="1"/>
    <col min="16" max="16" width="11.42578125" style="14" customWidth="1"/>
    <col min="17" max="17" width="9" style="14" customWidth="1"/>
    <col min="18" max="18" width="20" style="14" customWidth="1"/>
    <col min="19" max="16384" width="9.140625" style="14"/>
  </cols>
  <sheetData>
    <row r="1" spans="1:26" x14ac:dyDescent="0.25">
      <c r="A1" s="13" t="s">
        <v>43</v>
      </c>
      <c r="B1" s="13"/>
      <c r="C1" s="13"/>
      <c r="D1" s="13"/>
      <c r="E1" s="13" t="s">
        <v>44</v>
      </c>
      <c r="F1" s="13" t="s">
        <v>45</v>
      </c>
      <c r="G1" s="13" t="s">
        <v>46</v>
      </c>
      <c r="H1" s="13" t="s">
        <v>48</v>
      </c>
      <c r="I1" s="13" t="s">
        <v>49</v>
      </c>
      <c r="J1" s="13"/>
      <c r="K1" s="13" t="s">
        <v>50</v>
      </c>
      <c r="L1" s="13" t="s">
        <v>51</v>
      </c>
      <c r="M1" s="13"/>
      <c r="N1" s="13" t="s">
        <v>52</v>
      </c>
      <c r="O1" s="13" t="s">
        <v>54</v>
      </c>
      <c r="P1" s="13" t="s">
        <v>56</v>
      </c>
      <c r="Q1" s="13" t="s">
        <v>57</v>
      </c>
      <c r="R1" s="13" t="s">
        <v>60</v>
      </c>
    </row>
    <row r="2" spans="1:26" x14ac:dyDescent="0.25">
      <c r="A2" s="15" t="s">
        <v>63</v>
      </c>
      <c r="B2" s="15" t="s">
        <v>304</v>
      </c>
      <c r="C2" s="15" t="s">
        <v>312</v>
      </c>
      <c r="D2" s="15" t="s">
        <v>309</v>
      </c>
      <c r="E2" s="15" t="s">
        <v>64</v>
      </c>
      <c r="F2" s="15" t="s">
        <v>65</v>
      </c>
      <c r="G2" s="15" t="s">
        <v>66</v>
      </c>
      <c r="H2" s="15" t="s">
        <v>68</v>
      </c>
      <c r="I2" s="15" t="s">
        <v>69</v>
      </c>
      <c r="J2" s="15" t="s">
        <v>294</v>
      </c>
      <c r="K2" s="15" t="s">
        <v>67</v>
      </c>
      <c r="L2" s="15" t="s">
        <v>70</v>
      </c>
      <c r="M2" s="22">
        <f>DATE(YEAR(L2), MONTH(L2) +1, DAY(L2))</f>
        <v>46251</v>
      </c>
      <c r="N2" s="16">
        <v>47.6</v>
      </c>
      <c r="O2" s="17">
        <v>1.44</v>
      </c>
      <c r="P2" s="16">
        <v>68.540000000000006</v>
      </c>
      <c r="Q2" s="15" t="s">
        <v>74</v>
      </c>
      <c r="R2" s="15" t="s">
        <v>75</v>
      </c>
    </row>
    <row r="3" spans="1:26" x14ac:dyDescent="0.25">
      <c r="A3" s="15" t="s">
        <v>248</v>
      </c>
      <c r="B3" s="15">
        <v>18142208</v>
      </c>
      <c r="C3" s="15" t="s">
        <v>312</v>
      </c>
      <c r="D3" s="15" t="s">
        <v>310</v>
      </c>
      <c r="E3" s="15" t="s">
        <v>249</v>
      </c>
      <c r="F3" s="15" t="s">
        <v>250</v>
      </c>
      <c r="G3" s="15" t="s">
        <v>66</v>
      </c>
      <c r="H3" s="15" t="s">
        <v>252</v>
      </c>
      <c r="I3" s="15" t="s">
        <v>243</v>
      </c>
      <c r="J3" s="15" t="s">
        <v>300</v>
      </c>
      <c r="K3" s="15" t="s">
        <v>253</v>
      </c>
      <c r="L3" s="15" t="s">
        <v>238</v>
      </c>
      <c r="M3" s="22">
        <f t="shared" ref="M3:M48" si="0">DATE(YEAR(L3), MONTH(L3) +1, DAY(L3))</f>
        <v>46250</v>
      </c>
      <c r="N3" s="16">
        <v>65.16</v>
      </c>
      <c r="O3" s="17">
        <v>1</v>
      </c>
      <c r="P3" s="16">
        <v>65.16</v>
      </c>
      <c r="Q3" s="15" t="s">
        <v>74</v>
      </c>
      <c r="R3" s="15" t="s">
        <v>246</v>
      </c>
    </row>
    <row r="4" spans="1:26" x14ac:dyDescent="0.25">
      <c r="A4" s="18" t="s">
        <v>63</v>
      </c>
      <c r="B4" s="18" t="s">
        <v>304</v>
      </c>
      <c r="C4" s="18" t="s">
        <v>311</v>
      </c>
      <c r="D4" s="18" t="s">
        <v>309</v>
      </c>
      <c r="E4" s="18" t="s">
        <v>285</v>
      </c>
      <c r="F4" s="18" t="s">
        <v>286</v>
      </c>
      <c r="G4" s="18" t="s">
        <v>287</v>
      </c>
      <c r="H4" s="18" t="s">
        <v>68</v>
      </c>
      <c r="I4" s="18" t="s">
        <v>243</v>
      </c>
      <c r="J4" s="18" t="s">
        <v>300</v>
      </c>
      <c r="K4" s="18" t="s">
        <v>288</v>
      </c>
      <c r="L4" s="18" t="s">
        <v>288</v>
      </c>
      <c r="M4" s="22">
        <f t="shared" si="0"/>
        <v>46248</v>
      </c>
      <c r="N4" s="19">
        <v>116.06</v>
      </c>
      <c r="O4" s="20">
        <v>0.95</v>
      </c>
      <c r="P4" s="19">
        <v>110.26</v>
      </c>
      <c r="Q4" s="18" t="s">
        <v>74</v>
      </c>
      <c r="R4" s="18" t="s">
        <v>246</v>
      </c>
      <c r="S4" s="21"/>
      <c r="T4" s="21"/>
      <c r="U4" s="21"/>
      <c r="V4" s="21"/>
      <c r="W4" s="21"/>
      <c r="X4" s="21"/>
      <c r="Y4" s="21"/>
      <c r="Z4" s="21"/>
    </row>
    <row r="5" spans="1:26" x14ac:dyDescent="0.25">
      <c r="A5" s="15" t="s">
        <v>184</v>
      </c>
      <c r="B5" s="15" t="s">
        <v>306</v>
      </c>
      <c r="C5" s="15" t="s">
        <v>312</v>
      </c>
      <c r="D5" s="15" t="s">
        <v>310</v>
      </c>
      <c r="E5" s="15" t="s">
        <v>240</v>
      </c>
      <c r="F5" s="15" t="s">
        <v>241</v>
      </c>
      <c r="G5" s="15" t="s">
        <v>66</v>
      </c>
      <c r="H5" s="15" t="s">
        <v>68</v>
      </c>
      <c r="I5" s="15" t="s">
        <v>243</v>
      </c>
      <c r="J5" s="15" t="s">
        <v>297</v>
      </c>
      <c r="K5" s="15" t="s">
        <v>244</v>
      </c>
      <c r="L5" s="15" t="s">
        <v>245</v>
      </c>
      <c r="M5" s="22">
        <f t="shared" si="0"/>
        <v>46224</v>
      </c>
      <c r="N5" s="16">
        <v>133.88999999999999</v>
      </c>
      <c r="O5" s="17">
        <v>0.95</v>
      </c>
      <c r="P5" s="16">
        <v>127.2</v>
      </c>
      <c r="Q5" s="15" t="s">
        <v>74</v>
      </c>
      <c r="R5" s="15" t="s">
        <v>246</v>
      </c>
    </row>
    <row r="6" spans="1:26" x14ac:dyDescent="0.25">
      <c r="A6" s="15" t="s">
        <v>217</v>
      </c>
      <c r="B6" s="15">
        <v>18754354</v>
      </c>
      <c r="C6" s="15" t="s">
        <v>312</v>
      </c>
      <c r="D6" s="15" t="s">
        <v>310</v>
      </c>
      <c r="E6" s="15" t="s">
        <v>218</v>
      </c>
      <c r="F6" s="15" t="s">
        <v>219</v>
      </c>
      <c r="G6" s="15" t="s">
        <v>66</v>
      </c>
      <c r="H6" s="15" t="s">
        <v>125</v>
      </c>
      <c r="I6" s="15" t="s">
        <v>126</v>
      </c>
      <c r="J6" s="15" t="s">
        <v>300</v>
      </c>
      <c r="K6" s="15" t="s">
        <v>221</v>
      </c>
      <c r="L6" s="15" t="s">
        <v>222</v>
      </c>
      <c r="M6" s="22">
        <f t="shared" si="0"/>
        <v>46214</v>
      </c>
      <c r="N6" s="16">
        <v>28.79</v>
      </c>
      <c r="O6" s="17">
        <v>1</v>
      </c>
      <c r="P6" s="16">
        <v>28.79</v>
      </c>
      <c r="Q6" s="15" t="s">
        <v>74</v>
      </c>
      <c r="R6" s="15" t="s">
        <v>129</v>
      </c>
    </row>
    <row r="7" spans="1:26" x14ac:dyDescent="0.25">
      <c r="A7" s="15" t="s">
        <v>217</v>
      </c>
      <c r="B7" s="15">
        <v>18754354</v>
      </c>
      <c r="C7" s="15" t="s">
        <v>312</v>
      </c>
      <c r="D7" s="15" t="s">
        <v>310</v>
      </c>
      <c r="E7" s="15" t="s">
        <v>254</v>
      </c>
      <c r="F7" s="15" t="s">
        <v>255</v>
      </c>
      <c r="G7" s="15" t="s">
        <v>66</v>
      </c>
      <c r="H7" s="15" t="s">
        <v>257</v>
      </c>
      <c r="I7" s="15" t="s">
        <v>126</v>
      </c>
      <c r="J7" s="15" t="s">
        <v>300</v>
      </c>
      <c r="K7" s="15" t="s">
        <v>258</v>
      </c>
      <c r="L7" s="15" t="s">
        <v>259</v>
      </c>
      <c r="M7" s="22">
        <f t="shared" si="0"/>
        <v>46206</v>
      </c>
      <c r="N7" s="16">
        <v>-8.1300000000000008</v>
      </c>
      <c r="O7" s="17">
        <v>1</v>
      </c>
      <c r="P7" s="16">
        <v>-8.1300000000000008</v>
      </c>
      <c r="Q7" s="15" t="s">
        <v>74</v>
      </c>
      <c r="R7" s="15" t="s">
        <v>129</v>
      </c>
    </row>
    <row r="8" spans="1:26" x14ac:dyDescent="0.25">
      <c r="A8" s="15" t="s">
        <v>142</v>
      </c>
      <c r="B8" s="15">
        <v>9079571</v>
      </c>
      <c r="C8" s="15" t="s">
        <v>312</v>
      </c>
      <c r="D8" s="15" t="s">
        <v>310</v>
      </c>
      <c r="E8" s="15" t="s">
        <v>235</v>
      </c>
      <c r="F8" s="15" t="s">
        <v>236</v>
      </c>
      <c r="G8" s="15" t="s">
        <v>66</v>
      </c>
      <c r="H8" s="15" t="s">
        <v>68</v>
      </c>
      <c r="I8" s="15" t="s">
        <v>126</v>
      </c>
      <c r="J8" s="15" t="s">
        <v>297</v>
      </c>
      <c r="K8" s="15" t="s">
        <v>237</v>
      </c>
      <c r="L8" s="15" t="s">
        <v>238</v>
      </c>
      <c r="M8" s="22">
        <f t="shared" si="0"/>
        <v>46250</v>
      </c>
      <c r="N8" s="16">
        <v>28.27</v>
      </c>
      <c r="O8" s="17">
        <v>0.95</v>
      </c>
      <c r="P8" s="16">
        <v>26.86</v>
      </c>
      <c r="Q8" s="15" t="s">
        <v>74</v>
      </c>
      <c r="R8" s="15" t="s">
        <v>129</v>
      </c>
    </row>
    <row r="9" spans="1:26" x14ac:dyDescent="0.25">
      <c r="A9" s="15" t="s">
        <v>63</v>
      </c>
      <c r="B9" s="15" t="s">
        <v>304</v>
      </c>
      <c r="C9" s="15" t="s">
        <v>312</v>
      </c>
      <c r="D9" s="15" t="s">
        <v>309</v>
      </c>
      <c r="E9" s="15" t="s">
        <v>64</v>
      </c>
      <c r="F9" s="15" t="s">
        <v>284</v>
      </c>
      <c r="G9" s="15" t="s">
        <v>66</v>
      </c>
      <c r="H9" s="15" t="s">
        <v>68</v>
      </c>
      <c r="I9" s="15" t="s">
        <v>126</v>
      </c>
      <c r="J9" s="15" t="s">
        <v>297</v>
      </c>
      <c r="K9" s="15" t="s">
        <v>67</v>
      </c>
      <c r="L9" s="15" t="s">
        <v>70</v>
      </c>
      <c r="M9" s="22">
        <f t="shared" si="0"/>
        <v>46251</v>
      </c>
      <c r="N9" s="16">
        <v>48.66</v>
      </c>
      <c r="O9" s="17">
        <v>0.95</v>
      </c>
      <c r="P9" s="16">
        <v>46.23</v>
      </c>
      <c r="Q9" s="15" t="s">
        <v>74</v>
      </c>
      <c r="R9" s="15" t="s">
        <v>129</v>
      </c>
    </row>
    <row r="10" spans="1:26" x14ac:dyDescent="0.25">
      <c r="A10" s="15" t="s">
        <v>225</v>
      </c>
      <c r="B10" s="15" t="s">
        <v>307</v>
      </c>
      <c r="C10" s="15" t="s">
        <v>312</v>
      </c>
      <c r="D10" s="15" t="s">
        <v>310</v>
      </c>
      <c r="E10" s="15" t="s">
        <v>225</v>
      </c>
      <c r="F10" s="15" t="s">
        <v>226</v>
      </c>
      <c r="G10" s="15" t="s">
        <v>80</v>
      </c>
      <c r="H10" s="15" t="s">
        <v>103</v>
      </c>
      <c r="I10" s="15" t="s">
        <v>126</v>
      </c>
      <c r="J10" s="15" t="s">
        <v>302</v>
      </c>
      <c r="K10" s="15" t="s">
        <v>228</v>
      </c>
      <c r="L10" s="15" t="s">
        <v>85</v>
      </c>
      <c r="M10" s="22">
        <f t="shared" si="0"/>
        <v>46266</v>
      </c>
      <c r="N10" s="16">
        <v>13.9</v>
      </c>
      <c r="O10" s="17">
        <v>8.5000000000000006E-2</v>
      </c>
      <c r="P10" s="16">
        <v>1.18</v>
      </c>
      <c r="Q10" s="15" t="s">
        <v>74</v>
      </c>
      <c r="R10" s="15" t="s">
        <v>129</v>
      </c>
    </row>
    <row r="11" spans="1:26" x14ac:dyDescent="0.25">
      <c r="A11" s="15" t="s">
        <v>107</v>
      </c>
      <c r="B11" s="15">
        <v>9213293</v>
      </c>
      <c r="C11" s="15" t="s">
        <v>312</v>
      </c>
      <c r="D11" s="15" t="s">
        <v>310</v>
      </c>
      <c r="E11" s="15" t="s">
        <v>179</v>
      </c>
      <c r="F11" s="15" t="s">
        <v>180</v>
      </c>
      <c r="G11" s="15" t="s">
        <v>80</v>
      </c>
      <c r="H11" s="15" t="s">
        <v>103</v>
      </c>
      <c r="I11" s="15" t="s">
        <v>126</v>
      </c>
      <c r="J11" s="15" t="s">
        <v>300</v>
      </c>
      <c r="K11" s="15" t="s">
        <v>181</v>
      </c>
      <c r="L11" s="15" t="s">
        <v>168</v>
      </c>
      <c r="M11" s="22">
        <f t="shared" si="0"/>
        <v>46249</v>
      </c>
      <c r="N11" s="16">
        <v>22.5</v>
      </c>
      <c r="O11" s="17">
        <v>0.08</v>
      </c>
      <c r="P11" s="16">
        <v>1.8</v>
      </c>
      <c r="Q11" s="15" t="s">
        <v>74</v>
      </c>
      <c r="R11" s="15" t="s">
        <v>129</v>
      </c>
    </row>
    <row r="12" spans="1:26" x14ac:dyDescent="0.25">
      <c r="A12" s="15" t="s">
        <v>134</v>
      </c>
      <c r="B12" s="15">
        <v>19562245</v>
      </c>
      <c r="C12" s="15" t="s">
        <v>312</v>
      </c>
      <c r="D12" s="15" t="s">
        <v>310</v>
      </c>
      <c r="E12" s="15" t="s">
        <v>135</v>
      </c>
      <c r="F12" s="15" t="s">
        <v>136</v>
      </c>
      <c r="G12" s="15" t="s">
        <v>80</v>
      </c>
      <c r="H12" s="15" t="s">
        <v>82</v>
      </c>
      <c r="I12" s="15" t="s">
        <v>126</v>
      </c>
      <c r="J12" s="15" t="s">
        <v>297</v>
      </c>
      <c r="K12" s="15" t="s">
        <v>138</v>
      </c>
      <c r="L12" s="15" t="s">
        <v>85</v>
      </c>
      <c r="M12" s="22">
        <f t="shared" si="0"/>
        <v>46266</v>
      </c>
      <c r="N12" s="16">
        <v>41.7</v>
      </c>
      <c r="O12" s="17">
        <v>7.4999999999999997E-2</v>
      </c>
      <c r="P12" s="16">
        <v>3.13</v>
      </c>
      <c r="Q12" s="15" t="s">
        <v>74</v>
      </c>
      <c r="R12" s="15" t="s">
        <v>129</v>
      </c>
    </row>
    <row r="13" spans="1:26" x14ac:dyDescent="0.25">
      <c r="A13" s="15" t="s">
        <v>121</v>
      </c>
      <c r="B13" s="15">
        <v>8977234</v>
      </c>
      <c r="C13" s="15" t="s">
        <v>312</v>
      </c>
      <c r="D13" s="15" t="s">
        <v>310</v>
      </c>
      <c r="E13" s="15" t="s">
        <v>122</v>
      </c>
      <c r="F13" s="15" t="s">
        <v>123</v>
      </c>
      <c r="G13" s="15" t="s">
        <v>80</v>
      </c>
      <c r="H13" s="15" t="s">
        <v>125</v>
      </c>
      <c r="I13" s="15" t="s">
        <v>126</v>
      </c>
      <c r="J13" s="15" t="s">
        <v>296</v>
      </c>
      <c r="K13" s="15" t="s">
        <v>127</v>
      </c>
      <c r="L13" s="15" t="s">
        <v>7</v>
      </c>
      <c r="M13" s="22">
        <f t="shared" si="0"/>
        <v>46252</v>
      </c>
      <c r="N13" s="16">
        <v>36.19</v>
      </c>
      <c r="O13" s="17">
        <v>3.5000000000000003E-2</v>
      </c>
      <c r="P13" s="16">
        <v>1.27</v>
      </c>
      <c r="Q13" s="15" t="s">
        <v>74</v>
      </c>
      <c r="R13" s="15" t="s">
        <v>129</v>
      </c>
    </row>
    <row r="14" spans="1:26" x14ac:dyDescent="0.25">
      <c r="A14" s="15" t="s">
        <v>149</v>
      </c>
      <c r="B14" s="15">
        <v>13496370</v>
      </c>
      <c r="C14" s="15" t="s">
        <v>312</v>
      </c>
      <c r="D14" s="15" t="s">
        <v>310</v>
      </c>
      <c r="E14" s="15" t="s">
        <v>150</v>
      </c>
      <c r="F14" s="15" t="s">
        <v>151</v>
      </c>
      <c r="G14" s="15" t="s">
        <v>80</v>
      </c>
      <c r="H14" s="15" t="s">
        <v>68</v>
      </c>
      <c r="I14" s="15" t="s">
        <v>153</v>
      </c>
      <c r="J14" s="15" t="s">
        <v>153</v>
      </c>
      <c r="K14" s="15" t="s">
        <v>154</v>
      </c>
      <c r="L14" s="15" t="s">
        <v>155</v>
      </c>
      <c r="M14" s="22">
        <f t="shared" si="0"/>
        <v>46243</v>
      </c>
      <c r="N14" s="16">
        <v>21.68</v>
      </c>
      <c r="O14" s="17">
        <v>3.5000000000000003E-2</v>
      </c>
      <c r="P14" s="16">
        <v>0.76</v>
      </c>
      <c r="Q14" s="15" t="s">
        <v>74</v>
      </c>
      <c r="R14" s="15" t="s">
        <v>156</v>
      </c>
    </row>
    <row r="15" spans="1:26" x14ac:dyDescent="0.25">
      <c r="A15" s="15" t="s">
        <v>142</v>
      </c>
      <c r="B15" s="15">
        <v>9079571</v>
      </c>
      <c r="C15" s="15" t="s">
        <v>312</v>
      </c>
      <c r="D15" s="15" t="s">
        <v>310</v>
      </c>
      <c r="E15" s="15" t="s">
        <v>157</v>
      </c>
      <c r="F15" s="15" t="s">
        <v>158</v>
      </c>
      <c r="G15" s="15" t="s">
        <v>80</v>
      </c>
      <c r="H15" s="15" t="s">
        <v>68</v>
      </c>
      <c r="I15" s="15" t="s">
        <v>146</v>
      </c>
      <c r="J15" s="15" t="s">
        <v>298</v>
      </c>
      <c r="K15" s="15" t="s">
        <v>159</v>
      </c>
      <c r="L15" s="15" t="s">
        <v>70</v>
      </c>
      <c r="M15" s="22">
        <f t="shared" si="0"/>
        <v>46251</v>
      </c>
      <c r="N15" s="16">
        <v>27.63</v>
      </c>
      <c r="O15" s="17">
        <v>3.7499999999999999E-2</v>
      </c>
      <c r="P15" s="16">
        <v>1.04</v>
      </c>
      <c r="Q15" s="15" t="s">
        <v>74</v>
      </c>
      <c r="R15" s="15" t="s">
        <v>147</v>
      </c>
    </row>
    <row r="16" spans="1:26" x14ac:dyDescent="0.25">
      <c r="A16" s="15" t="s">
        <v>142</v>
      </c>
      <c r="B16" s="15">
        <v>9079571</v>
      </c>
      <c r="C16" s="15" t="s">
        <v>312</v>
      </c>
      <c r="D16" s="15" t="s">
        <v>310</v>
      </c>
      <c r="E16" s="15" t="s">
        <v>161</v>
      </c>
      <c r="F16" s="15" t="s">
        <v>162</v>
      </c>
      <c r="G16" s="15" t="s">
        <v>80</v>
      </c>
      <c r="H16" s="15" t="s">
        <v>68</v>
      </c>
      <c r="I16" s="15" t="s">
        <v>146</v>
      </c>
      <c r="J16" s="15" t="s">
        <v>298</v>
      </c>
      <c r="K16" s="15" t="s">
        <v>159</v>
      </c>
      <c r="L16" s="15" t="s">
        <v>70</v>
      </c>
      <c r="M16" s="22">
        <f t="shared" si="0"/>
        <v>46251</v>
      </c>
      <c r="N16" s="16">
        <v>32.130000000000003</v>
      </c>
      <c r="O16" s="17">
        <v>3.7499999999999999E-2</v>
      </c>
      <c r="P16" s="16">
        <v>1.2</v>
      </c>
      <c r="Q16" s="15" t="s">
        <v>74</v>
      </c>
      <c r="R16" s="15" t="s">
        <v>147</v>
      </c>
    </row>
    <row r="17" spans="1:26" x14ac:dyDescent="0.25">
      <c r="A17" s="15" t="s">
        <v>184</v>
      </c>
      <c r="B17" s="15" t="s">
        <v>306</v>
      </c>
      <c r="C17" s="15" t="s">
        <v>312</v>
      </c>
      <c r="D17" s="15" t="s">
        <v>310</v>
      </c>
      <c r="E17" s="15" t="s">
        <v>185</v>
      </c>
      <c r="F17" s="15" t="s">
        <v>186</v>
      </c>
      <c r="G17" s="15" t="s">
        <v>80</v>
      </c>
      <c r="H17" s="15" t="s">
        <v>68</v>
      </c>
      <c r="I17" s="15" t="s">
        <v>146</v>
      </c>
      <c r="J17" s="15" t="s">
        <v>298</v>
      </c>
      <c r="K17" s="15" t="s">
        <v>188</v>
      </c>
      <c r="L17" s="15" t="s">
        <v>70</v>
      </c>
      <c r="M17" s="22">
        <f t="shared" si="0"/>
        <v>46251</v>
      </c>
      <c r="N17" s="16">
        <v>32.130000000000003</v>
      </c>
      <c r="O17" s="17">
        <v>3.7499999999999999E-2</v>
      </c>
      <c r="P17" s="16">
        <v>1.2</v>
      </c>
      <c r="Q17" s="15" t="s">
        <v>74</v>
      </c>
      <c r="R17" s="15" t="s">
        <v>147</v>
      </c>
    </row>
    <row r="18" spans="1:26" x14ac:dyDescent="0.25">
      <c r="A18" s="15" t="s">
        <v>142</v>
      </c>
      <c r="B18" s="15">
        <v>9079571</v>
      </c>
      <c r="C18" s="15" t="s">
        <v>312</v>
      </c>
      <c r="D18" s="15" t="s">
        <v>310</v>
      </c>
      <c r="E18" s="15" t="s">
        <v>143</v>
      </c>
      <c r="F18" s="15" t="s">
        <v>144</v>
      </c>
      <c r="G18" s="15" t="s">
        <v>80</v>
      </c>
      <c r="H18" s="15" t="s">
        <v>68</v>
      </c>
      <c r="I18" s="15" t="s">
        <v>146</v>
      </c>
      <c r="J18" s="15" t="s">
        <v>146</v>
      </c>
      <c r="K18" s="15" t="s">
        <v>84</v>
      </c>
      <c r="L18" s="15" t="s">
        <v>85</v>
      </c>
      <c r="M18" s="22">
        <f t="shared" si="0"/>
        <v>46266</v>
      </c>
      <c r="N18" s="16">
        <v>-27.63</v>
      </c>
      <c r="O18" s="17">
        <v>3.5000000000000003E-2</v>
      </c>
      <c r="P18" s="16">
        <v>-0.97</v>
      </c>
      <c r="Q18" s="15" t="s">
        <v>96</v>
      </c>
      <c r="R18" s="15" t="s">
        <v>147</v>
      </c>
    </row>
    <row r="19" spans="1:26" x14ac:dyDescent="0.25">
      <c r="A19" s="15" t="s">
        <v>269</v>
      </c>
      <c r="B19" s="15">
        <v>21758900</v>
      </c>
      <c r="C19" s="15" t="s">
        <v>312</v>
      </c>
      <c r="D19" s="15" t="s">
        <v>310</v>
      </c>
      <c r="E19" s="15" t="s">
        <v>270</v>
      </c>
      <c r="F19" s="15" t="s">
        <v>271</v>
      </c>
      <c r="G19" s="15" t="s">
        <v>66</v>
      </c>
      <c r="H19" s="15" t="s">
        <v>82</v>
      </c>
      <c r="I19" s="15" t="s">
        <v>273</v>
      </c>
      <c r="J19" s="15" t="s">
        <v>299</v>
      </c>
      <c r="K19" s="15" t="s">
        <v>274</v>
      </c>
      <c r="L19" s="15" t="s">
        <v>7</v>
      </c>
      <c r="M19" s="22">
        <f t="shared" si="0"/>
        <v>46252</v>
      </c>
      <c r="N19" s="16">
        <v>-74.62</v>
      </c>
      <c r="O19" s="17">
        <v>0.57999999999999996</v>
      </c>
      <c r="P19" s="16">
        <v>-43.28</v>
      </c>
      <c r="Q19" s="15" t="s">
        <v>74</v>
      </c>
      <c r="R19" s="15" t="s">
        <v>276</v>
      </c>
    </row>
    <row r="20" spans="1:26" x14ac:dyDescent="0.25">
      <c r="A20" s="15" t="s">
        <v>269</v>
      </c>
      <c r="B20" s="15">
        <v>21758900</v>
      </c>
      <c r="C20" s="15" t="s">
        <v>312</v>
      </c>
      <c r="D20" s="15" t="s">
        <v>310</v>
      </c>
      <c r="E20" s="15" t="s">
        <v>270</v>
      </c>
      <c r="F20" s="15" t="s">
        <v>271</v>
      </c>
      <c r="G20" s="15" t="s">
        <v>66</v>
      </c>
      <c r="H20" s="15" t="s">
        <v>82</v>
      </c>
      <c r="I20" s="15" t="s">
        <v>273</v>
      </c>
      <c r="J20" s="15" t="s">
        <v>299</v>
      </c>
      <c r="K20" s="15" t="s">
        <v>274</v>
      </c>
      <c r="L20" s="15" t="s">
        <v>277</v>
      </c>
      <c r="M20" s="22">
        <f t="shared" si="0"/>
        <v>46221</v>
      </c>
      <c r="N20" s="16">
        <v>-61.33</v>
      </c>
      <c r="O20" s="17">
        <v>0.57999999999999996</v>
      </c>
      <c r="P20" s="16">
        <v>-35.57</v>
      </c>
      <c r="Q20" s="15" t="s">
        <v>74</v>
      </c>
      <c r="R20" s="15" t="s">
        <v>276</v>
      </c>
    </row>
    <row r="21" spans="1:26" x14ac:dyDescent="0.25">
      <c r="A21" s="15" t="s">
        <v>279</v>
      </c>
      <c r="B21" s="15" t="s">
        <v>308</v>
      </c>
      <c r="C21" s="15" t="s">
        <v>312</v>
      </c>
      <c r="D21" s="15" t="s">
        <v>309</v>
      </c>
      <c r="E21" s="15" t="s">
        <v>280</v>
      </c>
      <c r="F21" s="15" t="s">
        <v>281</v>
      </c>
      <c r="G21" s="15" t="s">
        <v>66</v>
      </c>
      <c r="H21" s="15" t="s">
        <v>103</v>
      </c>
      <c r="I21" s="15" t="s">
        <v>273</v>
      </c>
      <c r="J21" s="15" t="s">
        <v>299</v>
      </c>
      <c r="K21" s="15" t="s">
        <v>283</v>
      </c>
      <c r="L21" s="15" t="s">
        <v>85</v>
      </c>
      <c r="M21" s="22">
        <f t="shared" si="0"/>
        <v>46266</v>
      </c>
      <c r="N21" s="16">
        <v>-77.55</v>
      </c>
      <c r="O21" s="17">
        <v>0.57999999999999996</v>
      </c>
      <c r="P21" s="16">
        <v>-44.98</v>
      </c>
      <c r="Q21" s="15" t="s">
        <v>74</v>
      </c>
      <c r="R21" s="15" t="s">
        <v>276</v>
      </c>
    </row>
    <row r="22" spans="1:26" x14ac:dyDescent="0.25">
      <c r="A22" s="15" t="s">
        <v>279</v>
      </c>
      <c r="B22" s="15" t="s">
        <v>308</v>
      </c>
      <c r="C22" s="15" t="s">
        <v>312</v>
      </c>
      <c r="D22" s="15" t="s">
        <v>309</v>
      </c>
      <c r="E22" s="15" t="s">
        <v>280</v>
      </c>
      <c r="F22" s="15" t="s">
        <v>281</v>
      </c>
      <c r="G22" s="15" t="s">
        <v>66</v>
      </c>
      <c r="H22" s="15" t="s">
        <v>103</v>
      </c>
      <c r="I22" s="15" t="s">
        <v>273</v>
      </c>
      <c r="J22" s="15" t="s">
        <v>299</v>
      </c>
      <c r="K22" s="15" t="s">
        <v>283</v>
      </c>
      <c r="L22" s="15" t="s">
        <v>85</v>
      </c>
      <c r="M22" s="22">
        <f t="shared" si="0"/>
        <v>46266</v>
      </c>
      <c r="N22" s="16">
        <v>65.91</v>
      </c>
      <c r="O22" s="17">
        <v>0.57999999999999996</v>
      </c>
      <c r="P22" s="16">
        <v>38.229999999999997</v>
      </c>
      <c r="Q22" s="15" t="s">
        <v>74</v>
      </c>
      <c r="R22" s="15" t="s">
        <v>276</v>
      </c>
    </row>
    <row r="23" spans="1:26" x14ac:dyDescent="0.25">
      <c r="A23" s="15" t="s">
        <v>279</v>
      </c>
      <c r="B23" s="15" t="s">
        <v>308</v>
      </c>
      <c r="C23" s="15" t="s">
        <v>312</v>
      </c>
      <c r="D23" s="15" t="s">
        <v>309</v>
      </c>
      <c r="E23" s="15" t="s">
        <v>280</v>
      </c>
      <c r="F23" s="15" t="s">
        <v>281</v>
      </c>
      <c r="G23" s="15" t="s">
        <v>66</v>
      </c>
      <c r="H23" s="15" t="s">
        <v>103</v>
      </c>
      <c r="I23" s="15" t="s">
        <v>273</v>
      </c>
      <c r="J23" s="15" t="s">
        <v>299</v>
      </c>
      <c r="K23" s="15" t="s">
        <v>283</v>
      </c>
      <c r="L23" s="15" t="s">
        <v>105</v>
      </c>
      <c r="M23" s="22">
        <f t="shared" si="0"/>
        <v>46235</v>
      </c>
      <c r="N23" s="16">
        <v>65.91</v>
      </c>
      <c r="O23" s="17">
        <v>0.57999999999999996</v>
      </c>
      <c r="P23" s="16">
        <v>38.229999999999997</v>
      </c>
      <c r="Q23" s="15" t="s">
        <v>74</v>
      </c>
      <c r="R23" s="15" t="s">
        <v>276</v>
      </c>
    </row>
    <row r="24" spans="1:26" x14ac:dyDescent="0.25">
      <c r="A24" s="15" t="s">
        <v>172</v>
      </c>
      <c r="B24" s="15">
        <v>18010408</v>
      </c>
      <c r="C24" s="15" t="s">
        <v>312</v>
      </c>
      <c r="D24" s="15" t="s">
        <v>310</v>
      </c>
      <c r="E24" s="15" t="s">
        <v>173</v>
      </c>
      <c r="F24" s="15" t="s">
        <v>174</v>
      </c>
      <c r="G24" s="15" t="s">
        <v>80</v>
      </c>
      <c r="H24" s="15" t="s">
        <v>82</v>
      </c>
      <c r="I24" s="15" t="s">
        <v>176</v>
      </c>
      <c r="J24" s="15" t="s">
        <v>298</v>
      </c>
      <c r="K24" s="15" t="s">
        <v>177</v>
      </c>
      <c r="L24" s="15" t="s">
        <v>85</v>
      </c>
      <c r="M24" s="22">
        <f t="shared" si="0"/>
        <v>46266</v>
      </c>
      <c r="N24" s="16">
        <v>-64.77</v>
      </c>
      <c r="O24" s="17">
        <v>3.7499999999999999E-2</v>
      </c>
      <c r="P24" s="16">
        <v>-2.4300000000000002</v>
      </c>
      <c r="Q24" s="15" t="s">
        <v>96</v>
      </c>
      <c r="R24" s="15" t="s">
        <v>178</v>
      </c>
    </row>
    <row r="25" spans="1:26" x14ac:dyDescent="0.25">
      <c r="A25" s="15" t="s">
        <v>217</v>
      </c>
      <c r="B25" s="15">
        <v>18754354</v>
      </c>
      <c r="C25" s="15" t="s">
        <v>312</v>
      </c>
      <c r="D25" s="15" t="s">
        <v>310</v>
      </c>
      <c r="E25" s="15" t="s">
        <v>254</v>
      </c>
      <c r="F25" s="15" t="s">
        <v>260</v>
      </c>
      <c r="G25" s="15" t="s">
        <v>66</v>
      </c>
      <c r="H25" s="15" t="s">
        <v>257</v>
      </c>
      <c r="I25" s="15" t="s">
        <v>131</v>
      </c>
      <c r="J25" s="15" t="s">
        <v>300</v>
      </c>
      <c r="K25" s="15" t="s">
        <v>258</v>
      </c>
      <c r="L25" s="15" t="s">
        <v>259</v>
      </c>
      <c r="M25" s="22">
        <f t="shared" si="0"/>
        <v>46206</v>
      </c>
      <c r="N25" s="16">
        <v>-7.78</v>
      </c>
      <c r="O25" s="17">
        <v>1</v>
      </c>
      <c r="P25" s="16">
        <v>-7.78</v>
      </c>
      <c r="Q25" s="15" t="s">
        <v>74</v>
      </c>
      <c r="R25" s="15" t="s">
        <v>132</v>
      </c>
    </row>
    <row r="26" spans="1:26" x14ac:dyDescent="0.25">
      <c r="A26" s="15" t="s">
        <v>190</v>
      </c>
      <c r="B26" s="15">
        <v>1706194</v>
      </c>
      <c r="C26" s="15" t="s">
        <v>312</v>
      </c>
      <c r="D26" s="15" t="s">
        <v>310</v>
      </c>
      <c r="E26" s="15" t="s">
        <v>191</v>
      </c>
      <c r="F26" s="15" t="s">
        <v>192</v>
      </c>
      <c r="G26" s="15" t="s">
        <v>80</v>
      </c>
      <c r="H26" s="15" t="s">
        <v>194</v>
      </c>
      <c r="I26" s="15" t="s">
        <v>131</v>
      </c>
      <c r="J26" s="15" t="s">
        <v>300</v>
      </c>
      <c r="K26" s="15" t="s">
        <v>195</v>
      </c>
      <c r="L26" s="15" t="s">
        <v>7</v>
      </c>
      <c r="M26" s="22">
        <f t="shared" si="0"/>
        <v>46252</v>
      </c>
      <c r="N26" s="16">
        <v>142.16</v>
      </c>
      <c r="O26" s="17">
        <v>0.08</v>
      </c>
      <c r="P26" s="16">
        <v>11.37</v>
      </c>
      <c r="Q26" s="15" t="s">
        <v>74</v>
      </c>
      <c r="R26" s="15" t="s">
        <v>132</v>
      </c>
    </row>
    <row r="27" spans="1:26" x14ac:dyDescent="0.25">
      <c r="A27" s="15" t="s">
        <v>121</v>
      </c>
      <c r="B27" s="15">
        <v>8977234</v>
      </c>
      <c r="C27" s="15" t="s">
        <v>312</v>
      </c>
      <c r="D27" s="15" t="s">
        <v>310</v>
      </c>
      <c r="E27" s="15" t="s">
        <v>122</v>
      </c>
      <c r="F27" s="15" t="s">
        <v>130</v>
      </c>
      <c r="G27" s="15" t="s">
        <v>80</v>
      </c>
      <c r="H27" s="15" t="s">
        <v>125</v>
      </c>
      <c r="I27" s="15" t="s">
        <v>131</v>
      </c>
      <c r="J27" s="15" t="s">
        <v>296</v>
      </c>
      <c r="K27" s="15" t="s">
        <v>127</v>
      </c>
      <c r="L27" s="15" t="s">
        <v>7</v>
      </c>
      <c r="M27" s="22">
        <f t="shared" si="0"/>
        <v>46252</v>
      </c>
      <c r="N27" s="16">
        <v>105.94</v>
      </c>
      <c r="O27" s="17">
        <v>3.5000000000000003E-2</v>
      </c>
      <c r="P27" s="16">
        <v>3.71</v>
      </c>
      <c r="Q27" s="15" t="s">
        <v>74</v>
      </c>
      <c r="R27" s="15" t="s">
        <v>132</v>
      </c>
    </row>
    <row r="28" spans="1:26" x14ac:dyDescent="0.25">
      <c r="A28" s="18" t="s">
        <v>290</v>
      </c>
      <c r="B28" s="18" t="s">
        <v>313</v>
      </c>
      <c r="C28" s="18" t="s">
        <v>311</v>
      </c>
      <c r="D28" s="18" t="s">
        <v>309</v>
      </c>
      <c r="E28" s="18" t="s">
        <v>291</v>
      </c>
      <c r="F28" s="18" t="s">
        <v>292</v>
      </c>
      <c r="G28" s="18" t="s">
        <v>287</v>
      </c>
      <c r="H28" s="18" t="s">
        <v>293</v>
      </c>
      <c r="I28" s="18" t="s">
        <v>200</v>
      </c>
      <c r="J28" s="18" t="s">
        <v>301</v>
      </c>
      <c r="K28" s="18" t="s">
        <v>238</v>
      </c>
      <c r="L28" s="18" t="s">
        <v>238</v>
      </c>
      <c r="M28" s="22">
        <f t="shared" si="0"/>
        <v>46250</v>
      </c>
      <c r="N28" s="19">
        <v>12.1</v>
      </c>
      <c r="O28" s="20">
        <v>0.65</v>
      </c>
      <c r="P28" s="19">
        <v>7.87</v>
      </c>
      <c r="Q28" s="18" t="s">
        <v>74</v>
      </c>
      <c r="R28" s="18" t="s">
        <v>203</v>
      </c>
      <c r="S28" s="21"/>
      <c r="T28" s="21"/>
      <c r="U28" s="21"/>
      <c r="V28" s="21"/>
      <c r="W28" s="21"/>
      <c r="X28" s="21"/>
      <c r="Y28" s="21"/>
      <c r="Z28" s="21"/>
    </row>
    <row r="29" spans="1:26" x14ac:dyDescent="0.25">
      <c r="A29" s="18" t="s">
        <v>290</v>
      </c>
      <c r="B29" s="18" t="s">
        <v>313</v>
      </c>
      <c r="C29" s="18" t="s">
        <v>311</v>
      </c>
      <c r="D29" s="18" t="s">
        <v>309</v>
      </c>
      <c r="E29" s="18" t="s">
        <v>291</v>
      </c>
      <c r="F29" s="18" t="s">
        <v>292</v>
      </c>
      <c r="G29" s="18" t="s">
        <v>287</v>
      </c>
      <c r="H29" s="18" t="s">
        <v>293</v>
      </c>
      <c r="I29" s="18" t="s">
        <v>200</v>
      </c>
      <c r="J29" s="18" t="s">
        <v>301</v>
      </c>
      <c r="K29" s="18" t="s">
        <v>238</v>
      </c>
      <c r="L29" s="18" t="s">
        <v>238</v>
      </c>
      <c r="M29" s="22">
        <f t="shared" si="0"/>
        <v>46250</v>
      </c>
      <c r="N29" s="19">
        <v>34.799999999999997</v>
      </c>
      <c r="O29" s="20">
        <v>0.65</v>
      </c>
      <c r="P29" s="19">
        <v>22.62</v>
      </c>
      <c r="Q29" s="18" t="s">
        <v>74</v>
      </c>
      <c r="R29" s="18" t="s">
        <v>203</v>
      </c>
      <c r="S29" s="21"/>
      <c r="T29" s="21"/>
      <c r="U29" s="21"/>
      <c r="V29" s="21"/>
      <c r="W29" s="21"/>
      <c r="X29" s="21"/>
      <c r="Y29" s="21"/>
      <c r="Z29" s="21"/>
    </row>
    <row r="30" spans="1:26" x14ac:dyDescent="0.25">
      <c r="A30" s="15" t="s">
        <v>107</v>
      </c>
      <c r="B30" s="15">
        <v>9213293</v>
      </c>
      <c r="C30" s="15" t="s">
        <v>312</v>
      </c>
      <c r="D30" s="15" t="s">
        <v>310</v>
      </c>
      <c r="E30" s="15" t="s">
        <v>230</v>
      </c>
      <c r="F30" s="15" t="s">
        <v>231</v>
      </c>
      <c r="G30" s="15" t="s">
        <v>66</v>
      </c>
      <c r="H30" s="15" t="s">
        <v>103</v>
      </c>
      <c r="I30" s="15" t="s">
        <v>200</v>
      </c>
      <c r="J30" s="15" t="s">
        <v>301</v>
      </c>
      <c r="K30" s="15" t="s">
        <v>232</v>
      </c>
      <c r="L30" s="15" t="s">
        <v>233</v>
      </c>
      <c r="M30" s="22">
        <f t="shared" si="0"/>
        <v>46267</v>
      </c>
      <c r="N30" s="16">
        <v>32.9</v>
      </c>
      <c r="O30" s="17">
        <v>0.65</v>
      </c>
      <c r="P30" s="16">
        <v>21.39</v>
      </c>
      <c r="Q30" s="15" t="s">
        <v>74</v>
      </c>
      <c r="R30" s="15" t="s">
        <v>203</v>
      </c>
    </row>
    <row r="31" spans="1:26" x14ac:dyDescent="0.25">
      <c r="A31" s="15" t="s">
        <v>107</v>
      </c>
      <c r="B31" s="15">
        <v>9213293</v>
      </c>
      <c r="C31" s="15" t="s">
        <v>312</v>
      </c>
      <c r="D31" s="15" t="s">
        <v>310</v>
      </c>
      <c r="E31" s="15" t="s">
        <v>230</v>
      </c>
      <c r="F31" s="15" t="s">
        <v>231</v>
      </c>
      <c r="G31" s="15" t="s">
        <v>66</v>
      </c>
      <c r="H31" s="15" t="s">
        <v>103</v>
      </c>
      <c r="I31" s="15" t="s">
        <v>200</v>
      </c>
      <c r="J31" s="15" t="s">
        <v>301</v>
      </c>
      <c r="K31" s="15" t="s">
        <v>232</v>
      </c>
      <c r="L31" s="15" t="s">
        <v>233</v>
      </c>
      <c r="M31" s="22">
        <f t="shared" si="0"/>
        <v>46267</v>
      </c>
      <c r="N31" s="16">
        <v>11.87</v>
      </c>
      <c r="O31" s="17">
        <v>0.65</v>
      </c>
      <c r="P31" s="16">
        <v>7.72</v>
      </c>
      <c r="Q31" s="15" t="s">
        <v>74</v>
      </c>
      <c r="R31" s="15" t="s">
        <v>203</v>
      </c>
    </row>
    <row r="32" spans="1:26" x14ac:dyDescent="0.25">
      <c r="A32" s="15" t="s">
        <v>107</v>
      </c>
      <c r="B32" s="15">
        <v>9213293</v>
      </c>
      <c r="C32" s="15" t="s">
        <v>312</v>
      </c>
      <c r="D32" s="15" t="s">
        <v>310</v>
      </c>
      <c r="E32" s="15" t="s">
        <v>196</v>
      </c>
      <c r="F32" s="15" t="s">
        <v>197</v>
      </c>
      <c r="G32" s="15" t="s">
        <v>80</v>
      </c>
      <c r="H32" s="15" t="s">
        <v>199</v>
      </c>
      <c r="I32" s="15" t="s">
        <v>200</v>
      </c>
      <c r="J32" s="15" t="s">
        <v>301</v>
      </c>
      <c r="K32" s="15" t="s">
        <v>198</v>
      </c>
      <c r="L32" s="15" t="s">
        <v>201</v>
      </c>
      <c r="M32" s="22">
        <f t="shared" si="0"/>
        <v>46254</v>
      </c>
      <c r="N32" s="16">
        <v>13.38</v>
      </c>
      <c r="O32" s="17">
        <v>0.18</v>
      </c>
      <c r="P32" s="16">
        <v>2.41</v>
      </c>
      <c r="Q32" s="15" t="s">
        <v>74</v>
      </c>
      <c r="R32" s="15" t="s">
        <v>203</v>
      </c>
    </row>
    <row r="33" spans="1:26" x14ac:dyDescent="0.25">
      <c r="A33" s="15" t="s">
        <v>107</v>
      </c>
      <c r="B33" s="15">
        <v>9213293</v>
      </c>
      <c r="C33" s="15" t="s">
        <v>312</v>
      </c>
      <c r="D33" s="15" t="s">
        <v>310</v>
      </c>
      <c r="E33" s="15" t="s">
        <v>196</v>
      </c>
      <c r="F33" s="15" t="s">
        <v>197</v>
      </c>
      <c r="G33" s="15" t="s">
        <v>80</v>
      </c>
      <c r="H33" s="15" t="s">
        <v>199</v>
      </c>
      <c r="I33" s="15" t="s">
        <v>200</v>
      </c>
      <c r="J33" s="15" t="s">
        <v>301</v>
      </c>
      <c r="K33" s="15" t="s">
        <v>198</v>
      </c>
      <c r="L33" s="15" t="s">
        <v>201</v>
      </c>
      <c r="M33" s="22">
        <f t="shared" si="0"/>
        <v>46254</v>
      </c>
      <c r="N33" s="16">
        <v>37.369999999999997</v>
      </c>
      <c r="O33" s="17">
        <v>0.18</v>
      </c>
      <c r="P33" s="16">
        <v>6.73</v>
      </c>
      <c r="Q33" s="15" t="s">
        <v>74</v>
      </c>
      <c r="R33" s="15" t="s">
        <v>203</v>
      </c>
    </row>
    <row r="34" spans="1:26" x14ac:dyDescent="0.25">
      <c r="A34" s="15" t="s">
        <v>107</v>
      </c>
      <c r="B34" s="15">
        <v>9213293</v>
      </c>
      <c r="C34" s="15" t="s">
        <v>312</v>
      </c>
      <c r="D34" s="15" t="s">
        <v>310</v>
      </c>
      <c r="E34" s="15" t="s">
        <v>196</v>
      </c>
      <c r="F34" s="15" t="s">
        <v>197</v>
      </c>
      <c r="G34" s="15" t="s">
        <v>80</v>
      </c>
      <c r="H34" s="15" t="s">
        <v>199</v>
      </c>
      <c r="I34" s="15" t="s">
        <v>200</v>
      </c>
      <c r="J34" s="15" t="s">
        <v>301</v>
      </c>
      <c r="K34" s="15" t="s">
        <v>198</v>
      </c>
      <c r="L34" s="15" t="s">
        <v>201</v>
      </c>
      <c r="M34" s="22">
        <f t="shared" si="0"/>
        <v>46254</v>
      </c>
      <c r="N34" s="16">
        <v>28.33</v>
      </c>
      <c r="O34" s="17">
        <v>0.18</v>
      </c>
      <c r="P34" s="16">
        <v>5.0999999999999996</v>
      </c>
      <c r="Q34" s="15" t="s">
        <v>74</v>
      </c>
      <c r="R34" s="15" t="s">
        <v>203</v>
      </c>
    </row>
    <row r="35" spans="1:26" x14ac:dyDescent="0.25">
      <c r="A35" s="15" t="s">
        <v>107</v>
      </c>
      <c r="B35" s="15">
        <v>9213293</v>
      </c>
      <c r="C35" s="15" t="s">
        <v>312</v>
      </c>
      <c r="D35" s="15" t="s">
        <v>310</v>
      </c>
      <c r="E35" s="15" t="s">
        <v>196</v>
      </c>
      <c r="F35" s="15" t="s">
        <v>197</v>
      </c>
      <c r="G35" s="15" t="s">
        <v>80</v>
      </c>
      <c r="H35" s="15" t="s">
        <v>199</v>
      </c>
      <c r="I35" s="15" t="s">
        <v>200</v>
      </c>
      <c r="J35" s="15" t="s">
        <v>301</v>
      </c>
      <c r="K35" s="15" t="s">
        <v>198</v>
      </c>
      <c r="L35" s="15" t="s">
        <v>201</v>
      </c>
      <c r="M35" s="22">
        <f t="shared" si="0"/>
        <v>46254</v>
      </c>
      <c r="N35" s="16">
        <v>15.8</v>
      </c>
      <c r="O35" s="17">
        <v>0.18</v>
      </c>
      <c r="P35" s="16">
        <v>2.84</v>
      </c>
      <c r="Q35" s="15" t="s">
        <v>74</v>
      </c>
      <c r="R35" s="15" t="s">
        <v>203</v>
      </c>
    </row>
    <row r="36" spans="1:26" x14ac:dyDescent="0.25">
      <c r="A36" s="15" t="s">
        <v>107</v>
      </c>
      <c r="B36" s="15">
        <v>9213293</v>
      </c>
      <c r="C36" s="15" t="s">
        <v>312</v>
      </c>
      <c r="D36" s="15" t="s">
        <v>310</v>
      </c>
      <c r="E36" s="15" t="s">
        <v>196</v>
      </c>
      <c r="F36" s="15" t="s">
        <v>197</v>
      </c>
      <c r="G36" s="15" t="s">
        <v>80</v>
      </c>
      <c r="H36" s="15" t="s">
        <v>199</v>
      </c>
      <c r="I36" s="15" t="s">
        <v>200</v>
      </c>
      <c r="J36" s="15" t="s">
        <v>301</v>
      </c>
      <c r="K36" s="15" t="s">
        <v>198</v>
      </c>
      <c r="L36" s="15" t="s">
        <v>201</v>
      </c>
      <c r="M36" s="22">
        <f t="shared" si="0"/>
        <v>46254</v>
      </c>
      <c r="N36" s="16">
        <v>22.08</v>
      </c>
      <c r="O36" s="17">
        <v>0.18</v>
      </c>
      <c r="P36" s="16">
        <v>3.97</v>
      </c>
      <c r="Q36" s="15" t="s">
        <v>74</v>
      </c>
      <c r="R36" s="15" t="s">
        <v>203</v>
      </c>
    </row>
    <row r="37" spans="1:26" x14ac:dyDescent="0.25">
      <c r="A37" s="15" t="s">
        <v>107</v>
      </c>
      <c r="B37" s="15">
        <v>9213293</v>
      </c>
      <c r="C37" s="15" t="s">
        <v>312</v>
      </c>
      <c r="D37" s="15" t="s">
        <v>310</v>
      </c>
      <c r="E37" s="15" t="s">
        <v>204</v>
      </c>
      <c r="F37" s="15" t="s">
        <v>205</v>
      </c>
      <c r="G37" s="15" t="s">
        <v>80</v>
      </c>
      <c r="H37" s="15" t="s">
        <v>103</v>
      </c>
      <c r="I37" s="15" t="s">
        <v>200</v>
      </c>
      <c r="J37" s="15" t="s">
        <v>301</v>
      </c>
      <c r="K37" s="15" t="s">
        <v>207</v>
      </c>
      <c r="L37" s="15" t="s">
        <v>7</v>
      </c>
      <c r="M37" s="22">
        <f t="shared" si="0"/>
        <v>46252</v>
      </c>
      <c r="N37" s="16">
        <v>7.08</v>
      </c>
      <c r="O37" s="17">
        <v>0.18</v>
      </c>
      <c r="P37" s="16">
        <v>1.27</v>
      </c>
      <c r="Q37" s="15" t="s">
        <v>74</v>
      </c>
      <c r="R37" s="15" t="s">
        <v>203</v>
      </c>
    </row>
    <row r="38" spans="1:26" x14ac:dyDescent="0.25">
      <c r="A38" s="15" t="s">
        <v>107</v>
      </c>
      <c r="B38" s="15">
        <v>9213293</v>
      </c>
      <c r="C38" s="15" t="s">
        <v>312</v>
      </c>
      <c r="D38" s="15" t="s">
        <v>310</v>
      </c>
      <c r="E38" s="15" t="s">
        <v>204</v>
      </c>
      <c r="F38" s="15" t="s">
        <v>205</v>
      </c>
      <c r="G38" s="15" t="s">
        <v>80</v>
      </c>
      <c r="H38" s="15" t="s">
        <v>103</v>
      </c>
      <c r="I38" s="15" t="s">
        <v>200</v>
      </c>
      <c r="J38" s="15" t="s">
        <v>301</v>
      </c>
      <c r="K38" s="15" t="s">
        <v>207</v>
      </c>
      <c r="L38" s="15" t="s">
        <v>7</v>
      </c>
      <c r="M38" s="22">
        <f t="shared" si="0"/>
        <v>46252</v>
      </c>
      <c r="N38" s="16">
        <v>15.8</v>
      </c>
      <c r="O38" s="17">
        <v>0.18</v>
      </c>
      <c r="P38" s="16">
        <v>2.84</v>
      </c>
      <c r="Q38" s="15" t="s">
        <v>74</v>
      </c>
      <c r="R38" s="15" t="s">
        <v>203</v>
      </c>
    </row>
    <row r="39" spans="1:26" x14ac:dyDescent="0.25">
      <c r="A39" s="15" t="s">
        <v>107</v>
      </c>
      <c r="B39" s="15">
        <v>9213293</v>
      </c>
      <c r="C39" s="15" t="s">
        <v>312</v>
      </c>
      <c r="D39" s="15" t="s">
        <v>310</v>
      </c>
      <c r="E39" s="15" t="s">
        <v>204</v>
      </c>
      <c r="F39" s="15" t="s">
        <v>205</v>
      </c>
      <c r="G39" s="15" t="s">
        <v>80</v>
      </c>
      <c r="H39" s="15" t="s">
        <v>103</v>
      </c>
      <c r="I39" s="15" t="s">
        <v>200</v>
      </c>
      <c r="J39" s="15" t="s">
        <v>301</v>
      </c>
      <c r="K39" s="15" t="s">
        <v>207</v>
      </c>
      <c r="L39" s="15" t="s">
        <v>7</v>
      </c>
      <c r="M39" s="22">
        <f t="shared" si="0"/>
        <v>46252</v>
      </c>
      <c r="N39" s="16">
        <v>23.6</v>
      </c>
      <c r="O39" s="17">
        <v>0.18</v>
      </c>
      <c r="P39" s="16">
        <v>4.25</v>
      </c>
      <c r="Q39" s="15" t="s">
        <v>74</v>
      </c>
      <c r="R39" s="15" t="s">
        <v>203</v>
      </c>
    </row>
    <row r="40" spans="1:26" x14ac:dyDescent="0.25">
      <c r="A40" s="15" t="s">
        <v>114</v>
      </c>
      <c r="B40" s="15">
        <v>16202925</v>
      </c>
      <c r="C40" s="15" t="s">
        <v>312</v>
      </c>
      <c r="D40" s="15" t="s">
        <v>310</v>
      </c>
      <c r="E40" s="15" t="s">
        <v>163</v>
      </c>
      <c r="F40" s="15" t="s">
        <v>164</v>
      </c>
      <c r="G40" s="15" t="s">
        <v>80</v>
      </c>
      <c r="H40" s="15" t="s">
        <v>68</v>
      </c>
      <c r="I40" s="15" t="s">
        <v>166</v>
      </c>
      <c r="J40" s="15" t="s">
        <v>299</v>
      </c>
      <c r="K40" s="15" t="s">
        <v>167</v>
      </c>
      <c r="L40" s="15" t="s">
        <v>168</v>
      </c>
      <c r="M40" s="22">
        <f t="shared" si="0"/>
        <v>46249</v>
      </c>
      <c r="N40" s="16">
        <v>37.4</v>
      </c>
      <c r="O40" s="17">
        <v>0.12</v>
      </c>
      <c r="P40" s="16">
        <v>4.49</v>
      </c>
      <c r="Q40" s="15" t="s">
        <v>74</v>
      </c>
      <c r="R40" s="15" t="s">
        <v>170</v>
      </c>
    </row>
    <row r="41" spans="1:26" x14ac:dyDescent="0.25">
      <c r="A41" s="15" t="s">
        <v>114</v>
      </c>
      <c r="B41" s="15">
        <v>16202925</v>
      </c>
      <c r="C41" s="15" t="s">
        <v>312</v>
      </c>
      <c r="D41" s="15" t="s">
        <v>310</v>
      </c>
      <c r="E41" s="15" t="s">
        <v>115</v>
      </c>
      <c r="F41" s="15" t="s">
        <v>116</v>
      </c>
      <c r="G41" s="15" t="s">
        <v>80</v>
      </c>
      <c r="H41" s="15" t="s">
        <v>68</v>
      </c>
      <c r="I41" s="15" t="s">
        <v>93</v>
      </c>
      <c r="J41" s="15" t="s">
        <v>93</v>
      </c>
      <c r="K41" s="15" t="s">
        <v>118</v>
      </c>
      <c r="L41" s="15" t="s">
        <v>85</v>
      </c>
      <c r="M41" s="22">
        <f t="shared" si="0"/>
        <v>46266</v>
      </c>
      <c r="N41" s="16">
        <v>181.68</v>
      </c>
      <c r="O41" s="17">
        <v>0.26</v>
      </c>
      <c r="P41" s="16">
        <v>47.24</v>
      </c>
      <c r="Q41" s="15" t="s">
        <v>74</v>
      </c>
      <c r="R41" s="15" t="s">
        <v>97</v>
      </c>
    </row>
    <row r="42" spans="1:26" x14ac:dyDescent="0.25">
      <c r="A42" s="15" t="s">
        <v>89</v>
      </c>
      <c r="B42" s="15">
        <v>17528908</v>
      </c>
      <c r="C42" s="15" t="s">
        <v>312</v>
      </c>
      <c r="D42" s="15" t="s">
        <v>310</v>
      </c>
      <c r="E42" s="15" t="s">
        <v>90</v>
      </c>
      <c r="F42" s="15" t="s">
        <v>91</v>
      </c>
      <c r="G42" s="15" t="s">
        <v>80</v>
      </c>
      <c r="H42" s="15" t="s">
        <v>82</v>
      </c>
      <c r="I42" s="15" t="s">
        <v>93</v>
      </c>
      <c r="J42" s="15" t="s">
        <v>295</v>
      </c>
      <c r="K42" s="15" t="s">
        <v>94</v>
      </c>
      <c r="L42" s="15" t="s">
        <v>85</v>
      </c>
      <c r="M42" s="22">
        <f t="shared" si="0"/>
        <v>46266</v>
      </c>
      <c r="N42" s="16">
        <v>529.13</v>
      </c>
      <c r="O42" s="17">
        <v>0.25</v>
      </c>
      <c r="P42" s="16">
        <v>132.28</v>
      </c>
      <c r="Q42" s="15" t="s">
        <v>96</v>
      </c>
      <c r="R42" s="15" t="s">
        <v>97</v>
      </c>
    </row>
    <row r="43" spans="1:26" x14ac:dyDescent="0.25">
      <c r="A43" s="15" t="s">
        <v>107</v>
      </c>
      <c r="B43" s="15">
        <v>9213293</v>
      </c>
      <c r="C43" s="15" t="s">
        <v>312</v>
      </c>
      <c r="D43" s="15" t="s">
        <v>310</v>
      </c>
      <c r="E43" s="15" t="s">
        <v>108</v>
      </c>
      <c r="F43" s="15" t="s">
        <v>109</v>
      </c>
      <c r="G43" s="15" t="s">
        <v>80</v>
      </c>
      <c r="H43" s="15" t="s">
        <v>111</v>
      </c>
      <c r="I43" s="15" t="s">
        <v>93</v>
      </c>
      <c r="J43" s="15" t="s">
        <v>295</v>
      </c>
      <c r="K43" s="15" t="s">
        <v>112</v>
      </c>
      <c r="L43" s="15" t="s">
        <v>85</v>
      </c>
      <c r="M43" s="22">
        <f t="shared" si="0"/>
        <v>46266</v>
      </c>
      <c r="N43" s="16">
        <v>118.99</v>
      </c>
      <c r="O43" s="17">
        <v>0.25</v>
      </c>
      <c r="P43" s="16">
        <v>29.75</v>
      </c>
      <c r="Q43" s="15" t="s">
        <v>74</v>
      </c>
      <c r="R43" s="15" t="s">
        <v>97</v>
      </c>
    </row>
    <row r="44" spans="1:26" x14ac:dyDescent="0.25">
      <c r="A44" s="15" t="s">
        <v>99</v>
      </c>
      <c r="B44" s="15">
        <v>8244481</v>
      </c>
      <c r="C44" s="15" t="s">
        <v>312</v>
      </c>
      <c r="D44" s="15" t="s">
        <v>310</v>
      </c>
      <c r="E44" s="15" t="s">
        <v>100</v>
      </c>
      <c r="F44" s="15" t="s">
        <v>101</v>
      </c>
      <c r="G44" s="15" t="s">
        <v>80</v>
      </c>
      <c r="H44" s="15" t="s">
        <v>103</v>
      </c>
      <c r="I44" s="15" t="s">
        <v>93</v>
      </c>
      <c r="J44" s="15" t="s">
        <v>295</v>
      </c>
      <c r="K44" s="15" t="s">
        <v>104</v>
      </c>
      <c r="L44" s="15" t="s">
        <v>105</v>
      </c>
      <c r="M44" s="22">
        <f t="shared" si="0"/>
        <v>46235</v>
      </c>
      <c r="N44" s="16">
        <v>170.5</v>
      </c>
      <c r="O44" s="17">
        <v>0.25</v>
      </c>
      <c r="P44" s="16">
        <v>42.63</v>
      </c>
      <c r="Q44" s="15" t="s">
        <v>74</v>
      </c>
      <c r="R44" s="15" t="s">
        <v>97</v>
      </c>
    </row>
    <row r="45" spans="1:26" x14ac:dyDescent="0.25">
      <c r="A45" s="15" t="s">
        <v>262</v>
      </c>
      <c r="B45" s="15">
        <v>19491313</v>
      </c>
      <c r="C45" s="15" t="s">
        <v>312</v>
      </c>
      <c r="D45" s="15" t="s">
        <v>310</v>
      </c>
      <c r="E45" s="15" t="s">
        <v>263</v>
      </c>
      <c r="F45" s="15" t="s">
        <v>264</v>
      </c>
      <c r="G45" s="15" t="s">
        <v>66</v>
      </c>
      <c r="H45" s="15" t="s">
        <v>252</v>
      </c>
      <c r="I45" s="15" t="s">
        <v>83</v>
      </c>
      <c r="J45" s="15" t="s">
        <v>303</v>
      </c>
      <c r="K45" s="15" t="s">
        <v>266</v>
      </c>
      <c r="L45" s="15" t="s">
        <v>85</v>
      </c>
      <c r="M45" s="22">
        <f t="shared" si="0"/>
        <v>46266</v>
      </c>
      <c r="N45" s="16">
        <v>103.54</v>
      </c>
      <c r="O45" s="17">
        <v>0.3</v>
      </c>
      <c r="P45" s="16">
        <v>31.06</v>
      </c>
      <c r="Q45" s="15" t="s">
        <v>74</v>
      </c>
      <c r="R45" s="15" t="s">
        <v>87</v>
      </c>
    </row>
    <row r="46" spans="1:26" s="21" customFormat="1" x14ac:dyDescent="0.25">
      <c r="A46" s="15" t="s">
        <v>77</v>
      </c>
      <c r="B46" s="15" t="s">
        <v>305</v>
      </c>
      <c r="C46" s="15" t="s">
        <v>312</v>
      </c>
      <c r="D46" s="15" t="s">
        <v>310</v>
      </c>
      <c r="E46" s="15" t="s">
        <v>78</v>
      </c>
      <c r="F46" s="15" t="s">
        <v>79</v>
      </c>
      <c r="G46" s="15" t="s">
        <v>80</v>
      </c>
      <c r="H46" s="15" t="s">
        <v>82</v>
      </c>
      <c r="I46" s="15" t="s">
        <v>83</v>
      </c>
      <c r="J46" s="15" t="s">
        <v>83</v>
      </c>
      <c r="K46" s="15" t="s">
        <v>84</v>
      </c>
      <c r="L46" s="15" t="s">
        <v>85</v>
      </c>
      <c r="M46" s="22">
        <f t="shared" si="0"/>
        <v>46266</v>
      </c>
      <c r="N46" s="16">
        <v>95.36</v>
      </c>
      <c r="O46" s="17">
        <v>0.28999999999999998</v>
      </c>
      <c r="P46" s="16">
        <v>27.65</v>
      </c>
      <c r="Q46" s="15" t="s">
        <v>74</v>
      </c>
      <c r="R46" s="15" t="s">
        <v>87</v>
      </c>
      <c r="S46" s="14"/>
      <c r="T46" s="14"/>
      <c r="U46" s="14"/>
      <c r="V46" s="14"/>
      <c r="W46" s="14"/>
      <c r="X46" s="14"/>
      <c r="Y46" s="14"/>
      <c r="Z46" s="14"/>
    </row>
    <row r="47" spans="1:26" s="21" customFormat="1" x14ac:dyDescent="0.25">
      <c r="A47" s="15" t="s">
        <v>209</v>
      </c>
      <c r="B47" s="15">
        <v>19681796</v>
      </c>
      <c r="C47" s="15" t="s">
        <v>312</v>
      </c>
      <c r="D47" s="15" t="s">
        <v>310</v>
      </c>
      <c r="E47" s="15" t="s">
        <v>210</v>
      </c>
      <c r="F47" s="15" t="s">
        <v>211</v>
      </c>
      <c r="G47" s="15" t="s">
        <v>80</v>
      </c>
      <c r="H47" s="15" t="s">
        <v>103</v>
      </c>
      <c r="I47" s="15" t="s">
        <v>213</v>
      </c>
      <c r="J47" s="15" t="s">
        <v>301</v>
      </c>
      <c r="K47" s="15" t="s">
        <v>214</v>
      </c>
      <c r="L47" s="15" t="s">
        <v>70</v>
      </c>
      <c r="M47" s="22">
        <f t="shared" si="0"/>
        <v>46251</v>
      </c>
      <c r="N47" s="16">
        <v>2.52</v>
      </c>
      <c r="O47" s="17">
        <v>0.18</v>
      </c>
      <c r="P47" s="16">
        <v>0.45</v>
      </c>
      <c r="Q47" s="15" t="s">
        <v>74</v>
      </c>
      <c r="R47" s="15" t="s">
        <v>215</v>
      </c>
      <c r="S47" s="14"/>
      <c r="T47" s="14"/>
      <c r="U47" s="14"/>
      <c r="V47" s="14"/>
      <c r="W47" s="14"/>
      <c r="X47" s="14"/>
      <c r="Y47" s="14"/>
      <c r="Z47" s="14"/>
    </row>
    <row r="48" spans="1:26" s="21" customFormat="1" x14ac:dyDescent="0.25">
      <c r="A48" s="15" t="s">
        <v>209</v>
      </c>
      <c r="B48" s="15">
        <v>19681796</v>
      </c>
      <c r="C48" s="15" t="s">
        <v>312</v>
      </c>
      <c r="D48" s="15" t="s">
        <v>310</v>
      </c>
      <c r="E48" s="15" t="s">
        <v>210</v>
      </c>
      <c r="F48" s="15" t="s">
        <v>211</v>
      </c>
      <c r="G48" s="15" t="s">
        <v>80</v>
      </c>
      <c r="H48" s="15" t="s">
        <v>103</v>
      </c>
      <c r="I48" s="15" t="s">
        <v>213</v>
      </c>
      <c r="J48" s="15" t="s">
        <v>301</v>
      </c>
      <c r="K48" s="15" t="s">
        <v>214</v>
      </c>
      <c r="L48" s="15" t="s">
        <v>70</v>
      </c>
      <c r="M48" s="22">
        <f t="shared" si="0"/>
        <v>46251</v>
      </c>
      <c r="N48" s="16">
        <v>233.49</v>
      </c>
      <c r="O48" s="17">
        <v>0.18</v>
      </c>
      <c r="P48" s="16">
        <v>42.03</v>
      </c>
      <c r="Q48" s="15" t="s">
        <v>74</v>
      </c>
      <c r="R48" s="15" t="s">
        <v>215</v>
      </c>
      <c r="S48" s="14"/>
      <c r="T48" s="14"/>
      <c r="U48" s="14"/>
      <c r="V48" s="14"/>
      <c r="W48" s="14"/>
      <c r="X48" s="14"/>
      <c r="Y48" s="14"/>
      <c r="Z48" s="14"/>
    </row>
  </sheetData>
  <sortState xmlns:xlrd2="http://schemas.microsoft.com/office/spreadsheetml/2017/richdata2" ref="A2:Z48">
    <sortCondition ref="I2:I48"/>
    <sortCondition descending="1" ref="O2:O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2026-07-23T06:32:08Z</dcterms:created>
  <dcterms:modified xsi:type="dcterms:W3CDTF">2026-07-24T12:23:49Z</dcterms:modified>
</cp:coreProperties>
</file>