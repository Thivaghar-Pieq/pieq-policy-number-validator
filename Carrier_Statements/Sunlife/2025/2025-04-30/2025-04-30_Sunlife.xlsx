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nlife\2025\04-30-25\"/>
    </mc:Choice>
  </mc:AlternateContent>
  <xr:revisionPtr revIDLastSave="0" documentId="13_ncr:1_{772435AC-6E18-4546-8899-95EB2653B8BA}" xr6:coauthVersionLast="47" xr6:coauthVersionMax="47" xr10:uidLastSave="{00000000-0000-0000-0000-000000000000}"/>
  <bookViews>
    <workbookView xWindow="-57720" yWindow="-45" windowWidth="29040" windowHeight="15720" xr2:uid="{F212CAE3-8985-4AEE-AB8F-0B21E5E7BDAF}"/>
  </bookViews>
  <sheets>
    <sheet name="downloadCommissio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7" i="2"/>
  <c r="G11" i="2"/>
  <c r="G10" i="2"/>
  <c r="G9" i="2"/>
  <c r="G8" i="2"/>
  <c r="G6" i="2"/>
  <c r="G5" i="2"/>
  <c r="G14" i="2"/>
  <c r="G13" i="2"/>
  <c r="G12" i="2"/>
  <c r="G4" i="2"/>
  <c r="G3" i="2"/>
</calcChain>
</file>

<file path=xl/sharedStrings.xml><?xml version="1.0" encoding="utf-8"?>
<sst xmlns="http://schemas.openxmlformats.org/spreadsheetml/2006/main" count="513" uniqueCount="50">
  <si>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</si>
  <si>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</si>
  <si>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</si>
  <si>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</si>
  <si>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</si>
  <si>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</si>
  <si>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</si>
  <si>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</si>
  <si>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</si>
  <si>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</si>
  <si>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</si>
  <si>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</si>
  <si>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</si>
  <si>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</si>
  <si>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</si>
  <si>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</si>
  <si>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</si>
  <si>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</si>
  <si>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</si>
  <si>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</si>
  <si>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</si>
  <si>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Deaton, Pamela</t>
  </si>
  <si>
    <t>04/30/2025</t>
  </si>
  <si>
    <t>M &amp; R Yoder Trucking, LLC</t>
  </si>
  <si>
    <t>First</t>
  </si>
  <si>
    <t>04/16/2025</t>
  </si>
  <si>
    <t>Monthly</t>
  </si>
  <si>
    <t>04/01/2025</t>
  </si>
  <si>
    <t>Dental</t>
  </si>
  <si>
    <t>BASE</t>
  </si>
  <si>
    <t/>
  </si>
  <si>
    <t xml:space="preserve"> </t>
  </si>
  <si>
    <t>LTD</t>
  </si>
  <si>
    <t>Life</t>
  </si>
  <si>
    <t>STD</t>
  </si>
  <si>
    <t>Vision</t>
  </si>
  <si>
    <t>05/01/2025</t>
  </si>
  <si>
    <t>Gross Policy Total</t>
  </si>
  <si>
    <t>Less Assignment</t>
  </si>
  <si>
    <t>Net Policy Total</t>
  </si>
  <si>
    <t>Abdul, Saadia S</t>
  </si>
  <si>
    <t>Calm Mind Counseling Center</t>
  </si>
  <si>
    <t>04/25/2025</t>
  </si>
  <si>
    <t>Total Commissions</t>
  </si>
  <si>
    <t>Total Expenses/Adjustments</t>
  </si>
  <si>
    <t>Total Compensation</t>
  </si>
  <si>
    <t>Sunlife STD Life, AD&amp;D</t>
  </si>
  <si>
    <t>Sunlife DV</t>
  </si>
  <si>
    <t>Sunlife Dental and Vision 10% graded Commission NY</t>
  </si>
  <si>
    <t>Sunlife Standard Group Life, optional Life, AD&amp;D 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</si>
</sst>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7" fontId="0" fillId="0" borderId="1" xfId="0" applyNumberFormat="1" applyFont="1" applyFill="1" applyBorder="1" applyAlignment="1"/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left"/>
    </xf>
    <xf numFmtId="7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0636-502E-4895-AF85-16BC9BAEEE96}">
  <dimension ref="A1:S25"/>
  <sheetViews>
    <sheetView tabSelected="1" topLeftCell="C1" zoomScaleNormal="100" workbookViewId="0">
      <selection activeCell="F4" sqref="F4"/>
    </sheetView>
  </sheetViews>
  <sheetFormatPr defaultRowHeight="12.75" x14ac:dyDescent="0.2"/>
  <cols>
    <col min="1" max="1" width="15.140625" bestFit="1" customWidth="1"/>
    <col min="2" max="2" width="20.42578125" bestFit="1" customWidth="1"/>
    <col min="3" max="3" width="14.5703125" bestFit="1" customWidth="1"/>
    <col min="4" max="4" width="30.28515625" bestFit="1" customWidth="1"/>
    <col min="5" max="5" width="15.140625" bestFit="1" customWidth="1"/>
    <col min="6" max="6" width="14.42578125" bestFit="1" customWidth="1"/>
    <col min="7" max="7" width="26.140625" bestFit="1" customWidth="1"/>
    <col min="8" max="8" width="11.28515625" bestFit="1" customWidth="1"/>
    <col min="9" max="9" width="18.28515625" bestFit="1" customWidth="1"/>
    <col min="10" max="10" width="10.5703125" bestFit="1" customWidth="1"/>
    <col min="11" max="11" width="18.42578125" bestFit="1" customWidth="1"/>
    <col min="12" max="12" width="7.42578125" bestFit="1" customWidth="1"/>
    <col min="13" max="13" width="17.28515625" bestFit="1" customWidth="1"/>
    <col min="14" max="14" width="20" bestFit="1" customWidth="1"/>
    <col min="15" max="15" width="8.42578125" bestFit="1" customWidth="1"/>
    <col min="16" max="16" width="25.28515625" bestFit="1" customWidth="1"/>
    <col min="17" max="17" width="19.85546875" bestFit="1" customWidth="1"/>
    <col min="18" max="18" width="18.7109375" bestFit="1" customWidth="1"/>
    <col min="19" max="19" width="6" bestFit="1" customWidth="1"/>
  </cols>
  <sheetData>
    <row r="1" spans="1:19" x14ac:dyDescent="0.2">
      <c r="A1" s="7" t="s">
        <v>0</v>
      </c>
      <c r="B1" s="7"/>
      <c r="C1" s="7"/>
      <c r="D1" s="7"/>
      <c r="E1" s="7"/>
      <c r="F1" s="7"/>
      <c r="G1" s="7"/>
      <c r="H1" s="7"/>
      <c r="I1" s="7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2">
      <c r="A4" s="2">
        <v>2751038</v>
      </c>
      <c r="B4" s="2" t="s">
        <v>20</v>
      </c>
      <c r="C4" s="2" t="s">
        <v>21</v>
      </c>
      <c r="D4" s="2">
        <v>2754281</v>
      </c>
      <c r="E4" s="2" t="s">
        <v>22</v>
      </c>
      <c r="F4" s="2">
        <v>970060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117.16</v>
      </c>
      <c r="Q4" s="3">
        <v>9.3699999999999992</v>
      </c>
      <c r="R4" s="2" t="s">
        <v>30</v>
      </c>
      <c r="S4" s="2" t="s">
        <v>31</v>
      </c>
    </row>
    <row r="5" spans="1:19" x14ac:dyDescent="0.2">
      <c r="A5" s="2">
        <v>2751038</v>
      </c>
      <c r="B5" s="2" t="s">
        <v>20</v>
      </c>
      <c r="C5" s="2" t="s">
        <v>21</v>
      </c>
      <c r="D5" s="2">
        <v>2754281</v>
      </c>
      <c r="E5" s="2" t="s">
        <v>22</v>
      </c>
      <c r="F5" s="2">
        <v>970060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13</v>
      </c>
      <c r="O5" s="2">
        <v>100</v>
      </c>
      <c r="P5" s="3">
        <v>272.63</v>
      </c>
      <c r="Q5" s="3">
        <v>35.44</v>
      </c>
      <c r="R5" s="2" t="s">
        <v>30</v>
      </c>
      <c r="S5" s="2" t="s">
        <v>31</v>
      </c>
    </row>
    <row r="6" spans="1:19" x14ac:dyDescent="0.2">
      <c r="A6" s="2">
        <v>2751038</v>
      </c>
      <c r="B6" s="2" t="s">
        <v>20</v>
      </c>
      <c r="C6" s="2" t="s">
        <v>21</v>
      </c>
      <c r="D6" s="2">
        <v>2754281</v>
      </c>
      <c r="E6" s="2" t="s">
        <v>22</v>
      </c>
      <c r="F6" s="2">
        <v>970060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13</v>
      </c>
      <c r="O6" s="2">
        <v>100</v>
      </c>
      <c r="P6" s="3">
        <v>231.09</v>
      </c>
      <c r="Q6" s="3">
        <v>30.04</v>
      </c>
      <c r="R6" s="2" t="s">
        <v>30</v>
      </c>
      <c r="S6" s="2" t="s">
        <v>31</v>
      </c>
    </row>
    <row r="7" spans="1:19" x14ac:dyDescent="0.2">
      <c r="A7" s="2">
        <v>2751038</v>
      </c>
      <c r="B7" s="2" t="s">
        <v>20</v>
      </c>
      <c r="C7" s="2" t="s">
        <v>21</v>
      </c>
      <c r="D7" s="2">
        <v>2754281</v>
      </c>
      <c r="E7" s="2" t="s">
        <v>22</v>
      </c>
      <c r="F7" s="2">
        <v>970060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  <c r="L7" s="2" t="s">
        <v>34</v>
      </c>
      <c r="M7" s="2" t="s">
        <v>29</v>
      </c>
      <c r="N7" s="2">
        <v>13</v>
      </c>
      <c r="O7" s="2">
        <v>100</v>
      </c>
      <c r="P7" s="3">
        <v>167.43</v>
      </c>
      <c r="Q7" s="3">
        <v>21.77</v>
      </c>
      <c r="R7" s="2" t="s">
        <v>30</v>
      </c>
      <c r="S7" s="2" t="s">
        <v>31</v>
      </c>
    </row>
    <row r="8" spans="1:19" x14ac:dyDescent="0.2">
      <c r="A8" s="2">
        <v>2751038</v>
      </c>
      <c r="B8" s="2" t="s">
        <v>20</v>
      </c>
      <c r="C8" s="2" t="s">
        <v>21</v>
      </c>
      <c r="D8" s="2">
        <v>2754281</v>
      </c>
      <c r="E8" s="2" t="s">
        <v>22</v>
      </c>
      <c r="F8" s="2">
        <v>970060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35</v>
      </c>
      <c r="M8" s="2" t="s">
        <v>29</v>
      </c>
      <c r="N8" s="2">
        <v>8</v>
      </c>
      <c r="O8" s="2">
        <v>100</v>
      </c>
      <c r="P8" s="3">
        <v>33.799999999999997</v>
      </c>
      <c r="Q8" s="3">
        <v>2.7</v>
      </c>
      <c r="R8" s="2" t="s">
        <v>30</v>
      </c>
      <c r="S8" s="2" t="s">
        <v>31</v>
      </c>
    </row>
    <row r="9" spans="1:19" x14ac:dyDescent="0.2">
      <c r="A9" s="2">
        <v>2751038</v>
      </c>
      <c r="B9" s="2" t="s">
        <v>20</v>
      </c>
      <c r="C9" s="2" t="s">
        <v>21</v>
      </c>
      <c r="D9" s="2">
        <v>2754281</v>
      </c>
      <c r="E9" s="2" t="s">
        <v>22</v>
      </c>
      <c r="F9" s="2">
        <v>970060</v>
      </c>
      <c r="G9" s="2" t="s">
        <v>23</v>
      </c>
      <c r="H9" s="2" t="s">
        <v>24</v>
      </c>
      <c r="I9" s="2" t="s">
        <v>25</v>
      </c>
      <c r="J9" s="2" t="s">
        <v>26</v>
      </c>
      <c r="K9" s="2" t="s">
        <v>36</v>
      </c>
      <c r="L9" s="2" t="s">
        <v>28</v>
      </c>
      <c r="M9" s="2" t="s">
        <v>29</v>
      </c>
      <c r="N9" s="2">
        <v>8</v>
      </c>
      <c r="O9" s="2">
        <v>100</v>
      </c>
      <c r="P9" s="3">
        <v>117.16</v>
      </c>
      <c r="Q9" s="3">
        <v>9.3699999999999992</v>
      </c>
      <c r="R9" s="2" t="s">
        <v>30</v>
      </c>
      <c r="S9" s="2" t="s">
        <v>31</v>
      </c>
    </row>
    <row r="10" spans="1:19" x14ac:dyDescent="0.2">
      <c r="A10" s="2">
        <v>2751038</v>
      </c>
      <c r="B10" s="2" t="s">
        <v>20</v>
      </c>
      <c r="C10" s="2" t="s">
        <v>21</v>
      </c>
      <c r="D10" s="2">
        <v>2754281</v>
      </c>
      <c r="E10" s="2" t="s">
        <v>22</v>
      </c>
      <c r="F10" s="2">
        <v>970060</v>
      </c>
      <c r="G10" s="2" t="s">
        <v>23</v>
      </c>
      <c r="H10" s="2" t="s">
        <v>24</v>
      </c>
      <c r="I10" s="2" t="s">
        <v>25</v>
      </c>
      <c r="J10" s="2" t="s">
        <v>26</v>
      </c>
      <c r="K10" s="2" t="s">
        <v>36</v>
      </c>
      <c r="L10" s="2" t="s">
        <v>32</v>
      </c>
      <c r="M10" s="2" t="s">
        <v>29</v>
      </c>
      <c r="N10" s="2">
        <v>13</v>
      </c>
      <c r="O10" s="2">
        <v>100</v>
      </c>
      <c r="P10" s="3">
        <v>272.63</v>
      </c>
      <c r="Q10" s="3">
        <v>35.44</v>
      </c>
      <c r="R10" s="2" t="s">
        <v>30</v>
      </c>
      <c r="S10" s="2" t="s">
        <v>31</v>
      </c>
    </row>
    <row r="11" spans="1:19" x14ac:dyDescent="0.2">
      <c r="A11" s="2">
        <v>2751038</v>
      </c>
      <c r="B11" s="2" t="s">
        <v>20</v>
      </c>
      <c r="C11" s="2" t="s">
        <v>21</v>
      </c>
      <c r="D11" s="2">
        <v>2754281</v>
      </c>
      <c r="E11" s="2" t="s">
        <v>22</v>
      </c>
      <c r="F11" s="2">
        <v>970060</v>
      </c>
      <c r="G11" s="2" t="s">
        <v>23</v>
      </c>
      <c r="H11" s="2" t="s">
        <v>24</v>
      </c>
      <c r="I11" s="2" t="s">
        <v>25</v>
      </c>
      <c r="J11" s="2" t="s">
        <v>26</v>
      </c>
      <c r="K11" s="2" t="s">
        <v>36</v>
      </c>
      <c r="L11" s="2" t="s">
        <v>33</v>
      </c>
      <c r="M11" s="2" t="s">
        <v>29</v>
      </c>
      <c r="N11" s="2">
        <v>13</v>
      </c>
      <c r="O11" s="2">
        <v>100</v>
      </c>
      <c r="P11" s="3">
        <v>231.09</v>
      </c>
      <c r="Q11" s="3">
        <v>30.04</v>
      </c>
      <c r="R11" s="2" t="s">
        <v>30</v>
      </c>
      <c r="S11" s="2" t="s">
        <v>31</v>
      </c>
    </row>
    <row r="12" spans="1:19" x14ac:dyDescent="0.2">
      <c r="A12" s="2">
        <v>2751038</v>
      </c>
      <c r="B12" s="2" t="s">
        <v>20</v>
      </c>
      <c r="C12" s="2" t="s">
        <v>21</v>
      </c>
      <c r="D12" s="2">
        <v>2754281</v>
      </c>
      <c r="E12" s="2" t="s">
        <v>22</v>
      </c>
      <c r="F12" s="2">
        <v>970060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36</v>
      </c>
      <c r="L12" s="2" t="s">
        <v>34</v>
      </c>
      <c r="M12" s="2" t="s">
        <v>29</v>
      </c>
      <c r="N12" s="2">
        <v>13</v>
      </c>
      <c r="O12" s="2">
        <v>100</v>
      </c>
      <c r="P12" s="3">
        <v>167.43</v>
      </c>
      <c r="Q12" s="3">
        <v>21.77</v>
      </c>
      <c r="R12" s="2" t="s">
        <v>30</v>
      </c>
      <c r="S12" s="2" t="s">
        <v>31</v>
      </c>
    </row>
    <row r="13" spans="1:19" x14ac:dyDescent="0.2">
      <c r="A13" s="2">
        <v>2751038</v>
      </c>
      <c r="B13" s="2" t="s">
        <v>20</v>
      </c>
      <c r="C13" s="2" t="s">
        <v>21</v>
      </c>
      <c r="D13" s="2">
        <v>2754281</v>
      </c>
      <c r="E13" s="2" t="s">
        <v>22</v>
      </c>
      <c r="F13" s="2">
        <v>970060</v>
      </c>
      <c r="G13" s="2" t="s">
        <v>23</v>
      </c>
      <c r="H13" s="2" t="s">
        <v>24</v>
      </c>
      <c r="I13" s="2" t="s">
        <v>25</v>
      </c>
      <c r="J13" s="2" t="s">
        <v>26</v>
      </c>
      <c r="K13" s="2" t="s">
        <v>36</v>
      </c>
      <c r="L13" s="2" t="s">
        <v>35</v>
      </c>
      <c r="M13" s="2" t="s">
        <v>29</v>
      </c>
      <c r="N13" s="2">
        <v>8</v>
      </c>
      <c r="O13" s="2">
        <v>100</v>
      </c>
      <c r="P13" s="3">
        <v>33.799999999999997</v>
      </c>
      <c r="Q13" s="3">
        <v>2.7</v>
      </c>
      <c r="R13" s="2" t="s">
        <v>30</v>
      </c>
      <c r="S13" s="2" t="s">
        <v>31</v>
      </c>
    </row>
    <row r="14" spans="1:19" x14ac:dyDescent="0.2">
      <c r="A14" s="2" t="s">
        <v>30</v>
      </c>
      <c r="B14" s="2" t="s">
        <v>30</v>
      </c>
      <c r="C14" s="2" t="s">
        <v>30</v>
      </c>
      <c r="D14" s="2" t="s">
        <v>30</v>
      </c>
      <c r="E14" s="2" t="s">
        <v>30</v>
      </c>
      <c r="F14" s="2" t="s">
        <v>30</v>
      </c>
      <c r="G14" s="2" t="s">
        <v>30</v>
      </c>
      <c r="H14" s="2" t="s">
        <v>30</v>
      </c>
      <c r="I14" s="2" t="s">
        <v>30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37</v>
      </c>
      <c r="Q14" s="3">
        <v>198.64</v>
      </c>
      <c r="R14" s="2" t="s">
        <v>30</v>
      </c>
      <c r="S14" s="2" t="s">
        <v>31</v>
      </c>
    </row>
    <row r="15" spans="1:19" x14ac:dyDescent="0.2">
      <c r="A15" s="2" t="s">
        <v>30</v>
      </c>
      <c r="B15" s="2" t="s">
        <v>30</v>
      </c>
      <c r="C15" s="2" t="s">
        <v>30</v>
      </c>
      <c r="D15" s="2" t="s">
        <v>30</v>
      </c>
      <c r="E15" s="2" t="s">
        <v>30</v>
      </c>
      <c r="F15" s="2" t="s">
        <v>30</v>
      </c>
      <c r="G15" s="2" t="s">
        <v>30</v>
      </c>
      <c r="H15" s="2" t="s">
        <v>30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38</v>
      </c>
      <c r="Q15" s="3">
        <v>0</v>
      </c>
      <c r="R15" s="2" t="s">
        <v>30</v>
      </c>
      <c r="S15" s="2" t="s">
        <v>31</v>
      </c>
    </row>
    <row r="16" spans="1:19" x14ac:dyDescent="0.2">
      <c r="A16" s="2" t="s">
        <v>30</v>
      </c>
      <c r="B16" s="2" t="s">
        <v>30</v>
      </c>
      <c r="C16" s="2" t="s">
        <v>30</v>
      </c>
      <c r="D16" s="2" t="s">
        <v>30</v>
      </c>
      <c r="E16" s="2" t="s">
        <v>30</v>
      </c>
      <c r="F16" s="2" t="s">
        <v>30</v>
      </c>
      <c r="G16" s="2" t="s">
        <v>30</v>
      </c>
      <c r="H16" s="2" t="s">
        <v>30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39</v>
      </c>
      <c r="Q16" s="3">
        <v>198.64</v>
      </c>
      <c r="R16" s="2" t="s">
        <v>30</v>
      </c>
      <c r="S16" s="2" t="s">
        <v>31</v>
      </c>
    </row>
    <row r="17" spans="1:19" x14ac:dyDescent="0.2">
      <c r="A17" s="2">
        <v>2751038</v>
      </c>
      <c r="B17" s="2" t="s">
        <v>20</v>
      </c>
      <c r="C17" s="2" t="s">
        <v>40</v>
      </c>
      <c r="D17" s="2">
        <v>2754602</v>
      </c>
      <c r="E17" s="2" t="s">
        <v>22</v>
      </c>
      <c r="F17" s="2">
        <v>972048</v>
      </c>
      <c r="G17" s="2" t="s">
        <v>41</v>
      </c>
      <c r="H17" s="2" t="s">
        <v>24</v>
      </c>
      <c r="I17" s="2" t="s">
        <v>42</v>
      </c>
      <c r="J17" s="2" t="s">
        <v>26</v>
      </c>
      <c r="K17" s="2" t="s">
        <v>36</v>
      </c>
      <c r="L17" s="2" t="s">
        <v>28</v>
      </c>
      <c r="M17" s="2" t="s">
        <v>29</v>
      </c>
      <c r="N17" s="2">
        <v>8</v>
      </c>
      <c r="O17" s="2">
        <v>100</v>
      </c>
      <c r="P17" s="3">
        <v>161.05000000000001</v>
      </c>
      <c r="Q17" s="3">
        <v>12.88</v>
      </c>
      <c r="R17" s="2" t="s">
        <v>30</v>
      </c>
      <c r="S17" s="2" t="s">
        <v>31</v>
      </c>
    </row>
    <row r="18" spans="1:19" x14ac:dyDescent="0.2">
      <c r="A18" s="2">
        <v>2751038</v>
      </c>
      <c r="B18" s="2" t="s">
        <v>20</v>
      </c>
      <c r="C18" s="2" t="s">
        <v>40</v>
      </c>
      <c r="D18" s="2">
        <v>2754602</v>
      </c>
      <c r="E18" s="2" t="s">
        <v>22</v>
      </c>
      <c r="F18" s="2">
        <v>972048</v>
      </c>
      <c r="G18" s="2" t="s">
        <v>41</v>
      </c>
      <c r="H18" s="2" t="s">
        <v>24</v>
      </c>
      <c r="I18" s="2" t="s">
        <v>42</v>
      </c>
      <c r="J18" s="2" t="s">
        <v>26</v>
      </c>
      <c r="K18" s="2" t="s">
        <v>36</v>
      </c>
      <c r="L18" s="2" t="s">
        <v>33</v>
      </c>
      <c r="M18" s="2" t="s">
        <v>29</v>
      </c>
      <c r="N18" s="2">
        <v>10</v>
      </c>
      <c r="O18" s="2">
        <v>100</v>
      </c>
      <c r="P18" s="3">
        <v>42.78</v>
      </c>
      <c r="Q18" s="3">
        <v>4.28</v>
      </c>
      <c r="R18" s="2" t="s">
        <v>30</v>
      </c>
      <c r="S18" s="2" t="s">
        <v>31</v>
      </c>
    </row>
    <row r="19" spans="1:19" x14ac:dyDescent="0.2">
      <c r="A19" s="2">
        <v>2751038</v>
      </c>
      <c r="B19" s="2" t="s">
        <v>20</v>
      </c>
      <c r="C19" s="2" t="s">
        <v>40</v>
      </c>
      <c r="D19" s="2">
        <v>2754602</v>
      </c>
      <c r="E19" s="2" t="s">
        <v>22</v>
      </c>
      <c r="F19" s="2">
        <v>972048</v>
      </c>
      <c r="G19" s="2" t="s">
        <v>41</v>
      </c>
      <c r="H19" s="2" t="s">
        <v>24</v>
      </c>
      <c r="I19" s="2" t="s">
        <v>42</v>
      </c>
      <c r="J19" s="2" t="s">
        <v>26</v>
      </c>
      <c r="K19" s="2" t="s">
        <v>36</v>
      </c>
      <c r="L19" s="2" t="s">
        <v>35</v>
      </c>
      <c r="M19" s="2" t="s">
        <v>29</v>
      </c>
      <c r="N19" s="2">
        <v>10</v>
      </c>
      <c r="O19" s="2">
        <v>100</v>
      </c>
      <c r="P19" s="3">
        <v>28.72</v>
      </c>
      <c r="Q19" s="3">
        <v>2.87</v>
      </c>
      <c r="R19" s="2" t="s">
        <v>30</v>
      </c>
      <c r="S19" s="2" t="s">
        <v>31</v>
      </c>
    </row>
    <row r="20" spans="1:19" x14ac:dyDescent="0.2">
      <c r="A20" s="2" t="s">
        <v>30</v>
      </c>
      <c r="B20" s="2" t="s">
        <v>30</v>
      </c>
      <c r="C20" s="2" t="s">
        <v>30</v>
      </c>
      <c r="D20" s="2" t="s">
        <v>30</v>
      </c>
      <c r="E20" s="2" t="s">
        <v>30</v>
      </c>
      <c r="F20" s="2" t="s">
        <v>30</v>
      </c>
      <c r="G20" s="2" t="s">
        <v>30</v>
      </c>
      <c r="H20" s="2" t="s">
        <v>30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37</v>
      </c>
      <c r="Q20" s="3">
        <v>20.03</v>
      </c>
      <c r="R20" s="2" t="s">
        <v>30</v>
      </c>
      <c r="S20" s="2" t="s">
        <v>31</v>
      </c>
    </row>
    <row r="21" spans="1:19" x14ac:dyDescent="0.2">
      <c r="A21" s="2" t="s">
        <v>30</v>
      </c>
      <c r="B21" s="2" t="s">
        <v>30</v>
      </c>
      <c r="C21" s="2" t="s">
        <v>30</v>
      </c>
      <c r="D21" s="2" t="s">
        <v>30</v>
      </c>
      <c r="E21" s="2" t="s">
        <v>30</v>
      </c>
      <c r="F21" s="2" t="s">
        <v>30</v>
      </c>
      <c r="G21" s="2" t="s">
        <v>30</v>
      </c>
      <c r="H21" s="2" t="s">
        <v>30</v>
      </c>
      <c r="I21" s="2" t="s">
        <v>30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38</v>
      </c>
      <c r="Q21" s="3">
        <v>0</v>
      </c>
      <c r="R21" s="2" t="s">
        <v>30</v>
      </c>
      <c r="S21" s="2" t="s">
        <v>31</v>
      </c>
    </row>
    <row r="22" spans="1:19" x14ac:dyDescent="0.2">
      <c r="A22" s="2" t="s">
        <v>30</v>
      </c>
      <c r="B22" s="2" t="s">
        <v>30</v>
      </c>
      <c r="C22" s="2" t="s">
        <v>30</v>
      </c>
      <c r="D22" s="2" t="s">
        <v>30</v>
      </c>
      <c r="E22" s="2" t="s">
        <v>30</v>
      </c>
      <c r="F22" s="2" t="s">
        <v>30</v>
      </c>
      <c r="G22" s="2" t="s">
        <v>30</v>
      </c>
      <c r="H22" s="2" t="s">
        <v>30</v>
      </c>
      <c r="I22" s="2" t="s">
        <v>30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39</v>
      </c>
      <c r="Q22" s="3">
        <v>20.03</v>
      </c>
      <c r="R22" s="2" t="s">
        <v>30</v>
      </c>
      <c r="S22" s="2" t="s">
        <v>31</v>
      </c>
    </row>
    <row r="23" spans="1:19" x14ac:dyDescent="0.2">
      <c r="A23" s="2" t="s">
        <v>30</v>
      </c>
      <c r="B23" s="2" t="s">
        <v>30</v>
      </c>
      <c r="C23" s="2" t="s">
        <v>30</v>
      </c>
      <c r="D23" s="2" t="s">
        <v>30</v>
      </c>
      <c r="E23" s="2" t="s">
        <v>30</v>
      </c>
      <c r="F23" s="2" t="s">
        <v>30</v>
      </c>
      <c r="G23" s="2" t="s">
        <v>30</v>
      </c>
      <c r="H23" s="2" t="s">
        <v>30</v>
      </c>
      <c r="I23" s="2" t="s">
        <v>30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43</v>
      </c>
      <c r="Q23" s="3">
        <v>218.67</v>
      </c>
      <c r="R23" s="2" t="s">
        <v>30</v>
      </c>
      <c r="S23" s="2" t="s">
        <v>31</v>
      </c>
    </row>
    <row r="24" spans="1:19" x14ac:dyDescent="0.2">
      <c r="A24" s="2" t="s">
        <v>30</v>
      </c>
      <c r="B24" s="2" t="s">
        <v>30</v>
      </c>
      <c r="C24" s="2" t="s">
        <v>30</v>
      </c>
      <c r="D24" s="2" t="s">
        <v>30</v>
      </c>
      <c r="E24" s="2" t="s">
        <v>30</v>
      </c>
      <c r="F24" s="2" t="s">
        <v>30</v>
      </c>
      <c r="G24" s="2" t="s">
        <v>30</v>
      </c>
      <c r="H24" s="2" t="s">
        <v>30</v>
      </c>
      <c r="I24" s="2" t="s">
        <v>30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44</v>
      </c>
      <c r="Q24" s="3">
        <v>0</v>
      </c>
      <c r="R24" s="2" t="s">
        <v>30</v>
      </c>
      <c r="S24" s="2" t="s">
        <v>31</v>
      </c>
    </row>
    <row r="25" spans="1:19" x14ac:dyDescent="0.2">
      <c r="A25" s="2" t="s">
        <v>30</v>
      </c>
      <c r="B25" s="2" t="s">
        <v>30</v>
      </c>
      <c r="C25" s="2" t="s">
        <v>30</v>
      </c>
      <c r="D25" s="2" t="s">
        <v>30</v>
      </c>
      <c r="E25" s="2" t="s">
        <v>30</v>
      </c>
      <c r="F25" s="2" t="s">
        <v>30</v>
      </c>
      <c r="G25" s="2" t="s">
        <v>30</v>
      </c>
      <c r="H25" s="2" t="s">
        <v>30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45</v>
      </c>
      <c r="Q25" s="3">
        <v>218.67</v>
      </c>
      <c r="R25" s="2" t="s">
        <v>30</v>
      </c>
      <c r="S25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218C-062F-49F9-B37D-5A8CEEB52290}">
  <dimension ref="A1:T14"/>
  <sheetViews>
    <sheetView topLeftCell="D1" workbookViewId="0">
      <selection activeCell="I19" sqref="I19"/>
    </sheetView>
  </sheetViews>
  <sheetFormatPr defaultRowHeight="12.75" x14ac:dyDescent="0.2"/>
  <cols>
    <col min="1" max="1" width="15.140625" bestFit="1" customWidth="1"/>
    <col min="2" max="2" width="20.42578125" bestFit="1" customWidth="1"/>
    <col min="3" max="3" width="14.5703125" bestFit="1" customWidth="1"/>
    <col min="4" max="4" width="13.7109375" customWidth="1"/>
    <col min="5" max="5" width="15.140625" bestFit="1" customWidth="1"/>
    <col min="6" max="6" width="14.42578125" bestFit="1" customWidth="1"/>
    <col min="7" max="7" width="14.42578125" customWidth="1"/>
    <col min="8" max="8" width="26.140625" bestFit="1" customWidth="1"/>
    <col min="9" max="9" width="11.28515625" bestFit="1" customWidth="1"/>
    <col min="10" max="10" width="18.28515625" bestFit="1" customWidth="1"/>
    <col min="11" max="11" width="10.5703125" bestFit="1" customWidth="1"/>
    <col min="12" max="12" width="18.42578125" bestFit="1" customWidth="1"/>
    <col min="19" max="19" width="47.42578125" bestFit="1" customWidth="1"/>
  </cols>
  <sheetData>
    <row r="1" spans="1:20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/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">
      <c r="A2" s="5">
        <v>2751038</v>
      </c>
      <c r="B2" s="5" t="s">
        <v>20</v>
      </c>
      <c r="C2" s="5" t="s">
        <v>21</v>
      </c>
      <c r="D2" s="5">
        <v>8244481</v>
      </c>
      <c r="E2" s="5" t="s">
        <v>22</v>
      </c>
      <c r="F2" s="5">
        <v>970060</v>
      </c>
      <c r="G2" s="5" t="str">
        <f>CONCATENATE(F2,1)</f>
        <v>9700601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>
        <v>8</v>
      </c>
      <c r="P2" s="5">
        <v>100</v>
      </c>
      <c r="Q2" s="6">
        <v>117.16</v>
      </c>
      <c r="R2" s="6">
        <v>9.3699999999999992</v>
      </c>
      <c r="S2" s="5" t="s">
        <v>47</v>
      </c>
      <c r="T2" s="5" t="s">
        <v>31</v>
      </c>
    </row>
    <row r="3" spans="1:20" x14ac:dyDescent="0.2">
      <c r="A3" s="5">
        <v>2751038</v>
      </c>
      <c r="B3" s="5" t="s">
        <v>20</v>
      </c>
      <c r="C3" s="5" t="s">
        <v>21</v>
      </c>
      <c r="D3" s="5">
        <v>8244481</v>
      </c>
      <c r="E3" s="5" t="s">
        <v>22</v>
      </c>
      <c r="F3" s="5">
        <v>970060</v>
      </c>
      <c r="G3" s="5" t="str">
        <f t="shared" ref="G3:G4" si="0">CONCATENATE(F3,1)</f>
        <v>9700601</v>
      </c>
      <c r="H3" s="5" t="s">
        <v>23</v>
      </c>
      <c r="I3" s="5" t="s">
        <v>24</v>
      </c>
      <c r="J3" s="5" t="s">
        <v>25</v>
      </c>
      <c r="K3" s="5" t="s">
        <v>26</v>
      </c>
      <c r="L3" s="5" t="s">
        <v>36</v>
      </c>
      <c r="M3" s="5" t="s">
        <v>28</v>
      </c>
      <c r="N3" s="5" t="s">
        <v>29</v>
      </c>
      <c r="O3" s="5">
        <v>8</v>
      </c>
      <c r="P3" s="5">
        <v>100</v>
      </c>
      <c r="Q3" s="6">
        <v>117.16</v>
      </c>
      <c r="R3" s="6">
        <v>9.3699999999999992</v>
      </c>
      <c r="S3" s="5" t="s">
        <v>47</v>
      </c>
      <c r="T3" s="5" t="s">
        <v>31</v>
      </c>
    </row>
    <row r="4" spans="1:20" x14ac:dyDescent="0.2">
      <c r="A4" s="5">
        <v>2751038</v>
      </c>
      <c r="B4" s="5" t="s">
        <v>20</v>
      </c>
      <c r="C4" s="5" t="s">
        <v>40</v>
      </c>
      <c r="D4" s="5">
        <v>19396223</v>
      </c>
      <c r="E4" s="5" t="s">
        <v>22</v>
      </c>
      <c r="F4" s="5">
        <v>972048</v>
      </c>
      <c r="G4" s="5" t="str">
        <f t="shared" si="0"/>
        <v>9720481</v>
      </c>
      <c r="H4" s="5" t="s">
        <v>41</v>
      </c>
      <c r="I4" s="5" t="s">
        <v>24</v>
      </c>
      <c r="J4" s="5" t="s">
        <v>42</v>
      </c>
      <c r="K4" s="5" t="s">
        <v>26</v>
      </c>
      <c r="L4" s="5" t="s">
        <v>36</v>
      </c>
      <c r="M4" s="5" t="s">
        <v>28</v>
      </c>
      <c r="N4" s="5" t="s">
        <v>29</v>
      </c>
      <c r="O4" s="5">
        <v>8</v>
      </c>
      <c r="P4" s="5">
        <v>100</v>
      </c>
      <c r="Q4" s="6">
        <v>161.05000000000001</v>
      </c>
      <c r="R4" s="6">
        <v>12.88</v>
      </c>
      <c r="S4" s="5" t="s">
        <v>47</v>
      </c>
      <c r="T4" s="5" t="s">
        <v>31</v>
      </c>
    </row>
    <row r="5" spans="1:20" x14ac:dyDescent="0.2">
      <c r="A5" s="5">
        <v>2751038</v>
      </c>
      <c r="B5" s="5" t="s">
        <v>20</v>
      </c>
      <c r="C5" s="5" t="s">
        <v>21</v>
      </c>
      <c r="D5" s="5">
        <v>8244481</v>
      </c>
      <c r="E5" s="5" t="s">
        <v>22</v>
      </c>
      <c r="F5" s="5">
        <v>970060</v>
      </c>
      <c r="G5" s="5" t="str">
        <f>CONCATENATE(F5,13)</f>
        <v>97006013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33</v>
      </c>
      <c r="N5" s="5" t="s">
        <v>29</v>
      </c>
      <c r="O5" s="5">
        <v>13</v>
      </c>
      <c r="P5" s="5">
        <v>100</v>
      </c>
      <c r="Q5" s="6">
        <v>231.09</v>
      </c>
      <c r="R5" s="6">
        <v>30.04</v>
      </c>
      <c r="S5" s="5" t="s">
        <v>46</v>
      </c>
      <c r="T5" s="5" t="s">
        <v>31</v>
      </c>
    </row>
    <row r="6" spans="1:20" x14ac:dyDescent="0.2">
      <c r="A6" s="5">
        <v>2751038</v>
      </c>
      <c r="B6" s="5" t="s">
        <v>20</v>
      </c>
      <c r="C6" s="5" t="s">
        <v>21</v>
      </c>
      <c r="D6" s="5">
        <v>8244481</v>
      </c>
      <c r="E6" s="5" t="s">
        <v>22</v>
      </c>
      <c r="F6" s="5">
        <v>970060</v>
      </c>
      <c r="G6" s="5" t="str">
        <f>CONCATENATE(F6,13)</f>
        <v>97006013</v>
      </c>
      <c r="H6" s="5" t="s">
        <v>23</v>
      </c>
      <c r="I6" s="5" t="s">
        <v>24</v>
      </c>
      <c r="J6" s="5" t="s">
        <v>25</v>
      </c>
      <c r="K6" s="5" t="s">
        <v>26</v>
      </c>
      <c r="L6" s="5" t="s">
        <v>36</v>
      </c>
      <c r="M6" s="5" t="s">
        <v>33</v>
      </c>
      <c r="N6" s="5" t="s">
        <v>29</v>
      </c>
      <c r="O6" s="5">
        <v>13</v>
      </c>
      <c r="P6" s="5">
        <v>100</v>
      </c>
      <c r="Q6" s="6">
        <v>231.09</v>
      </c>
      <c r="R6" s="6">
        <v>30.04</v>
      </c>
      <c r="S6" s="5" t="s">
        <v>46</v>
      </c>
      <c r="T6" s="5" t="s">
        <v>31</v>
      </c>
    </row>
    <row r="7" spans="1:20" x14ac:dyDescent="0.2">
      <c r="A7" s="5">
        <v>2751038</v>
      </c>
      <c r="B7" s="5" t="s">
        <v>20</v>
      </c>
      <c r="C7" s="5" t="s">
        <v>40</v>
      </c>
      <c r="D7" s="5">
        <v>19396223</v>
      </c>
      <c r="E7" s="5" t="s">
        <v>22</v>
      </c>
      <c r="F7" s="5">
        <v>972048</v>
      </c>
      <c r="G7" s="5" t="str">
        <f>CONCATENATE(F7,22)</f>
        <v>97204822</v>
      </c>
      <c r="H7" s="5" t="s">
        <v>41</v>
      </c>
      <c r="I7" s="5" t="s">
        <v>24</v>
      </c>
      <c r="J7" s="5" t="s">
        <v>42</v>
      </c>
      <c r="K7" s="5" t="s">
        <v>26</v>
      </c>
      <c r="L7" s="5" t="s">
        <v>36</v>
      </c>
      <c r="M7" s="5" t="s">
        <v>33</v>
      </c>
      <c r="N7" s="5" t="s">
        <v>29</v>
      </c>
      <c r="O7" s="5">
        <v>10</v>
      </c>
      <c r="P7" s="5">
        <v>100</v>
      </c>
      <c r="Q7" s="6">
        <v>42.78</v>
      </c>
      <c r="R7" s="6">
        <v>4.28</v>
      </c>
      <c r="S7" s="5" t="s">
        <v>49</v>
      </c>
      <c r="T7" s="5" t="s">
        <v>31</v>
      </c>
    </row>
    <row r="8" spans="1:20" x14ac:dyDescent="0.2">
      <c r="A8" s="5">
        <v>2751038</v>
      </c>
      <c r="B8" s="5" t="s">
        <v>20</v>
      </c>
      <c r="C8" s="5" t="s">
        <v>21</v>
      </c>
      <c r="D8" s="5">
        <v>8244481</v>
      </c>
      <c r="E8" s="5" t="s">
        <v>22</v>
      </c>
      <c r="F8" s="5">
        <v>970060</v>
      </c>
      <c r="G8" s="5" t="str">
        <f t="shared" ref="G8:G11" si="1">CONCATENATE(F8,13)</f>
        <v>97006013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27</v>
      </c>
      <c r="M8" s="5" t="s">
        <v>32</v>
      </c>
      <c r="N8" s="5" t="s">
        <v>29</v>
      </c>
      <c r="O8" s="5">
        <v>13</v>
      </c>
      <c r="P8" s="5">
        <v>100</v>
      </c>
      <c r="Q8" s="6">
        <v>272.63</v>
      </c>
      <c r="R8" s="6">
        <v>35.44</v>
      </c>
      <c r="S8" s="5" t="s">
        <v>46</v>
      </c>
      <c r="T8" s="5" t="s">
        <v>31</v>
      </c>
    </row>
    <row r="9" spans="1:20" x14ac:dyDescent="0.2">
      <c r="A9" s="5">
        <v>2751038</v>
      </c>
      <c r="B9" s="5" t="s">
        <v>20</v>
      </c>
      <c r="C9" s="5" t="s">
        <v>21</v>
      </c>
      <c r="D9" s="5">
        <v>8244481</v>
      </c>
      <c r="E9" s="5" t="s">
        <v>22</v>
      </c>
      <c r="F9" s="5">
        <v>970060</v>
      </c>
      <c r="G9" s="5" t="str">
        <f t="shared" si="1"/>
        <v>97006013</v>
      </c>
      <c r="H9" s="5" t="s">
        <v>23</v>
      </c>
      <c r="I9" s="5" t="s">
        <v>24</v>
      </c>
      <c r="J9" s="5" t="s">
        <v>25</v>
      </c>
      <c r="K9" s="5" t="s">
        <v>26</v>
      </c>
      <c r="L9" s="5" t="s">
        <v>36</v>
      </c>
      <c r="M9" s="5" t="s">
        <v>32</v>
      </c>
      <c r="N9" s="5" t="s">
        <v>29</v>
      </c>
      <c r="O9" s="5">
        <v>13</v>
      </c>
      <c r="P9" s="5">
        <v>100</v>
      </c>
      <c r="Q9" s="6">
        <v>272.63</v>
      </c>
      <c r="R9" s="6">
        <v>35.44</v>
      </c>
      <c r="S9" s="5" t="s">
        <v>46</v>
      </c>
      <c r="T9" s="5" t="s">
        <v>31</v>
      </c>
    </row>
    <row r="10" spans="1:20" x14ac:dyDescent="0.2">
      <c r="A10" s="5">
        <v>2751038</v>
      </c>
      <c r="B10" s="5" t="s">
        <v>20</v>
      </c>
      <c r="C10" s="5" t="s">
        <v>21</v>
      </c>
      <c r="D10" s="5">
        <v>8244481</v>
      </c>
      <c r="E10" s="5" t="s">
        <v>22</v>
      </c>
      <c r="F10" s="5">
        <v>970060</v>
      </c>
      <c r="G10" s="5" t="str">
        <f t="shared" si="1"/>
        <v>97006013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34</v>
      </c>
      <c r="N10" s="5" t="s">
        <v>29</v>
      </c>
      <c r="O10" s="5">
        <v>13</v>
      </c>
      <c r="P10" s="5">
        <v>100</v>
      </c>
      <c r="Q10" s="6">
        <v>167.43</v>
      </c>
      <c r="R10" s="6">
        <v>21.77</v>
      </c>
      <c r="S10" s="5" t="s">
        <v>46</v>
      </c>
      <c r="T10" s="5" t="s">
        <v>31</v>
      </c>
    </row>
    <row r="11" spans="1:20" x14ac:dyDescent="0.2">
      <c r="A11" s="5">
        <v>2751038</v>
      </c>
      <c r="B11" s="5" t="s">
        <v>20</v>
      </c>
      <c r="C11" s="5" t="s">
        <v>21</v>
      </c>
      <c r="D11" s="5">
        <v>8244481</v>
      </c>
      <c r="E11" s="5" t="s">
        <v>22</v>
      </c>
      <c r="F11" s="5">
        <v>970060</v>
      </c>
      <c r="G11" s="5" t="str">
        <f t="shared" si="1"/>
        <v>97006013</v>
      </c>
      <c r="H11" s="5" t="s">
        <v>23</v>
      </c>
      <c r="I11" s="5" t="s">
        <v>24</v>
      </c>
      <c r="J11" s="5" t="s">
        <v>25</v>
      </c>
      <c r="K11" s="5" t="s">
        <v>26</v>
      </c>
      <c r="L11" s="5" t="s">
        <v>36</v>
      </c>
      <c r="M11" s="5" t="s">
        <v>34</v>
      </c>
      <c r="N11" s="5" t="s">
        <v>29</v>
      </c>
      <c r="O11" s="5">
        <v>13</v>
      </c>
      <c r="P11" s="5">
        <v>100</v>
      </c>
      <c r="Q11" s="6">
        <v>167.43</v>
      </c>
      <c r="R11" s="6">
        <v>21.77</v>
      </c>
      <c r="S11" s="5" t="s">
        <v>46</v>
      </c>
      <c r="T11" s="5" t="s">
        <v>31</v>
      </c>
    </row>
    <row r="12" spans="1:20" x14ac:dyDescent="0.2">
      <c r="A12" s="5">
        <v>2751038</v>
      </c>
      <c r="B12" s="5" t="s">
        <v>20</v>
      </c>
      <c r="C12" s="5" t="s">
        <v>21</v>
      </c>
      <c r="D12" s="5">
        <v>8244481</v>
      </c>
      <c r="E12" s="5" t="s">
        <v>22</v>
      </c>
      <c r="F12" s="5">
        <v>970060</v>
      </c>
      <c r="G12" s="5" t="str">
        <f t="shared" ref="G12:G13" si="2">CONCATENATE(F12,1)</f>
        <v>9700601</v>
      </c>
      <c r="H12" s="5" t="s">
        <v>23</v>
      </c>
      <c r="I12" s="5" t="s">
        <v>24</v>
      </c>
      <c r="J12" s="5" t="s">
        <v>25</v>
      </c>
      <c r="K12" s="5" t="s">
        <v>26</v>
      </c>
      <c r="L12" s="5" t="s">
        <v>27</v>
      </c>
      <c r="M12" s="5" t="s">
        <v>35</v>
      </c>
      <c r="N12" s="5" t="s">
        <v>29</v>
      </c>
      <c r="O12" s="5">
        <v>8</v>
      </c>
      <c r="P12" s="5">
        <v>100</v>
      </c>
      <c r="Q12" s="6">
        <v>33.799999999999997</v>
      </c>
      <c r="R12" s="6">
        <v>2.7</v>
      </c>
      <c r="S12" s="5" t="s">
        <v>47</v>
      </c>
      <c r="T12" s="5" t="s">
        <v>31</v>
      </c>
    </row>
    <row r="13" spans="1:20" x14ac:dyDescent="0.2">
      <c r="A13" s="5">
        <v>2751038</v>
      </c>
      <c r="B13" s="5" t="s">
        <v>20</v>
      </c>
      <c r="C13" s="5" t="s">
        <v>21</v>
      </c>
      <c r="D13" s="5">
        <v>8244481</v>
      </c>
      <c r="E13" s="5" t="s">
        <v>22</v>
      </c>
      <c r="F13" s="5">
        <v>970060</v>
      </c>
      <c r="G13" s="5" t="str">
        <f t="shared" si="2"/>
        <v>9700601</v>
      </c>
      <c r="H13" s="5" t="s">
        <v>23</v>
      </c>
      <c r="I13" s="5" t="s">
        <v>24</v>
      </c>
      <c r="J13" s="5" t="s">
        <v>25</v>
      </c>
      <c r="K13" s="5" t="s">
        <v>26</v>
      </c>
      <c r="L13" s="5" t="s">
        <v>36</v>
      </c>
      <c r="M13" s="5" t="s">
        <v>35</v>
      </c>
      <c r="N13" s="5" t="s">
        <v>29</v>
      </c>
      <c r="O13" s="5">
        <v>8</v>
      </c>
      <c r="P13" s="5">
        <v>100</v>
      </c>
      <c r="Q13" s="6">
        <v>33.799999999999997</v>
      </c>
      <c r="R13" s="6">
        <v>2.7</v>
      </c>
      <c r="S13" s="5" t="s">
        <v>47</v>
      </c>
      <c r="T13" s="5" t="s">
        <v>31</v>
      </c>
    </row>
    <row r="14" spans="1:20" x14ac:dyDescent="0.2">
      <c r="A14" s="5">
        <v>2751038</v>
      </c>
      <c r="B14" s="5" t="s">
        <v>20</v>
      </c>
      <c r="C14" s="5" t="s">
        <v>40</v>
      </c>
      <c r="D14" s="5">
        <v>19396223</v>
      </c>
      <c r="E14" s="5" t="s">
        <v>22</v>
      </c>
      <c r="F14" s="5">
        <v>972048</v>
      </c>
      <c r="G14" s="5" t="str">
        <f>CONCATENATE(F14,11)</f>
        <v>97204811</v>
      </c>
      <c r="H14" s="5" t="s">
        <v>41</v>
      </c>
      <c r="I14" s="5" t="s">
        <v>24</v>
      </c>
      <c r="J14" s="5" t="s">
        <v>42</v>
      </c>
      <c r="K14" s="5" t="s">
        <v>26</v>
      </c>
      <c r="L14" s="5" t="s">
        <v>36</v>
      </c>
      <c r="M14" s="5" t="s">
        <v>35</v>
      </c>
      <c r="N14" s="5" t="s">
        <v>29</v>
      </c>
      <c r="O14" s="5">
        <v>10</v>
      </c>
      <c r="P14" s="5">
        <v>100</v>
      </c>
      <c r="Q14" s="6">
        <v>28.72</v>
      </c>
      <c r="R14" s="6">
        <v>2.87</v>
      </c>
      <c r="S14" s="5" t="s">
        <v>48</v>
      </c>
      <c r="T14" s="5" t="s">
        <v>31</v>
      </c>
    </row>
  </sheetData>
  <sortState xmlns:xlrd2="http://schemas.microsoft.com/office/spreadsheetml/2017/richdata2" ref="A2:T14">
    <sortCondition ref="M2:M14"/>
  </sortState>
  <pageMargins left="0.7" right="0.7" top="0.75" bottom="0.75" header="0.3" footer="0.3"/>
  <ignoredErrors>
    <ignoredError sqref="G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downloadCommissions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2025-05-02T15:51:15Z</dcterms:created>
  <dcterms:modified xsi:type="dcterms:W3CDTF">2025-05-07T02:40:25Z</dcterms:modified>
</cp:coreProperties>
</file>