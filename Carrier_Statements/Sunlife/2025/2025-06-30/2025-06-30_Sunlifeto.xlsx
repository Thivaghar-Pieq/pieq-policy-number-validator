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Commiss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9Vdn9m8eIAuu/BOXKOXaXt1IxvLhMC4g4oLE0+0AGSQ="/>
    </ext>
  </extLst>
</workbook>
</file>

<file path=xl/sharedStrings.xml><?xml version="1.0" encoding="utf-8"?>
<sst xmlns="http://schemas.openxmlformats.org/spreadsheetml/2006/main" count="648" uniqueCount="55">
  <si>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</si>
  <si>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</si>
  <si>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</si>
  <si>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</si>
  <si>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</si>
  <si>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</si>
  <si>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</si>
  <si>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</si>
  <si>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</si>
  <si>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</si>
  <si>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</si>
  <si>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</si>
  <si>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</si>
  <si>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</si>
  <si>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</si>
  <si>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</si>
  <si>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</si>
  <si>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</si>
  <si>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</si>
  <si>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</si>
  <si>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</si>
  <si>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</si>
  <si>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07/15/2025</t>
  </si>
  <si>
    <t>Mark Vuocolo Plumbing &amp; Heating, LLC dba MVP Plumbing</t>
  </si>
  <si>
    <t>Renewal</t>
  </si>
  <si>
    <t>07/02/2025</t>
  </si>
  <si>
    <t>Monthly</t>
  </si>
  <si>
    <t>07/01/2025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</si>
  <si>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</si>
  <si>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</si>
  <si>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</si>
  <si>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</si>
  <si>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</si>
  <si>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</si>
  <si>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</si>
  <si>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</si>
  <si>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</si>
  <si>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</si>
  <si>
    <t>Deaton, Pamela</t>
  </si>
  <si>
    <t>06/30/2025</t>
  </si>
  <si>
    <t>M &amp; R Yoder Trucking, LLC</t>
  </si>
  <si>
    <t>First</t>
  </si>
  <si>
    <t>06/17/2025</t>
  </si>
  <si>
    <t>06/01/2025</t>
  </si>
  <si>
    <t>LTD</t>
  </si>
  <si>
    <t>Life</t>
  </si>
  <si>
    <t>STD</t>
  </si>
  <si>
    <t>Vision</t>
  </si>
  <si>
    <t>Abdul, Saadia S</t>
  </si>
  <si>
    <t>Calm Mind Counseling Center</t>
  </si>
  <si>
    <t>06/25/2025</t>
  </si>
  <si>
    <t>Sunlife Dental and Vision 10% graded Commission NY</t>
  </si>
  <si>
    <t>Sunlife DV</t>
  </si>
  <si>
    <t>Sunlife Standard Group Life, optional Life, AD&amp;D NY</t>
  </si>
  <si>
    <t>Sunlife STD Life, AD&amp;D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</si>
</sst>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\(&quot;$&quot;#,##0.00\)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0"/>
    <col customWidth="1" min="2" max="2" width="18.25"/>
    <col customWidth="1" min="3" max="3" width="13.63"/>
    <col customWidth="1" min="4" max="4" width="25.88"/>
    <col customWidth="1" min="5" max="5" width="13.13"/>
    <col customWidth="1" min="6" max="6" width="12.63"/>
    <col customWidth="1" min="7" max="7" width="45.0"/>
    <col customWidth="1" min="8" max="8" width="9.88"/>
    <col customWidth="1" min="9" max="9" width="15.5"/>
    <col customWidth="1" min="10" max="10" width="9.38"/>
    <col customWidth="1" min="11" max="11" width="15.88"/>
    <col customWidth="1" min="12" max="12" width="6.63"/>
    <col customWidth="1" min="13" max="13" width="15.25"/>
    <col customWidth="1" min="14" max="14" width="17.75"/>
    <col customWidth="1" min="15" max="15" width="7.63"/>
    <col customWidth="1" min="16" max="16" width="21.88"/>
    <col customWidth="1" min="17" max="17" width="17.75"/>
    <col customWidth="1" min="18" max="18" width="16.63"/>
    <col customWidth="1" min="19" max="19" width="5.63"/>
    <col customWidth="1" min="20" max="26" width="8.63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12.75" customHeight="1">
      <c r="A4" s="3">
        <v>2751038.0</v>
      </c>
      <c r="B4" s="3" t="s">
        <v>20</v>
      </c>
      <c r="C4" s="3" t="s">
        <v>21</v>
      </c>
      <c r="D4" s="3">
        <v>2751078.0</v>
      </c>
      <c r="E4" s="3" t="s">
        <v>22</v>
      </c>
      <c r="F4" s="3">
        <v>960573.0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>
        <v>8.0</v>
      </c>
      <c r="O4" s="3">
        <v>100.0</v>
      </c>
      <c r="P4" s="4">
        <v>106.91</v>
      </c>
      <c r="Q4" s="4">
        <v>8.55</v>
      </c>
      <c r="R4" s="3" t="s">
        <v>30</v>
      </c>
      <c r="S4" s="3" t="s">
        <v>31</v>
      </c>
    </row>
    <row r="5" ht="12.75" customHeight="1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32</v>
      </c>
      <c r="Q5" s="4">
        <v>8.55</v>
      </c>
      <c r="R5" s="3" t="s">
        <v>30</v>
      </c>
      <c r="S5" s="3" t="s">
        <v>31</v>
      </c>
    </row>
    <row r="6" ht="12.75" customHeight="1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33</v>
      </c>
      <c r="Q6" s="4">
        <v>0.0</v>
      </c>
      <c r="R6" s="3" t="s">
        <v>30</v>
      </c>
      <c r="S6" s="3" t="s">
        <v>31</v>
      </c>
    </row>
    <row r="7" ht="12.75" customHeight="1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34</v>
      </c>
      <c r="Q7" s="4">
        <v>8.55</v>
      </c>
      <c r="R7" s="3" t="s">
        <v>30</v>
      </c>
      <c r="S7" s="3" t="s">
        <v>31</v>
      </c>
    </row>
    <row r="8" ht="12.75" customHeight="1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35</v>
      </c>
      <c r="Q8" s="4">
        <v>8.55</v>
      </c>
      <c r="R8" s="3" t="s">
        <v>30</v>
      </c>
      <c r="S8" s="3" t="s">
        <v>31</v>
      </c>
    </row>
    <row r="9" ht="12.75" customHeight="1">
      <c r="A9" s="3" t="s">
        <v>30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36</v>
      </c>
      <c r="Q9" s="4">
        <v>0.0</v>
      </c>
      <c r="R9" s="3" t="s">
        <v>30</v>
      </c>
      <c r="S9" s="3" t="s">
        <v>31</v>
      </c>
    </row>
    <row r="10" ht="12.75" customHeight="1">
      <c r="A10" s="3" t="s">
        <v>30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37</v>
      </c>
      <c r="Q10" s="4">
        <v>8.55</v>
      </c>
      <c r="R10" s="3" t="s">
        <v>30</v>
      </c>
      <c r="S10" s="3" t="s">
        <v>31</v>
      </c>
    </row>
    <row r="11" ht="12.75" customHeight="1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  <c r="P11" s="2" t="s">
        <v>16</v>
      </c>
      <c r="Q11" s="2" t="s">
        <v>17</v>
      </c>
      <c r="R11" s="2" t="s">
        <v>18</v>
      </c>
      <c r="S11" s="2" t="s">
        <v>19</v>
      </c>
    </row>
    <row r="12" ht="12.75" customHeight="1">
      <c r="A12" s="3">
        <v>2751038.0</v>
      </c>
      <c r="B12" s="3" t="s">
        <v>20</v>
      </c>
      <c r="C12" s="3" t="s">
        <v>38</v>
      </c>
      <c r="D12" s="3">
        <v>2754281.0</v>
      </c>
      <c r="E12" s="3" t="s">
        <v>39</v>
      </c>
      <c r="F12" s="3">
        <v>970060.0</v>
      </c>
      <c r="G12" s="3" t="s">
        <v>40</v>
      </c>
      <c r="H12" s="3" t="s">
        <v>41</v>
      </c>
      <c r="I12" s="3" t="s">
        <v>42</v>
      </c>
      <c r="J12" s="3" t="s">
        <v>26</v>
      </c>
      <c r="K12" s="3" t="s">
        <v>43</v>
      </c>
      <c r="L12" s="3" t="s">
        <v>28</v>
      </c>
      <c r="M12" s="3" t="s">
        <v>29</v>
      </c>
      <c r="N12" s="3">
        <v>8.0</v>
      </c>
      <c r="O12" s="3">
        <v>100.0</v>
      </c>
      <c r="P12" s="4">
        <v>117.16</v>
      </c>
      <c r="Q12" s="4">
        <v>9.37</v>
      </c>
      <c r="R12" s="3" t="s">
        <v>30</v>
      </c>
      <c r="S12" s="3" t="s">
        <v>31</v>
      </c>
    </row>
    <row r="13" ht="12.75" customHeight="1">
      <c r="A13" s="3">
        <v>2751038.0</v>
      </c>
      <c r="B13" s="3" t="s">
        <v>20</v>
      </c>
      <c r="C13" s="3" t="s">
        <v>38</v>
      </c>
      <c r="D13" s="3">
        <v>2754281.0</v>
      </c>
      <c r="E13" s="3" t="s">
        <v>39</v>
      </c>
      <c r="F13" s="3">
        <v>970060.0</v>
      </c>
      <c r="G13" s="3" t="s">
        <v>40</v>
      </c>
      <c r="H13" s="3" t="s">
        <v>41</v>
      </c>
      <c r="I13" s="3" t="s">
        <v>42</v>
      </c>
      <c r="J13" s="3" t="s">
        <v>26</v>
      </c>
      <c r="K13" s="3" t="s">
        <v>43</v>
      </c>
      <c r="L13" s="3" t="s">
        <v>44</v>
      </c>
      <c r="M13" s="3" t="s">
        <v>29</v>
      </c>
      <c r="N13" s="3">
        <v>13.0</v>
      </c>
      <c r="O13" s="3">
        <v>100.0</v>
      </c>
      <c r="P13" s="4">
        <v>272.63</v>
      </c>
      <c r="Q13" s="4">
        <v>35.44</v>
      </c>
      <c r="R13" s="3" t="s">
        <v>30</v>
      </c>
      <c r="S13" s="3" t="s">
        <v>31</v>
      </c>
    </row>
    <row r="14" ht="12.75" customHeight="1">
      <c r="A14" s="3">
        <v>2751038.0</v>
      </c>
      <c r="B14" s="3" t="s">
        <v>20</v>
      </c>
      <c r="C14" s="3" t="s">
        <v>38</v>
      </c>
      <c r="D14" s="3">
        <v>2754281.0</v>
      </c>
      <c r="E14" s="3" t="s">
        <v>39</v>
      </c>
      <c r="F14" s="3">
        <v>970060.0</v>
      </c>
      <c r="G14" s="3" t="s">
        <v>40</v>
      </c>
      <c r="H14" s="3" t="s">
        <v>41</v>
      </c>
      <c r="I14" s="3" t="s">
        <v>42</v>
      </c>
      <c r="J14" s="3" t="s">
        <v>26</v>
      </c>
      <c r="K14" s="3" t="s">
        <v>43</v>
      </c>
      <c r="L14" s="3" t="s">
        <v>45</v>
      </c>
      <c r="M14" s="3" t="s">
        <v>29</v>
      </c>
      <c r="N14" s="3">
        <v>13.0</v>
      </c>
      <c r="O14" s="3">
        <v>100.0</v>
      </c>
      <c r="P14" s="4">
        <v>231.09</v>
      </c>
      <c r="Q14" s="4">
        <v>30.04</v>
      </c>
      <c r="R14" s="3" t="s">
        <v>30</v>
      </c>
      <c r="S14" s="3" t="s">
        <v>31</v>
      </c>
    </row>
    <row r="15" ht="12.75" customHeight="1">
      <c r="A15" s="3">
        <v>2751038.0</v>
      </c>
      <c r="B15" s="3" t="s">
        <v>20</v>
      </c>
      <c r="C15" s="3" t="s">
        <v>38</v>
      </c>
      <c r="D15" s="3">
        <v>2754281.0</v>
      </c>
      <c r="E15" s="3" t="s">
        <v>39</v>
      </c>
      <c r="F15" s="3">
        <v>970060.0</v>
      </c>
      <c r="G15" s="3" t="s">
        <v>40</v>
      </c>
      <c r="H15" s="3" t="s">
        <v>41</v>
      </c>
      <c r="I15" s="3" t="s">
        <v>42</v>
      </c>
      <c r="J15" s="3" t="s">
        <v>26</v>
      </c>
      <c r="K15" s="3" t="s">
        <v>43</v>
      </c>
      <c r="L15" s="3" t="s">
        <v>46</v>
      </c>
      <c r="M15" s="3" t="s">
        <v>29</v>
      </c>
      <c r="N15" s="3">
        <v>13.0</v>
      </c>
      <c r="O15" s="3">
        <v>100.0</v>
      </c>
      <c r="P15" s="4">
        <v>167.43</v>
      </c>
      <c r="Q15" s="4">
        <v>21.77</v>
      </c>
      <c r="R15" s="3" t="s">
        <v>30</v>
      </c>
      <c r="S15" s="3" t="s">
        <v>31</v>
      </c>
    </row>
    <row r="16" ht="12.75" customHeight="1">
      <c r="A16" s="3">
        <v>2751038.0</v>
      </c>
      <c r="B16" s="3" t="s">
        <v>20</v>
      </c>
      <c r="C16" s="3" t="s">
        <v>38</v>
      </c>
      <c r="D16" s="3">
        <v>2754281.0</v>
      </c>
      <c r="E16" s="3" t="s">
        <v>39</v>
      </c>
      <c r="F16" s="3">
        <v>970060.0</v>
      </c>
      <c r="G16" s="3" t="s">
        <v>40</v>
      </c>
      <c r="H16" s="3" t="s">
        <v>41</v>
      </c>
      <c r="I16" s="3" t="s">
        <v>42</v>
      </c>
      <c r="J16" s="3" t="s">
        <v>26</v>
      </c>
      <c r="K16" s="3" t="s">
        <v>43</v>
      </c>
      <c r="L16" s="3" t="s">
        <v>47</v>
      </c>
      <c r="M16" s="3" t="s">
        <v>29</v>
      </c>
      <c r="N16" s="3">
        <v>8.0</v>
      </c>
      <c r="O16" s="3">
        <v>100.0</v>
      </c>
      <c r="P16" s="4">
        <v>33.8</v>
      </c>
      <c r="Q16" s="4">
        <v>2.7</v>
      </c>
      <c r="R16" s="3" t="s">
        <v>30</v>
      </c>
      <c r="S16" s="3" t="s">
        <v>31</v>
      </c>
    </row>
    <row r="17" ht="12.75" customHeight="1">
      <c r="A17" s="3">
        <v>2751038.0</v>
      </c>
      <c r="B17" s="3" t="s">
        <v>20</v>
      </c>
      <c r="C17" s="3" t="s">
        <v>38</v>
      </c>
      <c r="D17" s="3">
        <v>2754281.0</v>
      </c>
      <c r="E17" s="3" t="s">
        <v>39</v>
      </c>
      <c r="F17" s="3">
        <v>970060.0</v>
      </c>
      <c r="G17" s="3" t="s">
        <v>40</v>
      </c>
      <c r="H17" s="3" t="s">
        <v>41</v>
      </c>
      <c r="I17" s="3" t="s">
        <v>42</v>
      </c>
      <c r="J17" s="3" t="s">
        <v>26</v>
      </c>
      <c r="K17" s="3" t="s">
        <v>27</v>
      </c>
      <c r="L17" s="3" t="s">
        <v>28</v>
      </c>
      <c r="M17" s="3" t="s">
        <v>29</v>
      </c>
      <c r="N17" s="3">
        <v>8.0</v>
      </c>
      <c r="O17" s="3">
        <v>100.0</v>
      </c>
      <c r="P17" s="4">
        <v>117.16</v>
      </c>
      <c r="Q17" s="4">
        <v>9.37</v>
      </c>
      <c r="R17" s="3" t="s">
        <v>30</v>
      </c>
      <c r="S17" s="3" t="s">
        <v>31</v>
      </c>
    </row>
    <row r="18" ht="12.75" customHeight="1">
      <c r="A18" s="3">
        <v>2751038.0</v>
      </c>
      <c r="B18" s="3" t="s">
        <v>20</v>
      </c>
      <c r="C18" s="3" t="s">
        <v>38</v>
      </c>
      <c r="D18" s="3">
        <v>2754281.0</v>
      </c>
      <c r="E18" s="3" t="s">
        <v>39</v>
      </c>
      <c r="F18" s="3">
        <v>970060.0</v>
      </c>
      <c r="G18" s="3" t="s">
        <v>40</v>
      </c>
      <c r="H18" s="3" t="s">
        <v>41</v>
      </c>
      <c r="I18" s="3" t="s">
        <v>42</v>
      </c>
      <c r="J18" s="3" t="s">
        <v>26</v>
      </c>
      <c r="K18" s="3" t="s">
        <v>27</v>
      </c>
      <c r="L18" s="3" t="s">
        <v>44</v>
      </c>
      <c r="M18" s="3" t="s">
        <v>29</v>
      </c>
      <c r="N18" s="3">
        <v>13.0</v>
      </c>
      <c r="O18" s="3">
        <v>100.0</v>
      </c>
      <c r="P18" s="4">
        <v>272.63</v>
      </c>
      <c r="Q18" s="4">
        <v>35.44</v>
      </c>
      <c r="R18" s="3" t="s">
        <v>30</v>
      </c>
      <c r="S18" s="3" t="s">
        <v>31</v>
      </c>
    </row>
    <row r="19" ht="12.75" customHeight="1">
      <c r="A19" s="3">
        <v>2751038.0</v>
      </c>
      <c r="B19" s="3" t="s">
        <v>20</v>
      </c>
      <c r="C19" s="3" t="s">
        <v>38</v>
      </c>
      <c r="D19" s="3">
        <v>2754281.0</v>
      </c>
      <c r="E19" s="3" t="s">
        <v>39</v>
      </c>
      <c r="F19" s="3">
        <v>970060.0</v>
      </c>
      <c r="G19" s="3" t="s">
        <v>40</v>
      </c>
      <c r="H19" s="3" t="s">
        <v>41</v>
      </c>
      <c r="I19" s="3" t="s">
        <v>42</v>
      </c>
      <c r="J19" s="3" t="s">
        <v>26</v>
      </c>
      <c r="K19" s="3" t="s">
        <v>27</v>
      </c>
      <c r="L19" s="3" t="s">
        <v>45</v>
      </c>
      <c r="M19" s="3" t="s">
        <v>29</v>
      </c>
      <c r="N19" s="3">
        <v>13.0</v>
      </c>
      <c r="O19" s="3">
        <v>100.0</v>
      </c>
      <c r="P19" s="4">
        <v>231.09</v>
      </c>
      <c r="Q19" s="4">
        <v>30.04</v>
      </c>
      <c r="R19" s="3" t="s">
        <v>30</v>
      </c>
      <c r="S19" s="3" t="s">
        <v>31</v>
      </c>
    </row>
    <row r="20" ht="12.75" customHeight="1">
      <c r="A20" s="3">
        <v>2751038.0</v>
      </c>
      <c r="B20" s="3" t="s">
        <v>20</v>
      </c>
      <c r="C20" s="3" t="s">
        <v>38</v>
      </c>
      <c r="D20" s="3">
        <v>2754281.0</v>
      </c>
      <c r="E20" s="3" t="s">
        <v>39</v>
      </c>
      <c r="F20" s="3">
        <v>970060.0</v>
      </c>
      <c r="G20" s="3" t="s">
        <v>40</v>
      </c>
      <c r="H20" s="3" t="s">
        <v>41</v>
      </c>
      <c r="I20" s="3" t="s">
        <v>42</v>
      </c>
      <c r="J20" s="3" t="s">
        <v>26</v>
      </c>
      <c r="K20" s="3" t="s">
        <v>27</v>
      </c>
      <c r="L20" s="3" t="s">
        <v>46</v>
      </c>
      <c r="M20" s="3" t="s">
        <v>29</v>
      </c>
      <c r="N20" s="3">
        <v>13.0</v>
      </c>
      <c r="O20" s="3">
        <v>100.0</v>
      </c>
      <c r="P20" s="4">
        <v>167.43</v>
      </c>
      <c r="Q20" s="4">
        <v>21.77</v>
      </c>
      <c r="R20" s="3" t="s">
        <v>30</v>
      </c>
      <c r="S20" s="3" t="s">
        <v>31</v>
      </c>
    </row>
    <row r="21" ht="12.75" customHeight="1">
      <c r="A21" s="3">
        <v>2751038.0</v>
      </c>
      <c r="B21" s="3" t="s">
        <v>20</v>
      </c>
      <c r="C21" s="3" t="s">
        <v>38</v>
      </c>
      <c r="D21" s="3">
        <v>2754281.0</v>
      </c>
      <c r="E21" s="3" t="s">
        <v>39</v>
      </c>
      <c r="F21" s="3">
        <v>970060.0</v>
      </c>
      <c r="G21" s="3" t="s">
        <v>40</v>
      </c>
      <c r="H21" s="3" t="s">
        <v>41</v>
      </c>
      <c r="I21" s="3" t="s">
        <v>42</v>
      </c>
      <c r="J21" s="3" t="s">
        <v>26</v>
      </c>
      <c r="K21" s="3" t="s">
        <v>27</v>
      </c>
      <c r="L21" s="3" t="s">
        <v>47</v>
      </c>
      <c r="M21" s="3" t="s">
        <v>29</v>
      </c>
      <c r="N21" s="3">
        <v>8.0</v>
      </c>
      <c r="O21" s="3">
        <v>100.0</v>
      </c>
      <c r="P21" s="4">
        <v>33.8</v>
      </c>
      <c r="Q21" s="4">
        <v>2.7</v>
      </c>
      <c r="R21" s="3" t="s">
        <v>30</v>
      </c>
      <c r="S21" s="3" t="s">
        <v>31</v>
      </c>
    </row>
    <row r="22" ht="12.75" customHeight="1">
      <c r="A22" s="3" t="s">
        <v>30</v>
      </c>
      <c r="B22" s="3" t="s">
        <v>30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32</v>
      </c>
      <c r="Q22" s="4">
        <v>198.64</v>
      </c>
      <c r="R22" s="3" t="s">
        <v>30</v>
      </c>
      <c r="S22" s="3" t="s">
        <v>31</v>
      </c>
    </row>
    <row r="23" ht="12.75" customHeight="1">
      <c r="A23" s="3" t="s">
        <v>30</v>
      </c>
      <c r="B23" s="3" t="s">
        <v>30</v>
      </c>
      <c r="C23" s="3" t="s">
        <v>30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33</v>
      </c>
      <c r="Q23" s="4">
        <v>0.0</v>
      </c>
      <c r="R23" s="3" t="s">
        <v>30</v>
      </c>
      <c r="S23" s="3" t="s">
        <v>31</v>
      </c>
    </row>
    <row r="24" ht="12.75" customHeight="1">
      <c r="A24" s="3" t="s">
        <v>30</v>
      </c>
      <c r="B24" s="3" t="s">
        <v>30</v>
      </c>
      <c r="C24" s="3" t="s">
        <v>30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34</v>
      </c>
      <c r="Q24" s="4">
        <v>198.64</v>
      </c>
      <c r="R24" s="3" t="s">
        <v>30</v>
      </c>
      <c r="S24" s="3" t="s">
        <v>31</v>
      </c>
    </row>
    <row r="25" ht="12.75" customHeight="1">
      <c r="A25" s="3">
        <v>2751038.0</v>
      </c>
      <c r="B25" s="3" t="s">
        <v>20</v>
      </c>
      <c r="C25" s="3" t="s">
        <v>48</v>
      </c>
      <c r="D25" s="3">
        <v>2754602.0</v>
      </c>
      <c r="E25" s="3" t="s">
        <v>39</v>
      </c>
      <c r="F25" s="3">
        <v>972048.0</v>
      </c>
      <c r="G25" s="3" t="s">
        <v>49</v>
      </c>
      <c r="H25" s="3" t="s">
        <v>41</v>
      </c>
      <c r="I25" s="3" t="s">
        <v>50</v>
      </c>
      <c r="J25" s="3" t="s">
        <v>26</v>
      </c>
      <c r="K25" s="3" t="s">
        <v>27</v>
      </c>
      <c r="L25" s="3" t="s">
        <v>28</v>
      </c>
      <c r="M25" s="3" t="s">
        <v>29</v>
      </c>
      <c r="N25" s="3">
        <v>8.0</v>
      </c>
      <c r="O25" s="3">
        <v>100.0</v>
      </c>
      <c r="P25" s="4">
        <v>207.22</v>
      </c>
      <c r="Q25" s="4">
        <v>16.58</v>
      </c>
      <c r="R25" s="3" t="s">
        <v>30</v>
      </c>
      <c r="S25" s="3" t="s">
        <v>31</v>
      </c>
    </row>
    <row r="26" ht="12.75" customHeight="1">
      <c r="A26" s="3">
        <v>2751038.0</v>
      </c>
      <c r="B26" s="3" t="s">
        <v>20</v>
      </c>
      <c r="C26" s="3" t="s">
        <v>48</v>
      </c>
      <c r="D26" s="3">
        <v>2754602.0</v>
      </c>
      <c r="E26" s="3" t="s">
        <v>39</v>
      </c>
      <c r="F26" s="3">
        <v>972048.0</v>
      </c>
      <c r="G26" s="3" t="s">
        <v>49</v>
      </c>
      <c r="H26" s="3" t="s">
        <v>41</v>
      </c>
      <c r="I26" s="3" t="s">
        <v>50</v>
      </c>
      <c r="J26" s="3" t="s">
        <v>26</v>
      </c>
      <c r="K26" s="3" t="s">
        <v>27</v>
      </c>
      <c r="L26" s="3" t="s">
        <v>45</v>
      </c>
      <c r="M26" s="3" t="s">
        <v>29</v>
      </c>
      <c r="N26" s="3">
        <v>10.0</v>
      </c>
      <c r="O26" s="3">
        <v>100.0</v>
      </c>
      <c r="P26" s="4">
        <v>46.19</v>
      </c>
      <c r="Q26" s="4">
        <v>4.62</v>
      </c>
      <c r="R26" s="3" t="s">
        <v>30</v>
      </c>
      <c r="S26" s="3" t="s">
        <v>31</v>
      </c>
    </row>
    <row r="27" ht="12.75" customHeight="1">
      <c r="A27" s="3">
        <v>2751038.0</v>
      </c>
      <c r="B27" s="3" t="s">
        <v>20</v>
      </c>
      <c r="C27" s="3" t="s">
        <v>48</v>
      </c>
      <c r="D27" s="3">
        <v>2754602.0</v>
      </c>
      <c r="E27" s="3" t="s">
        <v>39</v>
      </c>
      <c r="F27" s="3">
        <v>972048.0</v>
      </c>
      <c r="G27" s="3" t="s">
        <v>49</v>
      </c>
      <c r="H27" s="3" t="s">
        <v>41</v>
      </c>
      <c r="I27" s="3" t="s">
        <v>50</v>
      </c>
      <c r="J27" s="3" t="s">
        <v>26</v>
      </c>
      <c r="K27" s="3" t="s">
        <v>27</v>
      </c>
      <c r="L27" s="3" t="s">
        <v>47</v>
      </c>
      <c r="M27" s="3" t="s">
        <v>29</v>
      </c>
      <c r="N27" s="3">
        <v>10.0</v>
      </c>
      <c r="O27" s="3">
        <v>100.0</v>
      </c>
      <c r="P27" s="4">
        <v>39.01</v>
      </c>
      <c r="Q27" s="4">
        <v>3.9</v>
      </c>
      <c r="R27" s="3" t="s">
        <v>30</v>
      </c>
      <c r="S27" s="3" t="s">
        <v>31</v>
      </c>
    </row>
    <row r="28" ht="12.75" customHeight="1">
      <c r="A28" s="3" t="s">
        <v>30</v>
      </c>
      <c r="B28" s="3" t="s">
        <v>30</v>
      </c>
      <c r="C28" s="3" t="s">
        <v>30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32</v>
      </c>
      <c r="Q28" s="4">
        <v>25.1</v>
      </c>
      <c r="R28" s="3" t="s">
        <v>30</v>
      </c>
      <c r="S28" s="3" t="s">
        <v>31</v>
      </c>
    </row>
    <row r="29" ht="12.75" customHeight="1">
      <c r="A29" s="3" t="s">
        <v>30</v>
      </c>
      <c r="B29" s="3" t="s">
        <v>30</v>
      </c>
      <c r="C29" s="3" t="s">
        <v>30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33</v>
      </c>
      <c r="Q29" s="4">
        <v>0.0</v>
      </c>
      <c r="R29" s="3" t="s">
        <v>30</v>
      </c>
      <c r="S29" s="3" t="s">
        <v>31</v>
      </c>
    </row>
    <row r="30" ht="12.75" customHeight="1">
      <c r="A30" s="3" t="s">
        <v>30</v>
      </c>
      <c r="B30" s="3" t="s">
        <v>30</v>
      </c>
      <c r="C30" s="3" t="s">
        <v>30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34</v>
      </c>
      <c r="Q30" s="4">
        <v>25.1</v>
      </c>
      <c r="R30" s="3" t="s">
        <v>30</v>
      </c>
      <c r="S30" s="3" t="s">
        <v>31</v>
      </c>
    </row>
    <row r="31" ht="12.75" customHeight="1">
      <c r="A31" s="3" t="s">
        <v>30</v>
      </c>
      <c r="B31" s="3" t="s">
        <v>30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35</v>
      </c>
      <c r="Q31" s="4">
        <v>223.74</v>
      </c>
      <c r="R31" s="3" t="s">
        <v>30</v>
      </c>
      <c r="S31" s="3" t="s">
        <v>31</v>
      </c>
    </row>
    <row r="32" ht="12.75" customHeight="1">
      <c r="A32" s="3" t="s">
        <v>30</v>
      </c>
      <c r="B32" s="3" t="s">
        <v>30</v>
      </c>
      <c r="C32" s="3" t="s">
        <v>30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36</v>
      </c>
      <c r="Q32" s="4">
        <v>0.0</v>
      </c>
      <c r="R32" s="3" t="s">
        <v>30</v>
      </c>
      <c r="S32" s="3" t="s">
        <v>31</v>
      </c>
    </row>
    <row r="33" ht="12.75" customHeight="1">
      <c r="A33" s="3" t="s">
        <v>30</v>
      </c>
      <c r="B33" s="3" t="s">
        <v>30</v>
      </c>
      <c r="C33" s="3" t="s">
        <v>30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37</v>
      </c>
      <c r="Q33" s="4">
        <v>223.74</v>
      </c>
      <c r="R33" s="3" t="s">
        <v>30</v>
      </c>
      <c r="S33" s="3" t="s">
        <v>31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1.0" footer="0.0" header="0.0" left="0.75" right="0.75" top="1.0"/>
  <pageSetup paperSize="9"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8.63"/>
    <col customWidth="1" min="3" max="3" width="14.88"/>
    <col customWidth="1" min="4" max="4" width="30.25"/>
    <col customWidth="1" min="5" max="5" width="8.63"/>
    <col customWidth="1" min="6" max="7" width="14.38"/>
    <col customWidth="1" min="8" max="9" width="8.63"/>
    <col customWidth="1" min="10" max="10" width="18.25"/>
    <col customWidth="1" min="11" max="11" width="8.63"/>
    <col customWidth="1" min="12" max="12" width="18.38"/>
    <col customWidth="1" min="13" max="26" width="8.63"/>
  </cols>
  <sheetData>
    <row r="1" ht="12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/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2.75" customHeight="1">
      <c r="A2" s="3">
        <v>2751038.0</v>
      </c>
      <c r="B2" s="3" t="s">
        <v>20</v>
      </c>
      <c r="C2" s="3" t="s">
        <v>48</v>
      </c>
      <c r="D2" s="3">
        <v>1.9396223E7</v>
      </c>
      <c r="E2" s="3" t="s">
        <v>39</v>
      </c>
      <c r="F2" s="3">
        <v>972048.0</v>
      </c>
      <c r="G2" s="3" t="str">
        <f>CONCATENATE(F2,11)</f>
        <v>97204811</v>
      </c>
      <c r="H2" s="3" t="s">
        <v>49</v>
      </c>
      <c r="I2" s="3" t="s">
        <v>41</v>
      </c>
      <c r="J2" s="3" t="s">
        <v>50</v>
      </c>
      <c r="K2" s="3" t="s">
        <v>26</v>
      </c>
      <c r="L2" s="3" t="s">
        <v>27</v>
      </c>
      <c r="M2" s="3" t="s">
        <v>47</v>
      </c>
      <c r="N2" s="3" t="s">
        <v>29</v>
      </c>
      <c r="O2" s="3">
        <v>10.0</v>
      </c>
      <c r="P2" s="3">
        <v>100.0</v>
      </c>
      <c r="Q2" s="4">
        <v>39.01</v>
      </c>
      <c r="R2" s="4">
        <v>3.9</v>
      </c>
      <c r="S2" s="5" t="s">
        <v>51</v>
      </c>
    </row>
    <row r="3" ht="12.75" customHeight="1">
      <c r="A3" s="3">
        <v>2751038.0</v>
      </c>
      <c r="B3" s="3" t="s">
        <v>20</v>
      </c>
      <c r="C3" s="3" t="s">
        <v>48</v>
      </c>
      <c r="D3" s="3">
        <v>1.9396223E7</v>
      </c>
      <c r="E3" s="3" t="s">
        <v>39</v>
      </c>
      <c r="F3" s="3">
        <v>972048.0</v>
      </c>
      <c r="G3" s="3" t="str">
        <f>CONCATENATE(F3,1)</f>
        <v>9720481</v>
      </c>
      <c r="H3" s="3" t="s">
        <v>49</v>
      </c>
      <c r="I3" s="3" t="s">
        <v>41</v>
      </c>
      <c r="J3" s="3" t="s">
        <v>50</v>
      </c>
      <c r="K3" s="3" t="s">
        <v>26</v>
      </c>
      <c r="L3" s="3" t="s">
        <v>27</v>
      </c>
      <c r="M3" s="3" t="s">
        <v>28</v>
      </c>
      <c r="N3" s="3" t="s">
        <v>29</v>
      </c>
      <c r="O3" s="3">
        <v>8.0</v>
      </c>
      <c r="P3" s="3">
        <v>100.0</v>
      </c>
      <c r="Q3" s="4">
        <v>207.22</v>
      </c>
      <c r="R3" s="4">
        <v>16.58</v>
      </c>
      <c r="S3" s="5" t="s">
        <v>52</v>
      </c>
    </row>
    <row r="4" ht="12.75" customHeight="1">
      <c r="A4" s="3">
        <v>2751038.0</v>
      </c>
      <c r="B4" s="3" t="s">
        <v>20</v>
      </c>
      <c r="C4" s="3" t="s">
        <v>48</v>
      </c>
      <c r="D4" s="3">
        <v>1.9396223E7</v>
      </c>
      <c r="E4" s="3" t="s">
        <v>39</v>
      </c>
      <c r="F4" s="3">
        <v>972048.0</v>
      </c>
      <c r="G4" s="3" t="str">
        <f>CONCATENATE(F4,22)</f>
        <v>97204822</v>
      </c>
      <c r="H4" s="3" t="s">
        <v>49</v>
      </c>
      <c r="I4" s="3" t="s">
        <v>41</v>
      </c>
      <c r="J4" s="3" t="s">
        <v>50</v>
      </c>
      <c r="K4" s="3" t="s">
        <v>26</v>
      </c>
      <c r="L4" s="3" t="s">
        <v>27</v>
      </c>
      <c r="M4" s="3" t="s">
        <v>45</v>
      </c>
      <c r="N4" s="3" t="s">
        <v>29</v>
      </c>
      <c r="O4" s="3">
        <v>10.0</v>
      </c>
      <c r="P4" s="3">
        <v>100.0</v>
      </c>
      <c r="Q4" s="4">
        <v>46.19</v>
      </c>
      <c r="R4" s="4">
        <v>4.62</v>
      </c>
      <c r="S4" s="5" t="s">
        <v>53</v>
      </c>
    </row>
    <row r="5" ht="12.75" customHeight="1">
      <c r="A5" s="3">
        <v>2751038.0</v>
      </c>
      <c r="B5" s="3" t="s">
        <v>20</v>
      </c>
      <c r="C5" s="3" t="s">
        <v>38</v>
      </c>
      <c r="D5" s="3">
        <v>8244481.0</v>
      </c>
      <c r="E5" s="3" t="s">
        <v>39</v>
      </c>
      <c r="F5" s="3">
        <v>970060.0</v>
      </c>
      <c r="G5" s="3" t="str">
        <f t="shared" ref="G5:G8" si="1">CONCATENATE(F5,1)</f>
        <v>9700601</v>
      </c>
      <c r="H5" s="3" t="s">
        <v>40</v>
      </c>
      <c r="I5" s="3" t="s">
        <v>41</v>
      </c>
      <c r="J5" s="3" t="s">
        <v>42</v>
      </c>
      <c r="K5" s="3" t="s">
        <v>26</v>
      </c>
      <c r="L5" s="3" t="s">
        <v>43</v>
      </c>
      <c r="M5" s="3" t="s">
        <v>28</v>
      </c>
      <c r="N5" s="3" t="s">
        <v>29</v>
      </c>
      <c r="O5" s="3">
        <v>8.0</v>
      </c>
      <c r="P5" s="3">
        <v>100.0</v>
      </c>
      <c r="Q5" s="4">
        <v>117.16</v>
      </c>
      <c r="R5" s="4">
        <v>9.37</v>
      </c>
      <c r="S5" s="5" t="s">
        <v>52</v>
      </c>
    </row>
    <row r="6" ht="12.75" customHeight="1">
      <c r="A6" s="3">
        <v>2751038.0</v>
      </c>
      <c r="B6" s="3" t="s">
        <v>20</v>
      </c>
      <c r="C6" s="3" t="s">
        <v>38</v>
      </c>
      <c r="D6" s="3">
        <v>8244481.0</v>
      </c>
      <c r="E6" s="3" t="s">
        <v>39</v>
      </c>
      <c r="F6" s="3">
        <v>970060.0</v>
      </c>
      <c r="G6" s="3" t="str">
        <f t="shared" si="1"/>
        <v>9700601</v>
      </c>
      <c r="H6" s="3" t="s">
        <v>40</v>
      </c>
      <c r="I6" s="3" t="s">
        <v>41</v>
      </c>
      <c r="J6" s="3" t="s">
        <v>42</v>
      </c>
      <c r="K6" s="3" t="s">
        <v>26</v>
      </c>
      <c r="L6" s="3" t="s">
        <v>27</v>
      </c>
      <c r="M6" s="3" t="s">
        <v>28</v>
      </c>
      <c r="N6" s="3" t="s">
        <v>29</v>
      </c>
      <c r="O6" s="3">
        <v>8.0</v>
      </c>
      <c r="P6" s="3">
        <v>100.0</v>
      </c>
      <c r="Q6" s="4">
        <v>117.16</v>
      </c>
      <c r="R6" s="4">
        <v>9.37</v>
      </c>
      <c r="S6" s="5" t="s">
        <v>52</v>
      </c>
    </row>
    <row r="7" ht="12.75" customHeight="1">
      <c r="A7" s="3">
        <v>2751038.0</v>
      </c>
      <c r="B7" s="3" t="s">
        <v>20</v>
      </c>
      <c r="C7" s="3" t="s">
        <v>38</v>
      </c>
      <c r="D7" s="3">
        <v>8244481.0</v>
      </c>
      <c r="E7" s="3" t="s">
        <v>39</v>
      </c>
      <c r="F7" s="3">
        <v>970060.0</v>
      </c>
      <c r="G7" s="3" t="str">
        <f t="shared" si="1"/>
        <v>9700601</v>
      </c>
      <c r="H7" s="3" t="s">
        <v>40</v>
      </c>
      <c r="I7" s="3" t="s">
        <v>41</v>
      </c>
      <c r="J7" s="3" t="s">
        <v>42</v>
      </c>
      <c r="K7" s="3" t="s">
        <v>26</v>
      </c>
      <c r="L7" s="3" t="s">
        <v>43</v>
      </c>
      <c r="M7" s="3" t="s">
        <v>47</v>
      </c>
      <c r="N7" s="3" t="s">
        <v>29</v>
      </c>
      <c r="O7" s="3">
        <v>8.0</v>
      </c>
      <c r="P7" s="3">
        <v>100.0</v>
      </c>
      <c r="Q7" s="4">
        <v>33.8</v>
      </c>
      <c r="R7" s="4">
        <v>2.7</v>
      </c>
      <c r="S7" s="5" t="s">
        <v>52</v>
      </c>
    </row>
    <row r="8" ht="12.75" customHeight="1">
      <c r="A8" s="3">
        <v>2751038.0</v>
      </c>
      <c r="B8" s="3" t="s">
        <v>20</v>
      </c>
      <c r="C8" s="3" t="s">
        <v>38</v>
      </c>
      <c r="D8" s="3">
        <v>8244481.0</v>
      </c>
      <c r="E8" s="3" t="s">
        <v>39</v>
      </c>
      <c r="F8" s="3">
        <v>970060.0</v>
      </c>
      <c r="G8" s="3" t="str">
        <f t="shared" si="1"/>
        <v>9700601</v>
      </c>
      <c r="H8" s="3" t="s">
        <v>40</v>
      </c>
      <c r="I8" s="3" t="s">
        <v>41</v>
      </c>
      <c r="J8" s="3" t="s">
        <v>42</v>
      </c>
      <c r="K8" s="3" t="s">
        <v>26</v>
      </c>
      <c r="L8" s="3" t="s">
        <v>27</v>
      </c>
      <c r="M8" s="3" t="s">
        <v>47</v>
      </c>
      <c r="N8" s="3" t="s">
        <v>29</v>
      </c>
      <c r="O8" s="3">
        <v>8.0</v>
      </c>
      <c r="P8" s="3">
        <v>100.0</v>
      </c>
      <c r="Q8" s="4">
        <v>33.8</v>
      </c>
      <c r="R8" s="4">
        <v>2.7</v>
      </c>
      <c r="S8" s="5" t="s">
        <v>52</v>
      </c>
    </row>
    <row r="9" ht="12.75" customHeight="1">
      <c r="A9" s="3">
        <v>2751038.0</v>
      </c>
      <c r="B9" s="3" t="s">
        <v>20</v>
      </c>
      <c r="C9" s="3" t="s">
        <v>38</v>
      </c>
      <c r="D9" s="3">
        <v>8244481.0</v>
      </c>
      <c r="E9" s="3" t="s">
        <v>39</v>
      </c>
      <c r="F9" s="3">
        <v>970060.0</v>
      </c>
      <c r="G9" s="3" t="str">
        <f t="shared" ref="G9:G14" si="2">CONCATENATE(F9,13)</f>
        <v>97006013</v>
      </c>
      <c r="H9" s="3" t="s">
        <v>40</v>
      </c>
      <c r="I9" s="3" t="s">
        <v>41</v>
      </c>
      <c r="J9" s="3" t="s">
        <v>42</v>
      </c>
      <c r="K9" s="3" t="s">
        <v>26</v>
      </c>
      <c r="L9" s="3" t="s">
        <v>43</v>
      </c>
      <c r="M9" s="3" t="s">
        <v>45</v>
      </c>
      <c r="N9" s="3" t="s">
        <v>29</v>
      </c>
      <c r="O9" s="3">
        <v>13.0</v>
      </c>
      <c r="P9" s="3">
        <v>100.0</v>
      </c>
      <c r="Q9" s="4">
        <v>231.09</v>
      </c>
      <c r="R9" s="4">
        <v>30.04</v>
      </c>
      <c r="S9" s="5" t="s">
        <v>54</v>
      </c>
    </row>
    <row r="10" ht="12.75" customHeight="1">
      <c r="A10" s="3">
        <v>2751038.0</v>
      </c>
      <c r="B10" s="3" t="s">
        <v>20</v>
      </c>
      <c r="C10" s="3" t="s">
        <v>38</v>
      </c>
      <c r="D10" s="3">
        <v>8244481.0</v>
      </c>
      <c r="E10" s="3" t="s">
        <v>39</v>
      </c>
      <c r="F10" s="3">
        <v>970060.0</v>
      </c>
      <c r="G10" s="3" t="str">
        <f t="shared" si="2"/>
        <v>97006013</v>
      </c>
      <c r="H10" s="3" t="s">
        <v>40</v>
      </c>
      <c r="I10" s="3" t="s">
        <v>41</v>
      </c>
      <c r="J10" s="3" t="s">
        <v>42</v>
      </c>
      <c r="K10" s="3" t="s">
        <v>26</v>
      </c>
      <c r="L10" s="3" t="s">
        <v>27</v>
      </c>
      <c r="M10" s="3" t="s">
        <v>45</v>
      </c>
      <c r="N10" s="3" t="s">
        <v>29</v>
      </c>
      <c r="O10" s="3">
        <v>13.0</v>
      </c>
      <c r="P10" s="3">
        <v>100.0</v>
      </c>
      <c r="Q10" s="4">
        <v>231.09</v>
      </c>
      <c r="R10" s="4">
        <v>30.04</v>
      </c>
      <c r="S10" s="5" t="s">
        <v>54</v>
      </c>
    </row>
    <row r="11" ht="12.75" customHeight="1">
      <c r="A11" s="3">
        <v>2751038.0</v>
      </c>
      <c r="B11" s="3" t="s">
        <v>20</v>
      </c>
      <c r="C11" s="3" t="s">
        <v>38</v>
      </c>
      <c r="D11" s="3">
        <v>8244481.0</v>
      </c>
      <c r="E11" s="3" t="s">
        <v>39</v>
      </c>
      <c r="F11" s="3">
        <v>970060.0</v>
      </c>
      <c r="G11" s="3" t="str">
        <f t="shared" si="2"/>
        <v>97006013</v>
      </c>
      <c r="H11" s="3" t="s">
        <v>40</v>
      </c>
      <c r="I11" s="3" t="s">
        <v>41</v>
      </c>
      <c r="J11" s="3" t="s">
        <v>42</v>
      </c>
      <c r="K11" s="3" t="s">
        <v>26</v>
      </c>
      <c r="L11" s="3" t="s">
        <v>43</v>
      </c>
      <c r="M11" s="3" t="s">
        <v>44</v>
      </c>
      <c r="N11" s="3" t="s">
        <v>29</v>
      </c>
      <c r="O11" s="3">
        <v>13.0</v>
      </c>
      <c r="P11" s="3">
        <v>100.0</v>
      </c>
      <c r="Q11" s="4">
        <v>272.63</v>
      </c>
      <c r="R11" s="4">
        <v>35.44</v>
      </c>
      <c r="S11" s="5" t="s">
        <v>54</v>
      </c>
    </row>
    <row r="12" ht="12.75" customHeight="1">
      <c r="A12" s="3">
        <v>2751038.0</v>
      </c>
      <c r="B12" s="3" t="s">
        <v>20</v>
      </c>
      <c r="C12" s="3" t="s">
        <v>38</v>
      </c>
      <c r="D12" s="3">
        <v>8244481.0</v>
      </c>
      <c r="E12" s="3" t="s">
        <v>39</v>
      </c>
      <c r="F12" s="3">
        <v>970060.0</v>
      </c>
      <c r="G12" s="3" t="str">
        <f t="shared" si="2"/>
        <v>97006013</v>
      </c>
      <c r="H12" s="3" t="s">
        <v>40</v>
      </c>
      <c r="I12" s="3" t="s">
        <v>41</v>
      </c>
      <c r="J12" s="3" t="s">
        <v>42</v>
      </c>
      <c r="K12" s="3" t="s">
        <v>26</v>
      </c>
      <c r="L12" s="3" t="s">
        <v>27</v>
      </c>
      <c r="M12" s="3" t="s">
        <v>44</v>
      </c>
      <c r="N12" s="3" t="s">
        <v>29</v>
      </c>
      <c r="O12" s="3">
        <v>13.0</v>
      </c>
      <c r="P12" s="3">
        <v>100.0</v>
      </c>
      <c r="Q12" s="4">
        <v>272.63</v>
      </c>
      <c r="R12" s="4">
        <v>35.44</v>
      </c>
      <c r="S12" s="5" t="s">
        <v>54</v>
      </c>
    </row>
    <row r="13" ht="12.75" customHeight="1">
      <c r="A13" s="3">
        <v>2751038.0</v>
      </c>
      <c r="B13" s="3" t="s">
        <v>20</v>
      </c>
      <c r="C13" s="3" t="s">
        <v>38</v>
      </c>
      <c r="D13" s="3">
        <v>8244481.0</v>
      </c>
      <c r="E13" s="3" t="s">
        <v>39</v>
      </c>
      <c r="F13" s="3">
        <v>970060.0</v>
      </c>
      <c r="G13" s="3" t="str">
        <f t="shared" si="2"/>
        <v>97006013</v>
      </c>
      <c r="H13" s="3" t="s">
        <v>40</v>
      </c>
      <c r="I13" s="3" t="s">
        <v>41</v>
      </c>
      <c r="J13" s="3" t="s">
        <v>42</v>
      </c>
      <c r="K13" s="3" t="s">
        <v>26</v>
      </c>
      <c r="L13" s="3" t="s">
        <v>43</v>
      </c>
      <c r="M13" s="3" t="s">
        <v>46</v>
      </c>
      <c r="N13" s="3" t="s">
        <v>29</v>
      </c>
      <c r="O13" s="3">
        <v>13.0</v>
      </c>
      <c r="P13" s="3">
        <v>100.0</v>
      </c>
      <c r="Q13" s="4">
        <v>167.43</v>
      </c>
      <c r="R13" s="4">
        <v>21.77</v>
      </c>
      <c r="S13" s="5" t="s">
        <v>54</v>
      </c>
    </row>
    <row r="14" ht="12.75" customHeight="1">
      <c r="A14" s="3">
        <v>2751038.0</v>
      </c>
      <c r="B14" s="3" t="s">
        <v>20</v>
      </c>
      <c r="C14" s="3" t="s">
        <v>38</v>
      </c>
      <c r="D14" s="3">
        <v>8244481.0</v>
      </c>
      <c r="E14" s="3" t="s">
        <v>39</v>
      </c>
      <c r="F14" s="3">
        <v>970060.0</v>
      </c>
      <c r="G14" s="3" t="str">
        <f t="shared" si="2"/>
        <v>97006013</v>
      </c>
      <c r="H14" s="3" t="s">
        <v>40</v>
      </c>
      <c r="I14" s="3" t="s">
        <v>41</v>
      </c>
      <c r="J14" s="3" t="s">
        <v>42</v>
      </c>
      <c r="K14" s="3" t="s">
        <v>26</v>
      </c>
      <c r="L14" s="3" t="s">
        <v>27</v>
      </c>
      <c r="M14" s="3" t="s">
        <v>46</v>
      </c>
      <c r="N14" s="3" t="s">
        <v>29</v>
      </c>
      <c r="O14" s="3">
        <v>13.0</v>
      </c>
      <c r="P14" s="3">
        <v>100.0</v>
      </c>
      <c r="Q14" s="4">
        <v>167.43</v>
      </c>
      <c r="R14" s="4">
        <v>21.77</v>
      </c>
      <c r="S14" s="5" t="s">
        <v>54</v>
      </c>
    </row>
    <row r="15" ht="12.75" customHeight="1">
      <c r="A15" s="3">
        <v>2751038.0</v>
      </c>
      <c r="B15" s="3" t="s">
        <v>20</v>
      </c>
      <c r="C15" s="3" t="s">
        <v>21</v>
      </c>
      <c r="D15" s="3">
        <v>1.5278437E7</v>
      </c>
      <c r="E15" s="3" t="s">
        <v>22</v>
      </c>
      <c r="F15" s="3">
        <v>960573.0</v>
      </c>
      <c r="G15" s="3" t="str">
        <f>CONCATENATE(F15,1)</f>
        <v>9605731</v>
      </c>
      <c r="H15" s="3" t="s">
        <v>23</v>
      </c>
      <c r="I15" s="3" t="s">
        <v>24</v>
      </c>
      <c r="J15" s="3" t="s">
        <v>25</v>
      </c>
      <c r="K15" s="3" t="s">
        <v>26</v>
      </c>
      <c r="L15" s="3" t="s">
        <v>27</v>
      </c>
      <c r="M15" s="3" t="s">
        <v>28</v>
      </c>
      <c r="N15" s="3" t="s">
        <v>29</v>
      </c>
      <c r="O15" s="3">
        <v>8.0</v>
      </c>
      <c r="P15" s="3">
        <v>100.0</v>
      </c>
      <c r="Q15" s="4">
        <v>106.91</v>
      </c>
      <c r="R15" s="4">
        <v>8.55</v>
      </c>
      <c r="S15" s="5" t="s">
        <v>52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2025-07-17T18:20:34Z</dcterms:created>
  <dc:creator>Loula Irene Cabel</dc:creator>
</cp:coreProperties>
</file>