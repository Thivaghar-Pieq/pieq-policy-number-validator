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Amerihealth 08-22-25 Ritter\"/>
    </mc:Choice>
  </mc:AlternateContent>
  <xr:revisionPtr revIDLastSave="0" documentId="13_ncr:1_{95E57392-3AF2-4498-9EB6-56E604B7EE53}" xr6:coauthVersionLast="47" xr6:coauthVersionMax="47" xr10:uidLastSave="{00000000-0000-0000-0000-000000000000}"/>
  <bookViews>
    <workbookView xWindow="-57720" yWindow="-45" windowWidth="29040" windowHeight="15720" activeTab="1" xr2:uid="{EF93681B-46E0-4C06-982F-4AF0097308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E2" i="2"/>
  <c r="E6" i="2"/>
  <c r="E7" i="2"/>
  <c r="E8" i="2"/>
  <c r="E3" i="2"/>
  <c r="E9" i="2"/>
  <c r="E4" i="2"/>
  <c r="E5" i="2"/>
</calcChain>
</file>

<file path=xl/sharedStrings.xml><?xml version="1.0" encoding="utf-8"?>
<sst xmlns="http://schemas.openxmlformats.org/spreadsheetml/2006/main" count="109" uniqueCount="30">
  <si>
    <t>Amerihealth Caritas U65 2025 DE, NC, SC (ProRata: 1) Premium Period: 7/1/2025</t>
  </si>
  <si>
    <t>AmeriHealth Caritas Next U65</t>
  </si>
  <si>
    <t>Jones</t>
  </si>
  <si>
    <t>Monica</t>
  </si>
  <si>
    <t>Adam Richter</t>
  </si>
  <si>
    <t>Lopez</t>
  </si>
  <si>
    <t>Abigail</t>
  </si>
  <si>
    <t>Gregory Teipel</t>
  </si>
  <si>
    <t>Thomas</t>
  </si>
  <si>
    <t>Hocherl</t>
  </si>
  <si>
    <t>Michael</t>
  </si>
  <si>
    <t>Joy</t>
  </si>
  <si>
    <t>Keicher</t>
  </si>
  <si>
    <t>Stephen</t>
  </si>
  <si>
    <t>Amerihealth Caritas U65 2025 DE, NC, SC (ProRata: -1) Premium Period: 1/1/2025</t>
  </si>
  <si>
    <t>Dalessandro</t>
  </si>
  <si>
    <t>Aiden</t>
  </si>
  <si>
    <t>Albert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</si>
  <si>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</si>
  <si>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</si>
  <si>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</si>
  <si>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</si>
  <si>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</si>
  <si>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</si>
  <si>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</si>
  <si>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</si>
  <si>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</si>
  <si>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</si>
  <si>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</si>
  <si>
    <t>Amerihealth DE,NC,SC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</si>
</sst>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14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E53D-D91D-43F8-ACE4-227D34421B58}">
  <dimension ref="A1:K9"/>
  <sheetViews>
    <sheetView workbookViewId="0">
      <selection activeCell="A9" sqref="A9"/>
    </sheetView>
  </sheetViews>
  <sheetFormatPr defaultRowHeight="15" x14ac:dyDescent="0.25"/>
  <cols>
    <col min="1" max="1" width="14.140625" bestFit="1" customWidth="1"/>
    <col min="3" max="3" width="11.5703125" bestFit="1" customWidth="1"/>
    <col min="5" max="5" width="11.85546875" bestFit="1" customWidth="1"/>
    <col min="6" max="6" width="15.7109375" bestFit="1" customWidth="1"/>
    <col min="7" max="7" width="11.85546875" bestFit="1" customWidth="1"/>
    <col min="8" max="8" width="14.7109375" bestFit="1" customWidth="1"/>
    <col min="9" max="9" width="27.7109375" bestFit="1" customWidth="1"/>
    <col min="10" max="10" width="73.28515625" bestFit="1" customWidth="1"/>
  </cols>
  <sheetData>
    <row r="1" spans="1:11" x14ac:dyDescent="0.25">
      <c r="A1" s="1" t="s">
        <v>28</v>
      </c>
      <c r="B1" s="1" t="s">
        <v>27</v>
      </c>
      <c r="C1" s="1" t="s">
        <v>26</v>
      </c>
      <c r="D1" s="1" t="s">
        <v>25</v>
      </c>
      <c r="E1" s="1" t="s">
        <v>24</v>
      </c>
      <c r="F1" s="1" t="s">
        <v>23</v>
      </c>
      <c r="G1" s="1" t="s">
        <v>22</v>
      </c>
      <c r="H1" s="1" t="s">
        <v>21</v>
      </c>
      <c r="I1" s="1" t="s">
        <v>20</v>
      </c>
      <c r="J1" s="1" t="s">
        <v>19</v>
      </c>
      <c r="K1" s="1" t="s">
        <v>18</v>
      </c>
    </row>
    <row r="2" spans="1:11" x14ac:dyDescent="0.25">
      <c r="A2" s="1" t="s">
        <v>7</v>
      </c>
      <c r="B2" s="1"/>
      <c r="C2" s="1">
        <v>8307933</v>
      </c>
      <c r="D2" s="1" t="s">
        <v>17</v>
      </c>
      <c r="E2" s="1" t="s">
        <v>5</v>
      </c>
      <c r="F2" s="1">
        <v>67010497001</v>
      </c>
      <c r="G2" s="1">
        <v>45658</v>
      </c>
      <c r="H2" s="1">
        <v>45891</v>
      </c>
      <c r="I2" s="1" t="s">
        <v>1</v>
      </c>
      <c r="J2" s="1" t="s">
        <v>0</v>
      </c>
      <c r="K2" s="1">
        <v>28</v>
      </c>
    </row>
    <row r="3" spans="1:11" x14ac:dyDescent="0.25">
      <c r="A3" s="1" t="s">
        <v>4</v>
      </c>
      <c r="B3" s="1"/>
      <c r="C3" s="1">
        <v>9079571</v>
      </c>
      <c r="D3" s="1" t="s">
        <v>16</v>
      </c>
      <c r="E3" s="1" t="s">
        <v>15</v>
      </c>
      <c r="F3" s="1">
        <v>67006730301</v>
      </c>
      <c r="G3" s="1">
        <v>45658</v>
      </c>
      <c r="H3" s="1">
        <v>45891</v>
      </c>
      <c r="I3" s="1" t="s">
        <v>1</v>
      </c>
      <c r="J3" s="1" t="s">
        <v>14</v>
      </c>
      <c r="K3" s="1">
        <v>-28</v>
      </c>
    </row>
    <row r="4" spans="1:11" x14ac:dyDescent="0.25">
      <c r="A4" s="1" t="s">
        <v>7</v>
      </c>
      <c r="B4" s="1"/>
      <c r="C4" s="1">
        <v>8307933</v>
      </c>
      <c r="D4" s="1" t="s">
        <v>13</v>
      </c>
      <c r="E4" s="1" t="s">
        <v>12</v>
      </c>
      <c r="F4" s="1">
        <v>67009353500</v>
      </c>
      <c r="G4" s="1">
        <v>45658</v>
      </c>
      <c r="H4" s="1">
        <v>45891</v>
      </c>
      <c r="I4" s="1" t="s">
        <v>1</v>
      </c>
      <c r="J4" s="1" t="s">
        <v>0</v>
      </c>
      <c r="K4" s="1">
        <v>28</v>
      </c>
    </row>
    <row r="5" spans="1:11" x14ac:dyDescent="0.25">
      <c r="A5" s="1" t="s">
        <v>7</v>
      </c>
      <c r="B5" s="1"/>
      <c r="C5" s="1">
        <v>8307933</v>
      </c>
      <c r="D5" s="1" t="s">
        <v>11</v>
      </c>
      <c r="E5" s="1" t="s">
        <v>5</v>
      </c>
      <c r="F5" s="1">
        <v>67010497000</v>
      </c>
      <c r="G5" s="1">
        <v>45658</v>
      </c>
      <c r="H5" s="1">
        <v>45891</v>
      </c>
      <c r="I5" s="1" t="s">
        <v>1</v>
      </c>
      <c r="J5" s="1" t="s">
        <v>0</v>
      </c>
      <c r="K5" s="1">
        <v>28</v>
      </c>
    </row>
    <row r="6" spans="1:11" x14ac:dyDescent="0.25">
      <c r="A6" s="1" t="s">
        <v>7</v>
      </c>
      <c r="B6" s="1"/>
      <c r="C6" s="1">
        <v>8307933</v>
      </c>
      <c r="D6" s="1" t="s">
        <v>10</v>
      </c>
      <c r="E6" s="1" t="s">
        <v>9</v>
      </c>
      <c r="F6" s="1">
        <v>67000928300</v>
      </c>
      <c r="G6" s="1">
        <v>45658</v>
      </c>
      <c r="H6" s="1">
        <v>45891</v>
      </c>
      <c r="I6" s="1" t="s">
        <v>1</v>
      </c>
      <c r="J6" s="1" t="s">
        <v>0</v>
      </c>
      <c r="K6" s="1">
        <v>28</v>
      </c>
    </row>
    <row r="7" spans="1:11" x14ac:dyDescent="0.25">
      <c r="A7" s="1" t="s">
        <v>4</v>
      </c>
      <c r="B7" s="1"/>
      <c r="C7" s="1">
        <v>9079571</v>
      </c>
      <c r="D7" s="1" t="s">
        <v>8</v>
      </c>
      <c r="E7" s="1" t="s">
        <v>2</v>
      </c>
      <c r="F7" s="1">
        <v>67006441700</v>
      </c>
      <c r="G7" s="1">
        <v>45658</v>
      </c>
      <c r="H7" s="1">
        <v>45891</v>
      </c>
      <c r="I7" s="1" t="s">
        <v>1</v>
      </c>
      <c r="J7" s="1" t="s">
        <v>0</v>
      </c>
      <c r="K7" s="1">
        <v>28</v>
      </c>
    </row>
    <row r="8" spans="1:11" x14ac:dyDescent="0.25">
      <c r="A8" s="1" t="s">
        <v>7</v>
      </c>
      <c r="B8" s="1"/>
      <c r="C8" s="1">
        <v>8307933</v>
      </c>
      <c r="D8" s="1" t="s">
        <v>6</v>
      </c>
      <c r="E8" s="1" t="s">
        <v>5</v>
      </c>
      <c r="F8" s="1">
        <v>67010500000</v>
      </c>
      <c r="G8" s="1">
        <v>45658</v>
      </c>
      <c r="H8" s="1">
        <v>45891</v>
      </c>
      <c r="I8" s="1" t="s">
        <v>1</v>
      </c>
      <c r="J8" s="1" t="s">
        <v>0</v>
      </c>
      <c r="K8" s="1">
        <v>28</v>
      </c>
    </row>
    <row r="9" spans="1:11" x14ac:dyDescent="0.25">
      <c r="A9" s="1" t="s">
        <v>4</v>
      </c>
      <c r="B9" s="1"/>
      <c r="C9" s="1">
        <v>9079571</v>
      </c>
      <c r="D9" s="1" t="s">
        <v>3</v>
      </c>
      <c r="E9" s="1" t="s">
        <v>2</v>
      </c>
      <c r="F9" s="1">
        <v>67006441701</v>
      </c>
      <c r="G9" s="1">
        <v>45658</v>
      </c>
      <c r="H9" s="1">
        <v>45891</v>
      </c>
      <c r="I9" s="1" t="s">
        <v>1</v>
      </c>
      <c r="J9" s="1" t="s">
        <v>0</v>
      </c>
      <c r="K9" s="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7718-7577-4589-B065-78A252E356DB}">
  <dimension ref="A1:M9"/>
  <sheetViews>
    <sheetView tabSelected="1" workbookViewId="0">
      <selection activeCell="G8" sqref="G8"/>
    </sheetView>
  </sheetViews>
  <sheetFormatPr defaultRowHeight="15" x14ac:dyDescent="0.25"/>
  <cols>
    <col min="1" max="1" width="14.140625" bestFit="1" customWidth="1"/>
    <col min="2" max="2" width="11.5703125" bestFit="1" customWidth="1"/>
    <col min="4" max="4" width="11.85546875" bestFit="1" customWidth="1"/>
    <col min="5" max="5" width="17.85546875" bestFit="1" customWidth="1"/>
    <col min="6" max="6" width="15.7109375" bestFit="1" customWidth="1"/>
    <col min="7" max="7" width="15.7109375" customWidth="1"/>
    <col min="8" max="8" width="11.85546875" style="3" bestFit="1" customWidth="1"/>
    <col min="9" max="9" width="14.7109375" style="3" bestFit="1" customWidth="1"/>
    <col min="10" max="10" width="27.7109375" bestFit="1" customWidth="1"/>
    <col min="11" max="11" width="73.28515625" bestFit="1" customWidth="1"/>
    <col min="12" max="12" width="15.7109375" bestFit="1" customWidth="1"/>
  </cols>
  <sheetData>
    <row r="1" spans="1:13" x14ac:dyDescent="0.25">
      <c r="A1" s="1" t="s">
        <v>28</v>
      </c>
      <c r="B1" s="1" t="s">
        <v>26</v>
      </c>
      <c r="C1" s="1" t="s">
        <v>25</v>
      </c>
      <c r="D1" s="1" t="s">
        <v>24</v>
      </c>
      <c r="E1" s="1"/>
      <c r="F1" s="1" t="s">
        <v>23</v>
      </c>
      <c r="G1" s="1"/>
      <c r="H1" s="2" t="s">
        <v>22</v>
      </c>
      <c r="I1" s="2" t="s">
        <v>21</v>
      </c>
      <c r="J1" s="1" t="s">
        <v>20</v>
      </c>
      <c r="K1" s="1" t="s">
        <v>19</v>
      </c>
      <c r="L1" s="1" t="s">
        <v>18</v>
      </c>
    </row>
    <row r="2" spans="1:13" x14ac:dyDescent="0.25">
      <c r="A2" s="1" t="s">
        <v>4</v>
      </c>
      <c r="B2" s="1">
        <v>9079571</v>
      </c>
      <c r="C2" s="1" t="s">
        <v>16</v>
      </c>
      <c r="D2" s="1" t="s">
        <v>15</v>
      </c>
      <c r="E2" s="1" t="str">
        <f t="shared" ref="E2:E9" si="0">CONCATENATE(C2, " ",D2)</f>
        <v>Aiden Dalessandro</v>
      </c>
      <c r="F2" s="1">
        <v>67006730301</v>
      </c>
      <c r="G2" s="1" t="str">
        <f>CONCATENATE(F2,3)</f>
        <v>670067303013</v>
      </c>
      <c r="H2" s="2">
        <v>45658</v>
      </c>
      <c r="I2" s="2">
        <v>45891</v>
      </c>
      <c r="J2" s="1" t="s">
        <v>1</v>
      </c>
      <c r="K2" s="1" t="s">
        <v>14</v>
      </c>
      <c r="L2" s="1">
        <v>-28</v>
      </c>
      <c r="M2" t="s">
        <v>29</v>
      </c>
    </row>
    <row r="3" spans="1:13" x14ac:dyDescent="0.25">
      <c r="A3" s="1" t="s">
        <v>4</v>
      </c>
      <c r="B3" s="1">
        <v>9079571</v>
      </c>
      <c r="C3" s="1" t="s">
        <v>8</v>
      </c>
      <c r="D3" s="1" t="s">
        <v>2</v>
      </c>
      <c r="E3" s="1" t="str">
        <f t="shared" si="0"/>
        <v>Thomas Jones</v>
      </c>
      <c r="F3" s="1">
        <v>67006441700</v>
      </c>
      <c r="G3" s="1" t="str">
        <f t="shared" ref="G3:G9" si="1">CONCATENATE(F3,3)</f>
        <v>670064417003</v>
      </c>
      <c r="H3" s="2">
        <v>45658</v>
      </c>
      <c r="I3" s="2">
        <v>45891</v>
      </c>
      <c r="J3" s="1" t="s">
        <v>1</v>
      </c>
      <c r="K3" s="1" t="s">
        <v>0</v>
      </c>
      <c r="L3" s="1">
        <v>28</v>
      </c>
      <c r="M3" t="s">
        <v>29</v>
      </c>
    </row>
    <row r="4" spans="1:13" x14ac:dyDescent="0.25">
      <c r="A4" s="1" t="s">
        <v>4</v>
      </c>
      <c r="B4" s="1">
        <v>9079571</v>
      </c>
      <c r="C4" s="1" t="s">
        <v>3</v>
      </c>
      <c r="D4" s="1" t="s">
        <v>2</v>
      </c>
      <c r="E4" s="1" t="str">
        <f t="shared" si="0"/>
        <v>Monica Jones</v>
      </c>
      <c r="F4" s="1">
        <v>67006441701</v>
      </c>
      <c r="G4" s="1" t="str">
        <f t="shared" si="1"/>
        <v>670064417013</v>
      </c>
      <c r="H4" s="2">
        <v>45658</v>
      </c>
      <c r="I4" s="2">
        <v>45891</v>
      </c>
      <c r="J4" s="1" t="s">
        <v>1</v>
      </c>
      <c r="K4" s="1" t="s">
        <v>0</v>
      </c>
      <c r="L4" s="1">
        <v>28</v>
      </c>
      <c r="M4" t="s">
        <v>29</v>
      </c>
    </row>
    <row r="5" spans="1:13" x14ac:dyDescent="0.25">
      <c r="A5" s="1" t="s">
        <v>7</v>
      </c>
      <c r="B5" s="1">
        <v>8307933</v>
      </c>
      <c r="C5" s="1" t="s">
        <v>17</v>
      </c>
      <c r="D5" s="1" t="s">
        <v>5</v>
      </c>
      <c r="E5" s="1" t="str">
        <f t="shared" si="0"/>
        <v>Albert Lopez</v>
      </c>
      <c r="F5" s="1">
        <v>67010497001</v>
      </c>
      <c r="G5" s="1" t="str">
        <f t="shared" si="1"/>
        <v>670104970013</v>
      </c>
      <c r="H5" s="2">
        <v>45658</v>
      </c>
      <c r="I5" s="2">
        <v>45891</v>
      </c>
      <c r="J5" s="1" t="s">
        <v>1</v>
      </c>
      <c r="K5" s="1" t="s">
        <v>0</v>
      </c>
      <c r="L5" s="1">
        <v>28</v>
      </c>
      <c r="M5" t="s">
        <v>29</v>
      </c>
    </row>
    <row r="6" spans="1:13" x14ac:dyDescent="0.25">
      <c r="A6" s="1" t="s">
        <v>7</v>
      </c>
      <c r="B6" s="1">
        <v>8307933</v>
      </c>
      <c r="C6" s="1" t="s">
        <v>13</v>
      </c>
      <c r="D6" s="1" t="s">
        <v>12</v>
      </c>
      <c r="E6" s="1" t="str">
        <f t="shared" si="0"/>
        <v>Stephen Keicher</v>
      </c>
      <c r="F6" s="1">
        <v>67009353500</v>
      </c>
      <c r="G6" s="1" t="str">
        <f t="shared" si="1"/>
        <v>670093535003</v>
      </c>
      <c r="H6" s="2">
        <v>45658</v>
      </c>
      <c r="I6" s="2">
        <v>45891</v>
      </c>
      <c r="J6" s="1" t="s">
        <v>1</v>
      </c>
      <c r="K6" s="1" t="s">
        <v>0</v>
      </c>
      <c r="L6" s="1">
        <v>28</v>
      </c>
      <c r="M6" t="s">
        <v>29</v>
      </c>
    </row>
    <row r="7" spans="1:13" x14ac:dyDescent="0.25">
      <c r="A7" s="1" t="s">
        <v>7</v>
      </c>
      <c r="B7" s="1">
        <v>8307933</v>
      </c>
      <c r="C7" s="1" t="s">
        <v>11</v>
      </c>
      <c r="D7" s="1" t="s">
        <v>5</v>
      </c>
      <c r="E7" s="1" t="str">
        <f t="shared" si="0"/>
        <v>Joy Lopez</v>
      </c>
      <c r="F7" s="1">
        <v>67010497000</v>
      </c>
      <c r="G7" s="1" t="str">
        <f t="shared" si="1"/>
        <v>670104970003</v>
      </c>
      <c r="H7" s="2">
        <v>45658</v>
      </c>
      <c r="I7" s="2">
        <v>45891</v>
      </c>
      <c r="J7" s="1" t="s">
        <v>1</v>
      </c>
      <c r="K7" s="1" t="s">
        <v>0</v>
      </c>
      <c r="L7" s="1">
        <v>28</v>
      </c>
      <c r="M7" t="s">
        <v>29</v>
      </c>
    </row>
    <row r="8" spans="1:13" x14ac:dyDescent="0.25">
      <c r="A8" s="1" t="s">
        <v>7</v>
      </c>
      <c r="B8" s="1">
        <v>8307933</v>
      </c>
      <c r="C8" s="1" t="s">
        <v>10</v>
      </c>
      <c r="D8" s="1" t="s">
        <v>9</v>
      </c>
      <c r="E8" s="1" t="str">
        <f t="shared" si="0"/>
        <v>Michael Hocherl</v>
      </c>
      <c r="F8" s="1">
        <v>67000928300</v>
      </c>
      <c r="G8" s="1" t="str">
        <f t="shared" si="1"/>
        <v>670009283003</v>
      </c>
      <c r="H8" s="2">
        <v>45658</v>
      </c>
      <c r="I8" s="2">
        <v>45891</v>
      </c>
      <c r="J8" s="1" t="s">
        <v>1</v>
      </c>
      <c r="K8" s="1" t="s">
        <v>0</v>
      </c>
      <c r="L8" s="1">
        <v>28</v>
      </c>
      <c r="M8" t="s">
        <v>29</v>
      </c>
    </row>
    <row r="9" spans="1:13" x14ac:dyDescent="0.25">
      <c r="A9" s="1" t="s">
        <v>7</v>
      </c>
      <c r="B9" s="1">
        <v>8307933</v>
      </c>
      <c r="C9" s="1" t="s">
        <v>6</v>
      </c>
      <c r="D9" s="1" t="s">
        <v>5</v>
      </c>
      <c r="E9" s="1" t="str">
        <f t="shared" si="0"/>
        <v>Abigail Lopez</v>
      </c>
      <c r="F9" s="1">
        <v>67010500000</v>
      </c>
      <c r="G9" s="1" t="str">
        <f t="shared" si="1"/>
        <v>670105000003</v>
      </c>
      <c r="H9" s="2">
        <v>45658</v>
      </c>
      <c r="I9" s="2">
        <v>45891</v>
      </c>
      <c r="J9" s="1" t="s">
        <v>1</v>
      </c>
      <c r="K9" s="1" t="s">
        <v>0</v>
      </c>
      <c r="L9" s="1">
        <v>28</v>
      </c>
      <c r="M9" t="s">
        <v>29</v>
      </c>
    </row>
  </sheetData>
  <sortState xmlns:xlrd2="http://schemas.microsoft.com/office/spreadsheetml/2017/richdata2" ref="A2:M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2025-08-22T19:49:34Z</dcterms:created>
  <dcterms:modified xsi:type="dcterms:W3CDTF">2025-08-28T12:53:47Z</dcterms:modified>
</cp:coreProperties>
</file>