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edical Mutual Senior\2026\February\"/>
    </mc:Choice>
  </mc:AlternateContent>
  <xr:revisionPtr revIDLastSave="0" documentId="13_ncr:1_{7ACDFCE6-CB64-477A-9BEF-CC2C15F16652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  <extLst>
    <ext uri="GoogleSheetsCustomDataVersion2">
      <go:sheetsCustomData xmlns:go="http://customooxmlschemas.google.com/" r:id="rId5" roundtripDataChecksum="xnbVFsmlfhpqTOmY7VX3DjBl4uaejUHhHRH1wU0It28="/>
    </ext>
  </extLst>
</workbook>
</file>

<file path=xl/calcChain.xml><?xml version="1.0" encoding="utf-8"?>
<calcChain xmlns="http://schemas.openxmlformats.org/spreadsheetml/2006/main">
  <c r="F23" i="2" l="1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K34" i="2"/>
  <c r="K25" i="2"/>
  <c r="K26" i="2"/>
  <c r="K27" i="2"/>
  <c r="K28" i="2"/>
  <c r="K29" i="2"/>
  <c r="K30" i="2"/>
  <c r="K31" i="2"/>
  <c r="K32" i="2"/>
  <c r="K33" i="2"/>
  <c r="K24" i="2"/>
</calcChain>
</file>

<file path=xl/sharedStrings.xml><?xml version="1.0" encoding="utf-8"?>
<sst xmlns="http://schemas.openxmlformats.org/spreadsheetml/2006/main" count="297" uniqueCount="103">
  <si>
    <t>Individual - Indemnity Business</t>
  </si>
  <si>
    <t>Indemnity</t>
  </si>
  <si>
    <t xml:space="preserve">
Producer Name</t>
  </si>
  <si>
    <t xml:space="preserve">
Group Name</t>
  </si>
  <si>
    <t>Group 
Number</t>
  </si>
  <si>
    <t>Type of 
Business</t>
  </si>
  <si>
    <t xml:space="preserve">
Split %</t>
  </si>
  <si>
    <t>Split  
Premium</t>
  </si>
  <si>
    <t xml:space="preserve">
Commission</t>
  </si>
  <si>
    <t>STEVEN BRANDT</t>
  </si>
  <si>
    <t>STEVEN K BRANDT</t>
  </si>
  <si>
    <t>C64807_H</t>
  </si>
  <si>
    <t>Critical Ill</t>
  </si>
  <si>
    <t xml:space="preserve">Total Individual - Indemnity Business  </t>
  </si>
  <si>
    <t>Total Base Commission</t>
  </si>
  <si>
    <t>Detailed Commission Statement</t>
  </si>
  <si>
    <t>MAIN LINE BENEFITS LLC_10_MA</t>
  </si>
  <si>
    <t>For Period: February 2026</t>
  </si>
  <si>
    <t xml:space="preserve">Summary </t>
  </si>
  <si>
    <t>BASE COMMISSIONS</t>
  </si>
  <si>
    <t>SUBTOTAL</t>
  </si>
  <si>
    <t>TOTAL AMOUNT PAID</t>
  </si>
  <si>
    <t>Medicare Advantage</t>
  </si>
  <si>
    <t>Health</t>
  </si>
  <si>
    <t xml:space="preserve">
Member Name</t>
  </si>
  <si>
    <t xml:space="preserve">Policy Holder </t>
  </si>
  <si>
    <t>Effective Date</t>
  </si>
  <si>
    <t xml:space="preserve">
Commission </t>
  </si>
  <si>
    <t>NATHAN WELLER</t>
  </si>
  <si>
    <t>EDWARD G TRIMMER</t>
  </si>
  <si>
    <t>6277111</t>
  </si>
  <si>
    <t>RONNA M JOHNSON</t>
  </si>
  <si>
    <t>6236016</t>
  </si>
  <si>
    <t>RYAN SHEPARD</t>
  </si>
  <si>
    <t>MARY T CUSICK</t>
  </si>
  <si>
    <t>6220011</t>
  </si>
  <si>
    <t>NANCY L RUESCHMAN</t>
  </si>
  <si>
    <t>6224756</t>
  </si>
  <si>
    <t>WENDY L VONDUHN</t>
  </si>
  <si>
    <t>6284921</t>
  </si>
  <si>
    <t>CINDY L LEACH</t>
  </si>
  <si>
    <t>6213383</t>
  </si>
  <si>
    <t>JEFF L SCOTT</t>
  </si>
  <si>
    <t>6210817</t>
  </si>
  <si>
    <t>JOHN J ABSHIRE</t>
  </si>
  <si>
    <t>6218056</t>
  </si>
  <si>
    <t>JOHN U WILSON JR</t>
  </si>
  <si>
    <t>6212568</t>
  </si>
  <si>
    <t>KAREN B RAUSCH</t>
  </si>
  <si>
    <t>6215141</t>
  </si>
  <si>
    <t>KAREN D ABSHIRE</t>
  </si>
  <si>
    <t>6218054</t>
  </si>
  <si>
    <t>KURT D LARKIN</t>
  </si>
  <si>
    <t>6238104</t>
  </si>
  <si>
    <t>LINDA M BUTSKO</t>
  </si>
  <si>
    <t>6224965</t>
  </si>
  <si>
    <t>PAM F WILSON</t>
  </si>
  <si>
    <t>6210872</t>
  </si>
  <si>
    <t>REBECCA F HILL</t>
  </si>
  <si>
    <t>6239247</t>
  </si>
  <si>
    <t>ROBERT W SMITH</t>
  </si>
  <si>
    <t>6138508</t>
  </si>
  <si>
    <t>SHARON N SMITH</t>
  </si>
  <si>
    <t>6233105</t>
  </si>
  <si>
    <t>TAMMY D HAYWOOD</t>
  </si>
  <si>
    <t>6225460</t>
  </si>
  <si>
    <t>TAMMY J WILHELM</t>
  </si>
  <si>
    <t>6241874</t>
  </si>
  <si>
    <t>TAMMY L VANATTA</t>
  </si>
  <si>
    <t>6231397</t>
  </si>
  <si>
    <t>THERESA J MCFARLAND</t>
  </si>
  <si>
    <t>6220305</t>
  </si>
  <si>
    <t>TIMOTHY G ZAHLER</t>
  </si>
  <si>
    <t>6209348</t>
  </si>
  <si>
    <t>WILLIAM J BUTSKO</t>
  </si>
  <si>
    <t>6155654</t>
  </si>
  <si>
    <t xml:space="preserve">Total Medicare Advantage  </t>
  </si>
  <si>
    <t>Medicare Supplement</t>
  </si>
  <si>
    <t>Policy 
Age</t>
  </si>
  <si>
    <t>JENNIFER HALSAVER</t>
  </si>
  <si>
    <t>GEORGE MELLEN</t>
  </si>
  <si>
    <t>C48377_H</t>
  </si>
  <si>
    <t>JEFFREY GAUL</t>
  </si>
  <si>
    <t>C61905_H</t>
  </si>
  <si>
    <t>CATHERINE LOTTIG</t>
  </si>
  <si>
    <t>C93413_H</t>
  </si>
  <si>
    <t>GARY WHISENHUNT</t>
  </si>
  <si>
    <t>C95953_H</t>
  </si>
  <si>
    <t>JANET ROTH</t>
  </si>
  <si>
    <t>C83629_H</t>
  </si>
  <si>
    <t>JEANE NOBLETT</t>
  </si>
  <si>
    <t>C83690_H</t>
  </si>
  <si>
    <t>JOANN WAGNER</t>
  </si>
  <si>
    <t>C85198_H</t>
  </si>
  <si>
    <t>SUZANNE MALONEY</t>
  </si>
  <si>
    <t>C86006_H</t>
  </si>
  <si>
    <t>THOMAS CLARKE</t>
  </si>
  <si>
    <t>C52332_H</t>
  </si>
  <si>
    <t xml:space="preserve">Total Medicare Supplement  </t>
  </si>
  <si>
    <t>Medical Mutual All Plans New</t>
  </si>
  <si>
    <t>Medical Mutual Extend</t>
  </si>
  <si>
    <t>Medical Mutual 2026*</t>
  </si>
  <si>
    <t>[%/$=347][prorate=1/12]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</si>
</sst>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[$%-409]"/>
    <numFmt numFmtId="165" formatCode="[$$-409]#,##0.00_);\([$$-409]#,##0.00\)"/>
    <numFmt numFmtId="166" formatCode="[$$-409]#,##0.00"/>
    <numFmt numFmtId="167" formatCode="mm\/dd\/yyyy"/>
  </numFmts>
  <fonts count="2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rgb="FF5A5A5A"/>
      <name val="Helvetica Neue"/>
    </font>
    <font>
      <sz val="11"/>
      <name val="Calibri"/>
      <family val="2"/>
    </font>
    <font>
      <b/>
      <sz val="10"/>
      <color rgb="FFFFFFFF"/>
      <name val="Palatino Linotype"/>
      <family val="1"/>
    </font>
    <font>
      <sz val="10"/>
      <color rgb="FFFFFFFF"/>
      <name val="Arial"/>
      <family val="2"/>
    </font>
    <font>
      <sz val="8"/>
      <color rgb="FF000000"/>
      <name val="Arial"/>
      <family val="2"/>
    </font>
    <font>
      <sz val="8"/>
      <color rgb="FF000000"/>
      <name val="Helvetica Neue"/>
    </font>
    <font>
      <b/>
      <sz val="9"/>
      <color rgb="FF414042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Helvetica Neue"/>
    </font>
    <font>
      <b/>
      <sz val="14"/>
      <color rgb="FF038675"/>
      <name val="Palatino Linotype"/>
      <family val="1"/>
    </font>
    <font>
      <b/>
      <sz val="12"/>
      <color rgb="FF038675"/>
      <name val="Palatino Linotype"/>
      <family val="1"/>
    </font>
    <font>
      <b/>
      <sz val="11"/>
      <color rgb="FF414042"/>
      <name val="Arial"/>
      <family val="2"/>
    </font>
    <font>
      <sz val="10"/>
      <color rgb="FF000000"/>
      <name val="Arial"/>
      <family val="2"/>
    </font>
    <font>
      <b/>
      <sz val="10"/>
      <color rgb="FF414042"/>
      <name val="Arial"/>
      <family val="2"/>
    </font>
    <font>
      <sz val="11"/>
      <color theme="1"/>
      <name val="Arial"/>
      <family val="2"/>
    </font>
    <font>
      <b/>
      <sz val="11"/>
      <color rgb="FF5A5A5A"/>
      <name val="Helvetica Neue"/>
    </font>
    <font>
      <b/>
      <sz val="11"/>
      <color rgb="FFFFFFFF"/>
      <name val="Palatino Linotype"/>
      <family val="1"/>
    </font>
    <font>
      <sz val="11"/>
      <color rgb="FFFFFFFF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Helvetica Neue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08285"/>
        <bgColor rgb="FF808285"/>
      </patternFill>
    </fill>
    <fill>
      <patternFill patternType="solid">
        <fgColor rgb="FF038675"/>
        <bgColor rgb="FF038675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23" fillId="0" borderId="0" applyFont="0" applyFill="0" applyBorder="0" applyAlignment="0" applyProtection="0"/>
  </cellStyleXfs>
  <cellXfs count="62">
    <xf numFmtId="0" fontId="0" fillId="0" borderId="0" xfId="0"/>
    <xf numFmtId="0" fontId="6" fillId="0" borderId="0" xfId="0" applyFont="1" applyAlignment="1">
      <alignment horizontal="left" vertical="top"/>
    </xf>
    <xf numFmtId="0" fontId="16" fillId="0" borderId="0" xfId="0" applyFont="1" applyAlignment="1">
      <alignment vertical="top"/>
    </xf>
    <xf numFmtId="0" fontId="16" fillId="0" borderId="0" xfId="0" applyFont="1"/>
    <xf numFmtId="165" fontId="16" fillId="0" borderId="0" xfId="0" applyNumberFormat="1" applyFont="1" applyAlignment="1">
      <alignment vertical="top"/>
    </xf>
    <xf numFmtId="0" fontId="20" fillId="0" borderId="0" xfId="0" applyFont="1" applyAlignment="1">
      <alignment vertical="top"/>
    </xf>
    <xf numFmtId="0" fontId="3" fillId="0" borderId="11" xfId="0" applyFont="1" applyBorder="1"/>
    <xf numFmtId="0" fontId="3" fillId="0" borderId="9" xfId="0" applyFont="1" applyBorder="1"/>
    <xf numFmtId="165" fontId="20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167" fontId="6" fillId="0" borderId="0" xfId="0" applyNumberFormat="1" applyFont="1" applyAlignment="1">
      <alignment vertical="top"/>
    </xf>
    <xf numFmtId="165" fontId="6" fillId="0" borderId="0" xfId="0" applyNumberFormat="1" applyFont="1" applyAlignment="1">
      <alignment vertical="top"/>
    </xf>
    <xf numFmtId="0" fontId="5" fillId="4" borderId="7" xfId="0" applyFont="1" applyFill="1" applyBorder="1" applyAlignment="1">
      <alignment vertical="top" wrapText="1"/>
    </xf>
    <xf numFmtId="0" fontId="5" fillId="4" borderId="10" xfId="0" applyFont="1" applyFill="1" applyBorder="1" applyAlignment="1">
      <alignment vertical="top" wrapText="1"/>
    </xf>
    <xf numFmtId="164" fontId="7" fillId="0" borderId="0" xfId="0" applyNumberFormat="1" applyFont="1" applyAlignment="1">
      <alignment vertical="top"/>
    </xf>
    <xf numFmtId="9" fontId="0" fillId="0" borderId="0" xfId="1" applyFont="1" applyAlignment="1"/>
    <xf numFmtId="0" fontId="20" fillId="0" borderId="0" xfId="0" applyFont="1" applyAlignment="1">
      <alignment vertical="top"/>
    </xf>
    <xf numFmtId="0" fontId="0" fillId="0" borderId="0" xfId="0"/>
    <xf numFmtId="3" fontId="20" fillId="0" borderId="0" xfId="0" applyNumberFormat="1" applyFont="1" applyAlignment="1">
      <alignment horizontal="center" vertical="top"/>
    </xf>
    <xf numFmtId="164" fontId="20" fillId="0" borderId="0" xfId="0" applyNumberFormat="1" applyFont="1" applyAlignment="1">
      <alignment horizontal="center" vertical="top"/>
    </xf>
    <xf numFmtId="165" fontId="20" fillId="0" borderId="0" xfId="0" applyNumberFormat="1" applyFont="1" applyAlignment="1">
      <alignment horizontal="right" vertical="top"/>
    </xf>
    <xf numFmtId="0" fontId="12" fillId="0" borderId="0" xfId="0" applyFont="1" applyAlignment="1">
      <alignment vertical="top"/>
    </xf>
    <xf numFmtId="0" fontId="19" fillId="4" borderId="7" xfId="0" applyFont="1" applyFill="1" applyBorder="1" applyAlignment="1">
      <alignment horizontal="center" vertical="top" wrapText="1"/>
    </xf>
    <xf numFmtId="0" fontId="3" fillId="0" borderId="8" xfId="0" applyFont="1" applyBorder="1"/>
    <xf numFmtId="0" fontId="3" fillId="0" borderId="12" xfId="0" applyFont="1" applyBorder="1"/>
    <xf numFmtId="0" fontId="3" fillId="0" borderId="13" xfId="0" applyFont="1" applyBorder="1"/>
    <xf numFmtId="0" fontId="18" fillId="3" borderId="4" xfId="0" applyFont="1" applyFill="1" applyBorder="1" applyAlignment="1">
      <alignment vertical="top" wrapText="1"/>
    </xf>
    <xf numFmtId="0" fontId="3" fillId="0" borderId="5" xfId="0" applyFont="1" applyBorder="1"/>
    <xf numFmtId="0" fontId="3" fillId="0" borderId="6" xfId="0" applyFont="1" applyBorder="1"/>
    <xf numFmtId="0" fontId="3" fillId="0" borderId="9" xfId="0" applyFont="1" applyBorder="1"/>
    <xf numFmtId="0" fontId="3" fillId="0" borderId="14" xfId="0" applyFont="1" applyBorder="1"/>
    <xf numFmtId="0" fontId="19" fillId="4" borderId="10" xfId="0" applyFont="1" applyFill="1" applyBorder="1" applyAlignment="1">
      <alignment horizontal="center" vertical="top" wrapText="1"/>
    </xf>
    <xf numFmtId="0" fontId="3" fillId="0" borderId="15" xfId="0" applyFont="1" applyBorder="1"/>
    <xf numFmtId="0" fontId="3" fillId="0" borderId="11" xfId="0" applyFont="1" applyBorder="1"/>
    <xf numFmtId="0" fontId="3" fillId="0" borderId="16" xfId="0" applyFont="1" applyBorder="1"/>
    <xf numFmtId="0" fontId="21" fillId="3" borderId="4" xfId="0" applyFont="1" applyFill="1" applyBorder="1" applyAlignment="1">
      <alignment vertical="top" wrapText="1"/>
    </xf>
    <xf numFmtId="166" fontId="22" fillId="3" borderId="4" xfId="0" applyNumberFormat="1" applyFont="1" applyFill="1" applyBorder="1" applyAlignment="1">
      <alignment horizontal="right" vertical="top" wrapText="1"/>
    </xf>
    <xf numFmtId="0" fontId="8" fillId="0" borderId="0" xfId="0" applyFont="1" applyAlignment="1">
      <alignment vertical="top" wrapText="1"/>
    </xf>
    <xf numFmtId="165" fontId="8" fillId="0" borderId="0" xfId="0" applyNumberFormat="1" applyFont="1" applyAlignment="1">
      <alignment horizontal="right" vertical="top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0" fontId="17" fillId="2" borderId="1" xfId="0" applyFont="1" applyFill="1" applyBorder="1" applyAlignment="1">
      <alignment vertical="top" wrapText="1"/>
    </xf>
    <xf numFmtId="0" fontId="3" fillId="0" borderId="2" xfId="0" applyFont="1" applyBorder="1"/>
    <xf numFmtId="0" fontId="3" fillId="0" borderId="3" xfId="0" applyFont="1" applyBorder="1"/>
    <xf numFmtId="0" fontId="6" fillId="0" borderId="0" xfId="0" applyFont="1" applyAlignment="1">
      <alignment horizontal="left" vertical="top"/>
    </xf>
    <xf numFmtId="167" fontId="6" fillId="0" borderId="0" xfId="0" applyNumberFormat="1" applyFont="1" applyAlignment="1">
      <alignment horizontal="center" vertical="top"/>
    </xf>
    <xf numFmtId="165" fontId="6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4" fontId="15" fillId="0" borderId="0" xfId="0" applyNumberFormat="1" applyFont="1" applyAlignment="1">
      <alignment horizontal="right" vertical="top"/>
    </xf>
    <xf numFmtId="0" fontId="2" fillId="2" borderId="1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9" fillId="3" borderId="4" xfId="0" applyFont="1" applyFill="1" applyBorder="1" applyAlignment="1">
      <alignment horizontal="left" vertical="top" wrapText="1"/>
    </xf>
    <xf numFmtId="166" fontId="10" fillId="3" borderId="4" xfId="0" applyNumberFormat="1" applyFont="1" applyFill="1" applyBorder="1" applyAlignment="1">
      <alignment horizontal="right" vertical="top" wrapText="1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 wrapText="1"/>
    </xf>
    <xf numFmtId="4" fontId="14" fillId="0" borderId="0" xfId="0" applyNumberFormat="1" applyFont="1" applyAlignment="1">
      <alignment horizontal="right" vertical="top"/>
    </xf>
    <xf numFmtId="0" fontId="14" fillId="0" borderId="0" xfId="0" applyFont="1" applyAlignment="1">
      <alignment horizontal="left" vertical="top"/>
    </xf>
    <xf numFmtId="164" fontId="7" fillId="0" borderId="0" xfId="0" applyNumberFormat="1" applyFont="1" applyAlignment="1">
      <alignment horizontal="center" vertical="top"/>
    </xf>
    <xf numFmtId="0" fontId="5" fillId="4" borderId="7" xfId="0" applyFont="1" applyFill="1" applyBorder="1" applyAlignment="1">
      <alignment horizontal="center" vertical="top" wrapText="1"/>
    </xf>
    <xf numFmtId="0" fontId="5" fillId="4" borderId="10" xfId="0" applyFont="1" applyFill="1" applyBorder="1" applyAlignment="1">
      <alignment horizontal="center" vertical="top" wrapText="1"/>
    </xf>
    <xf numFmtId="0" fontId="1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NUL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3771900" cy="11430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37" workbookViewId="0">
      <selection activeCell="P32" sqref="P32"/>
    </sheetView>
  </sheetViews>
  <sheetFormatPr defaultColWidth="14.42578125" defaultRowHeight="15" customHeight="1"/>
  <cols>
    <col min="1" max="26" width="8.7109375" customWidth="1"/>
  </cols>
  <sheetData>
    <row r="1" spans="2:22" ht="14.25" customHeight="1"/>
    <row r="2" spans="2:22">
      <c r="B2" s="50" t="s">
        <v>0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3"/>
    </row>
    <row r="3" spans="2:22">
      <c r="B3" s="51" t="s">
        <v>1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8"/>
    </row>
    <row r="4" spans="2:22" ht="2.25" customHeight="1"/>
    <row r="5" spans="2:22">
      <c r="B5" s="59" t="s">
        <v>2</v>
      </c>
      <c r="C5" s="23"/>
      <c r="D5" s="59" t="s">
        <v>3</v>
      </c>
      <c r="E5" s="29"/>
      <c r="F5" s="23"/>
      <c r="G5" s="60" t="s">
        <v>4</v>
      </c>
      <c r="I5" s="59" t="s">
        <v>5</v>
      </c>
      <c r="J5" s="29"/>
      <c r="K5" s="29"/>
      <c r="L5" s="23"/>
      <c r="M5" s="59" t="s">
        <v>6</v>
      </c>
      <c r="N5" s="29"/>
      <c r="O5" s="23"/>
      <c r="P5" s="59" t="s">
        <v>7</v>
      </c>
      <c r="Q5" s="33"/>
      <c r="R5" s="59" t="s">
        <v>8</v>
      </c>
      <c r="S5" s="29"/>
      <c r="T5" s="33"/>
    </row>
    <row r="6" spans="2:22">
      <c r="B6" s="24"/>
      <c r="C6" s="25"/>
      <c r="D6" s="24"/>
      <c r="E6" s="30"/>
      <c r="F6" s="25"/>
      <c r="G6" s="32"/>
      <c r="I6" s="24"/>
      <c r="J6" s="30"/>
      <c r="K6" s="30"/>
      <c r="L6" s="25"/>
      <c r="M6" s="24"/>
      <c r="N6" s="30"/>
      <c r="O6" s="25"/>
      <c r="P6" s="24"/>
      <c r="Q6" s="34"/>
      <c r="R6" s="24"/>
      <c r="S6" s="30"/>
      <c r="T6" s="34"/>
    </row>
    <row r="7" spans="2:22" ht="2.25" customHeight="1"/>
    <row r="8" spans="2:22">
      <c r="B8" s="44" t="s">
        <v>9</v>
      </c>
      <c r="C8" s="17"/>
      <c r="D8" s="44" t="s">
        <v>10</v>
      </c>
      <c r="E8" s="17"/>
      <c r="F8" s="17"/>
      <c r="G8" s="1" t="s">
        <v>11</v>
      </c>
      <c r="H8" s="44" t="s">
        <v>12</v>
      </c>
      <c r="I8" s="17"/>
      <c r="J8" s="17"/>
      <c r="K8" s="17"/>
      <c r="L8" s="58">
        <v>100</v>
      </c>
      <c r="M8" s="17"/>
      <c r="N8" s="46">
        <v>18.546659999999999</v>
      </c>
      <c r="O8" s="17"/>
      <c r="Q8" s="46">
        <v>5.56</v>
      </c>
      <c r="R8" s="17"/>
    </row>
    <row r="9" spans="2:22">
      <c r="Q9" s="38">
        <v>5.56</v>
      </c>
      <c r="R9" s="17"/>
    </row>
    <row r="10" spans="2:22">
      <c r="B10" s="47" t="s">
        <v>13</v>
      </c>
      <c r="C10" s="17"/>
      <c r="D10" s="17"/>
      <c r="E10" s="17"/>
      <c r="F10" s="17"/>
      <c r="G10" s="17"/>
      <c r="H10" s="17"/>
      <c r="I10" s="17"/>
      <c r="J10" s="17"/>
      <c r="N10" s="38">
        <v>18.546659999999999</v>
      </c>
      <c r="O10" s="17"/>
      <c r="Q10" s="38">
        <v>5.56</v>
      </c>
      <c r="R10" s="17"/>
    </row>
    <row r="11" spans="2:22" ht="6" customHeight="1"/>
    <row r="12" spans="2:22">
      <c r="B12" s="52" t="s">
        <v>14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8"/>
      <c r="U12" s="53">
        <v>4998.5600000000004</v>
      </c>
      <c r="V12" s="28"/>
    </row>
    <row r="13" spans="2:22" ht="8.25" customHeight="1"/>
    <row r="14" spans="2:22" ht="40.5" customHeight="1"/>
    <row r="15" spans="2:22">
      <c r="J15" s="39" t="s">
        <v>15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2:22" ht="33.75" customHeight="1"/>
    <row r="17" spans="2:22" ht="18">
      <c r="B17" s="54" t="s">
        <v>16</v>
      </c>
      <c r="C17" s="17"/>
      <c r="D17" s="17"/>
      <c r="E17" s="17"/>
      <c r="F17" s="17"/>
      <c r="G17" s="17"/>
      <c r="H17" s="17"/>
      <c r="I17" s="17"/>
      <c r="J17" s="40" t="s">
        <v>17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2:22">
      <c r="E18" s="55" t="s">
        <v>18</v>
      </c>
      <c r="F18" s="17"/>
      <c r="G18" s="17"/>
      <c r="H18" s="17"/>
    </row>
    <row r="19" spans="2:22">
      <c r="E19" s="57" t="s">
        <v>19</v>
      </c>
      <c r="F19" s="17"/>
      <c r="G19" s="17"/>
      <c r="H19" s="17"/>
      <c r="I19" s="56">
        <v>992.92</v>
      </c>
      <c r="J19" s="17"/>
      <c r="K19" s="17"/>
      <c r="L19" s="17"/>
    </row>
    <row r="20" spans="2:22">
      <c r="E20" s="57" t="s">
        <v>20</v>
      </c>
      <c r="F20" s="17"/>
      <c r="G20" s="17"/>
      <c r="H20" s="17"/>
      <c r="I20" s="56">
        <v>992.92</v>
      </c>
      <c r="J20" s="17"/>
      <c r="K20" s="17"/>
      <c r="L20" s="17"/>
    </row>
    <row r="21" spans="2:22" ht="6.75" customHeight="1"/>
    <row r="22" spans="2:22" ht="15.75" customHeight="1">
      <c r="E22" s="48" t="s">
        <v>21</v>
      </c>
      <c r="F22" s="17"/>
      <c r="G22" s="17"/>
      <c r="H22" s="17"/>
      <c r="I22" s="49">
        <v>992.92</v>
      </c>
      <c r="J22" s="17"/>
      <c r="K22" s="17"/>
      <c r="L22" s="17"/>
    </row>
    <row r="23" spans="2:22" ht="14.25" customHeight="1"/>
    <row r="24" spans="2:22" ht="15.75" customHeight="1">
      <c r="B24" s="50" t="s">
        <v>22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3"/>
    </row>
    <row r="25" spans="2:22" ht="15.75" customHeight="1">
      <c r="B25" s="51" t="s">
        <v>23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8"/>
    </row>
    <row r="26" spans="2:22" ht="2.25" customHeight="1"/>
    <row r="27" spans="2:22" ht="15.75" customHeight="1">
      <c r="B27" s="59" t="s">
        <v>2</v>
      </c>
      <c r="C27" s="23"/>
      <c r="D27" s="59" t="s">
        <v>24</v>
      </c>
      <c r="E27" s="29"/>
      <c r="F27" s="23"/>
      <c r="G27" s="60" t="s">
        <v>25</v>
      </c>
      <c r="H27" s="59" t="s">
        <v>26</v>
      </c>
      <c r="I27" s="29"/>
      <c r="J27" s="29"/>
      <c r="K27" s="23"/>
      <c r="L27" s="59" t="s">
        <v>27</v>
      </c>
      <c r="M27" s="29"/>
      <c r="N27" s="33"/>
    </row>
    <row r="28" spans="2:22" ht="15.75" customHeight="1">
      <c r="B28" s="24"/>
      <c r="C28" s="25"/>
      <c r="D28" s="24"/>
      <c r="E28" s="30"/>
      <c r="F28" s="25"/>
      <c r="G28" s="32"/>
      <c r="H28" s="24"/>
      <c r="I28" s="30"/>
      <c r="J28" s="30"/>
      <c r="K28" s="25"/>
      <c r="L28" s="24"/>
      <c r="M28" s="30"/>
      <c r="N28" s="34"/>
    </row>
    <row r="29" spans="2:22" ht="0.75" customHeight="1"/>
    <row r="30" spans="2:22" ht="15.75" customHeight="1">
      <c r="B30" s="44" t="s">
        <v>28</v>
      </c>
      <c r="C30" s="17"/>
      <c r="D30" s="44" t="s">
        <v>29</v>
      </c>
      <c r="E30" s="17"/>
      <c r="F30" s="17"/>
      <c r="G30" s="1" t="s">
        <v>30</v>
      </c>
      <c r="H30" s="45">
        <v>45992</v>
      </c>
      <c r="I30" s="17"/>
      <c r="J30" s="17"/>
      <c r="K30" s="17"/>
      <c r="L30" s="46">
        <v>28.92</v>
      </c>
      <c r="M30" s="17"/>
      <c r="N30" s="17"/>
    </row>
    <row r="31" spans="2:22" ht="0.75" customHeight="1"/>
    <row r="32" spans="2:22" ht="15.75" customHeight="1">
      <c r="B32" s="44" t="s">
        <v>28</v>
      </c>
      <c r="C32" s="17"/>
      <c r="D32" s="44" t="s">
        <v>31</v>
      </c>
      <c r="E32" s="17"/>
      <c r="F32" s="17"/>
      <c r="G32" s="1" t="s">
        <v>32</v>
      </c>
      <c r="H32" s="45">
        <v>45658</v>
      </c>
      <c r="I32" s="17"/>
      <c r="J32" s="17"/>
      <c r="K32" s="17"/>
      <c r="L32" s="46">
        <v>28.92</v>
      </c>
      <c r="M32" s="17"/>
      <c r="N32" s="17"/>
    </row>
    <row r="33" spans="2:14" ht="0.75" customHeight="1"/>
    <row r="34" spans="2:14" ht="15.75" customHeight="1">
      <c r="B34" s="44" t="s">
        <v>33</v>
      </c>
      <c r="C34" s="17"/>
      <c r="D34" s="44" t="s">
        <v>34</v>
      </c>
      <c r="E34" s="17"/>
      <c r="F34" s="17"/>
      <c r="G34" s="1" t="s">
        <v>35</v>
      </c>
      <c r="H34" s="45">
        <v>45658</v>
      </c>
      <c r="I34" s="17"/>
      <c r="J34" s="17"/>
      <c r="K34" s="17"/>
      <c r="L34" s="46">
        <v>28.92</v>
      </c>
      <c r="M34" s="17"/>
      <c r="N34" s="17"/>
    </row>
    <row r="35" spans="2:14" ht="0.75" customHeight="1"/>
    <row r="36" spans="2:14" ht="15.75" customHeight="1">
      <c r="B36" s="44" t="s">
        <v>33</v>
      </c>
      <c r="C36" s="17"/>
      <c r="D36" s="44" t="s">
        <v>36</v>
      </c>
      <c r="E36" s="17"/>
      <c r="F36" s="17"/>
      <c r="G36" s="1" t="s">
        <v>37</v>
      </c>
      <c r="H36" s="45">
        <v>45658</v>
      </c>
      <c r="I36" s="17"/>
      <c r="J36" s="17"/>
      <c r="K36" s="17"/>
      <c r="L36" s="46">
        <v>28.92</v>
      </c>
      <c r="M36" s="17"/>
      <c r="N36" s="17"/>
    </row>
    <row r="37" spans="2:14" ht="0.75" customHeight="1"/>
    <row r="38" spans="2:14" ht="15.75" customHeight="1">
      <c r="B38" s="44" t="s">
        <v>33</v>
      </c>
      <c r="C38" s="17"/>
      <c r="D38" s="44" t="s">
        <v>38</v>
      </c>
      <c r="E38" s="17"/>
      <c r="F38" s="17"/>
      <c r="G38" s="1" t="s">
        <v>39</v>
      </c>
      <c r="H38" s="45">
        <v>46143</v>
      </c>
      <c r="I38" s="17"/>
      <c r="J38" s="17"/>
      <c r="K38" s="17"/>
      <c r="L38" s="46">
        <v>0</v>
      </c>
      <c r="M38" s="17"/>
      <c r="N38" s="17"/>
    </row>
    <row r="39" spans="2:14" ht="0.75" customHeight="1"/>
    <row r="40" spans="2:14" ht="15.75" customHeight="1">
      <c r="B40" s="44" t="s">
        <v>9</v>
      </c>
      <c r="C40" s="17"/>
      <c r="D40" s="44" t="s">
        <v>40</v>
      </c>
      <c r="E40" s="17"/>
      <c r="F40" s="17"/>
      <c r="G40" s="1" t="s">
        <v>41</v>
      </c>
      <c r="H40" s="45">
        <v>45658</v>
      </c>
      <c r="I40" s="17"/>
      <c r="J40" s="17"/>
      <c r="K40" s="17"/>
      <c r="L40" s="46">
        <v>28.92</v>
      </c>
      <c r="M40" s="17"/>
      <c r="N40" s="17"/>
    </row>
    <row r="41" spans="2:14" ht="0.75" customHeight="1"/>
    <row r="42" spans="2:14" ht="15.75" customHeight="1">
      <c r="B42" s="44" t="s">
        <v>9</v>
      </c>
      <c r="C42" s="17"/>
      <c r="D42" s="44" t="s">
        <v>42</v>
      </c>
      <c r="E42" s="17"/>
      <c r="F42" s="17"/>
      <c r="G42" s="1" t="s">
        <v>43</v>
      </c>
      <c r="H42" s="45">
        <v>45627</v>
      </c>
      <c r="I42" s="17"/>
      <c r="J42" s="17"/>
      <c r="K42" s="17"/>
      <c r="L42" s="46">
        <v>28.92</v>
      </c>
      <c r="M42" s="17"/>
      <c r="N42" s="17"/>
    </row>
    <row r="43" spans="2:14" ht="0.75" customHeight="1"/>
    <row r="44" spans="2:14" ht="15.75" customHeight="1">
      <c r="B44" s="44" t="s">
        <v>9</v>
      </c>
      <c r="C44" s="17"/>
      <c r="D44" s="44" t="s">
        <v>44</v>
      </c>
      <c r="E44" s="17"/>
      <c r="F44" s="17"/>
      <c r="G44" s="1" t="s">
        <v>45</v>
      </c>
      <c r="H44" s="45">
        <v>45658</v>
      </c>
      <c r="I44" s="17"/>
      <c r="J44" s="17"/>
      <c r="K44" s="17"/>
      <c r="L44" s="46">
        <v>28.92</v>
      </c>
      <c r="M44" s="17"/>
      <c r="N44" s="17"/>
    </row>
    <row r="45" spans="2:14" ht="0.75" customHeight="1"/>
    <row r="46" spans="2:14" ht="15.75" customHeight="1">
      <c r="B46" s="44" t="s">
        <v>9</v>
      </c>
      <c r="C46" s="17"/>
      <c r="D46" s="44" t="s">
        <v>46</v>
      </c>
      <c r="E46" s="17"/>
      <c r="F46" s="17"/>
      <c r="G46" s="1" t="s">
        <v>47</v>
      </c>
      <c r="H46" s="45">
        <v>45658</v>
      </c>
      <c r="I46" s="17"/>
      <c r="J46" s="17"/>
      <c r="K46" s="17"/>
      <c r="L46" s="46">
        <v>28.92</v>
      </c>
      <c r="M46" s="17"/>
      <c r="N46" s="17"/>
    </row>
    <row r="47" spans="2:14" ht="0.75" customHeight="1"/>
    <row r="48" spans="2:14" ht="15.75" customHeight="1">
      <c r="B48" s="44" t="s">
        <v>9</v>
      </c>
      <c r="C48" s="17"/>
      <c r="D48" s="44" t="s">
        <v>48</v>
      </c>
      <c r="E48" s="17"/>
      <c r="F48" s="17"/>
      <c r="G48" s="1" t="s">
        <v>49</v>
      </c>
      <c r="H48" s="45">
        <v>45658</v>
      </c>
      <c r="I48" s="17"/>
      <c r="J48" s="17"/>
      <c r="K48" s="17"/>
      <c r="L48" s="46">
        <v>28.92</v>
      </c>
      <c r="M48" s="17"/>
      <c r="N48" s="17"/>
    </row>
    <row r="49" spans="2:14" ht="0.75" customHeight="1"/>
    <row r="50" spans="2:14" ht="15.75" customHeight="1">
      <c r="B50" s="44" t="s">
        <v>9</v>
      </c>
      <c r="C50" s="17"/>
      <c r="D50" s="44" t="s">
        <v>50</v>
      </c>
      <c r="E50" s="17"/>
      <c r="F50" s="17"/>
      <c r="G50" s="1" t="s">
        <v>51</v>
      </c>
      <c r="H50" s="45">
        <v>45658</v>
      </c>
      <c r="I50" s="17"/>
      <c r="J50" s="17"/>
      <c r="K50" s="17"/>
      <c r="L50" s="46">
        <v>28.92</v>
      </c>
      <c r="M50" s="17"/>
      <c r="N50" s="17"/>
    </row>
    <row r="51" spans="2:14" ht="0.75" customHeight="1"/>
    <row r="52" spans="2:14" ht="15.75" customHeight="1">
      <c r="B52" s="44" t="s">
        <v>9</v>
      </c>
      <c r="C52" s="17"/>
      <c r="D52" s="44" t="s">
        <v>52</v>
      </c>
      <c r="E52" s="17"/>
      <c r="F52" s="17"/>
      <c r="G52" s="1" t="s">
        <v>53</v>
      </c>
      <c r="H52" s="45">
        <v>45627</v>
      </c>
      <c r="I52" s="17"/>
      <c r="J52" s="17"/>
      <c r="K52" s="17"/>
      <c r="L52" s="46">
        <v>28.92</v>
      </c>
      <c r="M52" s="17"/>
      <c r="N52" s="17"/>
    </row>
    <row r="53" spans="2:14" ht="0.75" customHeight="1"/>
    <row r="54" spans="2:14" ht="15.75" customHeight="1">
      <c r="B54" s="44" t="s">
        <v>9</v>
      </c>
      <c r="C54" s="17"/>
      <c r="D54" s="44" t="s">
        <v>54</v>
      </c>
      <c r="E54" s="17"/>
      <c r="F54" s="17"/>
      <c r="G54" s="1" t="s">
        <v>55</v>
      </c>
      <c r="H54" s="45">
        <v>45658</v>
      </c>
      <c r="I54" s="17"/>
      <c r="J54" s="17"/>
      <c r="K54" s="17"/>
      <c r="L54" s="46">
        <v>28.92</v>
      </c>
      <c r="M54" s="17"/>
      <c r="N54" s="17"/>
    </row>
    <row r="55" spans="2:14" ht="0.75" customHeight="1"/>
    <row r="56" spans="2:14" ht="15.75" customHeight="1">
      <c r="B56" s="44" t="s">
        <v>9</v>
      </c>
      <c r="C56" s="17"/>
      <c r="D56" s="44" t="s">
        <v>56</v>
      </c>
      <c r="E56" s="17"/>
      <c r="F56" s="17"/>
      <c r="G56" s="1" t="s">
        <v>57</v>
      </c>
      <c r="H56" s="45">
        <v>45597</v>
      </c>
      <c r="I56" s="17"/>
      <c r="J56" s="17"/>
      <c r="K56" s="17"/>
      <c r="L56" s="46">
        <v>28.92</v>
      </c>
      <c r="M56" s="17"/>
      <c r="N56" s="17"/>
    </row>
    <row r="57" spans="2:14" ht="0.75" customHeight="1"/>
    <row r="58" spans="2:14" ht="15.75" customHeight="1">
      <c r="B58" s="44" t="s">
        <v>9</v>
      </c>
      <c r="C58" s="17"/>
      <c r="D58" s="44" t="s">
        <v>58</v>
      </c>
      <c r="E58" s="17"/>
      <c r="F58" s="17"/>
      <c r="G58" s="1" t="s">
        <v>59</v>
      </c>
      <c r="H58" s="45">
        <v>45658</v>
      </c>
      <c r="I58" s="17"/>
      <c r="J58" s="17"/>
      <c r="K58" s="17"/>
      <c r="L58" s="46">
        <v>28.92</v>
      </c>
      <c r="M58" s="17"/>
      <c r="N58" s="17"/>
    </row>
    <row r="59" spans="2:14" ht="0.75" customHeight="1"/>
    <row r="60" spans="2:14" ht="15.75" customHeight="1">
      <c r="B60" s="44" t="s">
        <v>9</v>
      </c>
      <c r="C60" s="17"/>
      <c r="D60" s="44" t="s">
        <v>60</v>
      </c>
      <c r="E60" s="17"/>
      <c r="F60" s="17"/>
      <c r="G60" s="1" t="s">
        <v>61</v>
      </c>
      <c r="H60" s="45">
        <v>43101</v>
      </c>
      <c r="I60" s="17"/>
      <c r="J60" s="17"/>
      <c r="K60" s="17"/>
      <c r="L60" s="46">
        <v>28.92</v>
      </c>
      <c r="M60" s="17"/>
      <c r="N60" s="17"/>
    </row>
    <row r="61" spans="2:14" ht="0.75" customHeight="1"/>
    <row r="62" spans="2:14" ht="15.75" customHeight="1">
      <c r="B62" s="44" t="s">
        <v>9</v>
      </c>
      <c r="C62" s="17"/>
      <c r="D62" s="44" t="s">
        <v>62</v>
      </c>
      <c r="E62" s="17"/>
      <c r="F62" s="17"/>
      <c r="G62" s="1" t="s">
        <v>63</v>
      </c>
      <c r="H62" s="45">
        <v>45658</v>
      </c>
      <c r="I62" s="17"/>
      <c r="J62" s="17"/>
      <c r="K62" s="17"/>
      <c r="L62" s="46">
        <v>28.92</v>
      </c>
      <c r="M62" s="17"/>
      <c r="N62" s="17"/>
    </row>
    <row r="63" spans="2:14" ht="0.75" customHeight="1"/>
    <row r="64" spans="2:14" ht="15.75" customHeight="1">
      <c r="B64" s="44" t="s">
        <v>9</v>
      </c>
      <c r="C64" s="17"/>
      <c r="D64" s="44" t="s">
        <v>64</v>
      </c>
      <c r="E64" s="17"/>
      <c r="F64" s="17"/>
      <c r="G64" s="1" t="s">
        <v>65</v>
      </c>
      <c r="H64" s="45">
        <v>45597</v>
      </c>
      <c r="I64" s="17"/>
      <c r="J64" s="17"/>
      <c r="K64" s="17"/>
      <c r="L64" s="46">
        <v>28.92</v>
      </c>
      <c r="M64" s="17"/>
      <c r="N64" s="17"/>
    </row>
    <row r="65" spans="1:26" ht="0.75" customHeight="1"/>
    <row r="66" spans="1:26" ht="15.75" customHeight="1">
      <c r="B66" s="44" t="s">
        <v>9</v>
      </c>
      <c r="C66" s="17"/>
      <c r="D66" s="44" t="s">
        <v>66</v>
      </c>
      <c r="E66" s="17"/>
      <c r="F66" s="17"/>
      <c r="G66" s="1" t="s">
        <v>67</v>
      </c>
      <c r="H66" s="45">
        <v>45658</v>
      </c>
      <c r="I66" s="17"/>
      <c r="J66" s="17"/>
      <c r="K66" s="17"/>
      <c r="L66" s="46">
        <v>28.92</v>
      </c>
      <c r="M66" s="17"/>
      <c r="N66" s="17"/>
    </row>
    <row r="67" spans="1:26" ht="0.75" customHeight="1"/>
    <row r="68" spans="1:26" ht="15.75" customHeight="1">
      <c r="B68" s="44" t="s">
        <v>9</v>
      </c>
      <c r="C68" s="17"/>
      <c r="D68" s="44" t="s">
        <v>68</v>
      </c>
      <c r="E68" s="17"/>
      <c r="F68" s="17"/>
      <c r="G68" s="1" t="s">
        <v>69</v>
      </c>
      <c r="H68" s="45">
        <v>45627</v>
      </c>
      <c r="I68" s="17"/>
      <c r="J68" s="17"/>
      <c r="K68" s="17"/>
      <c r="L68" s="46">
        <v>28.92</v>
      </c>
      <c r="M68" s="17"/>
      <c r="N68" s="17"/>
    </row>
    <row r="69" spans="1:26" ht="0.75" customHeight="1"/>
    <row r="70" spans="1:26" ht="15.75" customHeight="1">
      <c r="B70" s="44" t="s">
        <v>9</v>
      </c>
      <c r="C70" s="17"/>
      <c r="D70" s="44" t="s">
        <v>70</v>
      </c>
      <c r="E70" s="17"/>
      <c r="F70" s="17"/>
      <c r="G70" s="1" t="s">
        <v>71</v>
      </c>
      <c r="H70" s="45">
        <v>45658</v>
      </c>
      <c r="I70" s="17"/>
      <c r="J70" s="17"/>
      <c r="K70" s="17"/>
      <c r="L70" s="46">
        <v>28.92</v>
      </c>
      <c r="M70" s="17"/>
      <c r="N70" s="17"/>
    </row>
    <row r="71" spans="1:26" ht="0.75" customHeight="1"/>
    <row r="72" spans="1:26" ht="15.75" customHeight="1">
      <c r="B72" s="44" t="s">
        <v>9</v>
      </c>
      <c r="C72" s="17"/>
      <c r="D72" s="44" t="s">
        <v>72</v>
      </c>
      <c r="E72" s="17"/>
      <c r="F72" s="17"/>
      <c r="G72" s="1" t="s">
        <v>73</v>
      </c>
      <c r="H72" s="45">
        <v>45505</v>
      </c>
      <c r="I72" s="17"/>
      <c r="J72" s="17"/>
      <c r="K72" s="17"/>
      <c r="L72" s="46">
        <v>28.92</v>
      </c>
      <c r="M72" s="17"/>
      <c r="N72" s="17"/>
    </row>
    <row r="73" spans="1:26" ht="0.75" customHeight="1"/>
    <row r="74" spans="1:26" ht="15.75" customHeight="1">
      <c r="B74" s="44" t="s">
        <v>9</v>
      </c>
      <c r="C74" s="17"/>
      <c r="D74" s="44" t="s">
        <v>74</v>
      </c>
      <c r="E74" s="17"/>
      <c r="F74" s="17"/>
      <c r="G74" s="1" t="s">
        <v>75</v>
      </c>
      <c r="H74" s="45">
        <v>45658</v>
      </c>
      <c r="I74" s="17"/>
      <c r="J74" s="17"/>
      <c r="K74" s="17"/>
      <c r="L74" s="46">
        <v>28.92</v>
      </c>
      <c r="M74" s="17"/>
      <c r="N74" s="17"/>
    </row>
    <row r="75" spans="1:26" ht="12" customHeight="1"/>
    <row r="76" spans="1:26" ht="15.75" customHeight="1">
      <c r="B76" s="47" t="s">
        <v>76</v>
      </c>
      <c r="C76" s="17"/>
      <c r="D76" s="17"/>
      <c r="E76" s="17"/>
      <c r="F76" s="17"/>
      <c r="L76" s="38">
        <v>636.24</v>
      </c>
      <c r="M76" s="17"/>
      <c r="N76" s="17"/>
    </row>
    <row r="77" spans="1:26" ht="15.75" customHeight="1"/>
    <row r="78" spans="1:26" ht="15.75" customHeight="1"/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Q79" s="4"/>
      <c r="R79" s="4"/>
      <c r="S79" s="3"/>
      <c r="T79" s="3"/>
      <c r="U79" s="4"/>
      <c r="V79" s="4"/>
      <c r="W79" s="3"/>
      <c r="X79" s="3"/>
      <c r="Y79" s="3"/>
      <c r="Z79" s="3"/>
    </row>
    <row r="80" spans="1:26" ht="15.75" customHeight="1">
      <c r="A80" s="3"/>
      <c r="B80" s="41" t="s">
        <v>77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3"/>
      <c r="W80" s="3"/>
      <c r="X80" s="3"/>
      <c r="Y80" s="3"/>
      <c r="Z80" s="3"/>
    </row>
    <row r="81" spans="1:26" ht="15.75" customHeight="1">
      <c r="A81" s="3"/>
      <c r="B81" s="26" t="s">
        <v>23</v>
      </c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8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22" t="s">
        <v>2</v>
      </c>
      <c r="C83" s="23"/>
      <c r="D83" s="22" t="s">
        <v>3</v>
      </c>
      <c r="E83" s="29"/>
      <c r="F83" s="23"/>
      <c r="G83" s="31" t="s">
        <v>4</v>
      </c>
      <c r="H83" s="22" t="s">
        <v>78</v>
      </c>
      <c r="I83" s="29"/>
      <c r="J83" s="29"/>
      <c r="K83" s="23"/>
      <c r="L83" s="22" t="s">
        <v>6</v>
      </c>
      <c r="M83" s="23"/>
      <c r="N83" s="22" t="s">
        <v>7</v>
      </c>
      <c r="O83" s="33"/>
      <c r="P83" s="3"/>
      <c r="Q83" s="22" t="s">
        <v>8</v>
      </c>
      <c r="R83" s="3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24"/>
      <c r="C84" s="25"/>
      <c r="D84" s="24"/>
      <c r="E84" s="30"/>
      <c r="F84" s="25"/>
      <c r="G84" s="32"/>
      <c r="H84" s="24"/>
      <c r="I84" s="30"/>
      <c r="J84" s="30"/>
      <c r="K84" s="25"/>
      <c r="L84" s="24"/>
      <c r="M84" s="25"/>
      <c r="N84" s="24"/>
      <c r="O84" s="34"/>
      <c r="P84" s="3"/>
      <c r="Q84" s="24"/>
      <c r="R84" s="34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16" t="s">
        <v>79</v>
      </c>
      <c r="C85" s="17"/>
      <c r="D85" s="16" t="s">
        <v>80</v>
      </c>
      <c r="E85" s="17"/>
      <c r="F85" s="17"/>
      <c r="G85" s="5" t="s">
        <v>81</v>
      </c>
      <c r="H85" s="18">
        <v>1</v>
      </c>
      <c r="I85" s="17"/>
      <c r="J85" s="17"/>
      <c r="K85" s="17"/>
      <c r="L85" s="19">
        <v>100</v>
      </c>
      <c r="M85" s="17"/>
      <c r="N85" s="20">
        <v>161.15183999999999</v>
      </c>
      <c r="O85" s="17"/>
      <c r="P85" s="3"/>
      <c r="Q85" s="20">
        <v>33.840000000000003</v>
      </c>
      <c r="R85" s="17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16" t="s">
        <v>28</v>
      </c>
      <c r="C86" s="17"/>
      <c r="D86" s="16" t="s">
        <v>82</v>
      </c>
      <c r="E86" s="17"/>
      <c r="F86" s="17"/>
      <c r="G86" s="5" t="s">
        <v>83</v>
      </c>
      <c r="H86" s="18">
        <v>1</v>
      </c>
      <c r="I86" s="17"/>
      <c r="J86" s="17"/>
      <c r="K86" s="17"/>
      <c r="L86" s="19">
        <v>100</v>
      </c>
      <c r="M86" s="17"/>
      <c r="N86" s="20">
        <v>203.92452</v>
      </c>
      <c r="O86" s="17"/>
      <c r="P86" s="3"/>
      <c r="Q86" s="20">
        <v>42.82</v>
      </c>
      <c r="R86" s="17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16" t="s">
        <v>33</v>
      </c>
      <c r="C87" s="17"/>
      <c r="D87" s="16" t="s">
        <v>84</v>
      </c>
      <c r="E87" s="17"/>
      <c r="F87" s="17"/>
      <c r="G87" s="5" t="s">
        <v>85</v>
      </c>
      <c r="H87" s="18">
        <v>1</v>
      </c>
      <c r="I87" s="17"/>
      <c r="J87" s="17"/>
      <c r="K87" s="17"/>
      <c r="L87" s="19">
        <v>100</v>
      </c>
      <c r="M87" s="17"/>
      <c r="N87" s="20">
        <v>187.02448000000001</v>
      </c>
      <c r="O87" s="17"/>
      <c r="P87" s="3"/>
      <c r="Q87" s="20">
        <v>39.28</v>
      </c>
      <c r="R87" s="17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16" t="s">
        <v>33</v>
      </c>
      <c r="C88" s="17"/>
      <c r="D88" s="16" t="s">
        <v>86</v>
      </c>
      <c r="E88" s="17"/>
      <c r="F88" s="17"/>
      <c r="G88" s="5" t="s">
        <v>87</v>
      </c>
      <c r="H88" s="18">
        <v>1</v>
      </c>
      <c r="I88" s="17"/>
      <c r="J88" s="17"/>
      <c r="K88" s="17"/>
      <c r="L88" s="19">
        <v>100</v>
      </c>
      <c r="M88" s="17"/>
      <c r="N88" s="20">
        <v>201.30176</v>
      </c>
      <c r="O88" s="17"/>
      <c r="P88" s="3"/>
      <c r="Q88" s="20">
        <v>42.27</v>
      </c>
      <c r="R88" s="17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16" t="s">
        <v>33</v>
      </c>
      <c r="C89" s="17"/>
      <c r="D89" s="16" t="s">
        <v>88</v>
      </c>
      <c r="E89" s="17"/>
      <c r="F89" s="17"/>
      <c r="G89" s="5" t="s">
        <v>89</v>
      </c>
      <c r="H89" s="18">
        <v>1</v>
      </c>
      <c r="I89" s="17"/>
      <c r="J89" s="17"/>
      <c r="K89" s="17"/>
      <c r="L89" s="19">
        <v>100</v>
      </c>
      <c r="M89" s="17"/>
      <c r="N89" s="20">
        <v>172.99369999999999</v>
      </c>
      <c r="O89" s="17"/>
      <c r="P89" s="3"/>
      <c r="Q89" s="20">
        <v>36.33</v>
      </c>
      <c r="R89" s="17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16" t="s">
        <v>33</v>
      </c>
      <c r="C90" s="17"/>
      <c r="D90" s="16" t="s">
        <v>90</v>
      </c>
      <c r="E90" s="17"/>
      <c r="F90" s="17"/>
      <c r="G90" s="5" t="s">
        <v>91</v>
      </c>
      <c r="H90" s="18">
        <v>1</v>
      </c>
      <c r="I90" s="17"/>
      <c r="J90" s="17"/>
      <c r="K90" s="17"/>
      <c r="L90" s="19">
        <v>100</v>
      </c>
      <c r="M90" s="17"/>
      <c r="N90" s="20">
        <v>221.32741999999999</v>
      </c>
      <c r="O90" s="17"/>
      <c r="P90" s="3"/>
      <c r="Q90" s="20">
        <v>46.48</v>
      </c>
      <c r="R90" s="17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16" t="s">
        <v>33</v>
      </c>
      <c r="C91" s="17"/>
      <c r="D91" s="16" t="s">
        <v>92</v>
      </c>
      <c r="E91" s="17"/>
      <c r="F91" s="17"/>
      <c r="G91" s="5" t="s">
        <v>93</v>
      </c>
      <c r="H91" s="18">
        <v>1</v>
      </c>
      <c r="I91" s="17"/>
      <c r="J91" s="17"/>
      <c r="K91" s="17"/>
      <c r="L91" s="19">
        <v>100</v>
      </c>
      <c r="M91" s="17"/>
      <c r="N91" s="20">
        <v>157.29658000000001</v>
      </c>
      <c r="O91" s="17"/>
      <c r="P91" s="3"/>
      <c r="Q91" s="20">
        <v>33.03</v>
      </c>
      <c r="R91" s="17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9" t="s">
        <v>15</v>
      </c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21" t="s">
        <v>16</v>
      </c>
      <c r="C95" s="17"/>
      <c r="D95" s="17"/>
      <c r="E95" s="17"/>
      <c r="F95" s="17"/>
      <c r="G95" s="17"/>
      <c r="H95" s="17"/>
      <c r="I95" s="17"/>
      <c r="J95" s="40" t="s">
        <v>17</v>
      </c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41" t="s">
        <v>77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3"/>
      <c r="W97" s="3"/>
      <c r="X97" s="3"/>
      <c r="Y97" s="3"/>
      <c r="Z97" s="3"/>
    </row>
    <row r="98" spans="1:26" ht="15.75" customHeight="1">
      <c r="A98" s="3"/>
      <c r="B98" s="26" t="s">
        <v>23</v>
      </c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8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22" t="s">
        <v>2</v>
      </c>
      <c r="C100" s="23"/>
      <c r="D100" s="22" t="s">
        <v>3</v>
      </c>
      <c r="E100" s="29"/>
      <c r="F100" s="23"/>
      <c r="G100" s="31" t="s">
        <v>4</v>
      </c>
      <c r="H100" s="22" t="s">
        <v>78</v>
      </c>
      <c r="I100" s="29"/>
      <c r="J100" s="29"/>
      <c r="K100" s="23"/>
      <c r="L100" s="22" t="s">
        <v>6</v>
      </c>
      <c r="M100" s="23"/>
      <c r="N100" s="22" t="s">
        <v>7</v>
      </c>
      <c r="O100" s="33"/>
      <c r="P100" s="3"/>
      <c r="Q100" s="22" t="s">
        <v>8</v>
      </c>
      <c r="R100" s="3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24"/>
      <c r="C101" s="25"/>
      <c r="D101" s="24"/>
      <c r="E101" s="30"/>
      <c r="F101" s="25"/>
      <c r="G101" s="32"/>
      <c r="H101" s="24"/>
      <c r="I101" s="30"/>
      <c r="J101" s="30"/>
      <c r="K101" s="25"/>
      <c r="L101" s="24"/>
      <c r="M101" s="25"/>
      <c r="N101" s="24"/>
      <c r="O101" s="34"/>
      <c r="P101" s="3"/>
      <c r="Q101" s="24"/>
      <c r="R101" s="34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16" t="s">
        <v>33</v>
      </c>
      <c r="C102" s="17"/>
      <c r="D102" s="16" t="s">
        <v>94</v>
      </c>
      <c r="E102" s="17"/>
      <c r="F102" s="17"/>
      <c r="G102" s="5" t="s">
        <v>95</v>
      </c>
      <c r="H102" s="18">
        <v>1</v>
      </c>
      <c r="I102" s="17"/>
      <c r="J102" s="17"/>
      <c r="K102" s="17"/>
      <c r="L102" s="19">
        <v>100</v>
      </c>
      <c r="M102" s="17"/>
      <c r="N102" s="20">
        <v>157.29658000000001</v>
      </c>
      <c r="O102" s="17"/>
      <c r="P102" s="3"/>
      <c r="Q102" s="20">
        <v>33.03</v>
      </c>
      <c r="R102" s="17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16" t="s">
        <v>33</v>
      </c>
      <c r="C103" s="17"/>
      <c r="D103" s="16" t="s">
        <v>96</v>
      </c>
      <c r="E103" s="17"/>
      <c r="F103" s="17"/>
      <c r="G103" s="5" t="s">
        <v>97</v>
      </c>
      <c r="H103" s="18">
        <v>1</v>
      </c>
      <c r="I103" s="17"/>
      <c r="J103" s="17"/>
      <c r="K103" s="17"/>
      <c r="L103" s="19">
        <v>100</v>
      </c>
      <c r="M103" s="17"/>
      <c r="N103" s="20">
        <v>236.16672</v>
      </c>
      <c r="O103" s="17"/>
      <c r="P103" s="3"/>
      <c r="Q103" s="20">
        <v>49.6</v>
      </c>
      <c r="R103" s="17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7" t="s">
        <v>98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38">
        <v>1698.4836</v>
      </c>
      <c r="O104" s="17"/>
      <c r="P104" s="3"/>
      <c r="Q104" s="38">
        <v>356.68</v>
      </c>
      <c r="R104" s="17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5" t="s">
        <v>14</v>
      </c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8"/>
      <c r="U106" s="36">
        <v>992.92</v>
      </c>
      <c r="V106" s="28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1" ht="15.75" customHeight="1"/>
    <row r="114" customFormat="1" ht="15.75" customHeight="1"/>
    <row r="115" customFormat="1" ht="15.75" customHeight="1"/>
    <row r="116" customFormat="1" ht="15.75" customHeight="1"/>
    <row r="117" customFormat="1" ht="15.75" customHeight="1"/>
    <row r="118" customFormat="1" ht="15.75" customHeight="1"/>
    <row r="119" customFormat="1" ht="15.75" customHeight="1"/>
    <row r="120" customFormat="1" ht="15.75" customHeight="1"/>
    <row r="121" customFormat="1" ht="15.75" customHeight="1"/>
    <row r="122" customFormat="1" ht="15.75" customHeight="1"/>
    <row r="123" customFormat="1" ht="15.75" customHeight="1"/>
    <row r="124" customFormat="1" ht="15.75" customHeight="1"/>
    <row r="125" customFormat="1" ht="15.75" customHeight="1"/>
    <row r="126" customFormat="1" ht="15.75" customHeight="1"/>
    <row r="127" customFormat="1" ht="15.75" customHeight="1"/>
    <row r="128" customFormat="1" ht="15.75" customHeight="1"/>
    <row r="129" customFormat="1" ht="15.75" customHeight="1"/>
    <row r="130" customFormat="1" ht="15.75" customHeight="1"/>
    <row r="131" customFormat="1" ht="15.75" customHeight="1"/>
    <row r="132" customFormat="1" ht="15.75" customHeight="1"/>
    <row r="133" customFormat="1" ht="15.75" customHeight="1"/>
    <row r="134" customFormat="1" ht="15.75" customHeight="1"/>
    <row r="135" customFormat="1" ht="15.75" customHeight="1"/>
    <row r="136" customFormat="1" ht="15.75" customHeight="1"/>
    <row r="137" customFormat="1" ht="15.75" customHeight="1"/>
    <row r="138" customFormat="1" ht="15.75" customHeight="1"/>
    <row r="139" customFormat="1" ht="15.75" customHeight="1"/>
    <row r="140" customFormat="1" ht="15.75" customHeight="1"/>
    <row r="141" customFormat="1" ht="15.75" customHeight="1"/>
    <row r="142" customFormat="1" ht="15.75" customHeight="1"/>
    <row r="143" customFormat="1" ht="15.75" customHeight="1"/>
    <row r="144" customFormat="1" ht="15.75" customHeight="1"/>
    <row r="145" customFormat="1" ht="15.75" customHeight="1"/>
    <row r="146" customFormat="1" ht="15.75" customHeight="1"/>
    <row r="147" customFormat="1" ht="15.75" customHeight="1"/>
    <row r="148" customFormat="1" ht="15.75" customHeight="1"/>
    <row r="149" customFormat="1" ht="15.75" customHeight="1"/>
    <row r="150" customFormat="1" ht="15.75" customHeight="1"/>
    <row r="151" customFormat="1" ht="15.75" customHeight="1"/>
    <row r="152" customFormat="1" ht="15.75" customHeight="1"/>
    <row r="153" customFormat="1" ht="15.75" customHeight="1"/>
    <row r="154" customFormat="1" ht="15.75" customHeight="1"/>
    <row r="155" customFormat="1" ht="15.75" customHeight="1"/>
    <row r="156" customFormat="1" ht="15.75" customHeight="1"/>
    <row r="157" customFormat="1" ht="15.75" customHeight="1"/>
    <row r="158" customFormat="1" ht="15.75" customHeight="1"/>
    <row r="159" customFormat="1" ht="15.75" customHeight="1"/>
    <row r="160" customFormat="1" ht="15.75" customHeight="1"/>
    <row r="161" customFormat="1" ht="15.75" customHeight="1"/>
    <row r="162" customFormat="1" ht="15.75" customHeight="1"/>
    <row r="163" customFormat="1" ht="15.75" customHeight="1"/>
    <row r="164" customFormat="1" ht="15.75" customHeight="1"/>
    <row r="165" customFormat="1" ht="15.75" customHeight="1"/>
    <row r="166" customFormat="1" ht="15.75" customHeight="1"/>
    <row r="167" customFormat="1" ht="15.75" customHeight="1"/>
    <row r="168" customFormat="1" ht="15.75" customHeight="1"/>
    <row r="169" customFormat="1" ht="15.75" customHeight="1"/>
    <row r="170" customFormat="1" ht="15.75" customHeight="1"/>
    <row r="171" customFormat="1" ht="15.75" customHeight="1"/>
    <row r="172" customFormat="1" ht="15.75" customHeight="1"/>
    <row r="173" customFormat="1" ht="15.75" customHeight="1"/>
    <row r="174" customFormat="1" ht="15.75" customHeight="1"/>
    <row r="175" customFormat="1" ht="15.75" customHeight="1"/>
    <row r="176" customFormat="1" ht="15.75" customHeight="1"/>
    <row r="177" customFormat="1" ht="15.75" customHeight="1"/>
    <row r="178" customFormat="1" ht="15.75" customHeight="1"/>
    <row r="179" customFormat="1" ht="15.75" customHeight="1"/>
    <row r="180" customFormat="1" ht="15.75" customHeight="1"/>
    <row r="181" customFormat="1" ht="15.75" customHeight="1"/>
    <row r="182" customFormat="1" ht="15.75" customHeight="1"/>
    <row r="183" customFormat="1" ht="15.75" customHeight="1"/>
    <row r="184" customFormat="1" ht="15.75" customHeight="1"/>
    <row r="185" customFormat="1" ht="15.75" customHeight="1"/>
    <row r="186" customFormat="1" ht="15.75" customHeight="1"/>
    <row r="187" customFormat="1" ht="15.75" customHeight="1"/>
    <row r="188" customFormat="1" ht="15.75" customHeight="1"/>
    <row r="189" customFormat="1" ht="15.75" customHeight="1"/>
    <row r="190" customFormat="1" ht="15.75" customHeight="1"/>
    <row r="191" customFormat="1" ht="15.75" customHeight="1"/>
    <row r="192" customFormat="1" ht="15.75" customHeight="1"/>
    <row r="193" customFormat="1" ht="15.75" customHeight="1"/>
    <row r="194" customFormat="1" ht="15.75" customHeight="1"/>
    <row r="195" customFormat="1" ht="15.75" customHeight="1"/>
    <row r="196" customFormat="1" ht="15.75" customHeight="1"/>
    <row r="197" customFormat="1" ht="15.75" customHeight="1"/>
    <row r="198" customFormat="1" ht="15.75" customHeight="1"/>
    <row r="199" customFormat="1" ht="15.75" customHeight="1"/>
    <row r="200" customFormat="1" ht="15.75" customHeight="1"/>
    <row r="201" customFormat="1" ht="15.75" customHeight="1"/>
    <row r="202" customFormat="1" ht="15.75" customHeight="1"/>
    <row r="203" customFormat="1" ht="15.75" customHeight="1"/>
    <row r="204" customFormat="1" ht="15.75" customHeight="1"/>
    <row r="205" customFormat="1" ht="15.75" customHeight="1"/>
    <row r="206" customFormat="1" ht="15.75" customHeight="1"/>
    <row r="207" customFormat="1" ht="15.75" customHeight="1"/>
    <row r="208" customFormat="1" ht="15.75" customHeight="1"/>
    <row r="209" customFormat="1" ht="15.75" customHeight="1"/>
    <row r="210" customFormat="1" ht="15.75" customHeight="1"/>
    <row r="211" customFormat="1" ht="15.75" customHeight="1"/>
    <row r="212" customFormat="1" ht="15.75" customHeight="1"/>
    <row r="213" customFormat="1" ht="15.75" customHeight="1"/>
    <row r="214" customFormat="1" ht="15.75" customHeight="1"/>
    <row r="215" customFormat="1" ht="15.75" customHeight="1"/>
    <row r="216" customFormat="1" ht="15.75" customHeight="1"/>
    <row r="217" customFormat="1" ht="15.75" customHeight="1"/>
    <row r="218" customFormat="1" ht="15.75" customHeight="1"/>
    <row r="219" customFormat="1" ht="15.75" customHeight="1"/>
    <row r="220" customFormat="1" ht="15.75" customHeight="1"/>
    <row r="221" customFormat="1" ht="15.75" customHeight="1"/>
    <row r="222" customFormat="1" ht="15.75" customHeight="1"/>
    <row r="223" customFormat="1" ht="15.75" customHeight="1"/>
    <row r="224" customFormat="1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212">
    <mergeCell ref="L85:M85"/>
    <mergeCell ref="N85:O85"/>
    <mergeCell ref="Q85:R85"/>
    <mergeCell ref="L86:M86"/>
    <mergeCell ref="N86:O86"/>
    <mergeCell ref="Q86:R86"/>
    <mergeCell ref="G83:G84"/>
    <mergeCell ref="H83:K84"/>
    <mergeCell ref="B85:C85"/>
    <mergeCell ref="D85:F85"/>
    <mergeCell ref="H85:K85"/>
    <mergeCell ref="D86:F86"/>
    <mergeCell ref="H86:K86"/>
    <mergeCell ref="H30:K30"/>
    <mergeCell ref="L30:N30"/>
    <mergeCell ref="B27:C28"/>
    <mergeCell ref="D27:F28"/>
    <mergeCell ref="G27:G28"/>
    <mergeCell ref="H27:K28"/>
    <mergeCell ref="L27:N28"/>
    <mergeCell ref="B30:C30"/>
    <mergeCell ref="D30:F30"/>
    <mergeCell ref="D50:F50"/>
    <mergeCell ref="H50:K50"/>
    <mergeCell ref="L50:N50"/>
    <mergeCell ref="B50:C50"/>
    <mergeCell ref="B52:C52"/>
    <mergeCell ref="D52:F52"/>
    <mergeCell ref="H52:K52"/>
    <mergeCell ref="L52:N52"/>
    <mergeCell ref="B54:C54"/>
    <mergeCell ref="D54:F54"/>
    <mergeCell ref="P5:Q6"/>
    <mergeCell ref="R5:T6"/>
    <mergeCell ref="Q9:R9"/>
    <mergeCell ref="B2:V2"/>
    <mergeCell ref="B3:V3"/>
    <mergeCell ref="B5:C6"/>
    <mergeCell ref="D5:F6"/>
    <mergeCell ref="G5:G6"/>
    <mergeCell ref="I5:L6"/>
    <mergeCell ref="M5:O6"/>
    <mergeCell ref="N10:O10"/>
    <mergeCell ref="Q10:R10"/>
    <mergeCell ref="B8:C8"/>
    <mergeCell ref="D8:F8"/>
    <mergeCell ref="H8:K8"/>
    <mergeCell ref="L8:M8"/>
    <mergeCell ref="N8:O8"/>
    <mergeCell ref="Q8:R8"/>
    <mergeCell ref="B10:J10"/>
    <mergeCell ref="B12:T12"/>
    <mergeCell ref="U12:V12"/>
    <mergeCell ref="J15:U15"/>
    <mergeCell ref="B17:I17"/>
    <mergeCell ref="J17:U17"/>
    <mergeCell ref="E18:H18"/>
    <mergeCell ref="I19:L19"/>
    <mergeCell ref="E19:H19"/>
    <mergeCell ref="E20:H20"/>
    <mergeCell ref="I20:L20"/>
    <mergeCell ref="E22:H22"/>
    <mergeCell ref="I22:L22"/>
    <mergeCell ref="B24:V24"/>
    <mergeCell ref="B25:V25"/>
    <mergeCell ref="H38:K38"/>
    <mergeCell ref="L38:N38"/>
    <mergeCell ref="B48:C48"/>
    <mergeCell ref="D48:F48"/>
    <mergeCell ref="H48:K48"/>
    <mergeCell ref="L48:N48"/>
    <mergeCell ref="L46:N46"/>
    <mergeCell ref="B42:C42"/>
    <mergeCell ref="B44:C44"/>
    <mergeCell ref="D44:F44"/>
    <mergeCell ref="H44:K44"/>
    <mergeCell ref="L44:N44"/>
    <mergeCell ref="B46:C46"/>
    <mergeCell ref="D46:F46"/>
    <mergeCell ref="B56:C56"/>
    <mergeCell ref="D56:F56"/>
    <mergeCell ref="H56:K56"/>
    <mergeCell ref="L56:N56"/>
    <mergeCell ref="D58:F58"/>
    <mergeCell ref="H58:K58"/>
    <mergeCell ref="L58:N58"/>
    <mergeCell ref="B58:C58"/>
    <mergeCell ref="B60:C60"/>
    <mergeCell ref="D60:F60"/>
    <mergeCell ref="H60:K60"/>
    <mergeCell ref="L60:N60"/>
    <mergeCell ref="B62:C62"/>
    <mergeCell ref="D62:F62"/>
    <mergeCell ref="B32:C32"/>
    <mergeCell ref="D32:F32"/>
    <mergeCell ref="H32:K32"/>
    <mergeCell ref="L32:N32"/>
    <mergeCell ref="D34:F34"/>
    <mergeCell ref="H34:K34"/>
    <mergeCell ref="L34:N34"/>
    <mergeCell ref="B34:C34"/>
    <mergeCell ref="B36:C36"/>
    <mergeCell ref="D36:F36"/>
    <mergeCell ref="H36:K36"/>
    <mergeCell ref="L36:N36"/>
    <mergeCell ref="B38:C38"/>
    <mergeCell ref="D38:F38"/>
    <mergeCell ref="B40:C40"/>
    <mergeCell ref="D40:F40"/>
    <mergeCell ref="H40:K40"/>
    <mergeCell ref="L40:N40"/>
    <mergeCell ref="D42:F42"/>
    <mergeCell ref="H42:K42"/>
    <mergeCell ref="L42:N42"/>
    <mergeCell ref="H46:K46"/>
    <mergeCell ref="H54:K54"/>
    <mergeCell ref="L54:N54"/>
    <mergeCell ref="D74:F74"/>
    <mergeCell ref="H74:K74"/>
    <mergeCell ref="B76:F76"/>
    <mergeCell ref="L76:N76"/>
    <mergeCell ref="D70:F70"/>
    <mergeCell ref="H70:K70"/>
    <mergeCell ref="B72:C72"/>
    <mergeCell ref="D72:F72"/>
    <mergeCell ref="H72:K72"/>
    <mergeCell ref="L72:N72"/>
    <mergeCell ref="B74:C74"/>
    <mergeCell ref="L74:N74"/>
    <mergeCell ref="H62:K62"/>
    <mergeCell ref="L62:N62"/>
    <mergeCell ref="B64:C64"/>
    <mergeCell ref="D64:F64"/>
    <mergeCell ref="H64:K64"/>
    <mergeCell ref="L64:N64"/>
    <mergeCell ref="B66:C66"/>
    <mergeCell ref="L66:N66"/>
    <mergeCell ref="D66:F66"/>
    <mergeCell ref="H66:K66"/>
    <mergeCell ref="B68:C68"/>
    <mergeCell ref="D68:F68"/>
    <mergeCell ref="H68:K68"/>
    <mergeCell ref="L68:N68"/>
    <mergeCell ref="B70:C70"/>
    <mergeCell ref="L70:N70"/>
    <mergeCell ref="B80:V80"/>
    <mergeCell ref="B81:V81"/>
    <mergeCell ref="B83:C84"/>
    <mergeCell ref="D83:F84"/>
    <mergeCell ref="Q83:R84"/>
    <mergeCell ref="L83:M84"/>
    <mergeCell ref="N83:O84"/>
    <mergeCell ref="B86:C86"/>
    <mergeCell ref="B87:C87"/>
    <mergeCell ref="D87:F87"/>
    <mergeCell ref="H87:K87"/>
    <mergeCell ref="L87:M87"/>
    <mergeCell ref="N87:O87"/>
    <mergeCell ref="Q87:R87"/>
    <mergeCell ref="Q103:R103"/>
    <mergeCell ref="Q104:R104"/>
    <mergeCell ref="H88:K88"/>
    <mergeCell ref="H89:K89"/>
    <mergeCell ref="H90:K90"/>
    <mergeCell ref="H91:K91"/>
    <mergeCell ref="B88:C88"/>
    <mergeCell ref="D88:F88"/>
    <mergeCell ref="L88:M88"/>
    <mergeCell ref="N88:O88"/>
    <mergeCell ref="Q88:R88"/>
    <mergeCell ref="D89:F89"/>
    <mergeCell ref="Q89:R89"/>
    <mergeCell ref="Q91:R91"/>
    <mergeCell ref="J93:U93"/>
    <mergeCell ref="J95:U95"/>
    <mergeCell ref="B97:V97"/>
    <mergeCell ref="L100:M101"/>
    <mergeCell ref="N100:O101"/>
    <mergeCell ref="Q100:R101"/>
    <mergeCell ref="B106:T106"/>
    <mergeCell ref="U106:V106"/>
    <mergeCell ref="B103:C103"/>
    <mergeCell ref="D103:F103"/>
    <mergeCell ref="H103:K103"/>
    <mergeCell ref="L103:M103"/>
    <mergeCell ref="N103:O103"/>
    <mergeCell ref="B104:M104"/>
    <mergeCell ref="N104:O104"/>
    <mergeCell ref="B102:C102"/>
    <mergeCell ref="D102:F102"/>
    <mergeCell ref="H102:K102"/>
    <mergeCell ref="L102:M102"/>
    <mergeCell ref="N102:O102"/>
    <mergeCell ref="Q102:R102"/>
    <mergeCell ref="B89:C89"/>
    <mergeCell ref="B90:C90"/>
    <mergeCell ref="D90:F90"/>
    <mergeCell ref="B91:C91"/>
    <mergeCell ref="D91:F91"/>
    <mergeCell ref="B95:I95"/>
    <mergeCell ref="B100:C101"/>
    <mergeCell ref="B98:V98"/>
    <mergeCell ref="L89:M89"/>
    <mergeCell ref="N89:O89"/>
    <mergeCell ref="L90:M90"/>
    <mergeCell ref="N90:O90"/>
    <mergeCell ref="Q90:R90"/>
    <mergeCell ref="L91:M91"/>
    <mergeCell ref="N91:O91"/>
    <mergeCell ref="D100:F101"/>
    <mergeCell ref="G100:G101"/>
    <mergeCell ref="H100:K101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BC4C-FB48-418E-8A76-0502461FFB65}">
  <dimension ref="A1:S36"/>
  <sheetViews>
    <sheetView tabSelected="1" workbookViewId="0">
      <selection activeCell="M2" sqref="M2:M23"/>
    </sheetView>
  </sheetViews>
  <sheetFormatPr defaultColWidth="14.42578125" defaultRowHeight="15" customHeight="1"/>
  <cols>
    <col min="1" max="1" width="10.140625" bestFit="1" customWidth="1"/>
    <col min="2" max="2" width="40.5703125" bestFit="1" customWidth="1"/>
    <col min="3" max="7" width="8.7109375" customWidth="1"/>
    <col min="8" max="8" width="9.28515625" bestFit="1" customWidth="1"/>
    <col min="9" max="11" width="8.7109375" customWidth="1"/>
    <col min="12" max="12" width="28.42578125" bestFit="1" customWidth="1"/>
    <col min="13" max="19" width="8.7109375" customWidth="1"/>
  </cols>
  <sheetData>
    <row r="1" spans="1:13" ht="15" customHeight="1">
      <c r="B1" s="12" t="s">
        <v>2</v>
      </c>
      <c r="C1" s="12" t="s">
        <v>24</v>
      </c>
      <c r="D1" s="7"/>
      <c r="E1" s="13" t="s">
        <v>25</v>
      </c>
      <c r="F1" s="13"/>
      <c r="G1" s="12" t="s">
        <v>26</v>
      </c>
      <c r="H1" s="12" t="s">
        <v>27</v>
      </c>
      <c r="I1" s="6"/>
    </row>
    <row r="2" spans="1:13" ht="15" customHeight="1">
      <c r="A2">
        <v>19219478</v>
      </c>
      <c r="B2" s="9" t="s">
        <v>28</v>
      </c>
      <c r="C2" s="9" t="s">
        <v>29</v>
      </c>
      <c r="E2" s="1">
        <v>6277111</v>
      </c>
      <c r="F2" s="1" t="str">
        <f>CONCATENATE(E2,1)</f>
        <v>62771111</v>
      </c>
      <c r="G2" s="10">
        <v>45992</v>
      </c>
      <c r="H2" s="10">
        <v>46054</v>
      </c>
      <c r="I2">
        <v>1</v>
      </c>
      <c r="J2" s="11">
        <v>28.92</v>
      </c>
      <c r="L2" t="s">
        <v>101</v>
      </c>
      <c r="M2" s="61" t="s">
        <v>102</v>
      </c>
    </row>
    <row r="3" spans="1:13" ht="15" customHeight="1">
      <c r="A3">
        <v>19219478</v>
      </c>
      <c r="B3" s="9" t="s">
        <v>28</v>
      </c>
      <c r="C3" s="9" t="s">
        <v>31</v>
      </c>
      <c r="E3" s="1">
        <v>6236016</v>
      </c>
      <c r="F3" s="1" t="str">
        <f t="shared" ref="F3:F23" si="0">CONCATENATE(E3,1)</f>
        <v>62360161</v>
      </c>
      <c r="G3" s="10">
        <v>45658</v>
      </c>
      <c r="H3" s="10">
        <v>46054</v>
      </c>
      <c r="I3">
        <v>1</v>
      </c>
      <c r="J3" s="11">
        <v>28.92</v>
      </c>
      <c r="L3" t="s">
        <v>101</v>
      </c>
      <c r="M3" s="61" t="s">
        <v>102</v>
      </c>
    </row>
    <row r="4" spans="1:13" ht="15" customHeight="1">
      <c r="A4">
        <v>16170994</v>
      </c>
      <c r="B4" s="9" t="s">
        <v>33</v>
      </c>
      <c r="C4" s="9" t="s">
        <v>34</v>
      </c>
      <c r="E4" s="1">
        <v>6220011</v>
      </c>
      <c r="F4" s="1" t="str">
        <f t="shared" si="0"/>
        <v>62200111</v>
      </c>
      <c r="G4" s="10">
        <v>45658</v>
      </c>
      <c r="H4" s="10">
        <v>46054</v>
      </c>
      <c r="I4">
        <v>1</v>
      </c>
      <c r="J4" s="11">
        <v>28.92</v>
      </c>
      <c r="L4" t="s">
        <v>101</v>
      </c>
      <c r="M4" s="61" t="s">
        <v>102</v>
      </c>
    </row>
    <row r="5" spans="1:13" ht="15" customHeight="1">
      <c r="A5">
        <v>16170994</v>
      </c>
      <c r="B5" s="9" t="s">
        <v>33</v>
      </c>
      <c r="C5" s="9" t="s">
        <v>36</v>
      </c>
      <c r="E5" s="1">
        <v>6224756</v>
      </c>
      <c r="F5" s="1" t="str">
        <f t="shared" si="0"/>
        <v>62247561</v>
      </c>
      <c r="G5" s="10">
        <v>45658</v>
      </c>
      <c r="H5" s="10">
        <v>46054</v>
      </c>
      <c r="I5">
        <v>1</v>
      </c>
      <c r="J5" s="11">
        <v>28.92</v>
      </c>
      <c r="L5" t="s">
        <v>101</v>
      </c>
      <c r="M5" s="61" t="s">
        <v>102</v>
      </c>
    </row>
    <row r="6" spans="1:13" ht="15" customHeight="1">
      <c r="A6">
        <v>19491313</v>
      </c>
      <c r="B6" s="9" t="s">
        <v>9</v>
      </c>
      <c r="C6" s="9" t="s">
        <v>40</v>
      </c>
      <c r="E6" s="1">
        <v>6213383</v>
      </c>
      <c r="F6" s="1" t="str">
        <f t="shared" si="0"/>
        <v>62133831</v>
      </c>
      <c r="G6" s="10">
        <v>45658</v>
      </c>
      <c r="H6" s="10">
        <v>46054</v>
      </c>
      <c r="I6">
        <v>1</v>
      </c>
      <c r="J6" s="11">
        <v>28.92</v>
      </c>
      <c r="L6" t="s">
        <v>101</v>
      </c>
      <c r="M6" s="61" t="s">
        <v>102</v>
      </c>
    </row>
    <row r="7" spans="1:13" ht="15" customHeight="1">
      <c r="A7">
        <v>19491313</v>
      </c>
      <c r="B7" s="9" t="s">
        <v>9</v>
      </c>
      <c r="C7" s="9" t="s">
        <v>42</v>
      </c>
      <c r="E7" s="1">
        <v>6210817</v>
      </c>
      <c r="F7" s="1" t="str">
        <f t="shared" si="0"/>
        <v>62108171</v>
      </c>
      <c r="G7" s="10">
        <v>45627</v>
      </c>
      <c r="H7" s="10">
        <v>46054</v>
      </c>
      <c r="I7">
        <v>1</v>
      </c>
      <c r="J7" s="11">
        <v>28.92</v>
      </c>
      <c r="L7" t="s">
        <v>101</v>
      </c>
      <c r="M7" s="61" t="s">
        <v>102</v>
      </c>
    </row>
    <row r="8" spans="1:13" ht="15" customHeight="1">
      <c r="A8">
        <v>19491313</v>
      </c>
      <c r="B8" s="9" t="s">
        <v>9</v>
      </c>
      <c r="C8" s="9" t="s">
        <v>44</v>
      </c>
      <c r="E8" s="1">
        <v>6218056</v>
      </c>
      <c r="F8" s="1" t="str">
        <f t="shared" si="0"/>
        <v>62180561</v>
      </c>
      <c r="G8" s="10">
        <v>45658</v>
      </c>
      <c r="H8" s="10">
        <v>46054</v>
      </c>
      <c r="I8">
        <v>1</v>
      </c>
      <c r="J8" s="11">
        <v>28.92</v>
      </c>
      <c r="L8" t="s">
        <v>101</v>
      </c>
      <c r="M8" s="61" t="s">
        <v>102</v>
      </c>
    </row>
    <row r="9" spans="1:13" ht="15" customHeight="1">
      <c r="A9">
        <v>19491313</v>
      </c>
      <c r="B9" s="9" t="s">
        <v>9</v>
      </c>
      <c r="C9" s="9" t="s">
        <v>46</v>
      </c>
      <c r="E9" s="1">
        <v>6212568</v>
      </c>
      <c r="F9" s="1" t="str">
        <f t="shared" si="0"/>
        <v>62125681</v>
      </c>
      <c r="G9" s="10">
        <v>45658</v>
      </c>
      <c r="H9" s="10">
        <v>46054</v>
      </c>
      <c r="I9">
        <v>1</v>
      </c>
      <c r="J9" s="11">
        <v>28.92</v>
      </c>
      <c r="L9" t="s">
        <v>101</v>
      </c>
      <c r="M9" s="61" t="s">
        <v>102</v>
      </c>
    </row>
    <row r="10" spans="1:13" ht="15" customHeight="1">
      <c r="A10">
        <v>19491313</v>
      </c>
      <c r="B10" s="9" t="s">
        <v>9</v>
      </c>
      <c r="C10" s="9" t="s">
        <v>48</v>
      </c>
      <c r="E10" s="1">
        <v>6215141</v>
      </c>
      <c r="F10" s="1" t="str">
        <f t="shared" si="0"/>
        <v>62151411</v>
      </c>
      <c r="G10" s="10">
        <v>45658</v>
      </c>
      <c r="H10" s="10">
        <v>46054</v>
      </c>
      <c r="I10">
        <v>1</v>
      </c>
      <c r="J10" s="11">
        <v>28.92</v>
      </c>
      <c r="L10" t="s">
        <v>101</v>
      </c>
      <c r="M10" s="61" t="s">
        <v>102</v>
      </c>
    </row>
    <row r="11" spans="1:13" ht="15" customHeight="1">
      <c r="A11">
        <v>19491313</v>
      </c>
      <c r="B11" s="9" t="s">
        <v>9</v>
      </c>
      <c r="C11" s="9" t="s">
        <v>50</v>
      </c>
      <c r="E11" s="1">
        <v>6218054</v>
      </c>
      <c r="F11" s="1" t="str">
        <f t="shared" si="0"/>
        <v>62180541</v>
      </c>
      <c r="G11" s="10">
        <v>45658</v>
      </c>
      <c r="H11" s="10">
        <v>46054</v>
      </c>
      <c r="I11">
        <v>1</v>
      </c>
      <c r="J11" s="11">
        <v>28.92</v>
      </c>
      <c r="L11" t="s">
        <v>101</v>
      </c>
      <c r="M11" s="61" t="s">
        <v>102</v>
      </c>
    </row>
    <row r="12" spans="1:13" ht="15" customHeight="1">
      <c r="A12">
        <v>19491313</v>
      </c>
      <c r="B12" s="9" t="s">
        <v>9</v>
      </c>
      <c r="C12" s="9" t="s">
        <v>52</v>
      </c>
      <c r="E12" s="1">
        <v>6238104</v>
      </c>
      <c r="F12" s="1" t="str">
        <f t="shared" si="0"/>
        <v>62381041</v>
      </c>
      <c r="G12" s="10">
        <v>45627</v>
      </c>
      <c r="H12" s="10">
        <v>46054</v>
      </c>
      <c r="I12">
        <v>1</v>
      </c>
      <c r="J12" s="11">
        <v>28.92</v>
      </c>
      <c r="L12" t="s">
        <v>101</v>
      </c>
      <c r="M12" s="61" t="s">
        <v>102</v>
      </c>
    </row>
    <row r="13" spans="1:13" ht="15" customHeight="1">
      <c r="A13">
        <v>19491313</v>
      </c>
      <c r="B13" s="9" t="s">
        <v>9</v>
      </c>
      <c r="C13" s="9" t="s">
        <v>54</v>
      </c>
      <c r="E13" s="1">
        <v>6224965</v>
      </c>
      <c r="F13" s="1" t="str">
        <f t="shared" si="0"/>
        <v>62249651</v>
      </c>
      <c r="G13" s="10">
        <v>45658</v>
      </c>
      <c r="H13" s="10">
        <v>46054</v>
      </c>
      <c r="I13">
        <v>1</v>
      </c>
      <c r="J13" s="11">
        <v>28.92</v>
      </c>
      <c r="L13" t="s">
        <v>101</v>
      </c>
      <c r="M13" s="61" t="s">
        <v>102</v>
      </c>
    </row>
    <row r="14" spans="1:13" ht="15" customHeight="1">
      <c r="A14">
        <v>19491313</v>
      </c>
      <c r="B14" s="9" t="s">
        <v>9</v>
      </c>
      <c r="C14" s="9" t="s">
        <v>56</v>
      </c>
      <c r="E14" s="1">
        <v>6210872</v>
      </c>
      <c r="F14" s="1" t="str">
        <f t="shared" si="0"/>
        <v>62108721</v>
      </c>
      <c r="G14" s="10">
        <v>45597</v>
      </c>
      <c r="H14" s="10">
        <v>46054</v>
      </c>
      <c r="I14">
        <v>1</v>
      </c>
      <c r="J14" s="11">
        <v>28.92</v>
      </c>
      <c r="L14" t="s">
        <v>101</v>
      </c>
      <c r="M14" s="61" t="s">
        <v>102</v>
      </c>
    </row>
    <row r="15" spans="1:13" ht="15" customHeight="1">
      <c r="A15">
        <v>19491313</v>
      </c>
      <c r="B15" s="9" t="s">
        <v>9</v>
      </c>
      <c r="C15" s="9" t="s">
        <v>58</v>
      </c>
      <c r="E15" s="1">
        <v>6239247</v>
      </c>
      <c r="F15" s="1" t="str">
        <f t="shared" si="0"/>
        <v>62392471</v>
      </c>
      <c r="G15" s="10">
        <v>45658</v>
      </c>
      <c r="H15" s="10">
        <v>46054</v>
      </c>
      <c r="I15">
        <v>1</v>
      </c>
      <c r="J15" s="11">
        <v>28.92</v>
      </c>
      <c r="L15" t="s">
        <v>101</v>
      </c>
      <c r="M15" s="61" t="s">
        <v>102</v>
      </c>
    </row>
    <row r="16" spans="1:13" ht="15" customHeight="1">
      <c r="A16">
        <v>19491313</v>
      </c>
      <c r="B16" s="9" t="s">
        <v>9</v>
      </c>
      <c r="C16" s="9" t="s">
        <v>60</v>
      </c>
      <c r="E16" s="1">
        <v>6138508</v>
      </c>
      <c r="F16" s="1" t="str">
        <f t="shared" si="0"/>
        <v>61385081</v>
      </c>
      <c r="G16" s="10">
        <v>43101</v>
      </c>
      <c r="H16" s="10">
        <v>46054</v>
      </c>
      <c r="I16">
        <v>1</v>
      </c>
      <c r="J16" s="11">
        <v>28.92</v>
      </c>
      <c r="L16" t="s">
        <v>101</v>
      </c>
      <c r="M16" s="61" t="s">
        <v>102</v>
      </c>
    </row>
    <row r="17" spans="1:19" ht="15" customHeight="1">
      <c r="A17">
        <v>19491313</v>
      </c>
      <c r="B17" s="9" t="s">
        <v>9</v>
      </c>
      <c r="C17" s="9" t="s">
        <v>62</v>
      </c>
      <c r="E17" s="1">
        <v>6233105</v>
      </c>
      <c r="F17" s="1" t="str">
        <f t="shared" si="0"/>
        <v>62331051</v>
      </c>
      <c r="G17" s="10">
        <v>45658</v>
      </c>
      <c r="H17" s="10">
        <v>46054</v>
      </c>
      <c r="I17">
        <v>1</v>
      </c>
      <c r="J17" s="11">
        <v>28.92</v>
      </c>
      <c r="L17" t="s">
        <v>101</v>
      </c>
      <c r="M17" s="61" t="s">
        <v>102</v>
      </c>
    </row>
    <row r="18" spans="1:19" ht="15" customHeight="1">
      <c r="A18">
        <v>19491313</v>
      </c>
      <c r="B18" s="9" t="s">
        <v>9</v>
      </c>
      <c r="C18" s="9" t="s">
        <v>64</v>
      </c>
      <c r="E18" s="1">
        <v>6225460</v>
      </c>
      <c r="F18" s="1" t="str">
        <f t="shared" si="0"/>
        <v>62254601</v>
      </c>
      <c r="G18" s="10">
        <v>45597</v>
      </c>
      <c r="H18" s="10">
        <v>46054</v>
      </c>
      <c r="I18">
        <v>1</v>
      </c>
      <c r="J18" s="11">
        <v>28.92</v>
      </c>
      <c r="L18" t="s">
        <v>101</v>
      </c>
      <c r="M18" s="61" t="s">
        <v>102</v>
      </c>
    </row>
    <row r="19" spans="1:19" ht="15" customHeight="1">
      <c r="A19">
        <v>19491313</v>
      </c>
      <c r="B19" s="9" t="s">
        <v>9</v>
      </c>
      <c r="C19" s="9" t="s">
        <v>66</v>
      </c>
      <c r="E19" s="1">
        <v>6241874</v>
      </c>
      <c r="F19" s="1" t="str">
        <f t="shared" si="0"/>
        <v>62418741</v>
      </c>
      <c r="G19" s="10">
        <v>45658</v>
      </c>
      <c r="H19" s="10">
        <v>46054</v>
      </c>
      <c r="I19">
        <v>1</v>
      </c>
      <c r="J19" s="11">
        <v>28.92</v>
      </c>
      <c r="L19" t="s">
        <v>101</v>
      </c>
      <c r="M19" s="61" t="s">
        <v>102</v>
      </c>
    </row>
    <row r="20" spans="1:19" ht="15" customHeight="1">
      <c r="A20">
        <v>19491313</v>
      </c>
      <c r="B20" s="9" t="s">
        <v>9</v>
      </c>
      <c r="C20" s="9" t="s">
        <v>68</v>
      </c>
      <c r="E20" s="1">
        <v>6231397</v>
      </c>
      <c r="F20" s="1" t="str">
        <f t="shared" si="0"/>
        <v>62313971</v>
      </c>
      <c r="G20" s="10">
        <v>45627</v>
      </c>
      <c r="H20" s="10">
        <v>46054</v>
      </c>
      <c r="I20">
        <v>1</v>
      </c>
      <c r="J20" s="11">
        <v>28.92</v>
      </c>
      <c r="L20" t="s">
        <v>101</v>
      </c>
      <c r="M20" s="61" t="s">
        <v>102</v>
      </c>
    </row>
    <row r="21" spans="1:19" ht="15" customHeight="1">
      <c r="A21">
        <v>19491313</v>
      </c>
      <c r="B21" s="9" t="s">
        <v>9</v>
      </c>
      <c r="C21" s="9" t="s">
        <v>70</v>
      </c>
      <c r="E21" s="1">
        <v>6220305</v>
      </c>
      <c r="F21" s="1" t="str">
        <f t="shared" si="0"/>
        <v>62203051</v>
      </c>
      <c r="G21" s="10">
        <v>45658</v>
      </c>
      <c r="H21" s="10">
        <v>46054</v>
      </c>
      <c r="I21">
        <v>1</v>
      </c>
      <c r="J21" s="11">
        <v>28.92</v>
      </c>
      <c r="L21" t="s">
        <v>101</v>
      </c>
      <c r="M21" s="61" t="s">
        <v>102</v>
      </c>
    </row>
    <row r="22" spans="1:19" ht="15" customHeight="1">
      <c r="A22">
        <v>19491313</v>
      </c>
      <c r="B22" s="9" t="s">
        <v>9</v>
      </c>
      <c r="C22" s="9" t="s">
        <v>72</v>
      </c>
      <c r="E22" s="1">
        <v>6209348</v>
      </c>
      <c r="F22" s="1" t="str">
        <f t="shared" si="0"/>
        <v>62093481</v>
      </c>
      <c r="G22" s="10">
        <v>45505</v>
      </c>
      <c r="H22" s="10">
        <v>46054</v>
      </c>
      <c r="I22">
        <v>1</v>
      </c>
      <c r="J22" s="11">
        <v>28.92</v>
      </c>
      <c r="L22" t="s">
        <v>101</v>
      </c>
      <c r="M22" s="61" t="s">
        <v>102</v>
      </c>
    </row>
    <row r="23" spans="1:19" ht="15" customHeight="1">
      <c r="A23">
        <v>19491313</v>
      </c>
      <c r="B23" s="9" t="s">
        <v>9</v>
      </c>
      <c r="C23" s="9" t="s">
        <v>74</v>
      </c>
      <c r="E23" s="1">
        <v>6155654</v>
      </c>
      <c r="F23" s="1" t="str">
        <f t="shared" si="0"/>
        <v>61556541</v>
      </c>
      <c r="G23" s="10">
        <v>45658</v>
      </c>
      <c r="H23" s="10">
        <v>46054</v>
      </c>
      <c r="I23">
        <v>1</v>
      </c>
      <c r="J23" s="11">
        <v>28.92</v>
      </c>
      <c r="L23" t="s">
        <v>101</v>
      </c>
      <c r="M23" s="61" t="s">
        <v>102</v>
      </c>
    </row>
    <row r="24" spans="1:19" ht="15" customHeight="1">
      <c r="A24" s="3">
        <v>21564088</v>
      </c>
      <c r="B24" s="5" t="s">
        <v>79</v>
      </c>
      <c r="C24" s="5" t="s">
        <v>80</v>
      </c>
      <c r="E24" s="5" t="s">
        <v>81</v>
      </c>
      <c r="F24" s="5" t="s">
        <v>81</v>
      </c>
      <c r="G24" s="10">
        <v>46023</v>
      </c>
      <c r="H24" s="10">
        <v>46054</v>
      </c>
      <c r="I24" s="8">
        <v>161.15183999999999</v>
      </c>
      <c r="J24" s="8">
        <v>33.840000000000003</v>
      </c>
      <c r="K24" s="15">
        <f>J24/I24</f>
        <v>0.20998829426955351</v>
      </c>
      <c r="L24" s="3" t="s">
        <v>99</v>
      </c>
      <c r="M24" s="3"/>
      <c r="N24" s="3"/>
      <c r="O24" s="3"/>
      <c r="P24" s="3"/>
      <c r="Q24" s="3"/>
      <c r="R24" s="3"/>
      <c r="S24" s="3"/>
    </row>
    <row r="25" spans="1:19" ht="15" customHeight="1">
      <c r="A25">
        <v>19219478</v>
      </c>
      <c r="B25" s="5" t="s">
        <v>28</v>
      </c>
      <c r="C25" s="5" t="s">
        <v>82</v>
      </c>
      <c r="E25" s="5" t="s">
        <v>83</v>
      </c>
      <c r="F25" s="5" t="s">
        <v>83</v>
      </c>
      <c r="G25" s="10">
        <v>46023</v>
      </c>
      <c r="H25" s="10">
        <v>46054</v>
      </c>
      <c r="I25" s="8">
        <v>203.92452</v>
      </c>
      <c r="J25" s="8">
        <v>42.82</v>
      </c>
      <c r="K25" s="15">
        <f t="shared" ref="K25:K33" si="1">J25/I25</f>
        <v>0.20997965325601844</v>
      </c>
      <c r="L25" s="3" t="s">
        <v>99</v>
      </c>
      <c r="M25" s="3"/>
      <c r="N25" s="3"/>
      <c r="O25" s="3"/>
      <c r="P25" s="3"/>
      <c r="Q25" s="3"/>
      <c r="R25" s="3"/>
      <c r="S25" s="3"/>
    </row>
    <row r="26" spans="1:19" ht="15" customHeight="1">
      <c r="A26">
        <v>16170994</v>
      </c>
      <c r="B26" s="5" t="s">
        <v>33</v>
      </c>
      <c r="C26" s="5" t="s">
        <v>84</v>
      </c>
      <c r="E26" s="5" t="s">
        <v>85</v>
      </c>
      <c r="F26" s="5" t="s">
        <v>85</v>
      </c>
      <c r="G26" s="10">
        <v>46023</v>
      </c>
      <c r="H26" s="10">
        <v>46054</v>
      </c>
      <c r="I26" s="8">
        <v>187.02448000000001</v>
      </c>
      <c r="J26" s="8">
        <v>39.28</v>
      </c>
      <c r="K26" s="15">
        <f t="shared" si="1"/>
        <v>0.21002598162550698</v>
      </c>
      <c r="L26" s="3" t="s">
        <v>99</v>
      </c>
      <c r="M26" s="3"/>
      <c r="N26" s="3"/>
      <c r="O26" s="3"/>
      <c r="P26" s="3"/>
      <c r="Q26" s="3"/>
      <c r="R26" s="3"/>
      <c r="S26" s="3"/>
    </row>
    <row r="27" spans="1:19" ht="15" customHeight="1">
      <c r="A27">
        <v>16170994</v>
      </c>
      <c r="B27" s="5" t="s">
        <v>33</v>
      </c>
      <c r="C27" s="5" t="s">
        <v>86</v>
      </c>
      <c r="E27" s="5" t="s">
        <v>87</v>
      </c>
      <c r="F27" s="5" t="s">
        <v>87</v>
      </c>
      <c r="G27" s="10">
        <v>46023</v>
      </c>
      <c r="H27" s="10">
        <v>46054</v>
      </c>
      <c r="I27" s="8">
        <v>201.30176</v>
      </c>
      <c r="J27" s="8">
        <v>42.27</v>
      </c>
      <c r="K27" s="15">
        <f t="shared" si="1"/>
        <v>0.20998326095112135</v>
      </c>
      <c r="L27" s="3" t="s">
        <v>99</v>
      </c>
      <c r="M27" s="3"/>
      <c r="N27" s="3"/>
      <c r="O27" s="3"/>
      <c r="P27" s="3"/>
      <c r="Q27" s="3"/>
      <c r="R27" s="3"/>
      <c r="S27" s="3"/>
    </row>
    <row r="28" spans="1:19" ht="15" customHeight="1">
      <c r="A28">
        <v>16170994</v>
      </c>
      <c r="B28" s="5" t="s">
        <v>33</v>
      </c>
      <c r="C28" s="5" t="s">
        <v>88</v>
      </c>
      <c r="E28" s="5" t="s">
        <v>89</v>
      </c>
      <c r="F28" s="5" t="s">
        <v>89</v>
      </c>
      <c r="G28" s="10">
        <v>46023</v>
      </c>
      <c r="H28" s="10">
        <v>46054</v>
      </c>
      <c r="I28" s="8">
        <v>172.99369999999999</v>
      </c>
      <c r="J28" s="8">
        <v>36.33</v>
      </c>
      <c r="K28" s="15">
        <f t="shared" si="1"/>
        <v>0.21000764767734317</v>
      </c>
      <c r="L28" s="3" t="s">
        <v>99</v>
      </c>
      <c r="M28" s="3"/>
      <c r="N28" s="3"/>
      <c r="O28" s="3"/>
      <c r="P28" s="3"/>
      <c r="Q28" s="3"/>
      <c r="R28" s="3"/>
      <c r="S28" s="3"/>
    </row>
    <row r="29" spans="1:19" ht="15" customHeight="1">
      <c r="A29">
        <v>16170994</v>
      </c>
      <c r="B29" s="5" t="s">
        <v>33</v>
      </c>
      <c r="C29" s="5" t="s">
        <v>90</v>
      </c>
      <c r="E29" s="5" t="s">
        <v>91</v>
      </c>
      <c r="F29" s="5" t="s">
        <v>91</v>
      </c>
      <c r="G29" s="10">
        <v>46023</v>
      </c>
      <c r="H29" s="10">
        <v>46054</v>
      </c>
      <c r="I29" s="8">
        <v>221.32741999999999</v>
      </c>
      <c r="J29" s="8">
        <v>46.48</v>
      </c>
      <c r="K29" s="15">
        <f t="shared" si="1"/>
        <v>0.2100056106920688</v>
      </c>
      <c r="L29" s="3" t="s">
        <v>99</v>
      </c>
      <c r="M29" s="3"/>
      <c r="N29" s="3"/>
      <c r="O29" s="3"/>
      <c r="P29" s="3"/>
      <c r="Q29" s="3"/>
      <c r="R29" s="3"/>
      <c r="S29" s="3"/>
    </row>
    <row r="30" spans="1:19" ht="15" customHeight="1">
      <c r="A30">
        <v>16170994</v>
      </c>
      <c r="B30" s="5" t="s">
        <v>33</v>
      </c>
      <c r="C30" s="5" t="s">
        <v>92</v>
      </c>
      <c r="E30" s="5" t="s">
        <v>93</v>
      </c>
      <c r="F30" s="5" t="s">
        <v>93</v>
      </c>
      <c r="G30" s="10">
        <v>46023</v>
      </c>
      <c r="H30" s="10">
        <v>46054</v>
      </c>
      <c r="I30" s="8">
        <v>157.29658000000001</v>
      </c>
      <c r="J30" s="8">
        <v>33.03</v>
      </c>
      <c r="K30" s="15">
        <f t="shared" si="1"/>
        <v>0.20998549364518923</v>
      </c>
      <c r="L30" s="3" t="s">
        <v>99</v>
      </c>
      <c r="M30" s="3"/>
      <c r="N30" s="3"/>
      <c r="O30" s="3"/>
      <c r="P30" s="3"/>
      <c r="Q30" s="3"/>
      <c r="R30" s="3"/>
      <c r="S30" s="3"/>
    </row>
    <row r="31" spans="1:19" ht="15" customHeight="1">
      <c r="A31">
        <v>16170994</v>
      </c>
      <c r="B31" s="5" t="s">
        <v>33</v>
      </c>
      <c r="C31" s="5" t="s">
        <v>94</v>
      </c>
      <c r="E31" s="5" t="s">
        <v>95</v>
      </c>
      <c r="F31" s="5" t="s">
        <v>95</v>
      </c>
      <c r="G31" s="10">
        <v>46023</v>
      </c>
      <c r="H31" s="10">
        <v>46054</v>
      </c>
      <c r="I31" s="8">
        <v>157.29658000000001</v>
      </c>
      <c r="J31" s="8">
        <v>33.03</v>
      </c>
      <c r="K31" s="15">
        <f t="shared" si="1"/>
        <v>0.20998549364518923</v>
      </c>
      <c r="L31" s="3" t="s">
        <v>99</v>
      </c>
      <c r="M31" s="3"/>
      <c r="N31" s="3"/>
      <c r="O31" s="3"/>
      <c r="P31" s="3"/>
      <c r="Q31" s="3"/>
      <c r="R31" s="3"/>
      <c r="S31" s="3"/>
    </row>
    <row r="32" spans="1:19" ht="15" customHeight="1">
      <c r="A32">
        <v>16170994</v>
      </c>
      <c r="B32" s="5" t="s">
        <v>33</v>
      </c>
      <c r="C32" s="5" t="s">
        <v>96</v>
      </c>
      <c r="E32" s="5" t="s">
        <v>97</v>
      </c>
      <c r="F32" s="5" t="s">
        <v>97</v>
      </c>
      <c r="G32" s="10">
        <v>45962</v>
      </c>
      <c r="H32" s="10">
        <v>46054</v>
      </c>
      <c r="I32" s="8">
        <v>236.16672</v>
      </c>
      <c r="J32" s="8">
        <v>49.6</v>
      </c>
      <c r="K32" s="15">
        <f t="shared" si="1"/>
        <v>0.21002112406015547</v>
      </c>
      <c r="L32" s="3" t="s">
        <v>99</v>
      </c>
      <c r="M32" s="3"/>
      <c r="N32" s="3"/>
      <c r="O32" s="3"/>
      <c r="P32" s="3"/>
      <c r="Q32" s="3"/>
      <c r="R32" s="3"/>
      <c r="S32" s="3"/>
    </row>
    <row r="33" spans="1:19" ht="15" customHeight="1">
      <c r="A33">
        <v>19491313</v>
      </c>
      <c r="B33" s="9" t="s">
        <v>9</v>
      </c>
      <c r="C33" s="9" t="s">
        <v>10</v>
      </c>
      <c r="E33" s="1" t="s">
        <v>11</v>
      </c>
      <c r="F33" s="1" t="s">
        <v>11</v>
      </c>
      <c r="G33" s="10">
        <v>45992</v>
      </c>
      <c r="H33" s="10">
        <v>46054</v>
      </c>
      <c r="I33" s="11">
        <v>18.546659999999999</v>
      </c>
      <c r="J33" s="11">
        <v>5.56</v>
      </c>
      <c r="K33" s="15">
        <f t="shared" si="1"/>
        <v>0.2997844355803147</v>
      </c>
      <c r="L33" t="s">
        <v>100</v>
      </c>
    </row>
    <row r="34" spans="1:19" ht="15" customHeight="1">
      <c r="A34">
        <v>19491313</v>
      </c>
      <c r="B34" s="9" t="s">
        <v>9</v>
      </c>
      <c r="C34" s="9" t="s">
        <v>10</v>
      </c>
      <c r="E34" s="1" t="s">
        <v>11</v>
      </c>
      <c r="F34" s="1" t="s">
        <v>11</v>
      </c>
      <c r="G34" s="10">
        <v>45992</v>
      </c>
      <c r="H34" s="10">
        <v>46054</v>
      </c>
      <c r="I34" s="11">
        <v>18.546659999999999</v>
      </c>
      <c r="J34" s="11">
        <v>5.56</v>
      </c>
      <c r="K34" s="15">
        <f t="shared" ref="K34" si="2">J34/I34</f>
        <v>0.2997844355803147</v>
      </c>
      <c r="L34" t="s">
        <v>100</v>
      </c>
    </row>
    <row r="35" spans="1:19" ht="15" customHeight="1">
      <c r="B35" s="9"/>
      <c r="C35" s="9"/>
      <c r="E35" s="1"/>
      <c r="F35" s="1"/>
      <c r="G35" s="9"/>
      <c r="H35" s="14"/>
      <c r="I35" s="11"/>
      <c r="J35" s="11"/>
      <c r="K35" s="15"/>
    </row>
    <row r="36" spans="1:19" ht="1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</sheetData>
  <sortState xmlns:xlrd2="http://schemas.microsoft.com/office/spreadsheetml/2017/richdata2" ref="A2:AA23">
    <sortCondition ref="B2:B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Loula Irene Cabel</cp:lastModifiedBy>
  <dcterms:created xsi:type="dcterms:W3CDTF">2026-03-16T11:37:41Z</dcterms:created>
  <dcterms:modified xsi:type="dcterms:W3CDTF">2026-03-17T13:40:07Z</dcterms:modified>
</cp:coreProperties>
</file>