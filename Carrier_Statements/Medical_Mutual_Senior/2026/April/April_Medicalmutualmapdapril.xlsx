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V5fjbSmtpxeOHkkf5jS7daxvbfJhzWmDHzb8A2aCrOw="/>
    </ext>
  </extLst>
</workbook>
</file>

<file path=xl/sharedStrings.xml><?xml version="1.0" encoding="utf-8"?>
<sst xmlns="http://schemas.openxmlformats.org/spreadsheetml/2006/main" count="330" uniqueCount="113">
  <si>
    <t>Individual - Indemnity Business</t>
  </si>
  <si>
    <t>Indemnity</t>
  </si>
  <si>
    <t xml:space="preserve">
Producer Name</t>
  </si>
  <si>
    <t xml:space="preserve">
Group Name</t>
  </si>
  <si>
    <t>Group 
Number</t>
  </si>
  <si>
    <t>Type of 
Business</t>
  </si>
  <si>
    <t xml:space="preserve">
Split %</t>
  </si>
  <si>
    <t>Split  
Premium</t>
  </si>
  <si>
    <t xml:space="preserve">
Commission</t>
  </si>
  <si>
    <t>STEVEN BRANDT</t>
  </si>
  <si>
    <t>STEVEN K BRANDT</t>
  </si>
  <si>
    <t>C64807_H</t>
  </si>
  <si>
    <t>Critical Ill</t>
  </si>
  <si>
    <t xml:space="preserve">Total Individual - Indemnity Business  </t>
  </si>
  <si>
    <t>Total Base Commission</t>
  </si>
  <si>
    <t>Detailed Commission Statement</t>
  </si>
  <si>
    <t>MAIN LINE BENEFITS LLC_10_MA</t>
  </si>
  <si>
    <t>For Period: April 2026</t>
  </si>
  <si>
    <t xml:space="preserve">Summary </t>
  </si>
  <si>
    <t>BASE COMMISSIONS</t>
  </si>
  <si>
    <t>SUBTOTAL</t>
  </si>
  <si>
    <t>TOTAL AMOUNT PAID</t>
  </si>
  <si>
    <t>Medicare Advantage</t>
  </si>
  <si>
    <t>Health</t>
  </si>
  <si>
    <t xml:space="preserve">
Member Name</t>
  </si>
  <si>
    <t xml:space="preserve">Policy Holder </t>
  </si>
  <si>
    <t>Effective Date</t>
  </si>
  <si>
    <t xml:space="preserve">
Commission </t>
  </si>
  <si>
    <t>NATHAN WELLER</t>
  </si>
  <si>
    <t>EDWARD G TRIMMER</t>
  </si>
  <si>
    <t>6277111</t>
  </si>
  <si>
    <t>RONNA M JOHNSON</t>
  </si>
  <si>
    <t>6236016</t>
  </si>
  <si>
    <t>RYAN SHEPARD</t>
  </si>
  <si>
    <t>DAWN E ALLAR</t>
  </si>
  <si>
    <t>6286072</t>
  </si>
  <si>
    <t>MARY T CUSICK</t>
  </si>
  <si>
    <t>6220011</t>
  </si>
  <si>
    <t>NANCY L RUESCHMAN</t>
  </si>
  <si>
    <t>6224756</t>
  </si>
  <si>
    <t>WENDY L VONDUHN</t>
  </si>
  <si>
    <t>6284921</t>
  </si>
  <si>
    <t>CINDY L LEACH</t>
  </si>
  <si>
    <t>6213383</t>
  </si>
  <si>
    <t>JEFF L SCOTT</t>
  </si>
  <si>
    <t>6210817</t>
  </si>
  <si>
    <t>JOHN J ABSHIRE</t>
  </si>
  <si>
    <t>6218056</t>
  </si>
  <si>
    <t>JOHN U WILSON JR</t>
  </si>
  <si>
    <t>6212568</t>
  </si>
  <si>
    <t>KAREN B RAUSCH</t>
  </si>
  <si>
    <t>6215141</t>
  </si>
  <si>
    <t>KAREN D ABSHIRE</t>
  </si>
  <si>
    <t>6218054</t>
  </si>
  <si>
    <t>KURT D LARKIN</t>
  </si>
  <si>
    <t>6238104</t>
  </si>
  <si>
    <t>LINDA M BUTSKO</t>
  </si>
  <si>
    <t>6224965</t>
  </si>
  <si>
    <t>PAM F WILSON</t>
  </si>
  <si>
    <t>6210872</t>
  </si>
  <si>
    <t>REBECCA F HILL</t>
  </si>
  <si>
    <t>6239247</t>
  </si>
  <si>
    <t>ROBERT W SMITH</t>
  </si>
  <si>
    <t>6138508</t>
  </si>
  <si>
    <t>SHARON N SMITH</t>
  </si>
  <si>
    <t>6233105</t>
  </si>
  <si>
    <t>TAMMY D HAYWOOD</t>
  </si>
  <si>
    <t>6225460</t>
  </si>
  <si>
    <t>TAMMY J WILHELM</t>
  </si>
  <si>
    <t>6241874</t>
  </si>
  <si>
    <t>TAMMY L VANATTA</t>
  </si>
  <si>
    <t>6231397</t>
  </si>
  <si>
    <t>THERESA J MCFARLAND</t>
  </si>
  <si>
    <t>6220305</t>
  </si>
  <si>
    <t>TIMOTHY G ZAHLER</t>
  </si>
  <si>
    <t>6209348</t>
  </si>
  <si>
    <t>WILLIAM J BUTSKO</t>
  </si>
  <si>
    <t>6155654</t>
  </si>
  <si>
    <t xml:space="preserve">Total Medicare Advantage  </t>
  </si>
  <si>
    <t>Medicare Supplement</t>
  </si>
  <si>
    <t>Policy 
Age</t>
  </si>
  <si>
    <t>JENNIFER HALSAVER</t>
  </si>
  <si>
    <t>GEORGE MELLEN</t>
  </si>
  <si>
    <t>C48377_H</t>
  </si>
  <si>
    <t>JEFFREY GAUL</t>
  </si>
  <si>
    <t>C61905_H</t>
  </si>
  <si>
    <t>CATHERINE LOTTIG</t>
  </si>
  <si>
    <t>C93413_H</t>
  </si>
  <si>
    <t>GARY WHISENHUNT</t>
  </si>
  <si>
    <t>C95953_H</t>
  </si>
  <si>
    <t>JANET ROTH</t>
  </si>
  <si>
    <t>C83629_H</t>
  </si>
  <si>
    <t>JEANE NOBLETT</t>
  </si>
  <si>
    <t>C83690_H</t>
  </si>
  <si>
    <t>JOANN WAGNER</t>
  </si>
  <si>
    <t>C85198_H</t>
  </si>
  <si>
    <t>KAREN CLARKE</t>
  </si>
  <si>
    <t>C91924_H</t>
  </si>
  <si>
    <t>PAMELA ANDREWS</t>
  </si>
  <si>
    <t>C98924_H</t>
  </si>
  <si>
    <t>SUZANNE MALONEY</t>
  </si>
  <si>
    <t>C86006_H</t>
  </si>
  <si>
    <t>TAMMY FRESH</t>
  </si>
  <si>
    <t>E01044_H</t>
  </si>
  <si>
    <t>THOMAS CLARKE</t>
  </si>
  <si>
    <t>C52332_H</t>
  </si>
  <si>
    <t>MARY REED</t>
  </si>
  <si>
    <t>C97448_H</t>
  </si>
  <si>
    <t xml:space="preserve">Total Medicare Supplement  </t>
  </si>
  <si>
    <t>Medical Mutual 2026*</t>
  </si>
  <si>
    <t>[%/$=347][prorate=1/12]</t>
  </si>
  <si>
    <t>Medical Mutual All Plans New</t>
  </si>
  <si>
    <t>Medical Mutual Extend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</si>
</sst>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[$%-809]"/>
    <numFmt numFmtId="165" formatCode="[$$-809]#,##0.00_);\([$$-809]#,##0.00\)"/>
    <numFmt numFmtId="166" formatCode="[$$-809]#,##0.00"/>
    <numFmt numFmtId="167" formatCode="mm\/dd\/yyyy"/>
    <numFmt numFmtId="168" formatCode="[$$-380A]\ #,##0.00;\-[$$-380A]\ #,##0.00"/>
  </numFmts>
  <fonts count="16">
    <font>
      <sz val="11.0"/>
      <color theme="1"/>
      <name val="Calibri"/>
      <scheme val="minor"/>
    </font>
    <font>
      <b/>
      <sz val="10.0"/>
      <color rgb="FF5A5A5A"/>
      <name val="Helvetica Neue"/>
    </font>
    <font/>
    <font>
      <b/>
      <sz val="10.0"/>
      <color rgb="FFFFFFFF"/>
      <name val="Palatino Linotype"/>
    </font>
    <font>
      <sz val="10.0"/>
      <color rgb="FFFFFFFF"/>
      <name val="Arial"/>
    </font>
    <font>
      <sz val="8.0"/>
      <color rgb="FF000000"/>
      <name val="Arial"/>
    </font>
    <font>
      <sz val="8.0"/>
      <color rgb="FF000000"/>
      <name val="Helvetica Neue"/>
    </font>
    <font>
      <b/>
      <sz val="9.0"/>
      <color rgb="FF414042"/>
      <name val="Arial"/>
    </font>
    <font>
      <b/>
      <sz val="10.0"/>
      <color rgb="FF000000"/>
      <name val="Arial"/>
    </font>
    <font>
      <b/>
      <sz val="10.0"/>
      <color rgb="FF000000"/>
      <name val="Helvetica Neue"/>
    </font>
    <font>
      <b/>
      <sz val="14.0"/>
      <color rgb="FF038675"/>
      <name val="Palatino Linotype"/>
    </font>
    <font>
      <b/>
      <sz val="12.0"/>
      <color rgb="FF038675"/>
      <name val="Palatino Linotype"/>
    </font>
    <font>
      <b/>
      <sz val="11.0"/>
      <color rgb="FF414042"/>
      <name val="Arial"/>
    </font>
    <font>
      <sz val="10.0"/>
      <color rgb="FF000000"/>
      <name val="Arial"/>
    </font>
    <font>
      <b/>
      <sz val="10.0"/>
      <color rgb="FF414042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08285"/>
        <bgColor rgb="FF808285"/>
      </patternFill>
    </fill>
    <fill>
      <patternFill patternType="solid">
        <fgColor rgb="FF038675"/>
        <bgColor rgb="FF038675"/>
      </patternFill>
    </fill>
  </fills>
  <borders count="18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/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shrinkToFit="0" vertical="top" wrapText="1"/>
    </xf>
    <xf borderId="5" fillId="0" fontId="2" numFmtId="0" xfId="0" applyBorder="1" applyFont="1"/>
    <xf borderId="6" fillId="0" fontId="2" numFmtId="0" xfId="0" applyBorder="1" applyFont="1"/>
    <xf borderId="7" fillId="4" fontId="4" numFmtId="0" xfId="0" applyAlignment="1" applyBorder="1" applyFill="1" applyFont="1">
      <alignment horizontal="center" shrinkToFit="0" vertical="top" wrapText="1"/>
    </xf>
    <xf borderId="8" fillId="0" fontId="2" numFmtId="0" xfId="0" applyBorder="1" applyFont="1"/>
    <xf borderId="9" fillId="0" fontId="2" numFmtId="0" xfId="0" applyBorder="1" applyFont="1"/>
    <xf borderId="10" fillId="4" fontId="4" numFmtId="0" xfId="0" applyAlignment="1" applyBorder="1" applyFont="1">
      <alignment horizontal="center" shrinkToFit="0" vertical="top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0" fillId="0" fontId="5" numFmtId="0" xfId="0" applyAlignment="1" applyFont="1">
      <alignment horizontal="left" vertical="top"/>
    </xf>
    <xf borderId="0" fillId="0" fontId="6" numFmtId="164" xfId="0" applyAlignment="1" applyFont="1" applyNumberFormat="1">
      <alignment horizontal="center" vertical="top"/>
    </xf>
    <xf borderId="0" fillId="0" fontId="5" numFmtId="165" xfId="0" applyAlignment="1" applyFont="1" applyNumberFormat="1">
      <alignment horizontal="right" vertical="top"/>
    </xf>
    <xf borderId="0" fillId="0" fontId="7" numFmtId="165" xfId="0" applyAlignment="1" applyFont="1" applyNumberFormat="1">
      <alignment horizontal="right" vertical="top"/>
    </xf>
    <xf borderId="0" fillId="0" fontId="7" numFmtId="0" xfId="0" applyAlignment="1" applyFont="1">
      <alignment horizontal="left" shrinkToFit="0" vertical="top" wrapText="1"/>
    </xf>
    <xf borderId="4" fillId="3" fontId="8" numFmtId="0" xfId="0" applyAlignment="1" applyBorder="1" applyFont="1">
      <alignment horizontal="left" shrinkToFit="0" vertical="top" wrapText="1"/>
    </xf>
    <xf borderId="4" fillId="3" fontId="9" numFmtId="166" xfId="0" applyAlignment="1" applyBorder="1" applyFont="1" applyNumberFormat="1">
      <alignment horizontal="right" shrinkToFit="0" vertical="top" wrapText="1"/>
    </xf>
    <xf borderId="0" fillId="0" fontId="10" numFmtId="0" xfId="0" applyAlignment="1" applyFont="1">
      <alignment horizontal="right" shrinkToFit="0" vertical="top" wrapText="1"/>
    </xf>
    <xf borderId="0" fillId="0" fontId="11" numFmtId="0" xfId="0" applyAlignment="1" applyFont="1">
      <alignment horizontal="left" vertical="top"/>
    </xf>
    <xf borderId="0" fillId="0" fontId="11" numFmtId="0" xfId="0" applyAlignment="1" applyFont="1">
      <alignment horizontal="right" shrinkToFit="0" vertical="top" wrapText="1"/>
    </xf>
    <xf borderId="0" fillId="0" fontId="12" numFmtId="0" xfId="0" applyAlignment="1" applyFont="1">
      <alignment horizontal="left" shrinkToFit="0" vertical="top" wrapText="1"/>
    </xf>
    <xf borderId="0" fillId="0" fontId="13" numFmtId="0" xfId="0" applyAlignment="1" applyFont="1">
      <alignment horizontal="left" vertical="top"/>
    </xf>
    <xf borderId="0" fillId="0" fontId="13" numFmtId="4" xfId="0" applyAlignment="1" applyFont="1" applyNumberFormat="1">
      <alignment horizontal="right" vertical="top"/>
    </xf>
    <xf borderId="0" fillId="0" fontId="14" numFmtId="0" xfId="0" applyAlignment="1" applyFont="1">
      <alignment horizontal="left" vertical="top"/>
    </xf>
    <xf borderId="0" fillId="0" fontId="14" numFmtId="4" xfId="0" applyAlignment="1" applyFont="1" applyNumberFormat="1">
      <alignment horizontal="right" vertical="top"/>
    </xf>
    <xf borderId="0" fillId="0" fontId="5" numFmtId="167" xfId="0" applyAlignment="1" applyFont="1" applyNumberFormat="1">
      <alignment horizontal="center" vertical="top"/>
    </xf>
    <xf borderId="0" fillId="0" fontId="5" numFmtId="3" xfId="0" applyAlignment="1" applyFont="1" applyNumberFormat="1">
      <alignment horizontal="center" vertical="top"/>
    </xf>
    <xf borderId="0" fillId="0" fontId="5" numFmtId="164" xfId="0" applyAlignment="1" applyFont="1" applyNumberFormat="1">
      <alignment horizontal="center" vertical="top"/>
    </xf>
    <xf borderId="0" fillId="0" fontId="15" numFmtId="168" xfId="0" applyFont="1" applyNumberFormat="1"/>
    <xf borderId="17" fillId="4" fontId="4" numFmtId="0" xfId="0" applyAlignment="1" applyBorder="1" applyFont="1">
      <alignment vertical="center"/>
    </xf>
    <xf borderId="0" fillId="0" fontId="15" numFmtId="0" xfId="0" applyAlignment="1" applyFont="1">
      <alignment vertical="center"/>
    </xf>
    <xf borderId="0" fillId="0" fontId="5" numFmtId="0" xfId="0" applyAlignment="1" applyFont="1">
      <alignment vertical="top"/>
    </xf>
    <xf borderId="0" fillId="0" fontId="5" numFmtId="167" xfId="0" applyAlignment="1" applyFont="1" applyNumberFormat="1">
      <alignment vertical="top"/>
    </xf>
    <xf borderId="0" fillId="0" fontId="15" numFmtId="14" xfId="0" applyFont="1" applyNumberFormat="1"/>
    <xf borderId="0" fillId="0" fontId="15" numFmtId="0" xfId="0" applyFont="1"/>
    <xf borderId="0" fillId="0" fontId="5" numFmtId="165" xfId="0" applyAlignment="1" applyFont="1" applyNumberFormat="1">
      <alignment vertical="top"/>
    </xf>
    <xf borderId="0" fillId="0" fontId="15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0</xdr:rowOff>
    </xdr:from>
    <xdr:ext cx="3771900" cy="1143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8.71"/>
    <col customWidth="1" min="21" max="21" width="9.57"/>
    <col customWidth="1" min="22" max="26" width="8.71"/>
  </cols>
  <sheetData>
    <row r="2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5">
      <c r="A5" s="7" t="s">
        <v>2</v>
      </c>
      <c r="B5" s="8"/>
      <c r="C5" s="7" t="s">
        <v>3</v>
      </c>
      <c r="D5" s="9"/>
      <c r="E5" s="8"/>
      <c r="F5" s="10" t="s">
        <v>4</v>
      </c>
      <c r="H5" s="7" t="s">
        <v>5</v>
      </c>
      <c r="I5" s="9"/>
      <c r="J5" s="9"/>
      <c r="K5" s="8"/>
      <c r="L5" s="7" t="s">
        <v>6</v>
      </c>
      <c r="M5" s="9"/>
      <c r="N5" s="8"/>
      <c r="O5" s="7" t="s">
        <v>7</v>
      </c>
      <c r="P5" s="11"/>
      <c r="Q5" s="7" t="s">
        <v>8</v>
      </c>
      <c r="R5" s="9"/>
      <c r="S5" s="11"/>
    </row>
    <row r="6">
      <c r="A6" s="12"/>
      <c r="B6" s="13"/>
      <c r="C6" s="12"/>
      <c r="D6" s="14"/>
      <c r="E6" s="13"/>
      <c r="F6" s="15"/>
      <c r="H6" s="12"/>
      <c r="I6" s="14"/>
      <c r="J6" s="14"/>
      <c r="K6" s="13"/>
      <c r="L6" s="12"/>
      <c r="M6" s="14"/>
      <c r="N6" s="13"/>
      <c r="O6" s="12"/>
      <c r="P6" s="16"/>
      <c r="Q6" s="12"/>
      <c r="R6" s="14"/>
      <c r="S6" s="16"/>
    </row>
    <row r="8">
      <c r="A8" s="17" t="s">
        <v>9</v>
      </c>
      <c r="C8" s="17" t="s">
        <v>10</v>
      </c>
      <c r="F8" s="17" t="s">
        <v>11</v>
      </c>
      <c r="G8" s="17" t="s">
        <v>12</v>
      </c>
      <c r="K8" s="18">
        <v>100.0</v>
      </c>
      <c r="M8" s="19">
        <v>18.54666</v>
      </c>
      <c r="P8" s="19">
        <v>5.56</v>
      </c>
    </row>
    <row r="9">
      <c r="P9" s="20">
        <v>5.56</v>
      </c>
    </row>
    <row r="10">
      <c r="A10" s="21" t="s">
        <v>13</v>
      </c>
      <c r="M10" s="20">
        <v>18.54666</v>
      </c>
      <c r="P10" s="20">
        <v>5.56</v>
      </c>
    </row>
    <row r="12">
      <c r="A12" s="22" t="s">
        <v>14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6"/>
      <c r="T12" s="23">
        <v>4930.36</v>
      </c>
      <c r="U12" s="6"/>
    </row>
    <row r="15">
      <c r="I15" s="24" t="s">
        <v>15</v>
      </c>
    </row>
    <row r="17">
      <c r="A17" s="25" t="s">
        <v>16</v>
      </c>
      <c r="I17" s="26" t="s">
        <v>17</v>
      </c>
    </row>
    <row r="18">
      <c r="D18" s="27" t="s">
        <v>18</v>
      </c>
    </row>
    <row r="19">
      <c r="D19" s="28" t="s">
        <v>19</v>
      </c>
      <c r="H19" s="29">
        <v>1120.1</v>
      </c>
    </row>
    <row r="20">
      <c r="D20" s="28" t="s">
        <v>20</v>
      </c>
      <c r="H20" s="29">
        <v>1120.1</v>
      </c>
    </row>
    <row r="21" ht="15.75" customHeight="1"/>
    <row r="22" ht="15.75" customHeight="1">
      <c r="D22" s="30" t="s">
        <v>21</v>
      </c>
      <c r="H22" s="31">
        <v>1120.1</v>
      </c>
    </row>
    <row r="23" ht="15.75" customHeight="1"/>
    <row r="24" ht="15.75" customHeight="1">
      <c r="A24" s="1" t="s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3"/>
    </row>
    <row r="25" ht="15.75" customHeight="1">
      <c r="A25" s="4" t="s">
        <v>23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6"/>
    </row>
    <row r="26" ht="15.75" customHeight="1"/>
    <row r="27" ht="15.75" customHeight="1">
      <c r="A27" s="7" t="s">
        <v>2</v>
      </c>
      <c r="B27" s="8"/>
      <c r="C27" s="7" t="s">
        <v>24</v>
      </c>
      <c r="D27" s="9"/>
      <c r="E27" s="8"/>
      <c r="F27" s="10" t="s">
        <v>25</v>
      </c>
      <c r="G27" s="7" t="s">
        <v>26</v>
      </c>
      <c r="H27" s="9"/>
      <c r="I27" s="9"/>
      <c r="J27" s="8"/>
      <c r="K27" s="7" t="s">
        <v>27</v>
      </c>
      <c r="L27" s="9"/>
      <c r="M27" s="11"/>
    </row>
    <row r="28" ht="15.75" customHeight="1">
      <c r="A28" s="12"/>
      <c r="B28" s="13"/>
      <c r="C28" s="12"/>
      <c r="D28" s="14"/>
      <c r="E28" s="13"/>
      <c r="F28" s="15"/>
      <c r="G28" s="12"/>
      <c r="H28" s="14"/>
      <c r="I28" s="14"/>
      <c r="J28" s="13"/>
      <c r="K28" s="12"/>
      <c r="L28" s="14"/>
      <c r="M28" s="16"/>
    </row>
    <row r="29" ht="15.75" customHeight="1"/>
    <row r="30" ht="15.75" customHeight="1">
      <c r="A30" s="17" t="s">
        <v>28</v>
      </c>
      <c r="C30" s="17" t="s">
        <v>29</v>
      </c>
      <c r="F30" s="17" t="s">
        <v>30</v>
      </c>
      <c r="G30" s="32">
        <v>45992.0</v>
      </c>
      <c r="K30" s="19">
        <v>28.92</v>
      </c>
    </row>
    <row r="31" ht="15.75" customHeight="1"/>
    <row r="32" ht="15.75" customHeight="1">
      <c r="A32" s="17" t="s">
        <v>28</v>
      </c>
      <c r="C32" s="17" t="s">
        <v>31</v>
      </c>
      <c r="F32" s="17" t="s">
        <v>32</v>
      </c>
      <c r="G32" s="32">
        <v>45658.0</v>
      </c>
      <c r="K32" s="19">
        <v>28.92</v>
      </c>
    </row>
    <row r="33" ht="15.75" customHeight="1"/>
    <row r="34" ht="15.75" customHeight="1">
      <c r="A34" s="17" t="s">
        <v>33</v>
      </c>
      <c r="C34" s="17" t="s">
        <v>34</v>
      </c>
      <c r="F34" s="17" t="s">
        <v>35</v>
      </c>
      <c r="G34" s="32">
        <v>46143.0</v>
      </c>
      <c r="K34" s="19">
        <v>0.0</v>
      </c>
    </row>
    <row r="35" ht="15.75" customHeight="1"/>
    <row r="36" ht="15.75" customHeight="1">
      <c r="A36" s="17" t="s">
        <v>33</v>
      </c>
      <c r="C36" s="17" t="s">
        <v>34</v>
      </c>
      <c r="F36" s="17" t="s">
        <v>35</v>
      </c>
      <c r="G36" s="32">
        <v>46143.0</v>
      </c>
      <c r="K36" s="19">
        <v>0.0</v>
      </c>
    </row>
    <row r="37" ht="15.75" customHeight="1"/>
    <row r="38" ht="15.75" customHeight="1">
      <c r="A38" s="17" t="s">
        <v>33</v>
      </c>
      <c r="C38" s="17" t="s">
        <v>36</v>
      </c>
      <c r="F38" s="17" t="s">
        <v>37</v>
      </c>
      <c r="G38" s="32">
        <v>45658.0</v>
      </c>
      <c r="K38" s="19">
        <v>28.92</v>
      </c>
    </row>
    <row r="39" ht="15.75" customHeight="1"/>
    <row r="40" ht="15.75" customHeight="1">
      <c r="A40" s="17" t="s">
        <v>33</v>
      </c>
      <c r="C40" s="17" t="s">
        <v>38</v>
      </c>
      <c r="F40" s="17" t="s">
        <v>39</v>
      </c>
      <c r="G40" s="32">
        <v>45658.0</v>
      </c>
      <c r="K40" s="19">
        <v>28.92</v>
      </c>
    </row>
    <row r="41" ht="15.75" customHeight="1"/>
    <row r="42" ht="15.75" customHeight="1">
      <c r="A42" s="17" t="s">
        <v>33</v>
      </c>
      <c r="C42" s="17" t="s">
        <v>40</v>
      </c>
      <c r="F42" s="17" t="s">
        <v>41</v>
      </c>
      <c r="G42" s="32">
        <v>46143.0</v>
      </c>
      <c r="K42" s="19">
        <v>0.0</v>
      </c>
    </row>
    <row r="43" ht="15.75" customHeight="1"/>
    <row r="44" ht="15.75" customHeight="1">
      <c r="A44" s="17" t="s">
        <v>9</v>
      </c>
      <c r="C44" s="17" t="s">
        <v>42</v>
      </c>
      <c r="F44" s="17" t="s">
        <v>43</v>
      </c>
      <c r="G44" s="32">
        <v>45658.0</v>
      </c>
      <c r="K44" s="19">
        <v>28.92</v>
      </c>
    </row>
    <row r="45" ht="15.75" customHeight="1"/>
    <row r="46" ht="15.75" customHeight="1">
      <c r="A46" s="17" t="s">
        <v>9</v>
      </c>
      <c r="C46" s="17" t="s">
        <v>44</v>
      </c>
      <c r="F46" s="17" t="s">
        <v>45</v>
      </c>
      <c r="G46" s="32">
        <v>45627.0</v>
      </c>
      <c r="K46" s="19">
        <v>28.92</v>
      </c>
    </row>
    <row r="47" ht="15.75" customHeight="1"/>
    <row r="48" ht="15.75" customHeight="1">
      <c r="A48" s="17" t="s">
        <v>9</v>
      </c>
      <c r="C48" s="17" t="s">
        <v>46</v>
      </c>
      <c r="F48" s="17" t="s">
        <v>47</v>
      </c>
      <c r="G48" s="32">
        <v>45658.0</v>
      </c>
      <c r="K48" s="19">
        <v>28.92</v>
      </c>
    </row>
    <row r="49" ht="15.75" customHeight="1"/>
    <row r="50" ht="15.75" customHeight="1">
      <c r="A50" s="17" t="s">
        <v>9</v>
      </c>
      <c r="C50" s="17" t="s">
        <v>48</v>
      </c>
      <c r="F50" s="17" t="s">
        <v>49</v>
      </c>
      <c r="G50" s="32">
        <v>45658.0</v>
      </c>
      <c r="K50" s="19">
        <v>28.92</v>
      </c>
    </row>
    <row r="51" ht="15.75" customHeight="1"/>
    <row r="52" ht="15.75" customHeight="1">
      <c r="A52" s="17" t="s">
        <v>9</v>
      </c>
      <c r="C52" s="17" t="s">
        <v>50</v>
      </c>
      <c r="F52" s="17" t="s">
        <v>51</v>
      </c>
      <c r="G52" s="32">
        <v>45658.0</v>
      </c>
      <c r="K52" s="19">
        <v>28.92</v>
      </c>
    </row>
    <row r="53" ht="15.75" customHeight="1"/>
    <row r="54" ht="15.75" customHeight="1">
      <c r="A54" s="17" t="s">
        <v>9</v>
      </c>
      <c r="C54" s="17" t="s">
        <v>52</v>
      </c>
      <c r="F54" s="17" t="s">
        <v>53</v>
      </c>
      <c r="G54" s="32">
        <v>45658.0</v>
      </c>
      <c r="K54" s="19">
        <v>28.92</v>
      </c>
    </row>
    <row r="55" ht="15.75" customHeight="1"/>
    <row r="56" ht="15.75" customHeight="1">
      <c r="A56" s="17" t="s">
        <v>9</v>
      </c>
      <c r="C56" s="17" t="s">
        <v>54</v>
      </c>
      <c r="F56" s="17" t="s">
        <v>55</v>
      </c>
      <c r="G56" s="32">
        <v>45627.0</v>
      </c>
      <c r="K56" s="19">
        <v>28.92</v>
      </c>
    </row>
    <row r="57" ht="15.75" customHeight="1"/>
    <row r="58" ht="15.75" customHeight="1">
      <c r="A58" s="17" t="s">
        <v>9</v>
      </c>
      <c r="C58" s="17" t="s">
        <v>56</v>
      </c>
      <c r="F58" s="17" t="s">
        <v>57</v>
      </c>
      <c r="G58" s="32">
        <v>45658.0</v>
      </c>
      <c r="K58" s="19">
        <v>28.92</v>
      </c>
    </row>
    <row r="59" ht="15.75" customHeight="1"/>
    <row r="60" ht="15.75" customHeight="1">
      <c r="A60" s="17" t="s">
        <v>9</v>
      </c>
      <c r="C60" s="17" t="s">
        <v>58</v>
      </c>
      <c r="F60" s="17" t="s">
        <v>59</v>
      </c>
      <c r="G60" s="32">
        <v>45597.0</v>
      </c>
      <c r="K60" s="19">
        <v>28.92</v>
      </c>
    </row>
    <row r="61" ht="15.75" customHeight="1"/>
    <row r="62" ht="15.75" customHeight="1">
      <c r="A62" s="17" t="s">
        <v>9</v>
      </c>
      <c r="C62" s="17" t="s">
        <v>60</v>
      </c>
      <c r="F62" s="17" t="s">
        <v>61</v>
      </c>
      <c r="G62" s="32">
        <v>45658.0</v>
      </c>
      <c r="K62" s="19">
        <v>28.92</v>
      </c>
    </row>
    <row r="63" ht="15.75" customHeight="1"/>
    <row r="64" ht="15.75" customHeight="1">
      <c r="A64" s="17" t="s">
        <v>9</v>
      </c>
      <c r="C64" s="17" t="s">
        <v>62</v>
      </c>
      <c r="F64" s="17" t="s">
        <v>63</v>
      </c>
      <c r="G64" s="32">
        <v>43101.0</v>
      </c>
      <c r="K64" s="19">
        <v>28.92</v>
      </c>
    </row>
    <row r="65" ht="15.75" customHeight="1"/>
    <row r="66" ht="15.75" customHeight="1">
      <c r="A66" s="17" t="s">
        <v>9</v>
      </c>
      <c r="C66" s="17" t="s">
        <v>64</v>
      </c>
      <c r="F66" s="17" t="s">
        <v>65</v>
      </c>
      <c r="G66" s="32">
        <v>45658.0</v>
      </c>
      <c r="K66" s="19">
        <v>28.92</v>
      </c>
    </row>
    <row r="67" ht="15.75" customHeight="1"/>
    <row r="68" ht="15.75" customHeight="1">
      <c r="A68" s="17" t="s">
        <v>9</v>
      </c>
      <c r="C68" s="17" t="s">
        <v>66</v>
      </c>
      <c r="F68" s="17" t="s">
        <v>67</v>
      </c>
      <c r="G68" s="32">
        <v>45597.0</v>
      </c>
      <c r="K68" s="19">
        <v>28.92</v>
      </c>
    </row>
    <row r="69" ht="15.75" customHeight="1"/>
    <row r="70" ht="15.75" customHeight="1">
      <c r="A70" s="17" t="s">
        <v>9</v>
      </c>
      <c r="C70" s="17" t="s">
        <v>68</v>
      </c>
      <c r="F70" s="17" t="s">
        <v>69</v>
      </c>
      <c r="G70" s="32">
        <v>45658.0</v>
      </c>
      <c r="K70" s="19">
        <v>28.92</v>
      </c>
    </row>
    <row r="71" ht="15.75" customHeight="1"/>
    <row r="72" ht="15.75" customHeight="1">
      <c r="A72" s="17" t="s">
        <v>9</v>
      </c>
      <c r="C72" s="17" t="s">
        <v>70</v>
      </c>
      <c r="F72" s="17" t="s">
        <v>71</v>
      </c>
      <c r="G72" s="32">
        <v>45627.0</v>
      </c>
      <c r="K72" s="19">
        <v>28.92</v>
      </c>
    </row>
    <row r="73" ht="15.75" customHeight="1"/>
    <row r="74" ht="15.75" customHeight="1">
      <c r="A74" s="17" t="s">
        <v>9</v>
      </c>
      <c r="C74" s="17" t="s">
        <v>72</v>
      </c>
      <c r="F74" s="17" t="s">
        <v>73</v>
      </c>
      <c r="G74" s="32">
        <v>45658.0</v>
      </c>
      <c r="K74" s="19">
        <v>28.92</v>
      </c>
    </row>
    <row r="75" ht="15.75" customHeight="1"/>
    <row r="76" ht="15.75" customHeight="1">
      <c r="A76" s="17" t="s">
        <v>9</v>
      </c>
      <c r="C76" s="17" t="s">
        <v>74</v>
      </c>
      <c r="F76" s="17" t="s">
        <v>75</v>
      </c>
      <c r="G76" s="32">
        <v>45505.0</v>
      </c>
      <c r="K76" s="19">
        <v>28.92</v>
      </c>
    </row>
    <row r="77" ht="15.75" customHeight="1"/>
    <row r="78" ht="15.75" customHeight="1">
      <c r="A78" s="17" t="s">
        <v>9</v>
      </c>
      <c r="C78" s="17" t="s">
        <v>76</v>
      </c>
      <c r="F78" s="17" t="s">
        <v>77</v>
      </c>
      <c r="G78" s="32">
        <v>45658.0</v>
      </c>
      <c r="K78" s="19">
        <v>28.92</v>
      </c>
    </row>
    <row r="79" ht="15.75" customHeight="1"/>
    <row r="80" ht="15.75" customHeight="1">
      <c r="A80" s="21" t="s">
        <v>78</v>
      </c>
      <c r="K80" s="20">
        <v>636.24</v>
      </c>
    </row>
    <row r="81" ht="15.75" customHeight="1">
      <c r="A81" s="1" t="s">
        <v>79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3"/>
    </row>
    <row r="82" ht="15.75" customHeight="1">
      <c r="A82" s="4" t="s">
        <v>23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6"/>
    </row>
    <row r="83" ht="15.75" customHeight="1"/>
    <row r="84" ht="15.75" customHeight="1">
      <c r="A84" s="7" t="s">
        <v>2</v>
      </c>
      <c r="B84" s="8"/>
      <c r="C84" s="7" t="s">
        <v>3</v>
      </c>
      <c r="D84" s="9"/>
      <c r="E84" s="8"/>
      <c r="F84" s="10" t="s">
        <v>4</v>
      </c>
      <c r="G84" s="7" t="s">
        <v>80</v>
      </c>
      <c r="H84" s="9"/>
      <c r="I84" s="9"/>
      <c r="J84" s="8"/>
      <c r="K84" s="7" t="s">
        <v>6</v>
      </c>
      <c r="L84" s="8"/>
      <c r="M84" s="7" t="s">
        <v>7</v>
      </c>
      <c r="N84" s="11"/>
      <c r="P84" s="7" t="s">
        <v>8</v>
      </c>
      <c r="Q84" s="11"/>
    </row>
    <row r="85" ht="15.75" customHeight="1">
      <c r="A85" s="12"/>
      <c r="B85" s="13"/>
      <c r="C85" s="12"/>
      <c r="D85" s="14"/>
      <c r="E85" s="13"/>
      <c r="F85" s="15"/>
      <c r="G85" s="12"/>
      <c r="H85" s="14"/>
      <c r="I85" s="14"/>
      <c r="J85" s="13"/>
      <c r="K85" s="12"/>
      <c r="L85" s="13"/>
      <c r="M85" s="12"/>
      <c r="N85" s="16"/>
      <c r="P85" s="12"/>
      <c r="Q85" s="16"/>
    </row>
    <row r="86" ht="15.75" customHeight="1">
      <c r="A86" s="17" t="s">
        <v>81</v>
      </c>
      <c r="C86" s="17" t="s">
        <v>82</v>
      </c>
      <c r="F86" s="17" t="s">
        <v>83</v>
      </c>
      <c r="G86" s="33">
        <v>1.0</v>
      </c>
      <c r="K86" s="34">
        <v>100.0</v>
      </c>
      <c r="M86" s="19">
        <v>161.15184</v>
      </c>
      <c r="P86" s="19">
        <v>33.84</v>
      </c>
    </row>
    <row r="87" ht="15.75" customHeight="1">
      <c r="A87" s="17" t="s">
        <v>28</v>
      </c>
      <c r="C87" s="17" t="s">
        <v>84</v>
      </c>
      <c r="F87" s="17" t="s">
        <v>85</v>
      </c>
      <c r="G87" s="33">
        <v>1.0</v>
      </c>
      <c r="K87" s="34">
        <v>100.0</v>
      </c>
      <c r="M87" s="19">
        <v>203.92452</v>
      </c>
      <c r="P87" s="19">
        <v>42.82</v>
      </c>
    </row>
    <row r="88" ht="15.75" customHeight="1">
      <c r="A88" s="17" t="s">
        <v>33</v>
      </c>
      <c r="C88" s="17" t="s">
        <v>86</v>
      </c>
      <c r="F88" s="17" t="s">
        <v>87</v>
      </c>
      <c r="G88" s="33">
        <v>1.0</v>
      </c>
      <c r="K88" s="34">
        <v>100.0</v>
      </c>
      <c r="M88" s="19">
        <v>187.02448</v>
      </c>
      <c r="P88" s="19">
        <v>39.28</v>
      </c>
    </row>
    <row r="89" ht="15.75" customHeight="1">
      <c r="A89" s="17" t="s">
        <v>33</v>
      </c>
      <c r="C89" s="17" t="s">
        <v>88</v>
      </c>
      <c r="F89" s="17" t="s">
        <v>89</v>
      </c>
      <c r="G89" s="33">
        <v>1.0</v>
      </c>
      <c r="K89" s="34">
        <v>100.0</v>
      </c>
      <c r="M89" s="19">
        <v>201.30176</v>
      </c>
      <c r="P89" s="19">
        <v>42.27</v>
      </c>
    </row>
    <row r="90" ht="15.75" customHeight="1">
      <c r="A90" s="17" t="s">
        <v>33</v>
      </c>
      <c r="C90" s="17" t="s">
        <v>90</v>
      </c>
      <c r="F90" s="17" t="s">
        <v>91</v>
      </c>
      <c r="G90" s="33">
        <v>1.0</v>
      </c>
      <c r="K90" s="34">
        <v>100.0</v>
      </c>
      <c r="M90" s="19">
        <v>172.9937</v>
      </c>
      <c r="P90" s="19">
        <v>36.33</v>
      </c>
    </row>
    <row r="91" ht="15.75" customHeight="1"/>
    <row r="92" ht="15.75" customHeight="1">
      <c r="I92" s="24" t="s">
        <v>15</v>
      </c>
    </row>
    <row r="93" ht="15.75" customHeight="1"/>
    <row r="94" ht="15.75" customHeight="1">
      <c r="A94" s="25" t="s">
        <v>16</v>
      </c>
      <c r="I94" s="26" t="s">
        <v>17</v>
      </c>
    </row>
    <row r="95" ht="15.75" customHeight="1"/>
    <row r="96" ht="15.75" customHeight="1">
      <c r="A96" s="1" t="s">
        <v>79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3"/>
    </row>
    <row r="97" ht="15.75" customHeight="1">
      <c r="A97" s="4" t="s">
        <v>23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</row>
    <row r="98" ht="15.75" customHeight="1"/>
    <row r="99" ht="15.75" customHeight="1">
      <c r="A99" s="7" t="s">
        <v>2</v>
      </c>
      <c r="B99" s="8"/>
      <c r="C99" s="7" t="s">
        <v>3</v>
      </c>
      <c r="D99" s="9"/>
      <c r="E99" s="8"/>
      <c r="F99" s="10" t="s">
        <v>4</v>
      </c>
      <c r="G99" s="7" t="s">
        <v>80</v>
      </c>
      <c r="H99" s="9"/>
      <c r="I99" s="9"/>
      <c r="J99" s="8"/>
      <c r="K99" s="7" t="s">
        <v>6</v>
      </c>
      <c r="L99" s="8"/>
      <c r="M99" s="7" t="s">
        <v>7</v>
      </c>
      <c r="N99" s="11"/>
      <c r="P99" s="7" t="s">
        <v>8</v>
      </c>
      <c r="Q99" s="11"/>
    </row>
    <row r="100" ht="15.75" customHeight="1">
      <c r="A100" s="12"/>
      <c r="B100" s="13"/>
      <c r="C100" s="12"/>
      <c r="D100" s="14"/>
      <c r="E100" s="13"/>
      <c r="F100" s="15"/>
      <c r="G100" s="12"/>
      <c r="H100" s="14"/>
      <c r="I100" s="14"/>
      <c r="J100" s="13"/>
      <c r="K100" s="12"/>
      <c r="L100" s="13"/>
      <c r="M100" s="12"/>
      <c r="N100" s="16"/>
      <c r="P100" s="12"/>
      <c r="Q100" s="16"/>
    </row>
    <row r="101" ht="15.75" customHeight="1">
      <c r="A101" s="17" t="s">
        <v>33</v>
      </c>
      <c r="C101" s="17" t="s">
        <v>92</v>
      </c>
      <c r="F101" s="17" t="s">
        <v>93</v>
      </c>
      <c r="G101" s="33">
        <v>1.0</v>
      </c>
      <c r="K101" s="34">
        <v>100.0</v>
      </c>
      <c r="M101" s="19">
        <v>221.32742</v>
      </c>
      <c r="P101" s="19">
        <v>46.48</v>
      </c>
    </row>
    <row r="102" ht="15.75" customHeight="1">
      <c r="A102" s="17" t="s">
        <v>33</v>
      </c>
      <c r="C102" s="17" t="s">
        <v>94</v>
      </c>
      <c r="F102" s="17" t="s">
        <v>95</v>
      </c>
      <c r="G102" s="33">
        <v>1.0</v>
      </c>
      <c r="K102" s="34">
        <v>100.0</v>
      </c>
      <c r="M102" s="19">
        <v>157.29658</v>
      </c>
      <c r="P102" s="19">
        <v>33.03</v>
      </c>
    </row>
    <row r="103" ht="15.75" customHeight="1">
      <c r="A103" s="17" t="s">
        <v>33</v>
      </c>
      <c r="C103" s="17" t="s">
        <v>96</v>
      </c>
      <c r="F103" s="17" t="s">
        <v>97</v>
      </c>
      <c r="G103" s="33">
        <v>1.0</v>
      </c>
      <c r="K103" s="34">
        <v>100.0</v>
      </c>
      <c r="M103" s="19">
        <v>145.50402</v>
      </c>
      <c r="P103" s="19">
        <v>30.56</v>
      </c>
    </row>
    <row r="104" ht="15.75" customHeight="1">
      <c r="A104" s="17" t="s">
        <v>33</v>
      </c>
      <c r="C104" s="17" t="s">
        <v>98</v>
      </c>
      <c r="F104" s="17" t="s">
        <v>99</v>
      </c>
      <c r="G104" s="33">
        <v>1.0</v>
      </c>
      <c r="K104" s="34">
        <v>100.0</v>
      </c>
      <c r="M104" s="19">
        <v>145.50402</v>
      </c>
      <c r="P104" s="19">
        <v>30.56</v>
      </c>
    </row>
    <row r="105" ht="15.75" customHeight="1">
      <c r="A105" s="17" t="s">
        <v>33</v>
      </c>
      <c r="C105" s="17" t="s">
        <v>100</v>
      </c>
      <c r="F105" s="17" t="s">
        <v>101</v>
      </c>
      <c r="G105" s="33">
        <v>1.0</v>
      </c>
      <c r="K105" s="34">
        <v>100.0</v>
      </c>
      <c r="M105" s="19">
        <v>157.29658</v>
      </c>
      <c r="P105" s="19">
        <v>33.03</v>
      </c>
    </row>
    <row r="106" ht="15.75" customHeight="1">
      <c r="A106" s="17" t="s">
        <v>33</v>
      </c>
      <c r="C106" s="17" t="s">
        <v>102</v>
      </c>
      <c r="F106" s="17" t="s">
        <v>103</v>
      </c>
      <c r="G106" s="33">
        <v>1.0</v>
      </c>
      <c r="K106" s="34">
        <v>100.0</v>
      </c>
      <c r="M106" s="19">
        <v>157.29658</v>
      </c>
      <c r="P106" s="19">
        <v>33.03</v>
      </c>
    </row>
    <row r="107" ht="15.75" customHeight="1">
      <c r="A107" s="17" t="s">
        <v>33</v>
      </c>
      <c r="C107" s="17" t="s">
        <v>104</v>
      </c>
      <c r="F107" s="17" t="s">
        <v>105</v>
      </c>
      <c r="G107" s="33">
        <v>1.0</v>
      </c>
      <c r="K107" s="34">
        <v>100.0</v>
      </c>
      <c r="M107" s="19">
        <v>236.16672</v>
      </c>
      <c r="P107" s="19">
        <v>49.6</v>
      </c>
    </row>
    <row r="108" ht="15.75" customHeight="1">
      <c r="A108" s="17" t="s">
        <v>9</v>
      </c>
      <c r="C108" s="17" t="s">
        <v>106</v>
      </c>
      <c r="F108" s="17" t="s">
        <v>107</v>
      </c>
      <c r="G108" s="33">
        <v>1.0</v>
      </c>
      <c r="K108" s="34">
        <v>100.0</v>
      </c>
      <c r="M108" s="19">
        <v>157.29658</v>
      </c>
      <c r="P108" s="19">
        <v>33.03</v>
      </c>
      <c r="U108" s="35"/>
    </row>
    <row r="109" ht="15.75" customHeight="1">
      <c r="A109" s="21" t="s">
        <v>108</v>
      </c>
      <c r="M109" s="20">
        <v>2304.0848</v>
      </c>
      <c r="P109" s="20">
        <v>483.86</v>
      </c>
    </row>
    <row r="110" ht="15.75" customHeight="1"/>
    <row r="111" ht="15.75" customHeight="1">
      <c r="A111" s="22" t="s">
        <v>14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6"/>
      <c r="T111" s="23">
        <v>1120.1</v>
      </c>
      <c r="U111" s="6"/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4">
    <mergeCell ref="G88:J88"/>
    <mergeCell ref="G89:J89"/>
    <mergeCell ref="A88:B88"/>
    <mergeCell ref="C88:E88"/>
    <mergeCell ref="K88:L88"/>
    <mergeCell ref="M88:N88"/>
    <mergeCell ref="P88:Q88"/>
    <mergeCell ref="C89:E89"/>
    <mergeCell ref="P89:Q89"/>
    <mergeCell ref="C70:E70"/>
    <mergeCell ref="G70:J70"/>
    <mergeCell ref="A72:B72"/>
    <mergeCell ref="C72:E72"/>
    <mergeCell ref="G72:J72"/>
    <mergeCell ref="K72:M72"/>
    <mergeCell ref="A74:B74"/>
    <mergeCell ref="K74:M74"/>
    <mergeCell ref="C74:E74"/>
    <mergeCell ref="G74:J74"/>
    <mergeCell ref="A76:B76"/>
    <mergeCell ref="C76:E76"/>
    <mergeCell ref="G76:J76"/>
    <mergeCell ref="K76:M76"/>
    <mergeCell ref="A78:B78"/>
    <mergeCell ref="K84:L85"/>
    <mergeCell ref="M84:N85"/>
    <mergeCell ref="K86:L86"/>
    <mergeCell ref="M86:N86"/>
    <mergeCell ref="P86:Q86"/>
    <mergeCell ref="K87:L87"/>
    <mergeCell ref="M87:N87"/>
    <mergeCell ref="P87:Q87"/>
    <mergeCell ref="K78:M78"/>
    <mergeCell ref="A81:U81"/>
    <mergeCell ref="A82:U82"/>
    <mergeCell ref="C84:E85"/>
    <mergeCell ref="F84:F85"/>
    <mergeCell ref="G84:J85"/>
    <mergeCell ref="P84:Q85"/>
    <mergeCell ref="A84:B85"/>
    <mergeCell ref="A86:B86"/>
    <mergeCell ref="C86:E86"/>
    <mergeCell ref="G86:J86"/>
    <mergeCell ref="A87:B87"/>
    <mergeCell ref="C87:E87"/>
    <mergeCell ref="G87:J87"/>
    <mergeCell ref="K89:L89"/>
    <mergeCell ref="M89:N89"/>
    <mergeCell ref="I92:T92"/>
    <mergeCell ref="A89:B89"/>
    <mergeCell ref="A90:B90"/>
    <mergeCell ref="C90:E90"/>
    <mergeCell ref="G90:J90"/>
    <mergeCell ref="K90:L90"/>
    <mergeCell ref="M90:N90"/>
    <mergeCell ref="P90:Q90"/>
    <mergeCell ref="A106:B106"/>
    <mergeCell ref="C106:E106"/>
    <mergeCell ref="A107:B107"/>
    <mergeCell ref="C107:E107"/>
    <mergeCell ref="A108:B108"/>
    <mergeCell ref="C108:E108"/>
    <mergeCell ref="A102:B102"/>
    <mergeCell ref="A103:B103"/>
    <mergeCell ref="C103:E103"/>
    <mergeCell ref="A104:B104"/>
    <mergeCell ref="C104:E104"/>
    <mergeCell ref="A105:B105"/>
    <mergeCell ref="C105:E105"/>
    <mergeCell ref="G99:J100"/>
    <mergeCell ref="K99:L100"/>
    <mergeCell ref="M99:N100"/>
    <mergeCell ref="P99:Q100"/>
    <mergeCell ref="A94:H94"/>
    <mergeCell ref="I94:T94"/>
    <mergeCell ref="A96:U96"/>
    <mergeCell ref="A97:U97"/>
    <mergeCell ref="A99:B100"/>
    <mergeCell ref="C99:E100"/>
    <mergeCell ref="F99:F100"/>
    <mergeCell ref="G101:J101"/>
    <mergeCell ref="G102:J102"/>
    <mergeCell ref="G103:J103"/>
    <mergeCell ref="G104:J104"/>
    <mergeCell ref="G105:J105"/>
    <mergeCell ref="G106:J106"/>
    <mergeCell ref="G107:J107"/>
    <mergeCell ref="G108:J108"/>
    <mergeCell ref="A101:B101"/>
    <mergeCell ref="C101:E101"/>
    <mergeCell ref="K101:L101"/>
    <mergeCell ref="M101:N101"/>
    <mergeCell ref="P101:Q101"/>
    <mergeCell ref="C102:E102"/>
    <mergeCell ref="P102:Q102"/>
    <mergeCell ref="K102:L102"/>
    <mergeCell ref="M102:N102"/>
    <mergeCell ref="K103:L103"/>
    <mergeCell ref="M103:N103"/>
    <mergeCell ref="P103:Q103"/>
    <mergeCell ref="M104:N104"/>
    <mergeCell ref="P104:Q104"/>
    <mergeCell ref="K104:L104"/>
    <mergeCell ref="K105:L105"/>
    <mergeCell ref="M105:N105"/>
    <mergeCell ref="P105:Q105"/>
    <mergeCell ref="K106:L106"/>
    <mergeCell ref="M106:N106"/>
    <mergeCell ref="P106:Q106"/>
    <mergeCell ref="G30:J30"/>
    <mergeCell ref="K30:M30"/>
    <mergeCell ref="A27:B28"/>
    <mergeCell ref="C27:E28"/>
    <mergeCell ref="F27:F28"/>
    <mergeCell ref="G27:J28"/>
    <mergeCell ref="K27:M28"/>
    <mergeCell ref="A30:B30"/>
    <mergeCell ref="C30:E30"/>
    <mergeCell ref="O5:P6"/>
    <mergeCell ref="Q5:S6"/>
    <mergeCell ref="P9:Q9"/>
    <mergeCell ref="A2:U2"/>
    <mergeCell ref="A3:U3"/>
    <mergeCell ref="A5:B6"/>
    <mergeCell ref="C5:E6"/>
    <mergeCell ref="F5:F6"/>
    <mergeCell ref="H5:K6"/>
    <mergeCell ref="L5:N6"/>
    <mergeCell ref="M10:N10"/>
    <mergeCell ref="P10:Q10"/>
    <mergeCell ref="A8:B8"/>
    <mergeCell ref="C8:E8"/>
    <mergeCell ref="G8:J8"/>
    <mergeCell ref="K8:L8"/>
    <mergeCell ref="M8:N8"/>
    <mergeCell ref="P8:Q8"/>
    <mergeCell ref="A10:I10"/>
    <mergeCell ref="A12:S12"/>
    <mergeCell ref="T12:U12"/>
    <mergeCell ref="I15:T15"/>
    <mergeCell ref="A17:H17"/>
    <mergeCell ref="I17:T17"/>
    <mergeCell ref="D18:G18"/>
    <mergeCell ref="H19:K19"/>
    <mergeCell ref="D19:G19"/>
    <mergeCell ref="D20:G20"/>
    <mergeCell ref="H20:K20"/>
    <mergeCell ref="D22:G22"/>
    <mergeCell ref="H22:K22"/>
    <mergeCell ref="A24:U24"/>
    <mergeCell ref="A25:U25"/>
    <mergeCell ref="G38:J38"/>
    <mergeCell ref="K38:M38"/>
    <mergeCell ref="A48:B48"/>
    <mergeCell ref="C48:E48"/>
    <mergeCell ref="G48:J48"/>
    <mergeCell ref="K48:M48"/>
    <mergeCell ref="C50:E50"/>
    <mergeCell ref="G50:J50"/>
    <mergeCell ref="K50:M50"/>
    <mergeCell ref="A50:B50"/>
    <mergeCell ref="A52:B52"/>
    <mergeCell ref="C52:E52"/>
    <mergeCell ref="G52:J52"/>
    <mergeCell ref="K52:M52"/>
    <mergeCell ref="A54:B54"/>
    <mergeCell ref="C54:E54"/>
    <mergeCell ref="A56:B56"/>
    <mergeCell ref="C56:E56"/>
    <mergeCell ref="G56:J56"/>
    <mergeCell ref="K56:M56"/>
    <mergeCell ref="C58:E58"/>
    <mergeCell ref="G58:J58"/>
    <mergeCell ref="K58:M58"/>
    <mergeCell ref="A58:B58"/>
    <mergeCell ref="A60:B60"/>
    <mergeCell ref="C60:E60"/>
    <mergeCell ref="G60:J60"/>
    <mergeCell ref="K60:M60"/>
    <mergeCell ref="A62:B62"/>
    <mergeCell ref="C62:E62"/>
    <mergeCell ref="G62:J62"/>
    <mergeCell ref="K62:M62"/>
    <mergeCell ref="A64:B64"/>
    <mergeCell ref="C64:E64"/>
    <mergeCell ref="G64:J64"/>
    <mergeCell ref="K64:M64"/>
    <mergeCell ref="A66:B66"/>
    <mergeCell ref="K66:M66"/>
    <mergeCell ref="C66:E66"/>
    <mergeCell ref="G66:J66"/>
    <mergeCell ref="A68:B68"/>
    <mergeCell ref="C68:E68"/>
    <mergeCell ref="G68:J68"/>
    <mergeCell ref="K68:M68"/>
    <mergeCell ref="A70:B70"/>
    <mergeCell ref="K70:M70"/>
    <mergeCell ref="A32:B32"/>
    <mergeCell ref="C32:E32"/>
    <mergeCell ref="G32:J32"/>
    <mergeCell ref="K32:M32"/>
    <mergeCell ref="C34:E34"/>
    <mergeCell ref="G34:J34"/>
    <mergeCell ref="K34:M34"/>
    <mergeCell ref="A34:B34"/>
    <mergeCell ref="A36:B36"/>
    <mergeCell ref="C36:E36"/>
    <mergeCell ref="G36:J36"/>
    <mergeCell ref="K36:M36"/>
    <mergeCell ref="A38:B38"/>
    <mergeCell ref="C38:E38"/>
    <mergeCell ref="A40:B40"/>
    <mergeCell ref="C40:E40"/>
    <mergeCell ref="G40:J40"/>
    <mergeCell ref="K40:M40"/>
    <mergeCell ref="C42:E42"/>
    <mergeCell ref="G42:J42"/>
    <mergeCell ref="K42:M42"/>
    <mergeCell ref="G46:J46"/>
    <mergeCell ref="K46:M46"/>
    <mergeCell ref="A42:B42"/>
    <mergeCell ref="A44:B44"/>
    <mergeCell ref="C44:E44"/>
    <mergeCell ref="G44:J44"/>
    <mergeCell ref="K44:M44"/>
    <mergeCell ref="A46:B46"/>
    <mergeCell ref="C46:E46"/>
    <mergeCell ref="G54:J54"/>
    <mergeCell ref="K54:M54"/>
    <mergeCell ref="C78:E78"/>
    <mergeCell ref="G78:J78"/>
    <mergeCell ref="A80:E80"/>
    <mergeCell ref="K80:M80"/>
    <mergeCell ref="P108:Q108"/>
    <mergeCell ref="P109:Q109"/>
    <mergeCell ref="A111:S111"/>
    <mergeCell ref="T111:U111"/>
    <mergeCell ref="K107:L107"/>
    <mergeCell ref="M107:N107"/>
    <mergeCell ref="P107:Q107"/>
    <mergeCell ref="K108:L108"/>
    <mergeCell ref="M108:N108"/>
    <mergeCell ref="A109:L109"/>
    <mergeCell ref="M109:N10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29"/>
    <col customWidth="1" min="3" max="3" width="18.71"/>
    <col customWidth="1" min="4" max="5" width="14.57"/>
    <col customWidth="1" min="6" max="6" width="12.29"/>
    <col customWidth="1" min="7" max="8" width="8.71"/>
    <col customWidth="1" min="9" max="9" width="13.43"/>
    <col customWidth="1" min="10" max="10" width="27.86"/>
    <col customWidth="1" min="11" max="11" width="8.71"/>
  </cols>
  <sheetData>
    <row r="1" ht="45.75" customHeight="1">
      <c r="A1" s="36" t="s">
        <v>2</v>
      </c>
      <c r="B1" s="36"/>
      <c r="C1" s="36" t="s">
        <v>24</v>
      </c>
      <c r="D1" s="36" t="s">
        <v>25</v>
      </c>
      <c r="E1" s="36"/>
      <c r="F1" s="36" t="s">
        <v>26</v>
      </c>
      <c r="G1" s="37"/>
      <c r="H1" s="37"/>
      <c r="I1" s="36" t="s">
        <v>27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5.75" customHeight="1">
      <c r="A2" s="38" t="s">
        <v>28</v>
      </c>
      <c r="B2" s="38">
        <v>1.9219478E7</v>
      </c>
      <c r="C2" s="38" t="s">
        <v>29</v>
      </c>
      <c r="D2" s="17">
        <v>6277111.0</v>
      </c>
      <c r="E2" s="17" t="str">
        <f t="shared" ref="E2:E23" si="1">CONCATENATE(D2,1)</f>
        <v>62771111</v>
      </c>
      <c r="F2" s="39">
        <v>45992.0</v>
      </c>
      <c r="G2" s="40">
        <v>46113.0</v>
      </c>
      <c r="H2" s="41">
        <v>1.0</v>
      </c>
      <c r="I2" s="42">
        <v>28.92</v>
      </c>
      <c r="J2" s="41" t="s">
        <v>109</v>
      </c>
      <c r="K2" s="41" t="s">
        <v>110</v>
      </c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ht="15.75" customHeight="1">
      <c r="A3" s="38" t="s">
        <v>28</v>
      </c>
      <c r="B3" s="38">
        <v>1.9219478E7</v>
      </c>
      <c r="C3" s="38" t="s">
        <v>31</v>
      </c>
      <c r="D3" s="17">
        <v>6236016.0</v>
      </c>
      <c r="E3" s="17" t="str">
        <f t="shared" si="1"/>
        <v>62360161</v>
      </c>
      <c r="F3" s="39">
        <v>45658.0</v>
      </c>
      <c r="G3" s="40">
        <v>46113.0</v>
      </c>
      <c r="H3" s="41">
        <v>1.0</v>
      </c>
      <c r="I3" s="42">
        <v>28.92</v>
      </c>
      <c r="J3" s="41" t="s">
        <v>109</v>
      </c>
      <c r="K3" s="41" t="s">
        <v>110</v>
      </c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15.75" customHeight="1">
      <c r="A4" s="38" t="s">
        <v>33</v>
      </c>
      <c r="B4" s="38">
        <v>1.6170994E7</v>
      </c>
      <c r="C4" s="38" t="s">
        <v>36</v>
      </c>
      <c r="D4" s="17">
        <v>6220011.0</v>
      </c>
      <c r="E4" s="17" t="str">
        <f t="shared" si="1"/>
        <v>62200111</v>
      </c>
      <c r="F4" s="39">
        <v>45658.0</v>
      </c>
      <c r="G4" s="40">
        <v>46113.0</v>
      </c>
      <c r="H4" s="41">
        <v>1.0</v>
      </c>
      <c r="I4" s="42">
        <v>28.92</v>
      </c>
      <c r="J4" s="41" t="s">
        <v>109</v>
      </c>
      <c r="K4" s="41" t="s">
        <v>110</v>
      </c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15.75" customHeight="1">
      <c r="A5" s="38" t="s">
        <v>33</v>
      </c>
      <c r="B5" s="38">
        <v>1.6170994E7</v>
      </c>
      <c r="C5" s="38" t="s">
        <v>38</v>
      </c>
      <c r="D5" s="17">
        <v>6224756.0</v>
      </c>
      <c r="E5" s="17" t="str">
        <f t="shared" si="1"/>
        <v>62247561</v>
      </c>
      <c r="F5" s="39">
        <v>45658.0</v>
      </c>
      <c r="G5" s="40">
        <v>46113.0</v>
      </c>
      <c r="H5" s="41">
        <v>1.0</v>
      </c>
      <c r="I5" s="42">
        <v>28.92</v>
      </c>
      <c r="J5" s="41" t="s">
        <v>109</v>
      </c>
      <c r="K5" s="41" t="s">
        <v>110</v>
      </c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15.75" customHeight="1">
      <c r="A6" s="38" t="s">
        <v>9</v>
      </c>
      <c r="B6" s="38">
        <v>1.9491313E7</v>
      </c>
      <c r="C6" s="38" t="s">
        <v>42</v>
      </c>
      <c r="D6" s="17">
        <v>6213383.0</v>
      </c>
      <c r="E6" s="17" t="str">
        <f t="shared" si="1"/>
        <v>62133831</v>
      </c>
      <c r="F6" s="39">
        <v>45658.0</v>
      </c>
      <c r="G6" s="40">
        <v>46113.0</v>
      </c>
      <c r="H6" s="41">
        <v>1.0</v>
      </c>
      <c r="I6" s="42">
        <v>28.92</v>
      </c>
      <c r="J6" s="41" t="s">
        <v>109</v>
      </c>
      <c r="K6" s="41" t="s">
        <v>110</v>
      </c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ht="15.75" customHeight="1">
      <c r="A7" s="38" t="s">
        <v>9</v>
      </c>
      <c r="B7" s="38">
        <v>1.9491313E7</v>
      </c>
      <c r="C7" s="38" t="s">
        <v>44</v>
      </c>
      <c r="D7" s="17">
        <v>6210817.0</v>
      </c>
      <c r="E7" s="17" t="str">
        <f t="shared" si="1"/>
        <v>62108171</v>
      </c>
      <c r="F7" s="39">
        <v>45627.0</v>
      </c>
      <c r="G7" s="40">
        <v>46113.0</v>
      </c>
      <c r="H7" s="41">
        <v>1.0</v>
      </c>
      <c r="I7" s="42">
        <v>28.92</v>
      </c>
      <c r="J7" s="41" t="s">
        <v>109</v>
      </c>
      <c r="K7" s="41" t="s">
        <v>110</v>
      </c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ht="15.75" customHeight="1">
      <c r="A8" s="38" t="s">
        <v>9</v>
      </c>
      <c r="B8" s="38">
        <v>1.9491313E7</v>
      </c>
      <c r="C8" s="38" t="s">
        <v>46</v>
      </c>
      <c r="D8" s="17">
        <v>6218056.0</v>
      </c>
      <c r="E8" s="17" t="str">
        <f t="shared" si="1"/>
        <v>62180561</v>
      </c>
      <c r="F8" s="39">
        <v>45658.0</v>
      </c>
      <c r="G8" s="40">
        <v>46113.0</v>
      </c>
      <c r="H8" s="41">
        <v>1.0</v>
      </c>
      <c r="I8" s="42">
        <v>28.92</v>
      </c>
      <c r="J8" s="41" t="s">
        <v>109</v>
      </c>
      <c r="K8" s="41" t="s">
        <v>110</v>
      </c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ht="15.75" customHeight="1">
      <c r="A9" s="38" t="s">
        <v>9</v>
      </c>
      <c r="B9" s="38">
        <v>1.9491313E7</v>
      </c>
      <c r="C9" s="38" t="s">
        <v>48</v>
      </c>
      <c r="D9" s="17">
        <v>6212568.0</v>
      </c>
      <c r="E9" s="17" t="str">
        <f t="shared" si="1"/>
        <v>62125681</v>
      </c>
      <c r="F9" s="39">
        <v>45658.0</v>
      </c>
      <c r="G9" s="40">
        <v>46113.0</v>
      </c>
      <c r="H9" s="41">
        <v>1.0</v>
      </c>
      <c r="I9" s="42">
        <v>28.92</v>
      </c>
      <c r="J9" s="41" t="s">
        <v>109</v>
      </c>
      <c r="K9" s="41" t="s">
        <v>110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ht="15.75" customHeight="1">
      <c r="A10" s="38" t="s">
        <v>9</v>
      </c>
      <c r="B10" s="38">
        <v>1.9491313E7</v>
      </c>
      <c r="C10" s="38" t="s">
        <v>50</v>
      </c>
      <c r="D10" s="17">
        <v>6215141.0</v>
      </c>
      <c r="E10" s="17" t="str">
        <f t="shared" si="1"/>
        <v>62151411</v>
      </c>
      <c r="F10" s="39">
        <v>45658.0</v>
      </c>
      <c r="G10" s="40">
        <v>46113.0</v>
      </c>
      <c r="H10" s="41">
        <v>1.0</v>
      </c>
      <c r="I10" s="42">
        <v>28.92</v>
      </c>
      <c r="J10" s="41" t="s">
        <v>109</v>
      </c>
      <c r="K10" s="41" t="s">
        <v>110</v>
      </c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ht="15.75" customHeight="1">
      <c r="A11" s="38" t="s">
        <v>9</v>
      </c>
      <c r="B11" s="38">
        <v>1.9491313E7</v>
      </c>
      <c r="C11" s="38" t="s">
        <v>52</v>
      </c>
      <c r="D11" s="17">
        <v>6218054.0</v>
      </c>
      <c r="E11" s="17" t="str">
        <f t="shared" si="1"/>
        <v>62180541</v>
      </c>
      <c r="F11" s="39">
        <v>45658.0</v>
      </c>
      <c r="G11" s="40">
        <v>46113.0</v>
      </c>
      <c r="H11" s="41">
        <v>1.0</v>
      </c>
      <c r="I11" s="42">
        <v>28.92</v>
      </c>
      <c r="J11" s="41" t="s">
        <v>109</v>
      </c>
      <c r="K11" s="41" t="s">
        <v>110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15.75" customHeight="1">
      <c r="A12" s="38" t="s">
        <v>9</v>
      </c>
      <c r="B12" s="38">
        <v>1.9491313E7</v>
      </c>
      <c r="C12" s="38" t="s">
        <v>54</v>
      </c>
      <c r="D12" s="17">
        <v>6238104.0</v>
      </c>
      <c r="E12" s="17" t="str">
        <f t="shared" si="1"/>
        <v>62381041</v>
      </c>
      <c r="F12" s="39">
        <v>45627.0</v>
      </c>
      <c r="G12" s="40">
        <v>46113.0</v>
      </c>
      <c r="H12" s="41">
        <v>1.0</v>
      </c>
      <c r="I12" s="42">
        <v>28.92</v>
      </c>
      <c r="J12" s="41" t="s">
        <v>109</v>
      </c>
      <c r="K12" s="41" t="s">
        <v>110</v>
      </c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15.75" customHeight="1">
      <c r="A13" s="38" t="s">
        <v>9</v>
      </c>
      <c r="B13" s="38">
        <v>1.9491313E7</v>
      </c>
      <c r="C13" s="38" t="s">
        <v>56</v>
      </c>
      <c r="D13" s="17">
        <v>6224965.0</v>
      </c>
      <c r="E13" s="17" t="str">
        <f t="shared" si="1"/>
        <v>62249651</v>
      </c>
      <c r="F13" s="39">
        <v>45658.0</v>
      </c>
      <c r="G13" s="40">
        <v>46113.0</v>
      </c>
      <c r="H13" s="41">
        <v>1.0</v>
      </c>
      <c r="I13" s="42">
        <v>28.92</v>
      </c>
      <c r="J13" s="41" t="s">
        <v>109</v>
      </c>
      <c r="K13" s="41" t="s">
        <v>110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ht="15.75" customHeight="1">
      <c r="A14" s="38" t="s">
        <v>9</v>
      </c>
      <c r="B14" s="38">
        <v>1.9491313E7</v>
      </c>
      <c r="C14" s="38" t="s">
        <v>58</v>
      </c>
      <c r="D14" s="17">
        <v>6210872.0</v>
      </c>
      <c r="E14" s="17" t="str">
        <f t="shared" si="1"/>
        <v>62108721</v>
      </c>
      <c r="F14" s="39">
        <v>45597.0</v>
      </c>
      <c r="G14" s="40">
        <v>46113.0</v>
      </c>
      <c r="H14" s="41">
        <v>1.0</v>
      </c>
      <c r="I14" s="42">
        <v>28.92</v>
      </c>
      <c r="J14" s="41" t="s">
        <v>109</v>
      </c>
      <c r="K14" s="41" t="s">
        <v>110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ht="15.75" customHeight="1">
      <c r="A15" s="38" t="s">
        <v>9</v>
      </c>
      <c r="B15" s="38">
        <v>1.9491313E7</v>
      </c>
      <c r="C15" s="38" t="s">
        <v>60</v>
      </c>
      <c r="D15" s="17">
        <v>6239247.0</v>
      </c>
      <c r="E15" s="17" t="str">
        <f t="shared" si="1"/>
        <v>62392471</v>
      </c>
      <c r="F15" s="39">
        <v>45658.0</v>
      </c>
      <c r="G15" s="40">
        <v>46113.0</v>
      </c>
      <c r="H15" s="41">
        <v>1.0</v>
      </c>
      <c r="I15" s="42">
        <v>28.92</v>
      </c>
      <c r="J15" s="41" t="s">
        <v>109</v>
      </c>
      <c r="K15" s="41" t="s">
        <v>110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ht="15.75" customHeight="1">
      <c r="A16" s="38" t="s">
        <v>9</v>
      </c>
      <c r="B16" s="38">
        <v>1.9491313E7</v>
      </c>
      <c r="C16" s="38" t="s">
        <v>62</v>
      </c>
      <c r="D16" s="17">
        <v>6138508.0</v>
      </c>
      <c r="E16" s="17" t="str">
        <f t="shared" si="1"/>
        <v>61385081</v>
      </c>
      <c r="F16" s="39">
        <v>43101.0</v>
      </c>
      <c r="G16" s="40">
        <v>46113.0</v>
      </c>
      <c r="H16" s="41">
        <v>1.0</v>
      </c>
      <c r="I16" s="42">
        <v>28.92</v>
      </c>
      <c r="J16" s="41" t="s">
        <v>109</v>
      </c>
      <c r="K16" s="41" t="s">
        <v>110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ht="15.75" customHeight="1">
      <c r="A17" s="38" t="s">
        <v>9</v>
      </c>
      <c r="B17" s="38">
        <v>1.9491313E7</v>
      </c>
      <c r="C17" s="38" t="s">
        <v>64</v>
      </c>
      <c r="D17" s="17">
        <v>6233105.0</v>
      </c>
      <c r="E17" s="17" t="str">
        <f t="shared" si="1"/>
        <v>62331051</v>
      </c>
      <c r="F17" s="39">
        <v>45658.0</v>
      </c>
      <c r="G17" s="40">
        <v>46113.0</v>
      </c>
      <c r="H17" s="41">
        <v>1.0</v>
      </c>
      <c r="I17" s="42">
        <v>28.92</v>
      </c>
      <c r="J17" s="41" t="s">
        <v>109</v>
      </c>
      <c r="K17" s="41" t="s">
        <v>110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ht="15.75" customHeight="1">
      <c r="A18" s="38" t="s">
        <v>9</v>
      </c>
      <c r="B18" s="38">
        <v>1.9491313E7</v>
      </c>
      <c r="C18" s="38" t="s">
        <v>66</v>
      </c>
      <c r="D18" s="17">
        <v>6225460.0</v>
      </c>
      <c r="E18" s="17" t="str">
        <f t="shared" si="1"/>
        <v>62254601</v>
      </c>
      <c r="F18" s="39">
        <v>45597.0</v>
      </c>
      <c r="G18" s="40">
        <v>46113.0</v>
      </c>
      <c r="H18" s="41">
        <v>1.0</v>
      </c>
      <c r="I18" s="42">
        <v>28.92</v>
      </c>
      <c r="J18" s="41" t="s">
        <v>109</v>
      </c>
      <c r="K18" s="41" t="s">
        <v>110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ht="15.75" customHeight="1">
      <c r="A19" s="38" t="s">
        <v>9</v>
      </c>
      <c r="B19" s="38">
        <v>1.9491313E7</v>
      </c>
      <c r="C19" s="38" t="s">
        <v>68</v>
      </c>
      <c r="D19" s="17">
        <v>6241874.0</v>
      </c>
      <c r="E19" s="17" t="str">
        <f t="shared" si="1"/>
        <v>62418741</v>
      </c>
      <c r="F19" s="39">
        <v>45658.0</v>
      </c>
      <c r="G19" s="40">
        <v>46113.0</v>
      </c>
      <c r="H19" s="41">
        <v>1.0</v>
      </c>
      <c r="I19" s="42">
        <v>28.92</v>
      </c>
      <c r="J19" s="41" t="s">
        <v>109</v>
      </c>
      <c r="K19" s="41" t="s">
        <v>110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ht="15.75" customHeight="1">
      <c r="A20" s="38" t="s">
        <v>9</v>
      </c>
      <c r="B20" s="38">
        <v>1.9491313E7</v>
      </c>
      <c r="C20" s="38" t="s">
        <v>70</v>
      </c>
      <c r="D20" s="17">
        <v>6231397.0</v>
      </c>
      <c r="E20" s="17" t="str">
        <f t="shared" si="1"/>
        <v>62313971</v>
      </c>
      <c r="F20" s="39">
        <v>45627.0</v>
      </c>
      <c r="G20" s="40">
        <v>46113.0</v>
      </c>
      <c r="H20" s="41">
        <v>1.0</v>
      </c>
      <c r="I20" s="42">
        <v>28.92</v>
      </c>
      <c r="J20" s="41" t="s">
        <v>109</v>
      </c>
      <c r="K20" s="41" t="s">
        <v>110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15.75" customHeight="1">
      <c r="A21" s="38" t="s">
        <v>9</v>
      </c>
      <c r="B21" s="38">
        <v>1.9491313E7</v>
      </c>
      <c r="C21" s="38" t="s">
        <v>72</v>
      </c>
      <c r="D21" s="17">
        <v>6220305.0</v>
      </c>
      <c r="E21" s="17" t="str">
        <f t="shared" si="1"/>
        <v>62203051</v>
      </c>
      <c r="F21" s="39">
        <v>45658.0</v>
      </c>
      <c r="G21" s="40">
        <v>46113.0</v>
      </c>
      <c r="H21" s="41">
        <v>1.0</v>
      </c>
      <c r="I21" s="42">
        <v>28.92</v>
      </c>
      <c r="J21" s="41" t="s">
        <v>109</v>
      </c>
      <c r="K21" s="41" t="s">
        <v>110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15.75" customHeight="1">
      <c r="A22" s="38" t="s">
        <v>9</v>
      </c>
      <c r="B22" s="38">
        <v>1.9491313E7</v>
      </c>
      <c r="C22" s="38" t="s">
        <v>74</v>
      </c>
      <c r="D22" s="17">
        <v>6209348.0</v>
      </c>
      <c r="E22" s="17" t="str">
        <f t="shared" si="1"/>
        <v>62093481</v>
      </c>
      <c r="F22" s="39">
        <v>45505.0</v>
      </c>
      <c r="G22" s="40">
        <v>46113.0</v>
      </c>
      <c r="H22" s="41">
        <v>1.0</v>
      </c>
      <c r="I22" s="42">
        <v>28.92</v>
      </c>
      <c r="J22" s="41" t="s">
        <v>109</v>
      </c>
      <c r="K22" s="41" t="s">
        <v>110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15.75" customHeight="1">
      <c r="A23" s="38" t="s">
        <v>9</v>
      </c>
      <c r="B23" s="38">
        <v>1.9491313E7</v>
      </c>
      <c r="C23" s="38" t="s">
        <v>76</v>
      </c>
      <c r="D23" s="17">
        <v>6155654.0</v>
      </c>
      <c r="E23" s="17" t="str">
        <f t="shared" si="1"/>
        <v>61556541</v>
      </c>
      <c r="F23" s="39">
        <v>45658.0</v>
      </c>
      <c r="G23" s="40">
        <v>46113.0</v>
      </c>
      <c r="H23" s="41">
        <v>1.0</v>
      </c>
      <c r="I23" s="42">
        <v>28.92</v>
      </c>
      <c r="J23" s="41" t="s">
        <v>109</v>
      </c>
      <c r="K23" s="41" t="s">
        <v>110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15.75" customHeight="1">
      <c r="A24" s="38" t="s">
        <v>81</v>
      </c>
      <c r="B24" s="38">
        <v>2.1564088E7</v>
      </c>
      <c r="C24" s="38" t="s">
        <v>82</v>
      </c>
      <c r="D24" s="38" t="s">
        <v>83</v>
      </c>
      <c r="E24" s="38" t="s">
        <v>83</v>
      </c>
      <c r="F24" s="39">
        <v>45658.0</v>
      </c>
      <c r="G24" s="40">
        <v>46113.0</v>
      </c>
      <c r="H24" s="42">
        <v>161.15184</v>
      </c>
      <c r="I24" s="42">
        <v>33.84</v>
      </c>
      <c r="J24" s="41" t="s">
        <v>111</v>
      </c>
      <c r="K24" s="43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38" t="s">
        <v>28</v>
      </c>
      <c r="B25" s="38">
        <v>1.9219478E7</v>
      </c>
      <c r="C25" s="38" t="s">
        <v>84</v>
      </c>
      <c r="D25" s="17" t="s">
        <v>85</v>
      </c>
      <c r="E25" s="17" t="s">
        <v>85</v>
      </c>
      <c r="F25" s="39">
        <v>45658.0</v>
      </c>
      <c r="G25" s="40">
        <v>46113.0</v>
      </c>
      <c r="H25" s="42">
        <v>203.92452</v>
      </c>
      <c r="I25" s="42">
        <v>42.82</v>
      </c>
      <c r="J25" s="41" t="s">
        <v>111</v>
      </c>
      <c r="K25" s="43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38" t="s">
        <v>33</v>
      </c>
      <c r="B26" s="38">
        <v>1.6170994E7</v>
      </c>
      <c r="C26" s="38" t="s">
        <v>86</v>
      </c>
      <c r="D26" s="17" t="s">
        <v>87</v>
      </c>
      <c r="E26" s="17" t="s">
        <v>87</v>
      </c>
      <c r="F26" s="39">
        <v>45658.0</v>
      </c>
      <c r="G26" s="40">
        <v>46113.0</v>
      </c>
      <c r="H26" s="42">
        <v>187.02448</v>
      </c>
      <c r="I26" s="42">
        <v>39.28</v>
      </c>
      <c r="J26" s="41" t="s">
        <v>111</v>
      </c>
      <c r="K26" s="43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38" t="s">
        <v>33</v>
      </c>
      <c r="B27" s="38">
        <v>1.6170994E7</v>
      </c>
      <c r="C27" s="38" t="s">
        <v>88</v>
      </c>
      <c r="D27" s="17" t="s">
        <v>89</v>
      </c>
      <c r="E27" s="17" t="s">
        <v>89</v>
      </c>
      <c r="F27" s="39">
        <v>45658.0</v>
      </c>
      <c r="G27" s="40">
        <v>46113.0</v>
      </c>
      <c r="H27" s="42">
        <v>201.30176</v>
      </c>
      <c r="I27" s="42">
        <v>42.27</v>
      </c>
      <c r="J27" s="41" t="s">
        <v>111</v>
      </c>
      <c r="K27" s="43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38" t="s">
        <v>33</v>
      </c>
      <c r="B28" s="38">
        <v>1.6170994E7</v>
      </c>
      <c r="C28" s="38" t="s">
        <v>90</v>
      </c>
      <c r="D28" s="17" t="s">
        <v>91</v>
      </c>
      <c r="E28" s="17" t="s">
        <v>91</v>
      </c>
      <c r="F28" s="39">
        <v>45658.0</v>
      </c>
      <c r="G28" s="40">
        <v>46113.0</v>
      </c>
      <c r="H28" s="42">
        <v>172.9937</v>
      </c>
      <c r="I28" s="42">
        <v>36.33</v>
      </c>
      <c r="J28" s="41" t="s">
        <v>111</v>
      </c>
      <c r="K28" s="43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38" t="s">
        <v>33</v>
      </c>
      <c r="B29" s="38">
        <v>1.6170994E7</v>
      </c>
      <c r="C29" s="38" t="s">
        <v>92</v>
      </c>
      <c r="D29" s="17" t="s">
        <v>93</v>
      </c>
      <c r="E29" s="17" t="s">
        <v>93</v>
      </c>
      <c r="F29" s="39">
        <v>45658.0</v>
      </c>
      <c r="G29" s="40">
        <v>46113.0</v>
      </c>
      <c r="H29" s="42">
        <v>221.32742</v>
      </c>
      <c r="I29" s="42">
        <v>46.48</v>
      </c>
      <c r="J29" s="41" t="s">
        <v>111</v>
      </c>
      <c r="K29" s="43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38" t="s">
        <v>33</v>
      </c>
      <c r="B30" s="38">
        <v>1.6170994E7</v>
      </c>
      <c r="C30" s="38" t="s">
        <v>94</v>
      </c>
      <c r="D30" s="38" t="s">
        <v>95</v>
      </c>
      <c r="E30" s="38" t="s">
        <v>95</v>
      </c>
      <c r="F30" s="39">
        <v>45658.0</v>
      </c>
      <c r="G30" s="40">
        <v>46113.0</v>
      </c>
      <c r="H30" s="42">
        <v>157.29658</v>
      </c>
      <c r="I30" s="42">
        <v>33.03</v>
      </c>
      <c r="J30" s="41" t="s">
        <v>111</v>
      </c>
      <c r="K30" s="43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15.75" customHeight="1">
      <c r="A31" s="38" t="s">
        <v>33</v>
      </c>
      <c r="B31" s="38">
        <v>1.6170994E7</v>
      </c>
      <c r="C31" s="38" t="s">
        <v>96</v>
      </c>
      <c r="D31" s="38" t="s">
        <v>97</v>
      </c>
      <c r="E31" s="38" t="s">
        <v>97</v>
      </c>
      <c r="F31" s="39">
        <v>45658.0</v>
      </c>
      <c r="G31" s="40">
        <v>46113.0</v>
      </c>
      <c r="H31" s="42">
        <v>145.50402</v>
      </c>
      <c r="I31" s="42">
        <v>30.56</v>
      </c>
      <c r="J31" s="41" t="s">
        <v>111</v>
      </c>
      <c r="K31" s="43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5.75" customHeight="1">
      <c r="A32" s="38" t="s">
        <v>33</v>
      </c>
      <c r="B32" s="38">
        <v>1.6170994E7</v>
      </c>
      <c r="C32" s="38" t="s">
        <v>98</v>
      </c>
      <c r="D32" s="17" t="s">
        <v>99</v>
      </c>
      <c r="E32" s="17" t="s">
        <v>99</v>
      </c>
      <c r="F32" s="39">
        <v>45658.0</v>
      </c>
      <c r="G32" s="40">
        <v>46113.0</v>
      </c>
      <c r="H32" s="42">
        <v>145.50402</v>
      </c>
      <c r="I32" s="42">
        <v>30.56</v>
      </c>
      <c r="J32" s="41" t="s">
        <v>111</v>
      </c>
      <c r="K32" s="43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5.75" customHeight="1">
      <c r="A33" s="38" t="s">
        <v>33</v>
      </c>
      <c r="B33" s="38">
        <v>1.6170994E7</v>
      </c>
      <c r="C33" s="38" t="s">
        <v>100</v>
      </c>
      <c r="D33" s="38" t="s">
        <v>101</v>
      </c>
      <c r="E33" s="38" t="s">
        <v>101</v>
      </c>
      <c r="F33" s="39">
        <v>45658.0</v>
      </c>
      <c r="G33" s="40">
        <v>46113.0</v>
      </c>
      <c r="H33" s="42">
        <v>157.29658</v>
      </c>
      <c r="I33" s="42">
        <v>33.03</v>
      </c>
      <c r="J33" s="41" t="s">
        <v>111</v>
      </c>
      <c r="K33" s="43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5.75" customHeight="1">
      <c r="A34" s="38" t="s">
        <v>33</v>
      </c>
      <c r="B34" s="38">
        <v>1.6170994E7</v>
      </c>
      <c r="C34" s="38" t="s">
        <v>102</v>
      </c>
      <c r="D34" s="17" t="s">
        <v>103</v>
      </c>
      <c r="E34" s="17" t="s">
        <v>103</v>
      </c>
      <c r="F34" s="39">
        <v>45658.0</v>
      </c>
      <c r="G34" s="40">
        <v>46113.0</v>
      </c>
      <c r="H34" s="42">
        <v>157.29658</v>
      </c>
      <c r="I34" s="42">
        <v>33.03</v>
      </c>
      <c r="J34" s="41" t="s">
        <v>111</v>
      </c>
      <c r="K34" s="43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5.75" customHeight="1">
      <c r="A35" s="38" t="s">
        <v>33</v>
      </c>
      <c r="B35" s="38">
        <v>1.6170994E7</v>
      </c>
      <c r="C35" s="38" t="s">
        <v>104</v>
      </c>
      <c r="D35" s="38" t="s">
        <v>105</v>
      </c>
      <c r="E35" s="38" t="s">
        <v>105</v>
      </c>
      <c r="F35" s="39">
        <v>45658.0</v>
      </c>
      <c r="G35" s="40">
        <v>46113.0</v>
      </c>
      <c r="H35" s="42">
        <v>236.16672</v>
      </c>
      <c r="I35" s="42">
        <v>49.6</v>
      </c>
      <c r="J35" s="41" t="s">
        <v>111</v>
      </c>
      <c r="K35" s="43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5.75" customHeight="1">
      <c r="A36" s="38" t="s">
        <v>9</v>
      </c>
      <c r="B36" s="38">
        <v>1.6170994E7</v>
      </c>
      <c r="C36" s="38" t="s">
        <v>106</v>
      </c>
      <c r="D36" s="38" t="s">
        <v>107</v>
      </c>
      <c r="E36" s="38" t="s">
        <v>107</v>
      </c>
      <c r="F36" s="39">
        <v>45658.0</v>
      </c>
      <c r="G36" s="40">
        <v>46113.0</v>
      </c>
      <c r="H36" s="42">
        <v>157.29658</v>
      </c>
      <c r="I36" s="42">
        <v>33.03</v>
      </c>
      <c r="J36" s="41" t="s">
        <v>111</v>
      </c>
      <c r="K36" s="43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5.75" customHeight="1">
      <c r="A37" s="38" t="s">
        <v>9</v>
      </c>
      <c r="B37" s="38">
        <v>1.6170994E7</v>
      </c>
      <c r="C37" s="38" t="s">
        <v>10</v>
      </c>
      <c r="D37" s="38" t="s">
        <v>11</v>
      </c>
      <c r="E37" s="38" t="s">
        <v>11</v>
      </c>
      <c r="F37" s="39">
        <v>45658.0</v>
      </c>
      <c r="G37" s="40">
        <v>46113.0</v>
      </c>
      <c r="H37" s="42">
        <v>18.54666</v>
      </c>
      <c r="I37" s="42">
        <v>5.56</v>
      </c>
      <c r="J37" s="41" t="s">
        <v>112</v>
      </c>
      <c r="K37" s="43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5.75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5.7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5.75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5.7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5.75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5.75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5.75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5.75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5.75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5.75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5.75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5.75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5.75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5.75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5.75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15.75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5.75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5.7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5.7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5.7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5.7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5.7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5.7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5.7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5.7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5.7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5.7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5.7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5.7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15.7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15.7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15.7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15.7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15.7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15.7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15.7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15.7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15.7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15.7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15.7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15.75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15.7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15.7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15.75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ht="15.75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ht="15.75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ht="15.75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ht="15.75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ht="15.75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ht="15.75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ht="15.75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ht="15.7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ht="15.7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ht="15.75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ht="15.75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ht="15.75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ht="15.75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15.75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15.75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t="15.7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ht="15.75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ht="15.75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ht="15.75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ht="15.75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ht="15.75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ht="15.7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ht="15.7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ht="15.7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ht="15.75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ht="15.75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ht="15.75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ht="15.7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ht="15.75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ht="15.75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ht="15.75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ht="15.75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ht="15.7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ht="15.7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ht="15.75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ht="15.7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ht="15.7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t="15.7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ht="15.7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ht="15.7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ht="15.75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ht="15.7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ht="15.75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ht="15.7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ht="15.75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ht="15.7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ht="15.75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ht="15.7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ht="15.75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ht="15.7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ht="15.75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ht="15.7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t="15.75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ht="15.7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ht="15.75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t="15.7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ht="15.7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ht="15.7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ht="15.7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ht="15.7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ht="15.7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ht="15.7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ht="15.7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15.7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ht="15.7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ht="15.7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ht="15.7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ht="15.7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ht="15.7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ht="15.7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ht="15.75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ht="15.7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ht="15.7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ht="15.7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ht="15.7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ht="15.7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ht="15.7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ht="15.7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ht="15.7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ht="15.7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ht="15.7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ht="15.7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ht="15.7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ht="15.7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ht="15.7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ht="15.7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ht="15.7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ht="15.7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ht="15.7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ht="15.7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ht="15.7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ht="15.7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ht="15.7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ht="15.7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ht="15.7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ht="15.7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ht="15.7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ht="15.7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ht="15.7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ht="15.7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ht="15.7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ht="15.7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ht="15.7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ht="15.7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ht="15.7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ht="15.7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ht="15.7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ht="15.7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ht="15.7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ht="15.7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ht="15.7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ht="15.7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ht="15.7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ht="15.7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ht="15.7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ht="15.7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ht="15.7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ht="15.7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ht="15.7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ht="15.7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ht="15.7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ht="15.7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ht="15.7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ht="15.7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ht="15.7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ht="15.7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ht="15.7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ht="15.7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ht="15.7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ht="15.7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ht="15.7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ht="15.7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ht="15.7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ht="15.7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ht="15.7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ht="15.7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ht="15.7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ht="15.7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ht="15.75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ht="15.7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ht="15.7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ht="15.7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ht="15.7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ht="15.7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ht="15.7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ht="15.7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ht="15.7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ht="15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ht="15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ht="15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ht="15.7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ht="15.7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ht="15.7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ht="15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ht="15.7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ht="15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ht="15.7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ht="15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ht="15.7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ht="15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ht="15.7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ht="15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ht="15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ht="15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ht="15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ht="15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ht="15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ht="15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ht="15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ht="15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ht="15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ht="15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ht="15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ht="15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ht="15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ht="15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ht="15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ht="15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ht="15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ht="15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ht="15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ht="15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ht="15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ht="15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ht="15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ht="15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ht="15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ht="15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ht="15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ht="15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ht="15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ht="15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ht="15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ht="15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ht="15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ht="15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ht="15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ht="15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ht="15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ht="15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ht="15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ht="15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ht="15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ht="15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ht="15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ht="15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ht="15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ht="15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ht="15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ht="15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ht="15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ht="15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ht="15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ht="15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ht="15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ht="15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ht="15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ht="15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ht="15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ht="15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ht="15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ht="15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ht="15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ht="15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ht="15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ht="15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ht="15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ht="15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ht="15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ht="15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ht="15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ht="15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ht="15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ht="15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ht="15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ht="15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ht="15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ht="15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ht="15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ht="15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ht="15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ht="15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ht="15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ht="15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ht="15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ht="15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ht="15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ht="15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ht="15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ht="15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ht="15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ht="15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ht="15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ht="15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ht="15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ht="15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ht="15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ht="15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ht="15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ht="15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ht="15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ht="15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ht="15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ht="15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ht="15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ht="15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ht="15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ht="15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ht="15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ht="15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ht="15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ht="15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ht="15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ht="15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ht="15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ht="15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ht="15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ht="15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ht="15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ht="15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ht="15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ht="15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ht="15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ht="15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ht="15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ht="15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ht="15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ht="15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ht="15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ht="15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ht="15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ht="15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ht="15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ht="15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ht="15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ht="15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ht="15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ht="15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ht="15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ht="15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ht="15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ht="15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ht="15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ht="15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ht="15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ht="15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ht="15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ht="15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ht="15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ht="15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ht="15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ht="15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ht="15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ht="15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ht="15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ht="15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ht="15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ht="15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ht="15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ht="15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ht="15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ht="15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ht="15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ht="15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ht="15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ht="15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ht="15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ht="15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ht="15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ht="15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ht="15.7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ht="15.7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ht="15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ht="15.7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ht="15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ht="15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ht="15.7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ht="15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ht="15.7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ht="15.7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ht="15.7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ht="15.7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ht="15.7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ht="15.7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ht="15.7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ht="15.7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ht="15.7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ht="15.7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ht="15.7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ht="15.7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ht="15.7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ht="15.7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ht="15.7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ht="15.7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ht="15.7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ht="15.7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ht="15.7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ht="15.7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ht="15.7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ht="15.7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ht="15.7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ht="15.7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ht="15.7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ht="15.7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ht="15.7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ht="15.7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ht="15.7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ht="15.7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ht="15.7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ht="15.7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ht="15.7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ht="15.7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ht="15.7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ht="15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ht="15.7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ht="15.7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ht="15.7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ht="15.7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ht="15.7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ht="15.7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ht="15.7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ht="15.7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ht="15.7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ht="15.7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ht="15.7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ht="15.7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ht="15.7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ht="15.7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ht="15.7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ht="15.7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ht="15.7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ht="15.7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ht="15.7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ht="15.7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ht="15.7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ht="15.7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ht="15.7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ht="15.7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ht="15.7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ht="15.7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ht="15.7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ht="15.7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ht="15.7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ht="15.7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ht="15.7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ht="15.7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ht="15.7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ht="15.7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ht="15.7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ht="15.7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ht="15.7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ht="15.7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ht="15.7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ht="15.7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ht="15.7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ht="15.7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ht="15.7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ht="15.7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ht="15.7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ht="15.7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ht="15.7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ht="15.7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ht="15.7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ht="15.7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ht="15.7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ht="15.7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ht="15.7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ht="15.7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ht="15.7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ht="15.7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ht="15.7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ht="15.7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ht="15.7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ht="15.7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ht="15.7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ht="15.7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ht="15.7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ht="15.7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ht="15.7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ht="15.7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ht="15.7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ht="15.7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ht="15.7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ht="15.7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2026-05-18T12:42:26Z</dcterms:created>
  <dc:creator>Vrushabh Parmar</dc:creator>
</cp:coreProperties>
</file>