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edical_Mutual_Senior\2026\May\"/>
    </mc:Choice>
  </mc:AlternateContent>
  <xr:revisionPtr revIDLastSave="0" documentId="13_ncr:1_{4946BC01-9103-477B-B2C6-74FFE0918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2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K29" i="2" l="1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28" i="2"/>
</calcChain>
</file>

<file path=xl/sharedStrings.xml><?xml version="1.0" encoding="utf-8"?>
<sst xmlns="http://schemas.openxmlformats.org/spreadsheetml/2006/main" count="344" uniqueCount="98">
  <si>
    <t>Individual - Pct of Premium</t>
  </si>
  <si>
    <t>Health</t>
  </si>
  <si>
    <t>Producer Name</t>
  </si>
  <si>
    <t>Group Name</t>
  </si>
  <si>
    <t>Group 
 Number</t>
  </si>
  <si>
    <t>Type of 
 Business</t>
  </si>
  <si>
    <t>Split %</t>
  </si>
  <si>
    <t>Billed Member</t>
  </si>
  <si>
    <t>Premium</t>
  </si>
  <si>
    <t>Pct of Premium</t>
  </si>
  <si>
    <t>Commission</t>
  </si>
  <si>
    <t>STEVEN BRANDT</t>
  </si>
  <si>
    <t>ROSE SHIPP</t>
  </si>
  <si>
    <t>E04090_H</t>
  </si>
  <si>
    <t>IH-Ancillary</t>
  </si>
  <si>
    <t>Total Individual - Pct of Premium</t>
  </si>
  <si>
    <t>Individual - Indemnity Business</t>
  </si>
  <si>
    <t>Indemnity</t>
  </si>
  <si>
    <t>Split 
 Premium</t>
  </si>
  <si>
    <t>STEVEN K BRANDT</t>
  </si>
  <si>
    <t>C64807_H</t>
  </si>
  <si>
    <t>Critical Ill</t>
  </si>
  <si>
    <t>Total Individual - Indemnity Business</t>
  </si>
  <si>
    <t>Total Base Commission</t>
  </si>
  <si>
    <t>Detailed Commission Statement</t>
  </si>
  <si>
    <t>MAIN LINE BENEFITS LLC_10_MA</t>
  </si>
  <si>
    <t>For Period: May 2026</t>
  </si>
  <si>
    <t>Summary</t>
  </si>
  <si>
    <t>BASE COMMISSIONS</t>
  </si>
  <si>
    <t>SUBTOTAL</t>
  </si>
  <si>
    <t>TOTAL AMOUNT PAID</t>
  </si>
  <si>
    <t>Medicare Advantage</t>
  </si>
  <si>
    <t>Member Name</t>
  </si>
  <si>
    <t>Policy Holder</t>
  </si>
  <si>
    <t>Effective Date</t>
  </si>
  <si>
    <t>NATHAN WELLER</t>
  </si>
  <si>
    <t>EDWARD G TRIMMER</t>
  </si>
  <si>
    <t>RONNA M JOHNSON</t>
  </si>
  <si>
    <t>RYAN SHEPARD</t>
  </si>
  <si>
    <t>MARY T CUSICK</t>
  </si>
  <si>
    <t>NANCY L RUESCHMAN</t>
  </si>
  <si>
    <t>CINDY L LEACH</t>
  </si>
  <si>
    <t>JEFF L SCOTT</t>
  </si>
  <si>
    <t>JOHN J ABSHIRE</t>
  </si>
  <si>
    <t>JOHN U WILSON JR</t>
  </si>
  <si>
    <t>KAREN B RAUSCH</t>
  </si>
  <si>
    <t>KAREN D ABSHIRE</t>
  </si>
  <si>
    <t>KURT D LARKIN</t>
  </si>
  <si>
    <t>LINDA M BUTSKO</t>
  </si>
  <si>
    <t>PAM F WILSON</t>
  </si>
  <si>
    <t>REBECCA F HILL</t>
  </si>
  <si>
    <t>ROBERT W SMITH</t>
  </si>
  <si>
    <t>SHARON N SMITH</t>
  </si>
  <si>
    <t>TAMMY D HAYWOOD</t>
  </si>
  <si>
    <t>TAMMY J WILHELM</t>
  </si>
  <si>
    <t>TAMMY L VANATTA</t>
  </si>
  <si>
    <t>THERESA J MCFARLAND</t>
  </si>
  <si>
    <t>TIMOTHY G ZAHLER</t>
  </si>
  <si>
    <t>WILLIAM J BUTSKO</t>
  </si>
  <si>
    <t>Total Medicare Advantage</t>
  </si>
  <si>
    <t>Medicare Supplement</t>
  </si>
  <si>
    <t>Policy 
 Age</t>
  </si>
  <si>
    <t>JENNIFER HALSAVER</t>
  </si>
  <si>
    <t>GEORGE MELLEN</t>
  </si>
  <si>
    <t>C48377_H</t>
  </si>
  <si>
    <t>JEFFREY GAUL</t>
  </si>
  <si>
    <t>C61905_H</t>
  </si>
  <si>
    <t>CATHERINE LOTTIG</t>
  </si>
  <si>
    <t>C93413_H</t>
  </si>
  <si>
    <t>GARY WHISENHUNT</t>
  </si>
  <si>
    <t>C95953_H</t>
  </si>
  <si>
    <t>GREGORY TUOHY</t>
  </si>
  <si>
    <t>E06421_H</t>
  </si>
  <si>
    <t>JANET ROTH</t>
  </si>
  <si>
    <t>C83629_H</t>
  </si>
  <si>
    <t>JEANE NOBLETT</t>
  </si>
  <si>
    <t>C83690_H</t>
  </si>
  <si>
    <t>JOANN WAGNER</t>
  </si>
  <si>
    <t>C85198_H</t>
  </si>
  <si>
    <t>KAREN CLARKE</t>
  </si>
  <si>
    <t>C91924_H</t>
  </si>
  <si>
    <t>PAMELA ANDREWS</t>
  </si>
  <si>
    <t>C98924_H</t>
  </si>
  <si>
    <t>SUZANNE MALONEY</t>
  </si>
  <si>
    <t>C86006_H</t>
  </si>
  <si>
    <t>TAMMY FRESH</t>
  </si>
  <si>
    <t>E01044_H</t>
  </si>
  <si>
    <t>THOMAS CLARKE</t>
  </si>
  <si>
    <t>C52332_H</t>
  </si>
  <si>
    <t>KIMBERLY KOENIG-PEREZ</t>
  </si>
  <si>
    <t>E00293_H</t>
  </si>
  <si>
    <t>MARY REED</t>
  </si>
  <si>
    <t>C97448_H</t>
  </si>
  <si>
    <t>Total Medicare Supplement</t>
  </si>
  <si>
    <t>Medical Mutual All Plans New</t>
  </si>
  <si>
    <t>Medical Mutual Extend</t>
  </si>
  <si>
    <t>Medical Mutual 2026*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</si>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</sst>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18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5A5A5A"/>
      <name val="&quot;Helvetica Narrow&quot;"/>
    </font>
    <font>
      <b/>
      <sz val="10"/>
      <color rgb="FFFFFFFF"/>
      <name val="&quot;Palatino Linotype&quot;"/>
    </font>
    <font>
      <sz val="10"/>
      <name val="Arial"/>
      <family val="2"/>
    </font>
    <font>
      <sz val="10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414042"/>
      <name val="Arial"/>
      <family val="2"/>
    </font>
    <font>
      <sz val="8"/>
      <color rgb="FF000000"/>
      <name val="&quot;Helvetica Narrow&quot;"/>
    </font>
    <font>
      <b/>
      <sz val="10"/>
      <color rgb="FF000000"/>
      <name val="Arial"/>
      <family val="2"/>
    </font>
    <font>
      <b/>
      <sz val="10"/>
      <color rgb="FF000000"/>
      <name val="&quot;Helvetica Narrow&quot;"/>
    </font>
    <font>
      <b/>
      <sz val="14"/>
      <color rgb="FF038675"/>
      <name val="&quot;Palatino Linotype&quot;"/>
    </font>
    <font>
      <b/>
      <sz val="12"/>
      <color rgb="FF038675"/>
      <name val="&quot;Palatino Linotype&quot;"/>
    </font>
    <font>
      <b/>
      <sz val="11"/>
      <color rgb="FF414042"/>
      <name val="Arial"/>
      <family val="2"/>
    </font>
    <font>
      <b/>
      <sz val="10"/>
      <color rgb="FF414042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7" fillId="5" borderId="0" xfId="0" applyFont="1" applyFill="1" applyAlignment="1">
      <alignment horizontal="left" vertical="top"/>
    </xf>
    <xf numFmtId="0" fontId="16" fillId="5" borderId="0" xfId="0" applyFont="1" applyFill="1" applyAlignment="1">
      <alignment horizontal="left"/>
    </xf>
    <xf numFmtId="10" fontId="17" fillId="5" borderId="0" xfId="0" applyNumberFormat="1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164" fontId="17" fillId="5" borderId="0" xfId="0" applyNumberFormat="1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165" fontId="17" fillId="0" borderId="0" xfId="0" applyNumberFormat="1" applyFont="1" applyAlignment="1">
      <alignment horizontal="left" vertical="top"/>
    </xf>
    <xf numFmtId="164" fontId="17" fillId="0" borderId="0" xfId="0" applyNumberFormat="1" applyFont="1" applyAlignment="1">
      <alignment horizontal="left" vertical="top"/>
    </xf>
    <xf numFmtId="9" fontId="16" fillId="0" borderId="0" xfId="1" applyFont="1" applyFill="1" applyBorder="1" applyAlignment="1">
      <alignment horizontal="left"/>
    </xf>
    <xf numFmtId="10" fontId="17" fillId="0" borderId="0" xfId="0" applyNumberFormat="1" applyFont="1" applyAlignment="1">
      <alignment horizontal="left" vertical="top"/>
    </xf>
    <xf numFmtId="165" fontId="17" fillId="5" borderId="0" xfId="0" applyNumberFormat="1" applyFont="1" applyFill="1" applyAlignment="1">
      <alignment horizontal="left" vertical="top"/>
    </xf>
    <xf numFmtId="9" fontId="16" fillId="5" borderId="0" xfId="1" applyFont="1" applyFill="1" applyBorder="1" applyAlignment="1">
      <alignment horizontal="left"/>
    </xf>
    <xf numFmtId="0" fontId="7" fillId="0" borderId="0" xfId="0" applyFont="1" applyAlignment="1">
      <alignment horizontal="left" vertical="top"/>
    </xf>
    <xf numFmtId="0" fontId="0" fillId="0" borderId="0" xfId="0"/>
    <xf numFmtId="0" fontId="9" fillId="3" borderId="1" xfId="0" applyFont="1" applyFill="1" applyBorder="1" applyAlignment="1">
      <alignment horizontal="left" vertical="top"/>
    </xf>
    <xf numFmtId="0" fontId="4" fillId="0" borderId="2" xfId="0" applyFont="1" applyBorder="1"/>
    <xf numFmtId="0" fontId="4" fillId="0" borderId="3" xfId="0" applyFont="1" applyBorder="1"/>
    <xf numFmtId="164" fontId="10" fillId="3" borderId="1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10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right" vertical="top"/>
    </xf>
    <xf numFmtId="164" fontId="7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left" vertical="top"/>
    </xf>
    <xf numFmtId="4" fontId="14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center" vertical="top"/>
    </xf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/>
    <xf numFmtId="0" fontId="4" fillId="0" borderId="9" xfId="0" applyFont="1" applyBorder="1"/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0" fontId="8" fillId="0" borderId="0" xfId="0" applyNumberFormat="1" applyFont="1" applyAlignment="1">
      <alignment horizontal="center" vertical="top"/>
    </xf>
    <xf numFmtId="0" fontId="5" fillId="4" borderId="5" xfId="0" applyFont="1" applyFill="1" applyBorder="1" applyAlignment="1">
      <alignment horizontal="right" vertical="top"/>
    </xf>
    <xf numFmtId="0" fontId="1" fillId="6" borderId="0" xfId="0" applyFont="1" applyFill="1" applyAlignment="1">
      <alignment vertical="top"/>
    </xf>
    <xf numFmtId="0" fontId="6" fillId="6" borderId="0" xfId="0" applyFont="1" applyFill="1" applyAlignment="1">
      <alignment horizontal="left" vertical="top"/>
    </xf>
    <xf numFmtId="0" fontId="0" fillId="6" borderId="0" xfId="0" applyFill="1"/>
    <xf numFmtId="0" fontId="6" fillId="6" borderId="0" xfId="0" applyFont="1" applyFill="1" applyAlignment="1">
      <alignment horizontal="left" vertical="top"/>
    </xf>
    <xf numFmtId="10" fontId="6" fillId="6" borderId="0" xfId="0" applyNumberFormat="1" applyFont="1" applyFill="1" applyAlignment="1">
      <alignment horizontal="center" vertical="top"/>
    </xf>
    <xf numFmtId="0" fontId="6" fillId="6" borderId="0" xfId="0" applyFont="1" applyFill="1" applyAlignment="1">
      <alignment horizontal="center" vertical="top"/>
    </xf>
    <xf numFmtId="164" fontId="6" fillId="6" borderId="0" xfId="0" applyNumberFormat="1" applyFont="1" applyFill="1" applyAlignment="1">
      <alignment horizontal="right" vertical="top"/>
    </xf>
    <xf numFmtId="0" fontId="0" fillId="6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16"/>
  <sheetViews>
    <sheetView tabSelected="1" topLeftCell="B1" workbookViewId="0">
      <selection activeCell="F10" sqref="F10"/>
    </sheetView>
  </sheetViews>
  <sheetFormatPr defaultColWidth="12.5703125" defaultRowHeight="15.75" customHeight="1"/>
  <sheetData>
    <row r="1" spans="1:22">
      <c r="A1" s="1"/>
      <c r="B1" s="33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>
      <c r="A2" s="1"/>
      <c r="B2" s="34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/>
      <c r="B4" s="35" t="s">
        <v>2</v>
      </c>
      <c r="C4" s="36"/>
      <c r="D4" s="35" t="s">
        <v>3</v>
      </c>
      <c r="E4" s="36"/>
      <c r="F4" s="36"/>
      <c r="G4" s="35" t="s">
        <v>4</v>
      </c>
      <c r="H4" s="35" t="s">
        <v>5</v>
      </c>
      <c r="I4" s="36"/>
      <c r="J4" s="36"/>
      <c r="K4" s="36"/>
      <c r="L4" s="35" t="s">
        <v>6</v>
      </c>
      <c r="M4" s="36"/>
      <c r="N4" s="35" t="s">
        <v>7</v>
      </c>
      <c r="O4" s="36"/>
      <c r="P4" s="1"/>
      <c r="Q4" s="35" t="s">
        <v>8</v>
      </c>
      <c r="R4" s="39"/>
      <c r="S4" s="35" t="s">
        <v>9</v>
      </c>
      <c r="T4" s="39"/>
      <c r="U4" s="48" t="s">
        <v>10</v>
      </c>
      <c r="V4" s="39"/>
    </row>
    <row r="5" spans="1:22">
      <c r="A5" s="1"/>
      <c r="B5" s="37"/>
      <c r="C5" s="38"/>
      <c r="D5" s="37"/>
      <c r="E5" s="38"/>
      <c r="F5" s="38"/>
      <c r="G5" s="37"/>
      <c r="H5" s="37"/>
      <c r="I5" s="38"/>
      <c r="J5" s="38"/>
      <c r="K5" s="38"/>
      <c r="L5" s="37"/>
      <c r="M5" s="38"/>
      <c r="N5" s="37"/>
      <c r="O5" s="38"/>
      <c r="P5" s="1"/>
      <c r="Q5" s="37"/>
      <c r="R5" s="40"/>
      <c r="S5" s="37"/>
      <c r="T5" s="40"/>
      <c r="U5" s="38"/>
      <c r="V5" s="40"/>
    </row>
    <row r="6" spans="1:22" s="56" customFormat="1">
      <c r="A6" s="49"/>
      <c r="B6" s="50" t="s">
        <v>11</v>
      </c>
      <c r="C6" s="51"/>
      <c r="D6" s="50" t="s">
        <v>12</v>
      </c>
      <c r="E6" s="51"/>
      <c r="F6" s="51"/>
      <c r="G6" s="52" t="s">
        <v>13</v>
      </c>
      <c r="H6" s="50" t="s">
        <v>14</v>
      </c>
      <c r="I6" s="51"/>
      <c r="J6" s="51"/>
      <c r="K6" s="51"/>
      <c r="L6" s="53">
        <v>1</v>
      </c>
      <c r="M6" s="51"/>
      <c r="N6" s="54">
        <v>1</v>
      </c>
      <c r="O6" s="51"/>
      <c r="P6" s="49"/>
      <c r="Q6" s="55">
        <v>37.64</v>
      </c>
      <c r="R6" s="51"/>
      <c r="S6" s="53">
        <v>0.11</v>
      </c>
      <c r="T6" s="51"/>
      <c r="U6" s="55">
        <v>4.1399999999999997</v>
      </c>
      <c r="V6" s="51"/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8">
        <v>37.64</v>
      </c>
      <c r="R8" s="20"/>
      <c r="S8" s="1"/>
      <c r="T8" s="1"/>
      <c r="U8" s="28">
        <v>4.1399999999999997</v>
      </c>
      <c r="V8" s="20"/>
    </row>
    <row r="9" spans="1:22">
      <c r="A9" s="1"/>
      <c r="B9" s="19" t="s">
        <v>15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8">
        <v>37.64</v>
      </c>
      <c r="R9" s="20"/>
      <c r="S9" s="1"/>
      <c r="T9" s="1"/>
      <c r="U9" s="28">
        <v>4.1399999999999997</v>
      </c>
      <c r="V9" s="20"/>
    </row>
    <row r="10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33" t="s">
        <v>16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>
      <c r="A12" s="1"/>
      <c r="B12" s="34" t="s">
        <v>17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35" t="s">
        <v>2</v>
      </c>
      <c r="C14" s="36"/>
      <c r="D14" s="35" t="s">
        <v>3</v>
      </c>
      <c r="E14" s="36"/>
      <c r="F14" s="36"/>
      <c r="G14" s="35" t="s">
        <v>4</v>
      </c>
      <c r="H14" s="1"/>
      <c r="I14" s="35" t="s">
        <v>5</v>
      </c>
      <c r="J14" s="36"/>
      <c r="K14" s="36"/>
      <c r="L14" s="36"/>
      <c r="M14" s="35" t="s">
        <v>6</v>
      </c>
      <c r="N14" s="36"/>
      <c r="O14" s="36"/>
      <c r="P14" s="35" t="s">
        <v>18</v>
      </c>
      <c r="Q14" s="39"/>
      <c r="R14" s="35" t="s">
        <v>10</v>
      </c>
      <c r="S14" s="36"/>
      <c r="T14" s="39"/>
      <c r="U14" s="1"/>
      <c r="V14" s="1"/>
    </row>
    <row r="15" spans="1:22">
      <c r="A15" s="1"/>
      <c r="B15" s="37"/>
      <c r="C15" s="38"/>
      <c r="D15" s="37"/>
      <c r="E15" s="38"/>
      <c r="F15" s="38"/>
      <c r="G15" s="37"/>
      <c r="H15" s="1"/>
      <c r="I15" s="37"/>
      <c r="J15" s="38"/>
      <c r="K15" s="38"/>
      <c r="L15" s="38"/>
      <c r="M15" s="37"/>
      <c r="N15" s="38"/>
      <c r="O15" s="38"/>
      <c r="P15" s="37"/>
      <c r="Q15" s="40"/>
      <c r="R15" s="37"/>
      <c r="S15" s="38"/>
      <c r="T15" s="40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25" t="s">
        <v>11</v>
      </c>
      <c r="C17" s="20"/>
      <c r="D17" s="25" t="s">
        <v>19</v>
      </c>
      <c r="E17" s="20"/>
      <c r="F17" s="20"/>
      <c r="G17" s="2" t="s">
        <v>20</v>
      </c>
      <c r="H17" s="25" t="s">
        <v>21</v>
      </c>
      <c r="I17" s="20"/>
      <c r="J17" s="20"/>
      <c r="K17" s="20"/>
      <c r="L17" s="47">
        <v>1</v>
      </c>
      <c r="M17" s="20"/>
      <c r="N17" s="27">
        <v>18.55</v>
      </c>
      <c r="O17" s="20"/>
      <c r="P17" s="1"/>
      <c r="Q17" s="27">
        <v>5.56</v>
      </c>
      <c r="R17" s="20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8">
        <v>5.56</v>
      </c>
      <c r="R18" s="20"/>
      <c r="S18" s="1"/>
      <c r="T18" s="1"/>
      <c r="U18" s="1"/>
      <c r="V18" s="1"/>
    </row>
    <row r="19" spans="1:22">
      <c r="A19" s="1"/>
      <c r="B19" s="19" t="s">
        <v>22</v>
      </c>
      <c r="C19" s="20"/>
      <c r="D19" s="20"/>
      <c r="E19" s="20"/>
      <c r="F19" s="20"/>
      <c r="G19" s="20"/>
      <c r="H19" s="20"/>
      <c r="I19" s="20"/>
      <c r="J19" s="20"/>
      <c r="K19" s="1"/>
      <c r="L19" s="1"/>
      <c r="M19" s="1"/>
      <c r="N19" s="28">
        <v>18.55</v>
      </c>
      <c r="O19" s="20"/>
      <c r="P19" s="1"/>
      <c r="Q19" s="28">
        <v>5.56</v>
      </c>
      <c r="R19" s="20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21" t="s">
        <v>23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  <c r="U21" s="24">
        <v>4849.62</v>
      </c>
      <c r="V21" s="23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41" t="s">
        <v>24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"/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42" t="s">
        <v>25</v>
      </c>
      <c r="C26" s="20"/>
      <c r="D26" s="20"/>
      <c r="E26" s="20"/>
      <c r="F26" s="20"/>
      <c r="G26" s="20"/>
      <c r="H26" s="20"/>
      <c r="I26" s="20"/>
      <c r="J26" s="43" t="s">
        <v>26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1"/>
    </row>
    <row r="27" spans="1:22">
      <c r="A27" s="1"/>
      <c r="B27" s="1"/>
      <c r="C27" s="1"/>
      <c r="D27" s="1"/>
      <c r="E27" s="44" t="s">
        <v>27</v>
      </c>
      <c r="F27" s="20"/>
      <c r="G27" s="20"/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46" t="s">
        <v>28</v>
      </c>
      <c r="F28" s="20"/>
      <c r="G28" s="20"/>
      <c r="H28" s="20"/>
      <c r="I28" s="45">
        <v>1189</v>
      </c>
      <c r="J28" s="20"/>
      <c r="K28" s="20"/>
      <c r="L28" s="20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46" t="s">
        <v>29</v>
      </c>
      <c r="F29" s="20"/>
      <c r="G29" s="20"/>
      <c r="H29" s="20"/>
      <c r="I29" s="45">
        <v>1189</v>
      </c>
      <c r="J29" s="20"/>
      <c r="K29" s="20"/>
      <c r="L29" s="20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31" t="s">
        <v>30</v>
      </c>
      <c r="F31" s="20"/>
      <c r="G31" s="20"/>
      <c r="H31" s="20"/>
      <c r="I31" s="32">
        <v>1189</v>
      </c>
      <c r="J31" s="20"/>
      <c r="K31" s="20"/>
      <c r="L31" s="20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33" t="s">
        <v>31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>
      <c r="A34" s="1"/>
      <c r="B34" s="34" t="s">
        <v>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3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35" t="s">
        <v>2</v>
      </c>
      <c r="C36" s="36"/>
      <c r="D36" s="35" t="s">
        <v>32</v>
      </c>
      <c r="E36" s="36"/>
      <c r="F36" s="36"/>
      <c r="G36" s="35" t="s">
        <v>33</v>
      </c>
      <c r="H36" s="35" t="s">
        <v>34</v>
      </c>
      <c r="I36" s="36"/>
      <c r="J36" s="36"/>
      <c r="K36" s="36"/>
      <c r="L36" s="35" t="s">
        <v>10</v>
      </c>
      <c r="M36" s="36"/>
      <c r="N36" s="39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37"/>
      <c r="C37" s="38"/>
      <c r="D37" s="37"/>
      <c r="E37" s="38"/>
      <c r="F37" s="38"/>
      <c r="G37" s="37"/>
      <c r="H37" s="37"/>
      <c r="I37" s="38"/>
      <c r="J37" s="38"/>
      <c r="K37" s="38"/>
      <c r="L37" s="37"/>
      <c r="M37" s="38"/>
      <c r="N37" s="40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25" t="s">
        <v>35</v>
      </c>
      <c r="C39" s="20"/>
      <c r="D39" s="25" t="s">
        <v>36</v>
      </c>
      <c r="E39" s="20"/>
      <c r="F39" s="20"/>
      <c r="G39" s="2">
        <v>6277111</v>
      </c>
      <c r="H39" s="30">
        <v>45992</v>
      </c>
      <c r="I39" s="20"/>
      <c r="J39" s="20"/>
      <c r="K39" s="20"/>
      <c r="L39" s="27">
        <v>28.92</v>
      </c>
      <c r="M39" s="20"/>
      <c r="N39" s="20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25" t="s">
        <v>35</v>
      </c>
      <c r="C41" s="20"/>
      <c r="D41" s="25" t="s">
        <v>37</v>
      </c>
      <c r="E41" s="20"/>
      <c r="F41" s="20"/>
      <c r="G41" s="2">
        <v>6236016</v>
      </c>
      <c r="H41" s="30">
        <v>45658</v>
      </c>
      <c r="I41" s="20"/>
      <c r="J41" s="20"/>
      <c r="K41" s="20"/>
      <c r="L41" s="27">
        <v>28.92</v>
      </c>
      <c r="M41" s="20"/>
      <c r="N41" s="20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25" t="s">
        <v>38</v>
      </c>
      <c r="C43" s="20"/>
      <c r="D43" s="25" t="s">
        <v>39</v>
      </c>
      <c r="E43" s="20"/>
      <c r="F43" s="20"/>
      <c r="G43" s="2">
        <v>6220011</v>
      </c>
      <c r="H43" s="30">
        <v>45658</v>
      </c>
      <c r="I43" s="20"/>
      <c r="J43" s="20"/>
      <c r="K43" s="20"/>
      <c r="L43" s="27">
        <v>28.92</v>
      </c>
      <c r="M43" s="20"/>
      <c r="N43" s="20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25" t="s">
        <v>38</v>
      </c>
      <c r="C45" s="20"/>
      <c r="D45" s="25" t="s">
        <v>40</v>
      </c>
      <c r="E45" s="20"/>
      <c r="F45" s="20"/>
      <c r="G45" s="2">
        <v>6224756</v>
      </c>
      <c r="H45" s="30">
        <v>45658</v>
      </c>
      <c r="I45" s="20"/>
      <c r="J45" s="20"/>
      <c r="K45" s="20"/>
      <c r="L45" s="27">
        <v>28.92</v>
      </c>
      <c r="M45" s="20"/>
      <c r="N45" s="20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25" t="s">
        <v>11</v>
      </c>
      <c r="C47" s="20"/>
      <c r="D47" s="25" t="s">
        <v>41</v>
      </c>
      <c r="E47" s="20"/>
      <c r="F47" s="20"/>
      <c r="G47" s="2">
        <v>6213383</v>
      </c>
      <c r="H47" s="30">
        <v>45658</v>
      </c>
      <c r="I47" s="20"/>
      <c r="J47" s="20"/>
      <c r="K47" s="20"/>
      <c r="L47" s="27">
        <v>28.92</v>
      </c>
      <c r="M47" s="20"/>
      <c r="N47" s="20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25" t="s">
        <v>11</v>
      </c>
      <c r="C49" s="20"/>
      <c r="D49" s="25" t="s">
        <v>42</v>
      </c>
      <c r="E49" s="20"/>
      <c r="F49" s="20"/>
      <c r="G49" s="2">
        <v>6210817</v>
      </c>
      <c r="H49" s="30">
        <v>45627</v>
      </c>
      <c r="I49" s="20"/>
      <c r="J49" s="20"/>
      <c r="K49" s="20"/>
      <c r="L49" s="27">
        <v>28.92</v>
      </c>
      <c r="M49" s="20"/>
      <c r="N49" s="20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25" t="s">
        <v>11</v>
      </c>
      <c r="C51" s="20"/>
      <c r="D51" s="25" t="s">
        <v>43</v>
      </c>
      <c r="E51" s="20"/>
      <c r="F51" s="20"/>
      <c r="G51" s="2">
        <v>6218056</v>
      </c>
      <c r="H51" s="30">
        <v>45658</v>
      </c>
      <c r="I51" s="20"/>
      <c r="J51" s="20"/>
      <c r="K51" s="20"/>
      <c r="L51" s="27">
        <v>28.92</v>
      </c>
      <c r="M51" s="20"/>
      <c r="N51" s="20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25" t="s">
        <v>11</v>
      </c>
      <c r="C53" s="20"/>
      <c r="D53" s="25" t="s">
        <v>44</v>
      </c>
      <c r="E53" s="20"/>
      <c r="F53" s="20"/>
      <c r="G53" s="2">
        <v>6212568</v>
      </c>
      <c r="H53" s="30">
        <v>45658</v>
      </c>
      <c r="I53" s="20"/>
      <c r="J53" s="20"/>
      <c r="K53" s="20"/>
      <c r="L53" s="27">
        <v>28.92</v>
      </c>
      <c r="M53" s="20"/>
      <c r="N53" s="20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25" t="s">
        <v>11</v>
      </c>
      <c r="C55" s="20"/>
      <c r="D55" s="25" t="s">
        <v>45</v>
      </c>
      <c r="E55" s="20"/>
      <c r="F55" s="20"/>
      <c r="G55" s="2">
        <v>6215141</v>
      </c>
      <c r="H55" s="30">
        <v>45658</v>
      </c>
      <c r="I55" s="20"/>
      <c r="J55" s="20"/>
      <c r="K55" s="20"/>
      <c r="L55" s="27">
        <v>28.92</v>
      </c>
      <c r="M55" s="20"/>
      <c r="N55" s="20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25" t="s">
        <v>11</v>
      </c>
      <c r="C57" s="20"/>
      <c r="D57" s="25" t="s">
        <v>46</v>
      </c>
      <c r="E57" s="20"/>
      <c r="F57" s="20"/>
      <c r="G57" s="2">
        <v>6218054</v>
      </c>
      <c r="H57" s="30">
        <v>45658</v>
      </c>
      <c r="I57" s="20"/>
      <c r="J57" s="20"/>
      <c r="K57" s="20"/>
      <c r="L57" s="27">
        <v>28.92</v>
      </c>
      <c r="M57" s="20"/>
      <c r="N57" s="20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25" t="s">
        <v>11</v>
      </c>
      <c r="C59" s="20"/>
      <c r="D59" s="25" t="s">
        <v>47</v>
      </c>
      <c r="E59" s="20"/>
      <c r="F59" s="20"/>
      <c r="G59" s="2">
        <v>6238104</v>
      </c>
      <c r="H59" s="30">
        <v>45627</v>
      </c>
      <c r="I59" s="20"/>
      <c r="J59" s="20"/>
      <c r="K59" s="20"/>
      <c r="L59" s="27">
        <v>28.92</v>
      </c>
      <c r="M59" s="20"/>
      <c r="N59" s="20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25" t="s">
        <v>11</v>
      </c>
      <c r="C61" s="20"/>
      <c r="D61" s="25" t="s">
        <v>48</v>
      </c>
      <c r="E61" s="20"/>
      <c r="F61" s="20"/>
      <c r="G61" s="2">
        <v>6224965</v>
      </c>
      <c r="H61" s="30">
        <v>45658</v>
      </c>
      <c r="I61" s="20"/>
      <c r="J61" s="20"/>
      <c r="K61" s="20"/>
      <c r="L61" s="27">
        <v>28.92</v>
      </c>
      <c r="M61" s="20"/>
      <c r="N61" s="20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25" t="s">
        <v>11</v>
      </c>
      <c r="C63" s="20"/>
      <c r="D63" s="25" t="s">
        <v>49</v>
      </c>
      <c r="E63" s="20"/>
      <c r="F63" s="20"/>
      <c r="G63" s="2">
        <v>6210872</v>
      </c>
      <c r="H63" s="30">
        <v>45597</v>
      </c>
      <c r="I63" s="20"/>
      <c r="J63" s="20"/>
      <c r="K63" s="20"/>
      <c r="L63" s="27">
        <v>28.92</v>
      </c>
      <c r="M63" s="20"/>
      <c r="N63" s="20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25" t="s">
        <v>11</v>
      </c>
      <c r="C65" s="20"/>
      <c r="D65" s="25" t="s">
        <v>50</v>
      </c>
      <c r="E65" s="20"/>
      <c r="F65" s="20"/>
      <c r="G65" s="2">
        <v>6239247</v>
      </c>
      <c r="H65" s="30">
        <v>45658</v>
      </c>
      <c r="I65" s="20"/>
      <c r="J65" s="20"/>
      <c r="K65" s="20"/>
      <c r="L65" s="27">
        <v>28.92</v>
      </c>
      <c r="M65" s="20"/>
      <c r="N65" s="20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25" t="s">
        <v>11</v>
      </c>
      <c r="C67" s="20"/>
      <c r="D67" s="25" t="s">
        <v>51</v>
      </c>
      <c r="E67" s="20"/>
      <c r="F67" s="20"/>
      <c r="G67" s="2">
        <v>6138508</v>
      </c>
      <c r="H67" s="30">
        <v>43101</v>
      </c>
      <c r="I67" s="20"/>
      <c r="J67" s="20"/>
      <c r="K67" s="20"/>
      <c r="L67" s="27">
        <v>28.92</v>
      </c>
      <c r="M67" s="20"/>
      <c r="N67" s="20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25" t="s">
        <v>11</v>
      </c>
      <c r="C69" s="20"/>
      <c r="D69" s="25" t="s">
        <v>52</v>
      </c>
      <c r="E69" s="20"/>
      <c r="F69" s="20"/>
      <c r="G69" s="2">
        <v>6233105</v>
      </c>
      <c r="H69" s="30">
        <v>45658</v>
      </c>
      <c r="I69" s="20"/>
      <c r="J69" s="20"/>
      <c r="K69" s="20"/>
      <c r="L69" s="27">
        <v>28.92</v>
      </c>
      <c r="M69" s="20"/>
      <c r="N69" s="20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25" t="s">
        <v>11</v>
      </c>
      <c r="C71" s="20"/>
      <c r="D71" s="25" t="s">
        <v>53</v>
      </c>
      <c r="E71" s="20"/>
      <c r="F71" s="20"/>
      <c r="G71" s="2">
        <v>6225460</v>
      </c>
      <c r="H71" s="30">
        <v>45597</v>
      </c>
      <c r="I71" s="20"/>
      <c r="J71" s="20"/>
      <c r="K71" s="20"/>
      <c r="L71" s="27">
        <v>28.92</v>
      </c>
      <c r="M71" s="20"/>
      <c r="N71" s="20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25" t="s">
        <v>11</v>
      </c>
      <c r="C73" s="20"/>
      <c r="D73" s="25" t="s">
        <v>54</v>
      </c>
      <c r="E73" s="20"/>
      <c r="F73" s="20"/>
      <c r="G73" s="2">
        <v>6241874</v>
      </c>
      <c r="H73" s="30">
        <v>45658</v>
      </c>
      <c r="I73" s="20"/>
      <c r="J73" s="20"/>
      <c r="K73" s="20"/>
      <c r="L73" s="27">
        <v>28.92</v>
      </c>
      <c r="M73" s="20"/>
      <c r="N73" s="20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25" t="s">
        <v>11</v>
      </c>
      <c r="C75" s="20"/>
      <c r="D75" s="25" t="s">
        <v>55</v>
      </c>
      <c r="E75" s="20"/>
      <c r="F75" s="20"/>
      <c r="G75" s="2">
        <v>6231397</v>
      </c>
      <c r="H75" s="30">
        <v>45627</v>
      </c>
      <c r="I75" s="20"/>
      <c r="J75" s="20"/>
      <c r="K75" s="20"/>
      <c r="L75" s="27">
        <v>28.92</v>
      </c>
      <c r="M75" s="20"/>
      <c r="N75" s="20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25" t="s">
        <v>11</v>
      </c>
      <c r="C77" s="20"/>
      <c r="D77" s="25" t="s">
        <v>56</v>
      </c>
      <c r="E77" s="20"/>
      <c r="F77" s="20"/>
      <c r="G77" s="2">
        <v>6220305</v>
      </c>
      <c r="H77" s="30">
        <v>45658</v>
      </c>
      <c r="I77" s="20"/>
      <c r="J77" s="20"/>
      <c r="K77" s="20"/>
      <c r="L77" s="27">
        <v>28.92</v>
      </c>
      <c r="M77" s="20"/>
      <c r="N77" s="20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25" t="s">
        <v>11</v>
      </c>
      <c r="C79" s="20"/>
      <c r="D79" s="25" t="s">
        <v>57</v>
      </c>
      <c r="E79" s="20"/>
      <c r="F79" s="20"/>
      <c r="G79" s="2">
        <v>6209348</v>
      </c>
      <c r="H79" s="30">
        <v>45505</v>
      </c>
      <c r="I79" s="20"/>
      <c r="J79" s="20"/>
      <c r="K79" s="20"/>
      <c r="L79" s="27">
        <v>28.92</v>
      </c>
      <c r="M79" s="20"/>
      <c r="N79" s="20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25" t="s">
        <v>11</v>
      </c>
      <c r="C81" s="20"/>
      <c r="D81" s="25" t="s">
        <v>58</v>
      </c>
      <c r="E81" s="20"/>
      <c r="F81" s="20"/>
      <c r="G81" s="2">
        <v>6155654</v>
      </c>
      <c r="H81" s="30">
        <v>45658</v>
      </c>
      <c r="I81" s="20"/>
      <c r="J81" s="20"/>
      <c r="K81" s="20"/>
      <c r="L81" s="27">
        <v>28.92</v>
      </c>
      <c r="M81" s="20"/>
      <c r="N81" s="20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9" t="s">
        <v>59</v>
      </c>
      <c r="C83" s="20"/>
      <c r="D83" s="20"/>
      <c r="E83" s="20"/>
      <c r="F83" s="20"/>
      <c r="G83" s="1"/>
      <c r="H83" s="1"/>
      <c r="I83" s="1"/>
      <c r="J83" s="1"/>
      <c r="K83" s="1"/>
      <c r="L83" s="28">
        <v>636.24</v>
      </c>
      <c r="M83" s="20"/>
      <c r="N83" s="20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33" t="s">
        <v>60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>
      <c r="A85" s="1"/>
      <c r="B85" s="34" t="s">
        <v>1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3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35" t="s">
        <v>2</v>
      </c>
      <c r="C87" s="36"/>
      <c r="D87" s="35" t="s">
        <v>3</v>
      </c>
      <c r="E87" s="36"/>
      <c r="F87" s="36"/>
      <c r="G87" s="35" t="s">
        <v>4</v>
      </c>
      <c r="H87" s="35" t="s">
        <v>61</v>
      </c>
      <c r="I87" s="36"/>
      <c r="J87" s="36"/>
      <c r="K87" s="36"/>
      <c r="L87" s="35" t="s">
        <v>6</v>
      </c>
      <c r="M87" s="36"/>
      <c r="N87" s="35" t="s">
        <v>18</v>
      </c>
      <c r="O87" s="39"/>
      <c r="P87" s="1"/>
      <c r="Q87" s="35" t="s">
        <v>10</v>
      </c>
      <c r="R87" s="39"/>
      <c r="S87" s="1"/>
      <c r="T87" s="1"/>
      <c r="U87" s="1"/>
      <c r="V87" s="1"/>
    </row>
    <row r="88" spans="1:22">
      <c r="A88" s="1"/>
      <c r="B88" s="37"/>
      <c r="C88" s="38"/>
      <c r="D88" s="37"/>
      <c r="E88" s="38"/>
      <c r="F88" s="38"/>
      <c r="G88" s="37"/>
      <c r="H88" s="37"/>
      <c r="I88" s="38"/>
      <c r="J88" s="38"/>
      <c r="K88" s="38"/>
      <c r="L88" s="37"/>
      <c r="M88" s="38"/>
      <c r="N88" s="37"/>
      <c r="O88" s="40"/>
      <c r="P88" s="1"/>
      <c r="Q88" s="37"/>
      <c r="R88" s="40"/>
      <c r="S88" s="1"/>
      <c r="T88" s="1"/>
      <c r="U88" s="1"/>
      <c r="V88" s="1"/>
    </row>
    <row r="89" spans="1:22">
      <c r="A89" s="1"/>
      <c r="B89" s="25" t="s">
        <v>62</v>
      </c>
      <c r="C89" s="20"/>
      <c r="D89" s="25" t="s">
        <v>63</v>
      </c>
      <c r="E89" s="20"/>
      <c r="F89" s="20"/>
      <c r="G89" s="2" t="s">
        <v>64</v>
      </c>
      <c r="H89" s="29">
        <v>1</v>
      </c>
      <c r="I89" s="20"/>
      <c r="J89" s="20"/>
      <c r="K89" s="20"/>
      <c r="L89" s="26">
        <v>1</v>
      </c>
      <c r="M89" s="20"/>
      <c r="N89" s="27">
        <v>161.15</v>
      </c>
      <c r="O89" s="20"/>
      <c r="P89" s="1"/>
      <c r="Q89" s="27">
        <v>33.840000000000003</v>
      </c>
      <c r="R89" s="20"/>
      <c r="S89" s="1"/>
      <c r="T89" s="1"/>
      <c r="U89" s="1"/>
      <c r="V89" s="1"/>
    </row>
    <row r="90" spans="1:22">
      <c r="A90" s="1"/>
      <c r="B90" s="25" t="s">
        <v>35</v>
      </c>
      <c r="C90" s="20"/>
      <c r="D90" s="25" t="s">
        <v>65</v>
      </c>
      <c r="E90" s="20"/>
      <c r="F90" s="20"/>
      <c r="G90" s="2" t="s">
        <v>66</v>
      </c>
      <c r="H90" s="29">
        <v>1</v>
      </c>
      <c r="I90" s="20"/>
      <c r="J90" s="20"/>
      <c r="K90" s="20"/>
      <c r="L90" s="26">
        <v>1</v>
      </c>
      <c r="M90" s="20"/>
      <c r="N90" s="27">
        <v>203.92</v>
      </c>
      <c r="O90" s="20"/>
      <c r="P90" s="1"/>
      <c r="Q90" s="27">
        <v>42.82</v>
      </c>
      <c r="R90" s="20"/>
      <c r="S90" s="1"/>
      <c r="T90" s="1"/>
      <c r="U90" s="1"/>
      <c r="V90" s="1"/>
    </row>
    <row r="91" spans="1:22">
      <c r="A91" s="1"/>
      <c r="B91" s="25" t="s">
        <v>38</v>
      </c>
      <c r="C91" s="20"/>
      <c r="D91" s="25" t="s">
        <v>67</v>
      </c>
      <c r="E91" s="20"/>
      <c r="F91" s="20"/>
      <c r="G91" s="2" t="s">
        <v>68</v>
      </c>
      <c r="H91" s="29">
        <v>1</v>
      </c>
      <c r="I91" s="20"/>
      <c r="J91" s="20"/>
      <c r="K91" s="20"/>
      <c r="L91" s="26">
        <v>1</v>
      </c>
      <c r="M91" s="20"/>
      <c r="N91" s="27">
        <v>187.02</v>
      </c>
      <c r="O91" s="20"/>
      <c r="P91" s="1"/>
      <c r="Q91" s="27">
        <v>39.28</v>
      </c>
      <c r="R91" s="20"/>
      <c r="S91" s="1"/>
      <c r="T91" s="1"/>
      <c r="U91" s="1"/>
      <c r="V91" s="1"/>
    </row>
    <row r="92" spans="1:22">
      <c r="A92" s="1"/>
      <c r="B92" s="25" t="s">
        <v>38</v>
      </c>
      <c r="C92" s="20"/>
      <c r="D92" s="25" t="s">
        <v>69</v>
      </c>
      <c r="E92" s="20"/>
      <c r="F92" s="20"/>
      <c r="G92" s="2" t="s">
        <v>70</v>
      </c>
      <c r="H92" s="29">
        <v>1</v>
      </c>
      <c r="I92" s="20"/>
      <c r="J92" s="20"/>
      <c r="K92" s="20"/>
      <c r="L92" s="26">
        <v>1</v>
      </c>
      <c r="M92" s="20"/>
      <c r="N92" s="27">
        <v>201.3</v>
      </c>
      <c r="O92" s="20"/>
      <c r="P92" s="1"/>
      <c r="Q92" s="27">
        <v>42.27</v>
      </c>
      <c r="R92" s="20"/>
      <c r="S92" s="1"/>
      <c r="T92" s="1"/>
      <c r="U92" s="1"/>
      <c r="V92" s="1"/>
    </row>
    <row r="93" spans="1:22">
      <c r="A93" s="1"/>
      <c r="B93" s="25" t="s">
        <v>38</v>
      </c>
      <c r="C93" s="20"/>
      <c r="D93" s="25" t="s">
        <v>71</v>
      </c>
      <c r="E93" s="20"/>
      <c r="F93" s="20"/>
      <c r="G93" s="2" t="s">
        <v>72</v>
      </c>
      <c r="H93" s="29">
        <v>1</v>
      </c>
      <c r="I93" s="20"/>
      <c r="J93" s="20"/>
      <c r="K93" s="20"/>
      <c r="L93" s="26">
        <v>1</v>
      </c>
      <c r="M93" s="20"/>
      <c r="N93" s="27">
        <v>182.59</v>
      </c>
      <c r="O93" s="20"/>
      <c r="P93" s="1"/>
      <c r="Q93" s="27">
        <v>38.340000000000003</v>
      </c>
      <c r="R93" s="20"/>
      <c r="S93" s="1"/>
      <c r="T93" s="1"/>
      <c r="U93" s="1"/>
      <c r="V93" s="1"/>
    </row>
    <row r="94" spans="1:22">
      <c r="A94" s="1"/>
      <c r="B94" s="25" t="s">
        <v>38</v>
      </c>
      <c r="C94" s="20"/>
      <c r="D94" s="25" t="s">
        <v>73</v>
      </c>
      <c r="E94" s="20"/>
      <c r="F94" s="20"/>
      <c r="G94" s="2" t="s">
        <v>74</v>
      </c>
      <c r="H94" s="29">
        <v>1</v>
      </c>
      <c r="I94" s="20"/>
      <c r="J94" s="20"/>
      <c r="K94" s="20"/>
      <c r="L94" s="26">
        <v>1</v>
      </c>
      <c r="M94" s="20"/>
      <c r="N94" s="27">
        <v>172.99</v>
      </c>
      <c r="O94" s="20"/>
      <c r="P94" s="1"/>
      <c r="Q94" s="27">
        <v>36.33</v>
      </c>
      <c r="R94" s="20"/>
      <c r="S94" s="1"/>
      <c r="T94" s="1"/>
      <c r="U94" s="1"/>
      <c r="V94" s="1"/>
    </row>
    <row r="95" spans="1:22">
      <c r="A95" s="1"/>
      <c r="B95" s="25" t="s">
        <v>38</v>
      </c>
      <c r="C95" s="20"/>
      <c r="D95" s="25" t="s">
        <v>75</v>
      </c>
      <c r="E95" s="20"/>
      <c r="F95" s="20"/>
      <c r="G95" s="2" t="s">
        <v>76</v>
      </c>
      <c r="H95" s="29">
        <v>1</v>
      </c>
      <c r="I95" s="20"/>
      <c r="J95" s="20"/>
      <c r="K95" s="20"/>
      <c r="L95" s="26">
        <v>1</v>
      </c>
      <c r="M95" s="20"/>
      <c r="N95" s="27">
        <v>221.33</v>
      </c>
      <c r="O95" s="20"/>
      <c r="P95" s="1"/>
      <c r="Q95" s="27">
        <v>46.48</v>
      </c>
      <c r="R95" s="20"/>
      <c r="S95" s="1"/>
      <c r="T95" s="1"/>
      <c r="U95" s="1"/>
      <c r="V95" s="1"/>
    </row>
    <row r="96" spans="1:22">
      <c r="A96" s="1"/>
      <c r="B96" s="25" t="s">
        <v>38</v>
      </c>
      <c r="C96" s="20"/>
      <c r="D96" s="25" t="s">
        <v>77</v>
      </c>
      <c r="E96" s="20"/>
      <c r="F96" s="20"/>
      <c r="G96" s="2" t="s">
        <v>78</v>
      </c>
      <c r="H96" s="29">
        <v>1</v>
      </c>
      <c r="I96" s="20"/>
      <c r="J96" s="20"/>
      <c r="K96" s="20"/>
      <c r="L96" s="26">
        <v>1</v>
      </c>
      <c r="M96" s="20"/>
      <c r="N96" s="27">
        <v>157.30000000000001</v>
      </c>
      <c r="O96" s="20"/>
      <c r="P96" s="1"/>
      <c r="Q96" s="27">
        <v>33.03</v>
      </c>
      <c r="R96" s="20"/>
      <c r="S96" s="1"/>
      <c r="T96" s="1"/>
      <c r="U96" s="1"/>
      <c r="V96" s="1"/>
    </row>
    <row r="97" spans="1:22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41" t="s">
        <v>24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42" t="s">
        <v>25</v>
      </c>
      <c r="C100" s="20"/>
      <c r="D100" s="20"/>
      <c r="E100" s="20"/>
      <c r="F100" s="20"/>
      <c r="G100" s="20"/>
      <c r="H100" s="20"/>
      <c r="I100" s="20"/>
      <c r="J100" s="43" t="s">
        <v>26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33" t="s">
        <v>60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>
      <c r="A103" s="1"/>
      <c r="B103" s="34" t="s">
        <v>1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3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35" t="s">
        <v>2</v>
      </c>
      <c r="C105" s="36"/>
      <c r="D105" s="35" t="s">
        <v>3</v>
      </c>
      <c r="E105" s="36"/>
      <c r="F105" s="36"/>
      <c r="G105" s="35" t="s">
        <v>4</v>
      </c>
      <c r="H105" s="35" t="s">
        <v>61</v>
      </c>
      <c r="I105" s="36"/>
      <c r="J105" s="36"/>
      <c r="K105" s="36"/>
      <c r="L105" s="35" t="s">
        <v>6</v>
      </c>
      <c r="M105" s="36"/>
      <c r="N105" s="35" t="s">
        <v>18</v>
      </c>
      <c r="O105" s="39"/>
      <c r="P105" s="1"/>
      <c r="Q105" s="35" t="s">
        <v>10</v>
      </c>
      <c r="R105" s="39"/>
      <c r="S105" s="1"/>
      <c r="T105" s="1"/>
      <c r="U105" s="1"/>
      <c r="V105" s="1"/>
    </row>
    <row r="106" spans="1:22">
      <c r="A106" s="1"/>
      <c r="B106" s="37"/>
      <c r="C106" s="38"/>
      <c r="D106" s="37"/>
      <c r="E106" s="38"/>
      <c r="F106" s="38"/>
      <c r="G106" s="37"/>
      <c r="H106" s="37"/>
      <c r="I106" s="38"/>
      <c r="J106" s="38"/>
      <c r="K106" s="38"/>
      <c r="L106" s="37"/>
      <c r="M106" s="38"/>
      <c r="N106" s="37"/>
      <c r="O106" s="40"/>
      <c r="P106" s="1"/>
      <c r="Q106" s="37"/>
      <c r="R106" s="40"/>
      <c r="S106" s="1"/>
      <c r="T106" s="1"/>
      <c r="U106" s="1"/>
      <c r="V106" s="1"/>
    </row>
    <row r="107" spans="1:22">
      <c r="A107" s="1"/>
      <c r="B107" s="25" t="s">
        <v>38</v>
      </c>
      <c r="C107" s="20"/>
      <c r="D107" s="25" t="s">
        <v>79</v>
      </c>
      <c r="E107" s="20"/>
      <c r="F107" s="20"/>
      <c r="G107" s="2" t="s">
        <v>80</v>
      </c>
      <c r="H107" s="29">
        <v>1</v>
      </c>
      <c r="I107" s="20"/>
      <c r="J107" s="20"/>
      <c r="K107" s="20"/>
      <c r="L107" s="26">
        <v>1</v>
      </c>
      <c r="M107" s="20"/>
      <c r="N107" s="27">
        <v>145.5</v>
      </c>
      <c r="O107" s="20"/>
      <c r="P107" s="1"/>
      <c r="Q107" s="27">
        <v>30.56</v>
      </c>
      <c r="R107" s="20"/>
      <c r="S107" s="1"/>
      <c r="T107" s="1"/>
      <c r="U107" s="1"/>
      <c r="V107" s="1"/>
    </row>
    <row r="108" spans="1:22">
      <c r="A108" s="1"/>
      <c r="B108" s="25" t="s">
        <v>38</v>
      </c>
      <c r="C108" s="20"/>
      <c r="D108" s="25" t="s">
        <v>81</v>
      </c>
      <c r="E108" s="20"/>
      <c r="F108" s="20"/>
      <c r="G108" s="2" t="s">
        <v>82</v>
      </c>
      <c r="H108" s="29">
        <v>1</v>
      </c>
      <c r="I108" s="20"/>
      <c r="J108" s="20"/>
      <c r="K108" s="20"/>
      <c r="L108" s="26">
        <v>1</v>
      </c>
      <c r="M108" s="20"/>
      <c r="N108" s="27">
        <v>145.5</v>
      </c>
      <c r="O108" s="20"/>
      <c r="P108" s="1"/>
      <c r="Q108" s="27">
        <v>30.56</v>
      </c>
      <c r="R108" s="20"/>
      <c r="S108" s="1"/>
      <c r="T108" s="1"/>
      <c r="U108" s="1"/>
      <c r="V108" s="1"/>
    </row>
    <row r="109" spans="1:22">
      <c r="A109" s="1"/>
      <c r="B109" s="25" t="s">
        <v>38</v>
      </c>
      <c r="C109" s="20"/>
      <c r="D109" s="25" t="s">
        <v>83</v>
      </c>
      <c r="E109" s="20"/>
      <c r="F109" s="20"/>
      <c r="G109" s="2" t="s">
        <v>84</v>
      </c>
      <c r="H109" s="29">
        <v>1</v>
      </c>
      <c r="I109" s="20"/>
      <c r="J109" s="20"/>
      <c r="K109" s="20"/>
      <c r="L109" s="26">
        <v>1</v>
      </c>
      <c r="M109" s="20"/>
      <c r="N109" s="27">
        <v>157.30000000000001</v>
      </c>
      <c r="O109" s="20"/>
      <c r="P109" s="1"/>
      <c r="Q109" s="27">
        <v>33.03</v>
      </c>
      <c r="R109" s="20"/>
      <c r="S109" s="1"/>
      <c r="T109" s="1"/>
      <c r="U109" s="1"/>
      <c r="V109" s="1"/>
    </row>
    <row r="110" spans="1:22">
      <c r="A110" s="1"/>
      <c r="B110" s="25" t="s">
        <v>38</v>
      </c>
      <c r="C110" s="20"/>
      <c r="D110" s="25" t="s">
        <v>85</v>
      </c>
      <c r="E110" s="20"/>
      <c r="F110" s="20"/>
      <c r="G110" s="2" t="s">
        <v>86</v>
      </c>
      <c r="H110" s="29">
        <v>1</v>
      </c>
      <c r="I110" s="20"/>
      <c r="J110" s="20"/>
      <c r="K110" s="20"/>
      <c r="L110" s="26">
        <v>1</v>
      </c>
      <c r="M110" s="20"/>
      <c r="N110" s="27">
        <v>157.30000000000001</v>
      </c>
      <c r="O110" s="20"/>
      <c r="P110" s="1"/>
      <c r="Q110" s="27">
        <v>33.03</v>
      </c>
      <c r="R110" s="20"/>
      <c r="S110" s="1"/>
      <c r="T110" s="1"/>
      <c r="U110" s="1"/>
      <c r="V110" s="1"/>
    </row>
    <row r="111" spans="1:22">
      <c r="A111" s="1"/>
      <c r="B111" s="25" t="s">
        <v>38</v>
      </c>
      <c r="C111" s="20"/>
      <c r="D111" s="25" t="s">
        <v>87</v>
      </c>
      <c r="E111" s="20"/>
      <c r="F111" s="20"/>
      <c r="G111" s="2" t="s">
        <v>88</v>
      </c>
      <c r="H111" s="29">
        <v>1</v>
      </c>
      <c r="I111" s="20"/>
      <c r="J111" s="20"/>
      <c r="K111" s="20"/>
      <c r="L111" s="26">
        <v>1</v>
      </c>
      <c r="M111" s="20"/>
      <c r="N111" s="27">
        <v>236.17</v>
      </c>
      <c r="O111" s="20"/>
      <c r="P111" s="1"/>
      <c r="Q111" s="27">
        <v>49.6</v>
      </c>
      <c r="R111" s="20"/>
      <c r="S111" s="1"/>
      <c r="T111" s="1"/>
      <c r="U111" s="1"/>
      <c r="V111" s="1"/>
    </row>
    <row r="112" spans="1:22">
      <c r="A112" s="1"/>
      <c r="B112" s="25" t="s">
        <v>11</v>
      </c>
      <c r="C112" s="20"/>
      <c r="D112" s="25" t="s">
        <v>89</v>
      </c>
      <c r="E112" s="20"/>
      <c r="F112" s="20"/>
      <c r="G112" s="2" t="s">
        <v>90</v>
      </c>
      <c r="H112" s="29">
        <v>1</v>
      </c>
      <c r="I112" s="20"/>
      <c r="J112" s="20"/>
      <c r="K112" s="20"/>
      <c r="L112" s="26">
        <v>1</v>
      </c>
      <c r="M112" s="20"/>
      <c r="N112" s="27">
        <v>145.5</v>
      </c>
      <c r="O112" s="20"/>
      <c r="P112" s="1"/>
      <c r="Q112" s="27">
        <v>30.56</v>
      </c>
      <c r="R112" s="20"/>
      <c r="S112" s="1"/>
      <c r="T112" s="1"/>
      <c r="U112" s="1"/>
      <c r="V112" s="1"/>
    </row>
    <row r="113" spans="1:22">
      <c r="A113" s="1"/>
      <c r="B113" s="25" t="s">
        <v>11</v>
      </c>
      <c r="C113" s="20"/>
      <c r="D113" s="25" t="s">
        <v>91</v>
      </c>
      <c r="E113" s="20"/>
      <c r="F113" s="20"/>
      <c r="G113" s="2" t="s">
        <v>92</v>
      </c>
      <c r="H113" s="29">
        <v>1</v>
      </c>
      <c r="I113" s="20"/>
      <c r="J113" s="20"/>
      <c r="K113" s="20"/>
      <c r="L113" s="26">
        <v>1</v>
      </c>
      <c r="M113" s="20"/>
      <c r="N113" s="27">
        <v>157.30000000000001</v>
      </c>
      <c r="O113" s="20"/>
      <c r="P113" s="1"/>
      <c r="Q113" s="27">
        <v>33.03</v>
      </c>
      <c r="R113" s="20"/>
      <c r="S113" s="1"/>
      <c r="T113" s="1"/>
      <c r="U113" s="1"/>
      <c r="V113" s="1"/>
    </row>
    <row r="114" spans="1:22">
      <c r="A114" s="1"/>
      <c r="B114" s="19" t="s">
        <v>93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8">
        <v>2632.18</v>
      </c>
      <c r="O114" s="20"/>
      <c r="P114" s="1"/>
      <c r="Q114" s="28">
        <v>552.76</v>
      </c>
      <c r="R114" s="20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21" t="s">
        <v>23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3"/>
      <c r="U116" s="24">
        <v>1189</v>
      </c>
      <c r="V116" s="23"/>
    </row>
  </sheetData>
  <mergeCells count="268">
    <mergeCell ref="B73:C73"/>
    <mergeCell ref="D73:F73"/>
    <mergeCell ref="H73:K73"/>
    <mergeCell ref="L73:N73"/>
    <mergeCell ref="B75:C75"/>
    <mergeCell ref="L75:N75"/>
    <mergeCell ref="D75:F75"/>
    <mergeCell ref="H75:K75"/>
    <mergeCell ref="B77:C77"/>
    <mergeCell ref="D77:F77"/>
    <mergeCell ref="H77:K77"/>
    <mergeCell ref="L77:N77"/>
    <mergeCell ref="B79:C79"/>
    <mergeCell ref="L87:M88"/>
    <mergeCell ref="N87:O88"/>
    <mergeCell ref="L89:M89"/>
    <mergeCell ref="N89:O89"/>
    <mergeCell ref="Q89:R89"/>
    <mergeCell ref="L90:M90"/>
    <mergeCell ref="N90:O90"/>
    <mergeCell ref="Q90:R90"/>
    <mergeCell ref="L79:N79"/>
    <mergeCell ref="B84:V84"/>
    <mergeCell ref="B85:V85"/>
    <mergeCell ref="D87:F88"/>
    <mergeCell ref="G87:G88"/>
    <mergeCell ref="H87:K88"/>
    <mergeCell ref="Q87:R88"/>
    <mergeCell ref="B87:C88"/>
    <mergeCell ref="B89:C89"/>
    <mergeCell ref="D89:F89"/>
    <mergeCell ref="H89:K89"/>
    <mergeCell ref="B90:C90"/>
    <mergeCell ref="D90:F90"/>
    <mergeCell ref="H90:K90"/>
    <mergeCell ref="B83:F83"/>
    <mergeCell ref="L83:N83"/>
    <mergeCell ref="N94:O94"/>
    <mergeCell ref="Q94:R94"/>
    <mergeCell ref="D95:F95"/>
    <mergeCell ref="Q95:R95"/>
    <mergeCell ref="L92:M92"/>
    <mergeCell ref="N92:O92"/>
    <mergeCell ref="B92:C92"/>
    <mergeCell ref="B93:C93"/>
    <mergeCell ref="D93:F93"/>
    <mergeCell ref="H93:K93"/>
    <mergeCell ref="L93:M93"/>
    <mergeCell ref="N93:O93"/>
    <mergeCell ref="Q93:R93"/>
    <mergeCell ref="B96:C96"/>
    <mergeCell ref="D96:F96"/>
    <mergeCell ref="B100:I100"/>
    <mergeCell ref="H94:K94"/>
    <mergeCell ref="H95:K95"/>
    <mergeCell ref="H96:K96"/>
    <mergeCell ref="B94:C94"/>
    <mergeCell ref="D94:F94"/>
    <mergeCell ref="L94:M94"/>
    <mergeCell ref="N105:O106"/>
    <mergeCell ref="Q105:R106"/>
    <mergeCell ref="B107:C107"/>
    <mergeCell ref="D107:F107"/>
    <mergeCell ref="H107:K107"/>
    <mergeCell ref="L107:M107"/>
    <mergeCell ref="N107:O107"/>
    <mergeCell ref="Q107:R107"/>
    <mergeCell ref="B105:C106"/>
    <mergeCell ref="D105:F106"/>
    <mergeCell ref="G105:G106"/>
    <mergeCell ref="N4:O5"/>
    <mergeCell ref="Q4:R5"/>
    <mergeCell ref="Q8:R8"/>
    <mergeCell ref="Q9:R9"/>
    <mergeCell ref="S4:T5"/>
    <mergeCell ref="U4:V5"/>
    <mergeCell ref="U8:V8"/>
    <mergeCell ref="U9:V9"/>
    <mergeCell ref="B1:V1"/>
    <mergeCell ref="B2:V2"/>
    <mergeCell ref="B4:C5"/>
    <mergeCell ref="D4:F5"/>
    <mergeCell ref="G4:G5"/>
    <mergeCell ref="H4:K5"/>
    <mergeCell ref="L4:M5"/>
    <mergeCell ref="B6:C6"/>
    <mergeCell ref="D6:F6"/>
    <mergeCell ref="L6:M6"/>
    <mergeCell ref="N6:O6"/>
    <mergeCell ref="Q6:R6"/>
    <mergeCell ref="S6:T6"/>
    <mergeCell ref="U6:V6"/>
    <mergeCell ref="I14:L15"/>
    <mergeCell ref="M14:O15"/>
    <mergeCell ref="P14:Q15"/>
    <mergeCell ref="R14:T15"/>
    <mergeCell ref="Q18:R18"/>
    <mergeCell ref="H6:K6"/>
    <mergeCell ref="B9:P9"/>
    <mergeCell ref="B11:V11"/>
    <mergeCell ref="B12:V12"/>
    <mergeCell ref="B14:C15"/>
    <mergeCell ref="D14:F15"/>
    <mergeCell ref="G14:G15"/>
    <mergeCell ref="N19:O19"/>
    <mergeCell ref="Q19:R19"/>
    <mergeCell ref="B17:C17"/>
    <mergeCell ref="D17:F17"/>
    <mergeCell ref="H17:K17"/>
    <mergeCell ref="L17:M17"/>
    <mergeCell ref="N17:O17"/>
    <mergeCell ref="Q17:R17"/>
    <mergeCell ref="B19:J19"/>
    <mergeCell ref="B21:T21"/>
    <mergeCell ref="U21:V21"/>
    <mergeCell ref="J24:U24"/>
    <mergeCell ref="B26:I26"/>
    <mergeCell ref="J26:U26"/>
    <mergeCell ref="E27:H27"/>
    <mergeCell ref="I28:L28"/>
    <mergeCell ref="E28:H28"/>
    <mergeCell ref="E29:H29"/>
    <mergeCell ref="I29:L29"/>
    <mergeCell ref="E31:H31"/>
    <mergeCell ref="I31:L31"/>
    <mergeCell ref="B33:V33"/>
    <mergeCell ref="B34:V34"/>
    <mergeCell ref="H39:K39"/>
    <mergeCell ref="L39:N39"/>
    <mergeCell ref="B36:C37"/>
    <mergeCell ref="D36:F37"/>
    <mergeCell ref="G36:G37"/>
    <mergeCell ref="H36:K37"/>
    <mergeCell ref="L36:N37"/>
    <mergeCell ref="B39:C39"/>
    <mergeCell ref="D39:F39"/>
    <mergeCell ref="H47:K47"/>
    <mergeCell ref="L47:N47"/>
    <mergeCell ref="B57:C57"/>
    <mergeCell ref="D57:F57"/>
    <mergeCell ref="H57:K57"/>
    <mergeCell ref="L57:N57"/>
    <mergeCell ref="D59:F59"/>
    <mergeCell ref="H59:K59"/>
    <mergeCell ref="L59:N59"/>
    <mergeCell ref="B59:C59"/>
    <mergeCell ref="B47:C47"/>
    <mergeCell ref="D47:F47"/>
    <mergeCell ref="B49:C49"/>
    <mergeCell ref="D49:F49"/>
    <mergeCell ref="H49:K49"/>
    <mergeCell ref="L49:N49"/>
    <mergeCell ref="D51:F51"/>
    <mergeCell ref="H51:K51"/>
    <mergeCell ref="L51:N51"/>
    <mergeCell ref="H55:K55"/>
    <mergeCell ref="L55:N55"/>
    <mergeCell ref="B51:C51"/>
    <mergeCell ref="B53:C53"/>
    <mergeCell ref="D53:F53"/>
    <mergeCell ref="B71:C71"/>
    <mergeCell ref="D71:F71"/>
    <mergeCell ref="B61:C61"/>
    <mergeCell ref="D61:F61"/>
    <mergeCell ref="H61:K61"/>
    <mergeCell ref="L61:N61"/>
    <mergeCell ref="B63:C63"/>
    <mergeCell ref="D63:F63"/>
    <mergeCell ref="B65:C65"/>
    <mergeCell ref="D65:F65"/>
    <mergeCell ref="H65:K65"/>
    <mergeCell ref="L65:N65"/>
    <mergeCell ref="H71:K71"/>
    <mergeCell ref="L71:N71"/>
    <mergeCell ref="B41:C41"/>
    <mergeCell ref="D41:F41"/>
    <mergeCell ref="H41:K41"/>
    <mergeCell ref="L41:N41"/>
    <mergeCell ref="D43:F43"/>
    <mergeCell ref="H43:K43"/>
    <mergeCell ref="L43:N43"/>
    <mergeCell ref="B43:C43"/>
    <mergeCell ref="B45:C45"/>
    <mergeCell ref="D45:F45"/>
    <mergeCell ref="H45:K45"/>
    <mergeCell ref="L45:N45"/>
    <mergeCell ref="N91:O91"/>
    <mergeCell ref="Q91:R91"/>
    <mergeCell ref="D92:F92"/>
    <mergeCell ref="Q92:R92"/>
    <mergeCell ref="H53:K53"/>
    <mergeCell ref="L53:N53"/>
    <mergeCell ref="B55:C55"/>
    <mergeCell ref="D55:F55"/>
    <mergeCell ref="H63:K63"/>
    <mergeCell ref="L63:N63"/>
    <mergeCell ref="D79:F79"/>
    <mergeCell ref="H79:K79"/>
    <mergeCell ref="B81:C81"/>
    <mergeCell ref="D81:F81"/>
    <mergeCell ref="H81:K81"/>
    <mergeCell ref="L81:N81"/>
    <mergeCell ref="D67:F67"/>
    <mergeCell ref="H67:K67"/>
    <mergeCell ref="L67:N67"/>
    <mergeCell ref="B67:C67"/>
    <mergeCell ref="B69:C69"/>
    <mergeCell ref="D69:F69"/>
    <mergeCell ref="H69:K69"/>
    <mergeCell ref="L69:N69"/>
    <mergeCell ref="B108:C108"/>
    <mergeCell ref="D108:F108"/>
    <mergeCell ref="L108:M108"/>
    <mergeCell ref="B109:C109"/>
    <mergeCell ref="B110:C110"/>
    <mergeCell ref="B111:C111"/>
    <mergeCell ref="B112:C112"/>
    <mergeCell ref="H91:K91"/>
    <mergeCell ref="H92:K92"/>
    <mergeCell ref="B91:C91"/>
    <mergeCell ref="D91:F91"/>
    <mergeCell ref="L91:M91"/>
    <mergeCell ref="H105:K106"/>
    <mergeCell ref="L105:M106"/>
    <mergeCell ref="B102:V102"/>
    <mergeCell ref="B103:V103"/>
    <mergeCell ref="L95:M95"/>
    <mergeCell ref="N95:O95"/>
    <mergeCell ref="L96:M96"/>
    <mergeCell ref="N96:O96"/>
    <mergeCell ref="Q96:R96"/>
    <mergeCell ref="J98:U98"/>
    <mergeCell ref="J100:U100"/>
    <mergeCell ref="B95:C95"/>
    <mergeCell ref="N108:O108"/>
    <mergeCell ref="Q108:R108"/>
    <mergeCell ref="D109:F109"/>
    <mergeCell ref="Q109:R109"/>
    <mergeCell ref="L111:M111"/>
    <mergeCell ref="L112:M112"/>
    <mergeCell ref="N112:O112"/>
    <mergeCell ref="Q112:R112"/>
    <mergeCell ref="L109:M109"/>
    <mergeCell ref="N109:O109"/>
    <mergeCell ref="L110:M110"/>
    <mergeCell ref="N110:O110"/>
    <mergeCell ref="Q110:R110"/>
    <mergeCell ref="N111:O111"/>
    <mergeCell ref="Q111:R111"/>
    <mergeCell ref="D110:F110"/>
    <mergeCell ref="D111:F111"/>
    <mergeCell ref="D112:F112"/>
    <mergeCell ref="H108:K108"/>
    <mergeCell ref="H109:K109"/>
    <mergeCell ref="H110:K110"/>
    <mergeCell ref="H111:K111"/>
    <mergeCell ref="H112:K112"/>
    <mergeCell ref="B114:M114"/>
    <mergeCell ref="B116:T116"/>
    <mergeCell ref="U116:V116"/>
    <mergeCell ref="B113:C113"/>
    <mergeCell ref="D113:F113"/>
    <mergeCell ref="L113:M113"/>
    <mergeCell ref="N113:O113"/>
    <mergeCell ref="Q113:R113"/>
    <mergeCell ref="N114:O114"/>
    <mergeCell ref="Q114:R114"/>
    <mergeCell ref="H113:K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AB9F-1BC4-41CC-B660-D2DC42142B88}">
  <dimension ref="A1:W50"/>
  <sheetViews>
    <sheetView topLeftCell="A27" workbookViewId="0">
      <selection activeCell="O6" sqref="O6:O27"/>
    </sheetView>
  </sheetViews>
  <sheetFormatPr defaultColWidth="12.5703125" defaultRowHeight="12.75"/>
  <cols>
    <col min="1" max="16384" width="12.5703125" style="6"/>
  </cols>
  <sheetData>
    <row r="1" spans="1:23">
      <c r="A1" s="5" t="s">
        <v>2</v>
      </c>
      <c r="B1" s="4"/>
      <c r="C1" s="5" t="s">
        <v>3</v>
      </c>
      <c r="D1" s="4"/>
      <c r="E1" s="4"/>
      <c r="F1" s="5" t="s">
        <v>4</v>
      </c>
      <c r="G1" s="5"/>
      <c r="H1" s="5" t="s">
        <v>5</v>
      </c>
      <c r="I1" s="5"/>
      <c r="J1" s="4"/>
      <c r="K1" s="4"/>
      <c r="L1" s="4"/>
      <c r="M1" s="5" t="s">
        <v>6</v>
      </c>
      <c r="N1" s="4"/>
      <c r="O1" s="5" t="s">
        <v>7</v>
      </c>
      <c r="P1" s="4"/>
      <c r="Q1" s="5"/>
      <c r="R1" s="5" t="s">
        <v>8</v>
      </c>
      <c r="S1" s="4"/>
      <c r="T1" s="5" t="s">
        <v>9</v>
      </c>
      <c r="U1" s="4"/>
      <c r="V1" s="5" t="s">
        <v>10</v>
      </c>
      <c r="W1" s="4"/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4"/>
      <c r="S2" s="4"/>
      <c r="T2" s="4"/>
      <c r="U2" s="4"/>
      <c r="V2" s="4"/>
      <c r="W2" s="4"/>
    </row>
    <row r="3" spans="1:23" s="8" customFormat="1">
      <c r="A3" s="7" t="s">
        <v>11</v>
      </c>
      <c r="C3" s="7" t="s">
        <v>12</v>
      </c>
      <c r="F3" s="7" t="s">
        <v>13</v>
      </c>
      <c r="G3" s="7"/>
      <c r="H3" s="7" t="s">
        <v>14</v>
      </c>
      <c r="I3" s="7"/>
      <c r="M3" s="9">
        <v>1</v>
      </c>
      <c r="O3" s="7">
        <v>1</v>
      </c>
      <c r="Q3" s="10"/>
      <c r="R3" s="11">
        <v>37.64</v>
      </c>
      <c r="T3" s="9">
        <v>0.11</v>
      </c>
      <c r="V3" s="11">
        <v>4.1399999999999997</v>
      </c>
    </row>
    <row r="5" spans="1:23">
      <c r="A5" s="5" t="s">
        <v>2</v>
      </c>
      <c r="B5" s="4"/>
      <c r="C5" s="5" t="s">
        <v>32</v>
      </c>
      <c r="D5" s="4"/>
      <c r="E5" s="4"/>
      <c r="F5" s="5" t="s">
        <v>33</v>
      </c>
      <c r="G5" s="5"/>
      <c r="H5" s="5" t="s">
        <v>34</v>
      </c>
      <c r="I5" s="5"/>
      <c r="J5" s="4"/>
      <c r="K5" s="4"/>
      <c r="L5" s="4"/>
      <c r="M5" s="5" t="s">
        <v>10</v>
      </c>
      <c r="N5" s="4"/>
      <c r="O5" s="4"/>
      <c r="P5" s="5"/>
      <c r="Q5" s="5"/>
      <c r="R5" s="5"/>
      <c r="S5" s="5"/>
      <c r="T5" s="5"/>
      <c r="U5" s="5"/>
      <c r="V5" s="5"/>
      <c r="W5" s="5"/>
    </row>
    <row r="6" spans="1:23">
      <c r="A6" s="12" t="s">
        <v>35</v>
      </c>
      <c r="B6" s="6">
        <v>19219478</v>
      </c>
      <c r="C6" s="12" t="s">
        <v>36</v>
      </c>
      <c r="F6" s="12">
        <v>6277111</v>
      </c>
      <c r="G6" s="12" t="str">
        <f>CONCATENATE(F6,1)</f>
        <v>62771111</v>
      </c>
      <c r="H6" s="13">
        <v>45992</v>
      </c>
      <c r="I6" s="13">
        <v>46143</v>
      </c>
      <c r="J6" s="6">
        <v>1</v>
      </c>
      <c r="M6" s="14">
        <v>28.92</v>
      </c>
      <c r="N6" s="6" t="s">
        <v>96</v>
      </c>
      <c r="O6" s="6" t="s">
        <v>97</v>
      </c>
      <c r="P6" s="5"/>
      <c r="Q6" s="5"/>
      <c r="R6" s="5"/>
      <c r="S6" s="5"/>
      <c r="T6" s="5"/>
      <c r="U6" s="5"/>
      <c r="V6" s="5"/>
      <c r="W6" s="5"/>
    </row>
    <row r="7" spans="1:23">
      <c r="A7" s="12" t="s">
        <v>35</v>
      </c>
      <c r="B7" s="6">
        <v>19219478</v>
      </c>
      <c r="C7" s="12" t="s">
        <v>37</v>
      </c>
      <c r="F7" s="12">
        <v>6236016</v>
      </c>
      <c r="G7" s="12" t="str">
        <f t="shared" ref="G7:G27" si="0">CONCATENATE(F7,1)</f>
        <v>62360161</v>
      </c>
      <c r="H7" s="13">
        <v>45658</v>
      </c>
      <c r="I7" s="13">
        <v>46143</v>
      </c>
      <c r="J7" s="6">
        <v>1</v>
      </c>
      <c r="M7" s="14">
        <v>28.92</v>
      </c>
      <c r="N7" s="6" t="s">
        <v>96</v>
      </c>
      <c r="O7" s="6" t="s">
        <v>97</v>
      </c>
      <c r="P7" s="5"/>
      <c r="Q7" s="5"/>
      <c r="R7" s="5"/>
      <c r="S7" s="5"/>
      <c r="T7" s="5"/>
      <c r="U7" s="5"/>
      <c r="V7" s="5"/>
      <c r="W7" s="5"/>
    </row>
    <row r="8" spans="1:23">
      <c r="A8" s="12" t="s">
        <v>38</v>
      </c>
      <c r="B8" s="6">
        <v>16170994</v>
      </c>
      <c r="C8" s="12" t="s">
        <v>39</v>
      </c>
      <c r="F8" s="12">
        <v>6220011</v>
      </c>
      <c r="G8" s="12" t="str">
        <f t="shared" si="0"/>
        <v>62200111</v>
      </c>
      <c r="H8" s="13">
        <v>45658</v>
      </c>
      <c r="I8" s="13">
        <v>46143</v>
      </c>
      <c r="J8" s="6">
        <v>1</v>
      </c>
      <c r="M8" s="14">
        <v>28.92</v>
      </c>
      <c r="N8" s="6" t="s">
        <v>96</v>
      </c>
      <c r="O8" s="6" t="s">
        <v>97</v>
      </c>
      <c r="P8" s="5"/>
      <c r="Q8" s="5"/>
      <c r="R8" s="5"/>
      <c r="S8" s="5"/>
      <c r="T8" s="5"/>
      <c r="U8" s="5"/>
      <c r="V8" s="5"/>
      <c r="W8" s="5"/>
    </row>
    <row r="9" spans="1:23">
      <c r="A9" s="12" t="s">
        <v>38</v>
      </c>
      <c r="B9" s="6">
        <v>16170994</v>
      </c>
      <c r="C9" s="12" t="s">
        <v>40</v>
      </c>
      <c r="F9" s="12">
        <v>6224756</v>
      </c>
      <c r="G9" s="12" t="str">
        <f t="shared" si="0"/>
        <v>62247561</v>
      </c>
      <c r="H9" s="13">
        <v>45658</v>
      </c>
      <c r="I9" s="13">
        <v>46143</v>
      </c>
      <c r="J9" s="6">
        <v>1</v>
      </c>
      <c r="M9" s="14">
        <v>28.92</v>
      </c>
      <c r="N9" s="6" t="s">
        <v>96</v>
      </c>
      <c r="O9" s="6" t="s">
        <v>97</v>
      </c>
      <c r="P9" s="5"/>
      <c r="Q9" s="5"/>
      <c r="R9" s="5"/>
      <c r="S9" s="5"/>
      <c r="T9" s="5"/>
      <c r="U9" s="5"/>
      <c r="V9" s="5"/>
      <c r="W9" s="5"/>
    </row>
    <row r="10" spans="1:23">
      <c r="A10" s="12" t="s">
        <v>11</v>
      </c>
      <c r="B10" s="6">
        <v>19491313</v>
      </c>
      <c r="C10" s="12" t="s">
        <v>41</v>
      </c>
      <c r="F10" s="12">
        <v>6213383</v>
      </c>
      <c r="G10" s="12" t="str">
        <f t="shared" si="0"/>
        <v>62133831</v>
      </c>
      <c r="H10" s="13">
        <v>45658</v>
      </c>
      <c r="I10" s="13">
        <v>46143</v>
      </c>
      <c r="J10" s="6">
        <v>1</v>
      </c>
      <c r="M10" s="14">
        <v>28.92</v>
      </c>
      <c r="N10" s="6" t="s">
        <v>96</v>
      </c>
      <c r="O10" s="6" t="s">
        <v>97</v>
      </c>
      <c r="P10" s="5"/>
      <c r="Q10" s="5"/>
      <c r="R10" s="5"/>
      <c r="S10" s="5"/>
      <c r="T10" s="5"/>
      <c r="U10" s="5"/>
      <c r="V10" s="5"/>
      <c r="W10" s="5"/>
    </row>
    <row r="11" spans="1:23">
      <c r="A11" s="12" t="s">
        <v>11</v>
      </c>
      <c r="B11" s="6">
        <v>19491313</v>
      </c>
      <c r="C11" s="12" t="s">
        <v>42</v>
      </c>
      <c r="F11" s="12">
        <v>6210817</v>
      </c>
      <c r="G11" s="12" t="str">
        <f t="shared" si="0"/>
        <v>62108171</v>
      </c>
      <c r="H11" s="13">
        <v>45627</v>
      </c>
      <c r="I11" s="13">
        <v>46143</v>
      </c>
      <c r="J11" s="6">
        <v>1</v>
      </c>
      <c r="M11" s="14">
        <v>28.92</v>
      </c>
      <c r="N11" s="6" t="s">
        <v>96</v>
      </c>
      <c r="O11" s="6" t="s">
        <v>97</v>
      </c>
      <c r="P11" s="5"/>
      <c r="Q11" s="5"/>
      <c r="R11" s="5"/>
      <c r="S11" s="5"/>
      <c r="T11" s="5"/>
      <c r="U11" s="5"/>
      <c r="V11" s="5"/>
      <c r="W11" s="5"/>
    </row>
    <row r="12" spans="1:23">
      <c r="A12" s="12" t="s">
        <v>11</v>
      </c>
      <c r="B12" s="6">
        <v>19491313</v>
      </c>
      <c r="C12" s="12" t="s">
        <v>43</v>
      </c>
      <c r="F12" s="12">
        <v>6218056</v>
      </c>
      <c r="G12" s="12" t="str">
        <f t="shared" si="0"/>
        <v>62180561</v>
      </c>
      <c r="H12" s="13">
        <v>45658</v>
      </c>
      <c r="I12" s="13">
        <v>46143</v>
      </c>
      <c r="J12" s="6">
        <v>1</v>
      </c>
      <c r="M12" s="14">
        <v>28.92</v>
      </c>
      <c r="N12" s="6" t="s">
        <v>96</v>
      </c>
      <c r="O12" s="6" t="s">
        <v>97</v>
      </c>
      <c r="P12" s="5"/>
      <c r="Q12" s="5"/>
      <c r="R12" s="5"/>
      <c r="S12" s="5"/>
      <c r="T12" s="5"/>
      <c r="U12" s="5"/>
      <c r="V12" s="5"/>
      <c r="W12" s="5"/>
    </row>
    <row r="13" spans="1:23">
      <c r="A13" s="12" t="s">
        <v>11</v>
      </c>
      <c r="B13" s="6">
        <v>19491313</v>
      </c>
      <c r="C13" s="12" t="s">
        <v>44</v>
      </c>
      <c r="F13" s="12">
        <v>6212568</v>
      </c>
      <c r="G13" s="12" t="str">
        <f t="shared" si="0"/>
        <v>62125681</v>
      </c>
      <c r="H13" s="13">
        <v>45658</v>
      </c>
      <c r="I13" s="13">
        <v>46143</v>
      </c>
      <c r="J13" s="6">
        <v>1</v>
      </c>
      <c r="M13" s="14">
        <v>28.92</v>
      </c>
      <c r="N13" s="6" t="s">
        <v>96</v>
      </c>
      <c r="O13" s="6" t="s">
        <v>97</v>
      </c>
      <c r="P13" s="5"/>
      <c r="Q13" s="5"/>
      <c r="R13" s="5"/>
      <c r="S13" s="5"/>
      <c r="T13" s="5"/>
      <c r="U13" s="5"/>
      <c r="V13" s="5"/>
      <c r="W13" s="5"/>
    </row>
    <row r="14" spans="1:23">
      <c r="A14" s="12" t="s">
        <v>11</v>
      </c>
      <c r="B14" s="6">
        <v>19491313</v>
      </c>
      <c r="C14" s="12" t="s">
        <v>45</v>
      </c>
      <c r="F14" s="12">
        <v>6215141</v>
      </c>
      <c r="G14" s="12" t="str">
        <f t="shared" si="0"/>
        <v>62151411</v>
      </c>
      <c r="H14" s="13">
        <v>45658</v>
      </c>
      <c r="I14" s="13">
        <v>46143</v>
      </c>
      <c r="J14" s="6">
        <v>1</v>
      </c>
      <c r="M14" s="14">
        <v>28.92</v>
      </c>
      <c r="N14" s="6" t="s">
        <v>96</v>
      </c>
      <c r="O14" s="6" t="s">
        <v>97</v>
      </c>
      <c r="P14" s="5"/>
      <c r="Q14" s="5"/>
      <c r="R14" s="5"/>
      <c r="S14" s="5"/>
      <c r="T14" s="5"/>
      <c r="U14" s="5"/>
      <c r="V14" s="5"/>
      <c r="W14" s="5"/>
    </row>
    <row r="15" spans="1:23">
      <c r="A15" s="12" t="s">
        <v>11</v>
      </c>
      <c r="B15" s="6">
        <v>19491313</v>
      </c>
      <c r="C15" s="12" t="s">
        <v>46</v>
      </c>
      <c r="F15" s="12">
        <v>6218054</v>
      </c>
      <c r="G15" s="12" t="str">
        <f t="shared" si="0"/>
        <v>62180541</v>
      </c>
      <c r="H15" s="13">
        <v>45658</v>
      </c>
      <c r="I15" s="13">
        <v>46143</v>
      </c>
      <c r="J15" s="6">
        <v>1</v>
      </c>
      <c r="M15" s="14">
        <v>28.92</v>
      </c>
      <c r="N15" s="6" t="s">
        <v>96</v>
      </c>
      <c r="O15" s="6" t="s">
        <v>97</v>
      </c>
      <c r="P15" s="5"/>
      <c r="Q15" s="5"/>
      <c r="R15" s="5"/>
      <c r="S15" s="5"/>
      <c r="T15" s="5"/>
      <c r="U15" s="5"/>
      <c r="V15" s="5"/>
      <c r="W15" s="5"/>
    </row>
    <row r="16" spans="1:23">
      <c r="A16" s="12" t="s">
        <v>11</v>
      </c>
      <c r="B16" s="6">
        <v>19491313</v>
      </c>
      <c r="C16" s="12" t="s">
        <v>47</v>
      </c>
      <c r="F16" s="12">
        <v>6238104</v>
      </c>
      <c r="G16" s="12" t="str">
        <f t="shared" si="0"/>
        <v>62381041</v>
      </c>
      <c r="H16" s="13">
        <v>45627</v>
      </c>
      <c r="I16" s="13">
        <v>46143</v>
      </c>
      <c r="J16" s="6">
        <v>1</v>
      </c>
      <c r="M16" s="14">
        <v>28.92</v>
      </c>
      <c r="N16" s="6" t="s">
        <v>96</v>
      </c>
      <c r="O16" s="6" t="s">
        <v>97</v>
      </c>
      <c r="P16" s="5"/>
      <c r="Q16" s="5"/>
      <c r="R16" s="5"/>
      <c r="S16" s="5"/>
      <c r="T16" s="5"/>
      <c r="U16" s="5"/>
      <c r="V16" s="5"/>
      <c r="W16" s="5"/>
    </row>
    <row r="17" spans="1:23">
      <c r="A17" s="12" t="s">
        <v>11</v>
      </c>
      <c r="B17" s="6">
        <v>19491313</v>
      </c>
      <c r="C17" s="12" t="s">
        <v>48</v>
      </c>
      <c r="F17" s="12">
        <v>6224965</v>
      </c>
      <c r="G17" s="12" t="str">
        <f t="shared" si="0"/>
        <v>62249651</v>
      </c>
      <c r="H17" s="13">
        <v>45658</v>
      </c>
      <c r="I17" s="13">
        <v>46143</v>
      </c>
      <c r="J17" s="6">
        <v>1</v>
      </c>
      <c r="M17" s="14">
        <v>28.92</v>
      </c>
      <c r="N17" s="6" t="s">
        <v>96</v>
      </c>
      <c r="O17" s="6" t="s">
        <v>97</v>
      </c>
      <c r="P17" s="5"/>
      <c r="Q17" s="5"/>
      <c r="R17" s="5"/>
      <c r="S17" s="5"/>
      <c r="T17" s="5"/>
      <c r="U17" s="5"/>
      <c r="V17" s="5"/>
      <c r="W17" s="5"/>
    </row>
    <row r="18" spans="1:23">
      <c r="A18" s="12" t="s">
        <v>11</v>
      </c>
      <c r="B18" s="6">
        <v>19491313</v>
      </c>
      <c r="C18" s="12" t="s">
        <v>49</v>
      </c>
      <c r="F18" s="12">
        <v>6210872</v>
      </c>
      <c r="G18" s="12" t="str">
        <f t="shared" si="0"/>
        <v>62108721</v>
      </c>
      <c r="H18" s="13">
        <v>45597</v>
      </c>
      <c r="I18" s="13">
        <v>46143</v>
      </c>
      <c r="J18" s="6">
        <v>1</v>
      </c>
      <c r="M18" s="14">
        <v>28.92</v>
      </c>
      <c r="N18" s="6" t="s">
        <v>96</v>
      </c>
      <c r="O18" s="6" t="s">
        <v>97</v>
      </c>
      <c r="P18" s="5"/>
      <c r="Q18" s="5"/>
      <c r="R18" s="5"/>
      <c r="S18" s="5"/>
      <c r="T18" s="5"/>
      <c r="U18" s="5"/>
      <c r="V18" s="5"/>
      <c r="W18" s="5"/>
    </row>
    <row r="19" spans="1:23">
      <c r="A19" s="12" t="s">
        <v>11</v>
      </c>
      <c r="B19" s="6">
        <v>19491313</v>
      </c>
      <c r="C19" s="12" t="s">
        <v>50</v>
      </c>
      <c r="F19" s="12">
        <v>6239247</v>
      </c>
      <c r="G19" s="12" t="str">
        <f t="shared" si="0"/>
        <v>62392471</v>
      </c>
      <c r="H19" s="13">
        <v>45658</v>
      </c>
      <c r="I19" s="13">
        <v>46143</v>
      </c>
      <c r="J19" s="6">
        <v>1</v>
      </c>
      <c r="M19" s="14">
        <v>28.92</v>
      </c>
      <c r="N19" s="6" t="s">
        <v>96</v>
      </c>
      <c r="O19" s="6" t="s">
        <v>97</v>
      </c>
      <c r="P19" s="5"/>
      <c r="Q19" s="5"/>
      <c r="R19" s="5"/>
      <c r="S19" s="5"/>
      <c r="T19" s="5"/>
      <c r="U19" s="5"/>
      <c r="V19" s="5"/>
      <c r="W19" s="5"/>
    </row>
    <row r="20" spans="1:23">
      <c r="A20" s="12" t="s">
        <v>11</v>
      </c>
      <c r="B20" s="6">
        <v>19491313</v>
      </c>
      <c r="C20" s="12" t="s">
        <v>51</v>
      </c>
      <c r="F20" s="12">
        <v>6138508</v>
      </c>
      <c r="G20" s="12" t="str">
        <f t="shared" si="0"/>
        <v>61385081</v>
      </c>
      <c r="H20" s="13">
        <v>43101</v>
      </c>
      <c r="I20" s="13">
        <v>46143</v>
      </c>
      <c r="J20" s="6">
        <v>1</v>
      </c>
      <c r="M20" s="14">
        <v>28.92</v>
      </c>
      <c r="N20" s="6" t="s">
        <v>96</v>
      </c>
      <c r="O20" s="6" t="s">
        <v>97</v>
      </c>
      <c r="P20" s="5"/>
      <c r="Q20" s="5"/>
      <c r="R20" s="5"/>
      <c r="S20" s="5"/>
      <c r="T20" s="5"/>
      <c r="U20" s="5"/>
      <c r="V20" s="5"/>
      <c r="W20" s="5"/>
    </row>
    <row r="21" spans="1:23">
      <c r="A21" s="12" t="s">
        <v>11</v>
      </c>
      <c r="B21" s="6">
        <v>19491313</v>
      </c>
      <c r="C21" s="12" t="s">
        <v>52</v>
      </c>
      <c r="F21" s="12">
        <v>6233105</v>
      </c>
      <c r="G21" s="12" t="str">
        <f t="shared" si="0"/>
        <v>62331051</v>
      </c>
      <c r="H21" s="13">
        <v>45658</v>
      </c>
      <c r="I21" s="13">
        <v>46143</v>
      </c>
      <c r="J21" s="6">
        <v>1</v>
      </c>
      <c r="M21" s="14">
        <v>28.92</v>
      </c>
      <c r="N21" s="6" t="s">
        <v>96</v>
      </c>
      <c r="O21" s="6" t="s">
        <v>97</v>
      </c>
      <c r="P21" s="5"/>
      <c r="Q21" s="5"/>
      <c r="R21" s="5"/>
      <c r="S21" s="5"/>
      <c r="T21" s="5"/>
      <c r="U21" s="5"/>
      <c r="V21" s="5"/>
      <c r="W21" s="5"/>
    </row>
    <row r="22" spans="1:23">
      <c r="A22" s="12" t="s">
        <v>11</v>
      </c>
      <c r="B22" s="6">
        <v>19491313</v>
      </c>
      <c r="C22" s="12" t="s">
        <v>53</v>
      </c>
      <c r="F22" s="12">
        <v>6225460</v>
      </c>
      <c r="G22" s="12" t="str">
        <f t="shared" si="0"/>
        <v>62254601</v>
      </c>
      <c r="H22" s="13">
        <v>45597</v>
      </c>
      <c r="I22" s="13">
        <v>46143</v>
      </c>
      <c r="J22" s="6">
        <v>1</v>
      </c>
      <c r="M22" s="14">
        <v>28.92</v>
      </c>
      <c r="N22" s="6" t="s">
        <v>96</v>
      </c>
      <c r="O22" s="6" t="s">
        <v>97</v>
      </c>
      <c r="P22" s="5"/>
      <c r="Q22" s="5"/>
      <c r="R22" s="5"/>
      <c r="S22" s="5"/>
      <c r="T22" s="5"/>
      <c r="U22" s="5"/>
      <c r="V22" s="5"/>
      <c r="W22" s="5"/>
    </row>
    <row r="23" spans="1:23">
      <c r="A23" s="12" t="s">
        <v>11</v>
      </c>
      <c r="B23" s="6">
        <v>19491313</v>
      </c>
      <c r="C23" s="12" t="s">
        <v>54</v>
      </c>
      <c r="F23" s="12">
        <v>6241874</v>
      </c>
      <c r="G23" s="12" t="str">
        <f t="shared" si="0"/>
        <v>62418741</v>
      </c>
      <c r="H23" s="13">
        <v>45658</v>
      </c>
      <c r="I23" s="13">
        <v>46143</v>
      </c>
      <c r="J23" s="6">
        <v>1</v>
      </c>
      <c r="M23" s="14">
        <v>28.92</v>
      </c>
      <c r="N23" s="6" t="s">
        <v>96</v>
      </c>
      <c r="O23" s="6" t="s">
        <v>97</v>
      </c>
      <c r="P23" s="5"/>
      <c r="Q23" s="5"/>
      <c r="R23" s="5"/>
      <c r="S23" s="5"/>
      <c r="T23" s="5"/>
      <c r="U23" s="5"/>
      <c r="V23" s="5"/>
      <c r="W23" s="5"/>
    </row>
    <row r="24" spans="1:23">
      <c r="A24" s="12" t="s">
        <v>11</v>
      </c>
      <c r="B24" s="6">
        <v>19491313</v>
      </c>
      <c r="C24" s="12" t="s">
        <v>55</v>
      </c>
      <c r="F24" s="12">
        <v>6231397</v>
      </c>
      <c r="G24" s="12" t="str">
        <f t="shared" si="0"/>
        <v>62313971</v>
      </c>
      <c r="H24" s="13">
        <v>45627</v>
      </c>
      <c r="I24" s="13">
        <v>46143</v>
      </c>
      <c r="J24" s="6">
        <v>1</v>
      </c>
      <c r="M24" s="14">
        <v>28.92</v>
      </c>
      <c r="N24" s="6" t="s">
        <v>96</v>
      </c>
      <c r="O24" s="6" t="s">
        <v>97</v>
      </c>
      <c r="P24" s="5"/>
      <c r="Q24" s="5"/>
      <c r="R24" s="5"/>
      <c r="S24" s="5"/>
      <c r="T24" s="5"/>
      <c r="U24" s="5"/>
      <c r="V24" s="5"/>
      <c r="W24" s="5"/>
    </row>
    <row r="25" spans="1:23">
      <c r="A25" s="12" t="s">
        <v>11</v>
      </c>
      <c r="B25" s="6">
        <v>19491313</v>
      </c>
      <c r="C25" s="12" t="s">
        <v>56</v>
      </c>
      <c r="F25" s="12">
        <v>6220305</v>
      </c>
      <c r="G25" s="12" t="str">
        <f t="shared" si="0"/>
        <v>62203051</v>
      </c>
      <c r="H25" s="13">
        <v>45658</v>
      </c>
      <c r="I25" s="13">
        <v>46143</v>
      </c>
      <c r="J25" s="6">
        <v>1</v>
      </c>
      <c r="M25" s="14">
        <v>28.92</v>
      </c>
      <c r="N25" s="6" t="s">
        <v>96</v>
      </c>
      <c r="O25" s="6" t="s">
        <v>97</v>
      </c>
      <c r="P25" s="5"/>
      <c r="Q25" s="5"/>
      <c r="R25" s="5"/>
      <c r="S25" s="5"/>
      <c r="T25" s="5"/>
      <c r="U25" s="5"/>
      <c r="V25" s="5"/>
      <c r="W25" s="5"/>
    </row>
    <row r="26" spans="1:23">
      <c r="A26" s="12" t="s">
        <v>11</v>
      </c>
      <c r="B26" s="6">
        <v>19491313</v>
      </c>
      <c r="C26" s="12" t="s">
        <v>57</v>
      </c>
      <c r="F26" s="12">
        <v>6209348</v>
      </c>
      <c r="G26" s="12" t="str">
        <f t="shared" si="0"/>
        <v>62093481</v>
      </c>
      <c r="H26" s="13">
        <v>45505</v>
      </c>
      <c r="I26" s="13">
        <v>46143</v>
      </c>
      <c r="J26" s="6">
        <v>1</v>
      </c>
      <c r="M26" s="14">
        <v>28.92</v>
      </c>
      <c r="N26" s="6" t="s">
        <v>96</v>
      </c>
      <c r="O26" s="6" t="s">
        <v>97</v>
      </c>
      <c r="P26" s="5"/>
      <c r="Q26" s="5"/>
      <c r="R26" s="5"/>
      <c r="S26" s="5"/>
      <c r="T26" s="5"/>
      <c r="U26" s="5"/>
      <c r="V26" s="5"/>
      <c r="W26" s="5"/>
    </row>
    <row r="27" spans="1:23">
      <c r="A27" s="12" t="s">
        <v>11</v>
      </c>
      <c r="B27" s="6">
        <v>19491313</v>
      </c>
      <c r="C27" s="12" t="s">
        <v>58</v>
      </c>
      <c r="F27" s="12">
        <v>6155654</v>
      </c>
      <c r="G27" s="12" t="str">
        <f t="shared" si="0"/>
        <v>61556541</v>
      </c>
      <c r="H27" s="13">
        <v>45658</v>
      </c>
      <c r="I27" s="13">
        <v>46143</v>
      </c>
      <c r="J27" s="6">
        <v>1</v>
      </c>
      <c r="M27" s="14">
        <v>28.92</v>
      </c>
      <c r="N27" s="6" t="s">
        <v>96</v>
      </c>
      <c r="O27" s="6" t="s">
        <v>97</v>
      </c>
      <c r="P27" s="5"/>
      <c r="Q27" s="5"/>
      <c r="R27" s="5"/>
      <c r="S27" s="5"/>
      <c r="T27" s="5"/>
      <c r="U27" s="5"/>
      <c r="V27" s="5"/>
      <c r="W27" s="5"/>
    </row>
    <row r="28" spans="1:23">
      <c r="A28" s="12" t="s">
        <v>62</v>
      </c>
      <c r="B28" s="6">
        <v>21564088</v>
      </c>
      <c r="C28" s="12" t="s">
        <v>63</v>
      </c>
      <c r="F28" s="12" t="s">
        <v>64</v>
      </c>
      <c r="G28" s="12" t="s">
        <v>64</v>
      </c>
      <c r="H28" s="13">
        <v>45658</v>
      </c>
      <c r="I28" s="13">
        <v>46143</v>
      </c>
      <c r="J28" s="14">
        <v>161.15</v>
      </c>
      <c r="K28" s="15">
        <f>M28/J28</f>
        <v>0.20999069190195471</v>
      </c>
      <c r="L28" s="5"/>
      <c r="M28" s="14">
        <v>33.840000000000003</v>
      </c>
      <c r="N28" s="6" t="s">
        <v>94</v>
      </c>
      <c r="T28" s="5"/>
      <c r="U28" s="5"/>
      <c r="V28" s="5"/>
      <c r="W28" s="5"/>
    </row>
    <row r="29" spans="1:23">
      <c r="A29" s="12" t="s">
        <v>35</v>
      </c>
      <c r="B29" s="6">
        <v>19219478</v>
      </c>
      <c r="C29" s="12" t="s">
        <v>65</v>
      </c>
      <c r="F29" s="12" t="s">
        <v>66</v>
      </c>
      <c r="G29" s="12" t="s">
        <v>66</v>
      </c>
      <c r="H29" s="13">
        <v>45658</v>
      </c>
      <c r="I29" s="13">
        <v>46143</v>
      </c>
      <c r="J29" s="14">
        <v>203.92</v>
      </c>
      <c r="K29" s="15">
        <f t="shared" ref="K29:K43" si="1">M29/J29</f>
        <v>0.20998430757159672</v>
      </c>
      <c r="L29" s="5"/>
      <c r="M29" s="14">
        <v>42.82</v>
      </c>
      <c r="N29" s="6" t="s">
        <v>94</v>
      </c>
      <c r="T29" s="5"/>
      <c r="U29" s="5"/>
      <c r="V29" s="5"/>
      <c r="W29" s="5"/>
    </row>
    <row r="30" spans="1:23">
      <c r="A30" s="12" t="s">
        <v>38</v>
      </c>
      <c r="B30" s="6">
        <v>16170994</v>
      </c>
      <c r="C30" s="12" t="s">
        <v>67</v>
      </c>
      <c r="F30" s="12" t="s">
        <v>68</v>
      </c>
      <c r="G30" s="12" t="s">
        <v>68</v>
      </c>
      <c r="H30" s="13">
        <v>45658</v>
      </c>
      <c r="I30" s="13">
        <v>46143</v>
      </c>
      <c r="J30" s="14">
        <v>187.02</v>
      </c>
      <c r="K30" s="15">
        <f t="shared" si="1"/>
        <v>0.21003101272591165</v>
      </c>
      <c r="L30" s="5"/>
      <c r="M30" s="14">
        <v>39.28</v>
      </c>
      <c r="N30" s="6" t="s">
        <v>94</v>
      </c>
      <c r="T30" s="5"/>
      <c r="U30" s="5"/>
      <c r="V30" s="5"/>
      <c r="W30" s="5"/>
    </row>
    <row r="31" spans="1:23">
      <c r="A31" s="12" t="s">
        <v>38</v>
      </c>
      <c r="B31" s="6">
        <v>16170994</v>
      </c>
      <c r="C31" s="12" t="s">
        <v>69</v>
      </c>
      <c r="F31" s="12" t="s">
        <v>70</v>
      </c>
      <c r="G31" s="12" t="s">
        <v>70</v>
      </c>
      <c r="H31" s="13">
        <v>45658</v>
      </c>
      <c r="I31" s="13">
        <v>46143</v>
      </c>
      <c r="J31" s="14">
        <v>201.3</v>
      </c>
      <c r="K31" s="15">
        <f t="shared" si="1"/>
        <v>0.20998509687034278</v>
      </c>
      <c r="L31" s="5"/>
      <c r="M31" s="14">
        <v>42.27</v>
      </c>
      <c r="N31" s="6" t="s">
        <v>94</v>
      </c>
      <c r="T31" s="5"/>
      <c r="U31" s="5"/>
      <c r="V31" s="5"/>
      <c r="W31" s="5"/>
    </row>
    <row r="32" spans="1:23" s="8" customFormat="1">
      <c r="A32" s="7" t="s">
        <v>38</v>
      </c>
      <c r="B32" s="8">
        <v>16170994</v>
      </c>
      <c r="C32" s="7" t="s">
        <v>71</v>
      </c>
      <c r="F32" s="7" t="s">
        <v>72</v>
      </c>
      <c r="G32" s="7" t="s">
        <v>72</v>
      </c>
      <c r="H32" s="17">
        <v>46143</v>
      </c>
      <c r="I32" s="17">
        <v>46174</v>
      </c>
      <c r="J32" s="11">
        <v>182.59</v>
      </c>
      <c r="K32" s="18">
        <f t="shared" si="1"/>
        <v>0.20997864067035435</v>
      </c>
      <c r="L32" s="10"/>
      <c r="M32" s="11">
        <v>38.340000000000003</v>
      </c>
      <c r="N32" s="8" t="s">
        <v>94</v>
      </c>
      <c r="T32" s="10"/>
      <c r="U32" s="10"/>
      <c r="V32" s="10"/>
      <c r="W32" s="10"/>
    </row>
    <row r="33" spans="1:23">
      <c r="A33" s="12" t="s">
        <v>38</v>
      </c>
      <c r="B33" s="6">
        <v>16170994</v>
      </c>
      <c r="C33" s="12" t="s">
        <v>73</v>
      </c>
      <c r="F33" s="12" t="s">
        <v>74</v>
      </c>
      <c r="G33" s="12" t="s">
        <v>74</v>
      </c>
      <c r="H33" s="13">
        <v>45658</v>
      </c>
      <c r="I33" s="13">
        <v>46143</v>
      </c>
      <c r="J33" s="14">
        <v>172.99</v>
      </c>
      <c r="K33" s="15">
        <f t="shared" si="1"/>
        <v>0.21001213943002484</v>
      </c>
      <c r="L33" s="5"/>
      <c r="M33" s="14">
        <v>36.33</v>
      </c>
      <c r="N33" s="6" t="s">
        <v>94</v>
      </c>
      <c r="T33" s="5"/>
      <c r="U33" s="5"/>
      <c r="V33" s="5"/>
      <c r="W33" s="5"/>
    </row>
    <row r="34" spans="1:23">
      <c r="A34" s="12" t="s">
        <v>38</v>
      </c>
      <c r="B34" s="6">
        <v>16170994</v>
      </c>
      <c r="C34" s="12" t="s">
        <v>75</v>
      </c>
      <c r="F34" s="12" t="s">
        <v>76</v>
      </c>
      <c r="G34" s="12" t="s">
        <v>76</v>
      </c>
      <c r="H34" s="13">
        <v>45658</v>
      </c>
      <c r="I34" s="13">
        <v>46143</v>
      </c>
      <c r="J34" s="14">
        <v>221.33</v>
      </c>
      <c r="K34" s="15">
        <f t="shared" si="1"/>
        <v>0.21000316269823338</v>
      </c>
      <c r="L34" s="5"/>
      <c r="M34" s="14">
        <v>46.48</v>
      </c>
      <c r="N34" s="6" t="s">
        <v>94</v>
      </c>
      <c r="T34" s="5"/>
      <c r="U34" s="5"/>
      <c r="V34" s="5"/>
      <c r="W34" s="5"/>
    </row>
    <row r="35" spans="1:23">
      <c r="A35" s="12" t="s">
        <v>38</v>
      </c>
      <c r="B35" s="6">
        <v>16170994</v>
      </c>
      <c r="C35" s="12" t="s">
        <v>77</v>
      </c>
      <c r="F35" s="12" t="s">
        <v>78</v>
      </c>
      <c r="G35" s="12" t="s">
        <v>78</v>
      </c>
      <c r="H35" s="13">
        <v>45658</v>
      </c>
      <c r="I35" s="13">
        <v>46143</v>
      </c>
      <c r="J35" s="14">
        <v>157.30000000000001</v>
      </c>
      <c r="K35" s="15">
        <f t="shared" si="1"/>
        <v>0.20998092816274633</v>
      </c>
      <c r="L35" s="5"/>
      <c r="M35" s="14">
        <v>33.03</v>
      </c>
      <c r="N35" s="6" t="s">
        <v>94</v>
      </c>
      <c r="T35" s="5"/>
      <c r="U35" s="5"/>
      <c r="V35" s="5"/>
      <c r="W35" s="5"/>
    </row>
    <row r="36" spans="1:23">
      <c r="A36" s="12" t="s">
        <v>38</v>
      </c>
      <c r="B36" s="6">
        <v>16170994</v>
      </c>
      <c r="C36" s="12" t="s">
        <v>79</v>
      </c>
      <c r="F36" s="12" t="s">
        <v>80</v>
      </c>
      <c r="G36" s="12" t="s">
        <v>80</v>
      </c>
      <c r="H36" s="13">
        <v>45658</v>
      </c>
      <c r="I36" s="13">
        <v>46143</v>
      </c>
      <c r="J36" s="14">
        <v>145.5</v>
      </c>
      <c r="K36" s="15">
        <f t="shared" si="1"/>
        <v>0.21003436426116837</v>
      </c>
      <c r="L36" s="5"/>
      <c r="M36" s="14">
        <v>30.56</v>
      </c>
      <c r="N36" s="6" t="s">
        <v>94</v>
      </c>
      <c r="T36" s="5"/>
      <c r="U36" s="5"/>
      <c r="V36" s="5"/>
      <c r="W36" s="5"/>
    </row>
    <row r="37" spans="1:23">
      <c r="A37" s="12" t="s">
        <v>38</v>
      </c>
      <c r="B37" s="6">
        <v>16170994</v>
      </c>
      <c r="C37" s="12" t="s">
        <v>81</v>
      </c>
      <c r="F37" s="12" t="s">
        <v>82</v>
      </c>
      <c r="G37" s="12" t="s">
        <v>82</v>
      </c>
      <c r="H37" s="13">
        <v>45658</v>
      </c>
      <c r="I37" s="13">
        <v>46143</v>
      </c>
      <c r="J37" s="14">
        <v>145.5</v>
      </c>
      <c r="K37" s="15">
        <f t="shared" si="1"/>
        <v>0.21003436426116837</v>
      </c>
      <c r="L37" s="5"/>
      <c r="M37" s="14">
        <v>30.56</v>
      </c>
      <c r="N37" s="6" t="s">
        <v>94</v>
      </c>
      <c r="T37" s="5"/>
      <c r="U37" s="5"/>
      <c r="V37" s="5"/>
      <c r="W37" s="5"/>
    </row>
    <row r="38" spans="1:23">
      <c r="A38" s="12" t="s">
        <v>38</v>
      </c>
      <c r="B38" s="6">
        <v>16170994</v>
      </c>
      <c r="C38" s="12" t="s">
        <v>83</v>
      </c>
      <c r="F38" s="12" t="s">
        <v>84</v>
      </c>
      <c r="G38" s="12" t="s">
        <v>84</v>
      </c>
      <c r="H38" s="13">
        <v>45658</v>
      </c>
      <c r="I38" s="13">
        <v>46143</v>
      </c>
      <c r="J38" s="14">
        <v>157.30000000000001</v>
      </c>
      <c r="K38" s="15">
        <f t="shared" si="1"/>
        <v>0.20998092816274633</v>
      </c>
      <c r="L38" s="5"/>
      <c r="M38" s="14">
        <v>33.03</v>
      </c>
      <c r="N38" s="6" t="s">
        <v>94</v>
      </c>
      <c r="T38" s="5"/>
      <c r="U38" s="5"/>
      <c r="V38" s="5"/>
      <c r="W38" s="5"/>
    </row>
    <row r="39" spans="1:23">
      <c r="A39" s="12" t="s">
        <v>38</v>
      </c>
      <c r="B39" s="6">
        <v>16170994</v>
      </c>
      <c r="C39" s="12" t="s">
        <v>85</v>
      </c>
      <c r="F39" s="12" t="s">
        <v>86</v>
      </c>
      <c r="G39" s="12" t="s">
        <v>86</v>
      </c>
      <c r="H39" s="13">
        <v>45658</v>
      </c>
      <c r="I39" s="13">
        <v>46143</v>
      </c>
      <c r="J39" s="14">
        <v>157.30000000000001</v>
      </c>
      <c r="K39" s="15">
        <f t="shared" si="1"/>
        <v>0.20998092816274633</v>
      </c>
      <c r="L39" s="5"/>
      <c r="M39" s="14">
        <v>33.03</v>
      </c>
      <c r="N39" s="6" t="s">
        <v>94</v>
      </c>
      <c r="T39" s="5"/>
      <c r="U39" s="5"/>
      <c r="V39" s="5"/>
      <c r="W39" s="5"/>
    </row>
    <row r="40" spans="1:23">
      <c r="A40" s="12" t="s">
        <v>38</v>
      </c>
      <c r="B40" s="6">
        <v>16170994</v>
      </c>
      <c r="C40" s="12" t="s">
        <v>87</v>
      </c>
      <c r="F40" s="12" t="s">
        <v>88</v>
      </c>
      <c r="G40" s="12" t="s">
        <v>88</v>
      </c>
      <c r="H40" s="13">
        <v>45658</v>
      </c>
      <c r="I40" s="13">
        <v>46143</v>
      </c>
      <c r="J40" s="14">
        <v>236.17</v>
      </c>
      <c r="K40" s="15">
        <f t="shared" si="1"/>
        <v>0.21001820722361011</v>
      </c>
      <c r="L40" s="5"/>
      <c r="M40" s="14">
        <v>49.6</v>
      </c>
      <c r="N40" s="6" t="s">
        <v>94</v>
      </c>
      <c r="T40" s="5"/>
      <c r="U40" s="5"/>
      <c r="V40" s="5"/>
      <c r="W40" s="5"/>
    </row>
    <row r="41" spans="1:23" s="8" customFormat="1">
      <c r="A41" s="7" t="s">
        <v>11</v>
      </c>
      <c r="B41" s="8">
        <v>19491313</v>
      </c>
      <c r="C41" s="7" t="s">
        <v>89</v>
      </c>
      <c r="F41" s="7" t="s">
        <v>90</v>
      </c>
      <c r="G41" s="7" t="s">
        <v>90</v>
      </c>
      <c r="H41" s="17">
        <v>46143</v>
      </c>
      <c r="I41" s="17">
        <v>46174</v>
      </c>
      <c r="J41" s="11">
        <v>145.5</v>
      </c>
      <c r="K41" s="18">
        <f t="shared" si="1"/>
        <v>0.21003436426116837</v>
      </c>
      <c r="L41" s="10"/>
      <c r="M41" s="11">
        <v>30.56</v>
      </c>
      <c r="N41" s="8" t="s">
        <v>94</v>
      </c>
      <c r="T41" s="10"/>
      <c r="U41" s="10"/>
      <c r="V41" s="10"/>
      <c r="W41" s="10"/>
    </row>
    <row r="42" spans="1:23">
      <c r="A42" s="12" t="s">
        <v>11</v>
      </c>
      <c r="B42" s="6">
        <v>19491313</v>
      </c>
      <c r="C42" s="12" t="s">
        <v>91</v>
      </c>
      <c r="F42" s="12" t="s">
        <v>92</v>
      </c>
      <c r="G42" s="12" t="s">
        <v>92</v>
      </c>
      <c r="H42" s="13">
        <v>45658</v>
      </c>
      <c r="I42" s="13">
        <v>46143</v>
      </c>
      <c r="J42" s="14">
        <v>157.30000000000001</v>
      </c>
      <c r="K42" s="15">
        <f t="shared" si="1"/>
        <v>0.20998092816274633</v>
      </c>
      <c r="L42" s="5"/>
      <c r="M42" s="14">
        <v>33.03</v>
      </c>
      <c r="N42" s="6" t="s">
        <v>94</v>
      </c>
      <c r="T42" s="5"/>
      <c r="U42" s="5"/>
      <c r="V42" s="5"/>
      <c r="W42" s="5"/>
    </row>
    <row r="43" spans="1:23">
      <c r="A43" s="12" t="s">
        <v>11</v>
      </c>
      <c r="B43" s="6">
        <v>19491313</v>
      </c>
      <c r="C43" s="12" t="s">
        <v>19</v>
      </c>
      <c r="F43" s="12" t="s">
        <v>20</v>
      </c>
      <c r="G43" s="12" t="s">
        <v>20</v>
      </c>
      <c r="H43" s="13">
        <v>45658</v>
      </c>
      <c r="I43" s="13">
        <v>46143</v>
      </c>
      <c r="J43" s="14">
        <v>18.55</v>
      </c>
      <c r="K43" s="15">
        <f t="shared" si="1"/>
        <v>0.29973045822102423</v>
      </c>
      <c r="L43" s="5"/>
      <c r="M43" s="14">
        <v>5.56</v>
      </c>
      <c r="N43" s="6" t="s">
        <v>95</v>
      </c>
      <c r="T43" s="5"/>
      <c r="U43" s="5"/>
      <c r="V43" s="5"/>
      <c r="W43" s="5"/>
    </row>
    <row r="50" spans="1:19">
      <c r="A50" s="12"/>
      <c r="C50" s="12"/>
      <c r="F50" s="12"/>
      <c r="G50" s="12"/>
      <c r="H50" s="12"/>
      <c r="I50" s="12"/>
      <c r="M50" s="16"/>
      <c r="O50" s="12"/>
      <c r="P50" s="14"/>
      <c r="R50" s="16"/>
      <c r="S50" s="14"/>
    </row>
  </sheetData>
  <sortState xmlns:xlrd2="http://schemas.microsoft.com/office/spreadsheetml/2017/richdata2" ref="A6:X27">
    <sortCondition ref="A6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modified xsi:type="dcterms:W3CDTF">2026-06-16T15:49:55Z</dcterms:modified>
</cp:coreProperties>
</file>