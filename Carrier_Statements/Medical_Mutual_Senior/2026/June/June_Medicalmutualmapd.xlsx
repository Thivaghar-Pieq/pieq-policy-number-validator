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edical_Mutual_Senior\2026\June\"/>
    </mc:Choice>
  </mc:AlternateContent>
  <xr:revisionPtr revIDLastSave="0" documentId="13_ncr:1_{F3BFE2C9-7A8E-414E-B105-580913188534}" xr6:coauthVersionLast="47" xr6:coauthVersionMax="47" xr10:uidLastSave="{00000000-0000-0000-0000-000000000000}"/>
  <bookViews>
    <workbookView xWindow="-28920" yWindow="-120" windowWidth="29040" windowHeight="15720" activeTab="1" xr2:uid="{79078FFE-88B3-4BEF-8F66-4BD4EB1BEA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4" i="2" l="1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3" i="2"/>
</calcChain>
</file>

<file path=xl/sharedStrings.xml><?xml version="1.0" encoding="utf-8"?>
<sst xmlns="http://schemas.openxmlformats.org/spreadsheetml/2006/main" count="353" uniqueCount="129">
  <si>
    <t>Individual - Pct of Premium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</si>
  <si>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</si>
  <si>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</si>
  <si>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</si>
  <si>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</si>
  <si>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</si>
  <si>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</si>
  <si>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Member</t>
  </si>
  <si>
    <t xml:space="preserve">
Premium</t>
  </si>
  <si>
    <t xml:space="preserve">Pct of Premium </t>
  </si>
  <si>
    <t xml:space="preserve">
Commission</t>
  </si>
  <si>
    <t>STEVEN BRANDT</t>
  </si>
  <si>
    <t>ROSE SHIPP</t>
  </si>
  <si>
    <t>E04090_H</t>
  </si>
  <si>
    <t>IH-Ancillary</t>
  </si>
  <si>
    <t xml:space="preserve">Total Individual - Pct of Premium  </t>
  </si>
  <si>
    <t>Individual - Indemnity Business</t>
  </si>
  <si>
    <t>Indemnity</t>
  </si>
  <si>
    <t>Type of 
Business</t>
  </si>
  <si>
    <t>Split  
Premium</t>
  </si>
  <si>
    <t>STEVEN K BRANDT</t>
  </si>
  <si>
    <t>C64807_H</t>
  </si>
  <si>
    <t>Critical Ill</t>
  </si>
  <si>
    <t xml:space="preserve">Total Individual - Indemnity Business  </t>
  </si>
  <si>
    <t>Total Base Commission</t>
  </si>
  <si>
    <t>Detailed Commission Statement</t>
  </si>
  <si>
    <t>MAIN LINE BENEFITS LLC_10_MA</t>
  </si>
  <si>
    <t>For Period: June 2026</t>
  </si>
  <si>
    <t xml:space="preserve">Summary </t>
  </si>
  <si>
    <t>BASE COMMISSIONS</t>
  </si>
  <si>
    <t>SUBTOTAL</t>
  </si>
  <si>
    <t>ADJUSTMENTS</t>
  </si>
  <si>
    <t>TOTAL AMOUNT PAID</t>
  </si>
  <si>
    <t>Medicare Advantage</t>
  </si>
  <si>
    <t xml:space="preserve">
Member Name</t>
  </si>
  <si>
    <t xml:space="preserve">Policy Holder </t>
  </si>
  <si>
    <t>Effective Date</t>
  </si>
  <si>
    <t xml:space="preserve">
Commission </t>
  </si>
  <si>
    <t>NATHAN WELLER</t>
  </si>
  <si>
    <t>EDWARD G TRIMMER</t>
  </si>
  <si>
    <t>6277111</t>
  </si>
  <si>
    <t>RONNA M JOHNSON</t>
  </si>
  <si>
    <t>6236016</t>
  </si>
  <si>
    <t>RYAN SHEPARD</t>
  </si>
  <si>
    <t>MARY T CUSICK</t>
  </si>
  <si>
    <t>6220011</t>
  </si>
  <si>
    <t>NANCY L RUESCHMAN</t>
  </si>
  <si>
    <t>6224756</t>
  </si>
  <si>
    <t>CINDY L LEACH</t>
  </si>
  <si>
    <t>6213383</t>
  </si>
  <si>
    <t>JEFF L SCOTT</t>
  </si>
  <si>
    <t>6210817</t>
  </si>
  <si>
    <t>JOHN J ABSHIRE</t>
  </si>
  <si>
    <t>6218056</t>
  </si>
  <si>
    <t>JOHN U WILSON JR</t>
  </si>
  <si>
    <t>6212568</t>
  </si>
  <si>
    <t>KAREN B RAUSCH</t>
  </si>
  <si>
    <t>6215141</t>
  </si>
  <si>
    <t>KAREN D ABSHIRE</t>
  </si>
  <si>
    <t>6218054</t>
  </si>
  <si>
    <t>KURT D LARKIN</t>
  </si>
  <si>
    <t>6238104</t>
  </si>
  <si>
    <t>LINDA M BUTSKO</t>
  </si>
  <si>
    <t>6224965</t>
  </si>
  <si>
    <t>PAM F WILSON</t>
  </si>
  <si>
    <t>6210872</t>
  </si>
  <si>
    <t>REBECCA F HILL</t>
  </si>
  <si>
    <t>6239247</t>
  </si>
  <si>
    <t>ROBERT W SMITH</t>
  </si>
  <si>
    <t>6138508</t>
  </si>
  <si>
    <t>SHARON N SMITH</t>
  </si>
  <si>
    <t>6233105</t>
  </si>
  <si>
    <t>TAMMY D HAYWOOD</t>
  </si>
  <si>
    <t>6225460</t>
  </si>
  <si>
    <t>TAMMY J WILHELM</t>
  </si>
  <si>
    <t>6241874</t>
  </si>
  <si>
    <t>TAMMY L VANATTA</t>
  </si>
  <si>
    <t>6231397</t>
  </si>
  <si>
    <t>THERESA J MCFARLAND</t>
  </si>
  <si>
    <t>6220305</t>
  </si>
  <si>
    <t>TIMOTHY G ZAHLER</t>
  </si>
  <si>
    <t>6209348</t>
  </si>
  <si>
    <t>WILLIAM J BUTSKO</t>
  </si>
  <si>
    <t>6155654</t>
  </si>
  <si>
    <t xml:space="preserve">Total Medicare Advantage  </t>
  </si>
  <si>
    <t>Medicare Supplement</t>
  </si>
  <si>
    <t>Policy 
Age</t>
  </si>
  <si>
    <t>JENNIFER HALSAVER</t>
  </si>
  <si>
    <t>GEORGE MELLEN</t>
  </si>
  <si>
    <t>C48377_H</t>
  </si>
  <si>
    <t>JEFFREY GAUL</t>
  </si>
  <si>
    <t>C61905_H</t>
  </si>
  <si>
    <t>CATHERINE LOTTIG</t>
  </si>
  <si>
    <t>C93413_H</t>
  </si>
  <si>
    <t>GARY WHISENHUNT</t>
  </si>
  <si>
    <t>C95953_H</t>
  </si>
  <si>
    <t>GREGORY TUOHY</t>
  </si>
  <si>
    <t>E06421_H</t>
  </si>
  <si>
    <t>JANET ROTH</t>
  </si>
  <si>
    <t>C83629_H</t>
  </si>
  <si>
    <t>JEANE NOBLETT</t>
  </si>
  <si>
    <t>C83690_H</t>
  </si>
  <si>
    <t>JOANN WAGNER</t>
  </si>
  <si>
    <t>C85198_H</t>
  </si>
  <si>
    <t>JOSEPH MEYER</t>
  </si>
  <si>
    <t>E09562_H</t>
  </si>
  <si>
    <t>KAREN CLARKE</t>
  </si>
  <si>
    <t>C91924_H</t>
  </si>
  <si>
    <t>KAREN HALLEY</t>
  </si>
  <si>
    <t>E09034_H</t>
  </si>
  <si>
    <t>LANCE CROPP</t>
  </si>
  <si>
    <t>E09102_H</t>
  </si>
  <si>
    <t>PAMELA ANDREWS</t>
  </si>
  <si>
    <t>C98924_H</t>
  </si>
  <si>
    <t>SUZANNE MALONEY</t>
  </si>
  <si>
    <t>C86006_H</t>
  </si>
  <si>
    <t>SUZANNE MEYER</t>
  </si>
  <si>
    <t>E09561_H</t>
  </si>
  <si>
    <t>TAMMY FRESH</t>
  </si>
  <si>
    <t>E01044_H</t>
  </si>
  <si>
    <t>THOMAS CLARKE</t>
  </si>
  <si>
    <t>C52332_H</t>
  </si>
  <si>
    <t>KIMBERLY KOENIG-PEREZ</t>
  </si>
  <si>
    <t>E00293_H</t>
  </si>
  <si>
    <t>MARY REED</t>
  </si>
  <si>
    <t>C97448_H</t>
  </si>
  <si>
    <t xml:space="preserve">Total Medicare Supplement  </t>
  </si>
  <si>
    <t>Paid to Date</t>
  </si>
  <si>
    <t>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</si>
</sst>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[$%-409]"/>
    <numFmt numFmtId="165" formatCode="[$$-409]#,##0.00_);\([$$-409]#,##0.00\)"/>
    <numFmt numFmtId="166" formatCode="0.00[$%-409]"/>
    <numFmt numFmtId="167" formatCode="[$$-409]#,##0.00"/>
    <numFmt numFmtId="168" formatCode="mm\/dd\/yyyy"/>
  </numFmts>
  <fonts count="19">
    <font>
      <sz val="11"/>
      <color theme="1"/>
      <name val="Calibri"/>
      <family val="2"/>
      <scheme val="minor"/>
    </font>
    <font>
      <b/>
      <sz val="10"/>
      <color rgb="FF5A5A5A"/>
      <name val="Helvetica Narrow"/>
      <family val="34"/>
      <charset val="1"/>
    </font>
    <font>
      <b/>
      <sz val="10"/>
      <color rgb="FFFFFFFF"/>
      <name val="Palatino Linotype"/>
      <family val="18"/>
      <charset val="1"/>
    </font>
    <font>
      <sz val="10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9"/>
      <color rgb="FF414042"/>
      <name val="ARIAL"/>
      <family val="16"/>
      <charset val="1"/>
    </font>
    <font>
      <sz val="8"/>
      <color rgb="FF000000"/>
      <name val="Helvetica Narrow"/>
      <family val="34"/>
      <charset val="1"/>
    </font>
    <font>
      <b/>
      <sz val="10"/>
      <color rgb="FF000000"/>
      <name val="Arial"/>
      <family val="16"/>
      <charset val="1"/>
    </font>
    <font>
      <b/>
      <sz val="10"/>
      <color rgb="FF000000"/>
      <name val="Helvetica Narrow"/>
      <family val="34"/>
      <charset val="1"/>
    </font>
    <font>
      <b/>
      <sz val="14"/>
      <color rgb="FF038675"/>
      <name val="Palatino Linotype"/>
      <family val="18"/>
      <charset val="1"/>
    </font>
    <font>
      <b/>
      <sz val="12"/>
      <color rgb="FF038675"/>
      <name val="Palatino Linotype"/>
      <family val="18"/>
      <charset val="1"/>
    </font>
    <font>
      <b/>
      <sz val="11"/>
      <color rgb="FF414042"/>
      <name val="Arial"/>
      <family val="16"/>
      <charset val="1"/>
    </font>
    <font>
      <sz val="10"/>
      <color rgb="FF000000"/>
      <name val="ARIAL"/>
      <family val="16"/>
      <charset val="1"/>
    </font>
    <font>
      <b/>
      <sz val="10"/>
      <color rgb="FF414042"/>
      <name val="ARIAL"/>
      <family val="16"/>
      <charset val="1"/>
    </font>
    <font>
      <sz val="11"/>
      <color theme="1"/>
      <name val="Calibri"/>
      <family val="2"/>
      <scheme val="minor"/>
    </font>
    <font>
      <sz val="10"/>
      <name val="Arial"/>
      <family val="16"/>
      <charset val="1"/>
    </font>
    <font>
      <sz val="11"/>
      <name val="Calibri"/>
      <family val="2"/>
      <scheme val="minor"/>
    </font>
    <font>
      <sz val="8"/>
      <name val="ARIAL"/>
      <family val="16"/>
      <charset val="1"/>
    </font>
    <font>
      <sz val="8"/>
      <name val="Helvetica Narrow"/>
      <family val="34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285"/>
      </patternFill>
    </fill>
    <fill>
      <patternFill patternType="solid">
        <fgColor rgb="FF03867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1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164" fontId="17" fillId="0" borderId="0" xfId="0" applyNumberFormat="1" applyFont="1"/>
    <xf numFmtId="165" fontId="17" fillId="0" borderId="0" xfId="0" applyNumberFormat="1" applyFont="1"/>
    <xf numFmtId="164" fontId="18" fillId="0" borderId="0" xfId="0" applyNumberFormat="1" applyFont="1"/>
    <xf numFmtId="3" fontId="17" fillId="0" borderId="0" xfId="0" applyNumberFormat="1" applyFont="1"/>
    <xf numFmtId="14" fontId="17" fillId="0" borderId="0" xfId="0" applyNumberFormat="1" applyFont="1"/>
    <xf numFmtId="9" fontId="17" fillId="0" borderId="0" xfId="1" applyFont="1" applyFill="1" applyBorder="1" applyAlignment="1"/>
    <xf numFmtId="0" fontId="17" fillId="5" borderId="0" xfId="0" applyFont="1" applyFill="1"/>
    <xf numFmtId="0" fontId="17" fillId="5" borderId="0" xfId="0" applyFont="1" applyFill="1" applyAlignment="1">
      <alignment horizontal="left"/>
    </xf>
    <xf numFmtId="14" fontId="17" fillId="5" borderId="0" xfId="0" applyNumberFormat="1" applyFont="1" applyFill="1"/>
    <xf numFmtId="0" fontId="16" fillId="5" borderId="0" xfId="0" applyFont="1" applyFill="1"/>
    <xf numFmtId="165" fontId="17" fillId="5" borderId="0" xfId="0" applyNumberFormat="1" applyFont="1" applyFill="1"/>
    <xf numFmtId="165" fontId="0" fillId="0" borderId="0" xfId="0" applyNumberFormat="1"/>
    <xf numFmtId="0" fontId="5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right" vertical="top"/>
    </xf>
    <xf numFmtId="0" fontId="7" fillId="3" borderId="1" xfId="0" applyFont="1" applyFill="1" applyBorder="1" applyAlignment="1">
      <alignment horizontal="left" vertical="top" wrapText="1"/>
    </xf>
    <xf numFmtId="167" fontId="8" fillId="3" borderId="1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3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3" fillId="4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168" fontId="4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4" fontId="12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4" fontId="13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0" fontId="17" fillId="0" borderId="0" xfId="0" applyFont="1" applyFill="1"/>
    <xf numFmtId="0" fontId="17" fillId="0" borderId="0" xfId="0" applyFont="1" applyFill="1" applyAlignment="1">
      <alignment horizontal="left"/>
    </xf>
    <xf numFmtId="168" fontId="17" fillId="0" borderId="0" xfId="0" applyNumberFormat="1" applyFont="1" applyFill="1"/>
    <xf numFmtId="14" fontId="17" fillId="0" borderId="0" xfId="0" applyNumberFormat="1" applyFont="1" applyFill="1"/>
    <xf numFmtId="164" fontId="18" fillId="0" borderId="0" xfId="0" applyNumberFormat="1" applyFont="1" applyFill="1"/>
    <xf numFmtId="0" fontId="16" fillId="0" borderId="0" xfId="0" applyFont="1" applyFill="1"/>
    <xf numFmtId="165" fontId="17" fillId="0" borderId="0" xfId="0" applyNumberFormat="1" applyFont="1" applyFill="1"/>
    <xf numFmtId="164" fontId="17" fillId="5" borderId="0" xfId="0" applyNumberFormat="1" applyFont="1" applyFill="1"/>
    <xf numFmtId="166" fontId="17" fillId="5" borderId="0" xfId="0" applyNumberFormat="1" applyFont="1" applyFill="1"/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164" fontId="4" fillId="5" borderId="0" xfId="0" applyNumberFormat="1" applyFont="1" applyFill="1" applyAlignment="1">
      <alignment horizontal="center" vertical="top"/>
    </xf>
    <xf numFmtId="4" fontId="4" fillId="5" borderId="0" xfId="0" applyNumberFormat="1" applyFont="1" applyFill="1" applyAlignment="1">
      <alignment horizontal="center" vertical="top"/>
    </xf>
    <xf numFmtId="0" fontId="0" fillId="5" borderId="0" xfId="0" applyFill="1"/>
    <xf numFmtId="165" fontId="4" fillId="5" borderId="0" xfId="0" applyNumberFormat="1" applyFont="1" applyFill="1" applyAlignment="1">
      <alignment horizontal="right" vertical="top"/>
    </xf>
    <xf numFmtId="166" fontId="4" fillId="5" borderId="0" xfId="0" applyNumberFormat="1" applyFont="1" applyFill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3779378" cy="1143000"/>
    <xdr:pic>
      <xdr:nvPicPr>
        <xdr:cNvPr id="2" name="Picture 65541">
          <a:extLst>
            <a:ext uri="{FF2B5EF4-FFF2-40B4-BE49-F238E27FC236}">
              <a16:creationId xmlns:a16="http://schemas.microsoft.com/office/drawing/2014/main" id="{9F7333BA-86BC-41E9-B7D0-60532422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38566725"/>
          <a:ext cx="3779378" cy="1143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3779378" cy="1143000"/>
    <xdr:pic>
      <xdr:nvPicPr>
        <xdr:cNvPr id="3" name="Picture 65542">
          <a:extLst>
            <a:ext uri="{FF2B5EF4-FFF2-40B4-BE49-F238E27FC236}">
              <a16:creationId xmlns:a16="http://schemas.microsoft.com/office/drawing/2014/main" id="{EDA7F2F8-477A-4128-84F2-91670E0E4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50549175"/>
          <a:ext cx="3779378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A020-A3C8-464F-A8E9-8D772D8BBAF5}">
  <dimension ref="B2:Y125"/>
  <sheetViews>
    <sheetView topLeftCell="A103" workbookViewId="0">
      <selection activeCell="G7" sqref="G7"/>
    </sheetView>
  </sheetViews>
  <sheetFormatPr defaultRowHeight="15"/>
  <cols>
    <col min="25" max="25" width="9.85546875" bestFit="1" customWidth="1"/>
  </cols>
  <sheetData>
    <row r="2" spans="2:25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2:25">
      <c r="B3" s="34" t="s">
        <v>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2:25" ht="2.25" customHeight="1"/>
    <row r="5" spans="2:25">
      <c r="B5" s="35" t="s">
        <v>2</v>
      </c>
      <c r="C5" s="35"/>
      <c r="D5" s="35" t="s">
        <v>3</v>
      </c>
      <c r="E5" s="35"/>
      <c r="F5" s="35"/>
      <c r="G5" s="35" t="s">
        <v>4</v>
      </c>
      <c r="H5" s="35" t="s">
        <v>5</v>
      </c>
      <c r="I5" s="35"/>
      <c r="J5" s="35"/>
      <c r="K5" s="35"/>
      <c r="L5" s="35" t="s">
        <v>6</v>
      </c>
      <c r="M5" s="35"/>
      <c r="N5" s="35" t="s">
        <v>7</v>
      </c>
      <c r="O5" s="35"/>
      <c r="Q5" s="29" t="s">
        <v>8</v>
      </c>
      <c r="R5" s="29"/>
      <c r="S5" s="29" t="s">
        <v>9</v>
      </c>
      <c r="T5" s="29"/>
      <c r="U5" s="43" t="s">
        <v>10</v>
      </c>
      <c r="V5" s="43"/>
    </row>
    <row r="6" spans="2:25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Q6" s="29"/>
      <c r="R6" s="29"/>
      <c r="S6" s="29"/>
      <c r="T6" s="29"/>
      <c r="U6" s="43"/>
      <c r="V6" s="43"/>
    </row>
    <row r="7" spans="2:25" s="57" customFormat="1">
      <c r="B7" s="53" t="s">
        <v>11</v>
      </c>
      <c r="C7" s="53"/>
      <c r="D7" s="53" t="s">
        <v>12</v>
      </c>
      <c r="E7" s="53"/>
      <c r="F7" s="53"/>
      <c r="G7" s="54" t="s">
        <v>13</v>
      </c>
      <c r="H7" s="53" t="s">
        <v>14</v>
      </c>
      <c r="I7" s="53"/>
      <c r="J7" s="53"/>
      <c r="K7" s="53"/>
      <c r="L7" s="55">
        <v>100</v>
      </c>
      <c r="M7" s="55"/>
      <c r="N7" s="56">
        <v>1</v>
      </c>
      <c r="O7" s="56"/>
      <c r="Q7" s="58">
        <v>37.635620000000003</v>
      </c>
      <c r="R7" s="58"/>
      <c r="S7" s="59">
        <v>11</v>
      </c>
      <c r="T7" s="59"/>
      <c r="U7" s="58">
        <v>4.1399999999999997</v>
      </c>
      <c r="V7" s="58"/>
    </row>
    <row r="8" spans="2:25" ht="12" customHeight="1"/>
    <row r="9" spans="2:25">
      <c r="Q9" s="22">
        <v>37.635620000000003</v>
      </c>
      <c r="R9" s="22"/>
      <c r="U9" s="22">
        <v>4.1399999999999997</v>
      </c>
      <c r="V9" s="22"/>
    </row>
    <row r="10" spans="2:25">
      <c r="B10" s="21" t="s">
        <v>15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2">
        <v>37.635620000000003</v>
      </c>
      <c r="R10" s="22"/>
      <c r="U10" s="22">
        <v>4.1399999999999997</v>
      </c>
      <c r="V10" s="22"/>
      <c r="Y10" s="20"/>
    </row>
    <row r="11" spans="2:25" ht="14.25" customHeight="1"/>
    <row r="12" spans="2:25">
      <c r="B12" s="33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2:25">
      <c r="B13" s="34" t="s">
        <v>17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spans="2:25" ht="2.25" customHeight="1"/>
    <row r="15" spans="2:25">
      <c r="B15" s="35" t="s">
        <v>2</v>
      </c>
      <c r="C15" s="35"/>
      <c r="D15" s="35" t="s">
        <v>3</v>
      </c>
      <c r="E15" s="35"/>
      <c r="F15" s="35"/>
      <c r="G15" s="35" t="s">
        <v>4</v>
      </c>
      <c r="I15" s="35" t="s">
        <v>18</v>
      </c>
      <c r="J15" s="35"/>
      <c r="K15" s="35"/>
      <c r="L15" s="35"/>
      <c r="M15" s="35" t="s">
        <v>6</v>
      </c>
      <c r="N15" s="35"/>
      <c r="O15" s="35"/>
      <c r="P15" s="29" t="s">
        <v>19</v>
      </c>
      <c r="Q15" s="29"/>
      <c r="R15" s="29" t="s">
        <v>10</v>
      </c>
      <c r="S15" s="29"/>
      <c r="T15" s="29"/>
    </row>
    <row r="16" spans="2:25">
      <c r="B16" s="35"/>
      <c r="C16" s="35"/>
      <c r="D16" s="35"/>
      <c r="E16" s="35"/>
      <c r="F16" s="35"/>
      <c r="G16" s="35"/>
      <c r="I16" s="35"/>
      <c r="J16" s="35"/>
      <c r="K16" s="35"/>
      <c r="L16" s="35"/>
      <c r="M16" s="35"/>
      <c r="N16" s="35"/>
      <c r="O16" s="35"/>
      <c r="P16" s="29"/>
      <c r="Q16" s="29"/>
      <c r="R16" s="29"/>
      <c r="S16" s="29"/>
      <c r="T16" s="29"/>
    </row>
    <row r="17" spans="2:22" ht="2.25" customHeight="1"/>
    <row r="18" spans="2:22">
      <c r="B18" s="25" t="s">
        <v>11</v>
      </c>
      <c r="C18" s="25"/>
      <c r="D18" s="25" t="s">
        <v>20</v>
      </c>
      <c r="E18" s="25"/>
      <c r="F18" s="25"/>
      <c r="G18" s="1" t="s">
        <v>21</v>
      </c>
      <c r="H18" s="25" t="s">
        <v>22</v>
      </c>
      <c r="I18" s="25"/>
      <c r="J18" s="25"/>
      <c r="K18" s="25"/>
      <c r="L18" s="37">
        <v>100</v>
      </c>
      <c r="M18" s="37"/>
      <c r="N18" s="28">
        <v>18.546659999999999</v>
      </c>
      <c r="O18" s="28"/>
      <c r="Q18" s="28">
        <v>5.56</v>
      </c>
      <c r="R18" s="28"/>
    </row>
    <row r="19" spans="2:22">
      <c r="Q19" s="22">
        <v>5.56</v>
      </c>
      <c r="R19" s="22"/>
    </row>
    <row r="20" spans="2:22">
      <c r="B20" s="21" t="s">
        <v>23</v>
      </c>
      <c r="C20" s="21"/>
      <c r="D20" s="21"/>
      <c r="E20" s="21"/>
      <c r="F20" s="21"/>
      <c r="G20" s="21"/>
      <c r="H20" s="21"/>
      <c r="I20" s="21"/>
      <c r="J20" s="21"/>
      <c r="N20" s="22">
        <v>18.546659999999999</v>
      </c>
      <c r="O20" s="22"/>
      <c r="Q20" s="22">
        <v>5.56</v>
      </c>
      <c r="R20" s="22"/>
    </row>
    <row r="21" spans="2:22" ht="6" customHeight="1"/>
    <row r="22" spans="2:22">
      <c r="B22" s="23" t="s">
        <v>24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4">
        <v>4697.2700000000004</v>
      </c>
      <c r="V22" s="24"/>
    </row>
    <row r="23" spans="2:22" ht="8.25" customHeight="1"/>
    <row r="24" spans="2:22" ht="40.5" customHeight="1"/>
    <row r="25" spans="2:22" ht="21">
      <c r="J25" s="30" t="s">
        <v>25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 spans="2:22" ht="33.75" customHeight="1"/>
    <row r="27" spans="2:22" ht="18">
      <c r="B27" s="31" t="s">
        <v>26</v>
      </c>
      <c r="C27" s="31"/>
      <c r="D27" s="31"/>
      <c r="E27" s="31"/>
      <c r="F27" s="31"/>
      <c r="G27" s="31"/>
      <c r="H27" s="31"/>
      <c r="I27" s="31"/>
      <c r="J27" s="32" t="s">
        <v>27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spans="2:22">
      <c r="E28" s="42" t="s">
        <v>28</v>
      </c>
      <c r="F28" s="42"/>
      <c r="G28" s="42"/>
      <c r="H28" s="42"/>
    </row>
    <row r="29" spans="2:22">
      <c r="E29" s="38" t="s">
        <v>29</v>
      </c>
      <c r="F29" s="38"/>
      <c r="G29" s="38"/>
      <c r="H29" s="38"/>
      <c r="I29" s="39">
        <v>1326.19</v>
      </c>
      <c r="J29" s="39"/>
      <c r="K29" s="39"/>
      <c r="L29" s="39"/>
    </row>
    <row r="30" spans="2:22">
      <c r="E30" s="38" t="s">
        <v>30</v>
      </c>
      <c r="F30" s="38"/>
      <c r="G30" s="38"/>
      <c r="H30" s="38"/>
      <c r="I30" s="39">
        <v>1326.19</v>
      </c>
      <c r="J30" s="39"/>
      <c r="K30" s="39"/>
      <c r="L30" s="39"/>
    </row>
    <row r="31" spans="2:22">
      <c r="E31" s="38" t="s">
        <v>31</v>
      </c>
      <c r="F31" s="38"/>
      <c r="G31" s="38"/>
      <c r="H31" s="38"/>
      <c r="I31" s="39">
        <v>-286.88</v>
      </c>
      <c r="J31" s="39"/>
      <c r="K31" s="39"/>
      <c r="L31" s="39"/>
    </row>
    <row r="32" spans="2:22" ht="6.75" customHeight="1"/>
    <row r="33" spans="2:22">
      <c r="E33" s="40" t="s">
        <v>32</v>
      </c>
      <c r="F33" s="40"/>
      <c r="G33" s="40"/>
      <c r="H33" s="40"/>
      <c r="I33" s="41">
        <v>1039.31</v>
      </c>
      <c r="J33" s="41"/>
      <c r="K33" s="41"/>
      <c r="L33" s="41"/>
    </row>
    <row r="34" spans="2:22" ht="14.25" customHeight="1"/>
    <row r="35" spans="2:22">
      <c r="B35" s="33" t="s">
        <v>33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 spans="2:22">
      <c r="B36" s="34" t="s">
        <v>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2:22" ht="2.25" customHeight="1"/>
    <row r="38" spans="2:22">
      <c r="B38" s="35" t="s">
        <v>2</v>
      </c>
      <c r="C38" s="35"/>
      <c r="D38" s="35" t="s">
        <v>34</v>
      </c>
      <c r="E38" s="35"/>
      <c r="F38" s="35"/>
      <c r="G38" s="35" t="s">
        <v>35</v>
      </c>
      <c r="H38" s="35" t="s">
        <v>36</v>
      </c>
      <c r="I38" s="35"/>
      <c r="J38" s="35"/>
      <c r="K38" s="35"/>
      <c r="L38" s="29" t="s">
        <v>37</v>
      </c>
      <c r="M38" s="29"/>
      <c r="N38" s="29"/>
    </row>
    <row r="39" spans="2:22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9"/>
      <c r="M39" s="29"/>
      <c r="N39" s="29"/>
    </row>
    <row r="40" spans="2:22" ht="0.75" customHeight="1"/>
    <row r="41" spans="2:22">
      <c r="B41" s="25" t="s">
        <v>38</v>
      </c>
      <c r="C41" s="25"/>
      <c r="D41" s="25" t="s">
        <v>39</v>
      </c>
      <c r="E41" s="25"/>
      <c r="F41" s="25"/>
      <c r="G41" s="1" t="s">
        <v>40</v>
      </c>
      <c r="H41" s="36">
        <v>45992</v>
      </c>
      <c r="I41" s="36"/>
      <c r="J41" s="36"/>
      <c r="K41" s="36"/>
      <c r="L41" s="28">
        <v>28.92</v>
      </c>
      <c r="M41" s="28"/>
      <c r="N41" s="28"/>
    </row>
    <row r="42" spans="2:22" ht="0.75" customHeight="1"/>
    <row r="43" spans="2:22">
      <c r="B43" s="25" t="s">
        <v>38</v>
      </c>
      <c r="C43" s="25"/>
      <c r="D43" s="25" t="s">
        <v>41</v>
      </c>
      <c r="E43" s="25"/>
      <c r="F43" s="25"/>
      <c r="G43" s="1" t="s">
        <v>42</v>
      </c>
      <c r="H43" s="36">
        <v>45658</v>
      </c>
      <c r="I43" s="36"/>
      <c r="J43" s="36"/>
      <c r="K43" s="36"/>
      <c r="L43" s="28">
        <v>28.92</v>
      </c>
      <c r="M43" s="28"/>
      <c r="N43" s="28"/>
    </row>
    <row r="44" spans="2:22" ht="0.75" customHeight="1"/>
    <row r="45" spans="2:22">
      <c r="B45" s="25" t="s">
        <v>43</v>
      </c>
      <c r="C45" s="25"/>
      <c r="D45" s="25" t="s">
        <v>44</v>
      </c>
      <c r="E45" s="25"/>
      <c r="F45" s="25"/>
      <c r="G45" s="1" t="s">
        <v>45</v>
      </c>
      <c r="H45" s="36">
        <v>45658</v>
      </c>
      <c r="I45" s="36"/>
      <c r="J45" s="36"/>
      <c r="K45" s="36"/>
      <c r="L45" s="28">
        <v>28.92</v>
      </c>
      <c r="M45" s="28"/>
      <c r="N45" s="28"/>
    </row>
    <row r="46" spans="2:22" ht="0.75" customHeight="1"/>
    <row r="47" spans="2:22">
      <c r="B47" s="25" t="s">
        <v>43</v>
      </c>
      <c r="C47" s="25"/>
      <c r="D47" s="25" t="s">
        <v>46</v>
      </c>
      <c r="E47" s="25"/>
      <c r="F47" s="25"/>
      <c r="G47" s="1" t="s">
        <v>47</v>
      </c>
      <c r="H47" s="36">
        <v>45658</v>
      </c>
      <c r="I47" s="36"/>
      <c r="J47" s="36"/>
      <c r="K47" s="36"/>
      <c r="L47" s="28">
        <v>28.92</v>
      </c>
      <c r="M47" s="28"/>
      <c r="N47" s="28"/>
    </row>
    <row r="48" spans="2:22" ht="0.75" customHeight="1"/>
    <row r="49" spans="2:14">
      <c r="B49" s="25" t="s">
        <v>11</v>
      </c>
      <c r="C49" s="25"/>
      <c r="D49" s="25" t="s">
        <v>48</v>
      </c>
      <c r="E49" s="25"/>
      <c r="F49" s="25"/>
      <c r="G49" s="1" t="s">
        <v>49</v>
      </c>
      <c r="H49" s="36">
        <v>45658</v>
      </c>
      <c r="I49" s="36"/>
      <c r="J49" s="36"/>
      <c r="K49" s="36"/>
      <c r="L49" s="28">
        <v>28.92</v>
      </c>
      <c r="M49" s="28"/>
      <c r="N49" s="28"/>
    </row>
    <row r="50" spans="2:14" ht="0.75" customHeight="1"/>
    <row r="51" spans="2:14">
      <c r="B51" s="25" t="s">
        <v>11</v>
      </c>
      <c r="C51" s="25"/>
      <c r="D51" s="25" t="s">
        <v>50</v>
      </c>
      <c r="E51" s="25"/>
      <c r="F51" s="25"/>
      <c r="G51" s="1" t="s">
        <v>51</v>
      </c>
      <c r="H51" s="36">
        <v>45627</v>
      </c>
      <c r="I51" s="36"/>
      <c r="J51" s="36"/>
      <c r="K51" s="36"/>
      <c r="L51" s="28">
        <v>28.92</v>
      </c>
      <c r="M51" s="28"/>
      <c r="N51" s="28"/>
    </row>
    <row r="52" spans="2:14" ht="0.75" customHeight="1"/>
    <row r="53" spans="2:14">
      <c r="B53" s="25" t="s">
        <v>11</v>
      </c>
      <c r="C53" s="25"/>
      <c r="D53" s="25" t="s">
        <v>52</v>
      </c>
      <c r="E53" s="25"/>
      <c r="F53" s="25"/>
      <c r="G53" s="1" t="s">
        <v>53</v>
      </c>
      <c r="H53" s="36">
        <v>45658</v>
      </c>
      <c r="I53" s="36"/>
      <c r="J53" s="36"/>
      <c r="K53" s="36"/>
      <c r="L53" s="28">
        <v>28.92</v>
      </c>
      <c r="M53" s="28"/>
      <c r="N53" s="28"/>
    </row>
    <row r="54" spans="2:14" ht="0.75" customHeight="1"/>
    <row r="55" spans="2:14">
      <c r="B55" s="25" t="s">
        <v>11</v>
      </c>
      <c r="C55" s="25"/>
      <c r="D55" s="25" t="s">
        <v>54</v>
      </c>
      <c r="E55" s="25"/>
      <c r="F55" s="25"/>
      <c r="G55" s="1" t="s">
        <v>55</v>
      </c>
      <c r="H55" s="36">
        <v>45658</v>
      </c>
      <c r="I55" s="36"/>
      <c r="J55" s="36"/>
      <c r="K55" s="36"/>
      <c r="L55" s="28">
        <v>28.92</v>
      </c>
      <c r="M55" s="28"/>
      <c r="N55" s="28"/>
    </row>
    <row r="56" spans="2:14" ht="0.75" customHeight="1"/>
    <row r="57" spans="2:14">
      <c r="B57" s="25" t="s">
        <v>11</v>
      </c>
      <c r="C57" s="25"/>
      <c r="D57" s="25" t="s">
        <v>56</v>
      </c>
      <c r="E57" s="25"/>
      <c r="F57" s="25"/>
      <c r="G57" s="1" t="s">
        <v>57</v>
      </c>
      <c r="H57" s="36">
        <v>45658</v>
      </c>
      <c r="I57" s="36"/>
      <c r="J57" s="36"/>
      <c r="K57" s="36"/>
      <c r="L57" s="28">
        <v>28.92</v>
      </c>
      <c r="M57" s="28"/>
      <c r="N57" s="28"/>
    </row>
    <row r="58" spans="2:14" ht="0.75" customHeight="1"/>
    <row r="59" spans="2:14">
      <c r="B59" s="25" t="s">
        <v>11</v>
      </c>
      <c r="C59" s="25"/>
      <c r="D59" s="25" t="s">
        <v>58</v>
      </c>
      <c r="E59" s="25"/>
      <c r="F59" s="25"/>
      <c r="G59" s="1" t="s">
        <v>59</v>
      </c>
      <c r="H59" s="36">
        <v>45658</v>
      </c>
      <c r="I59" s="36"/>
      <c r="J59" s="36"/>
      <c r="K59" s="36"/>
      <c r="L59" s="28">
        <v>28.92</v>
      </c>
      <c r="M59" s="28"/>
      <c r="N59" s="28"/>
    </row>
    <row r="60" spans="2:14" ht="0.75" customHeight="1"/>
    <row r="61" spans="2:14">
      <c r="B61" s="25" t="s">
        <v>11</v>
      </c>
      <c r="C61" s="25"/>
      <c r="D61" s="25" t="s">
        <v>60</v>
      </c>
      <c r="E61" s="25"/>
      <c r="F61" s="25"/>
      <c r="G61" s="1" t="s">
        <v>61</v>
      </c>
      <c r="H61" s="36">
        <v>45627</v>
      </c>
      <c r="I61" s="36"/>
      <c r="J61" s="36"/>
      <c r="K61" s="36"/>
      <c r="L61" s="28">
        <v>28.92</v>
      </c>
      <c r="M61" s="28"/>
      <c r="N61" s="28"/>
    </row>
    <row r="62" spans="2:14" ht="0.75" customHeight="1"/>
    <row r="63" spans="2:14">
      <c r="B63" s="25" t="s">
        <v>11</v>
      </c>
      <c r="C63" s="25"/>
      <c r="D63" s="25" t="s">
        <v>62</v>
      </c>
      <c r="E63" s="25"/>
      <c r="F63" s="25"/>
      <c r="G63" s="1" t="s">
        <v>63</v>
      </c>
      <c r="H63" s="36">
        <v>45658</v>
      </c>
      <c r="I63" s="36"/>
      <c r="J63" s="36"/>
      <c r="K63" s="36"/>
      <c r="L63" s="28">
        <v>28.92</v>
      </c>
      <c r="M63" s="28"/>
      <c r="N63" s="28"/>
    </row>
    <row r="64" spans="2:14" ht="0.75" customHeight="1"/>
    <row r="65" spans="2:14">
      <c r="B65" s="25" t="s">
        <v>11</v>
      </c>
      <c r="C65" s="25"/>
      <c r="D65" s="25" t="s">
        <v>64</v>
      </c>
      <c r="E65" s="25"/>
      <c r="F65" s="25"/>
      <c r="G65" s="1" t="s">
        <v>65</v>
      </c>
      <c r="H65" s="36">
        <v>45597</v>
      </c>
      <c r="I65" s="36"/>
      <c r="J65" s="36"/>
      <c r="K65" s="36"/>
      <c r="L65" s="28">
        <v>28.92</v>
      </c>
      <c r="M65" s="28"/>
      <c r="N65" s="28"/>
    </row>
    <row r="66" spans="2:14" ht="0.75" customHeight="1"/>
    <row r="67" spans="2:14">
      <c r="B67" s="25" t="s">
        <v>11</v>
      </c>
      <c r="C67" s="25"/>
      <c r="D67" s="25" t="s">
        <v>66</v>
      </c>
      <c r="E67" s="25"/>
      <c r="F67" s="25"/>
      <c r="G67" s="1" t="s">
        <v>67</v>
      </c>
      <c r="H67" s="36">
        <v>45658</v>
      </c>
      <c r="I67" s="36"/>
      <c r="J67" s="36"/>
      <c r="K67" s="36"/>
      <c r="L67" s="28">
        <v>28.92</v>
      </c>
      <c r="M67" s="28"/>
      <c r="N67" s="28"/>
    </row>
    <row r="68" spans="2:14" ht="0.75" customHeight="1"/>
    <row r="69" spans="2:14">
      <c r="B69" s="25" t="s">
        <v>11</v>
      </c>
      <c r="C69" s="25"/>
      <c r="D69" s="25" t="s">
        <v>68</v>
      </c>
      <c r="E69" s="25"/>
      <c r="F69" s="25"/>
      <c r="G69" s="1" t="s">
        <v>69</v>
      </c>
      <c r="H69" s="36">
        <v>43101</v>
      </c>
      <c r="I69" s="36"/>
      <c r="J69" s="36"/>
      <c r="K69" s="36"/>
      <c r="L69" s="28">
        <v>28.92</v>
      </c>
      <c r="M69" s="28"/>
      <c r="N69" s="28"/>
    </row>
    <row r="70" spans="2:14" ht="0.75" customHeight="1"/>
    <row r="71" spans="2:14">
      <c r="B71" s="25" t="s">
        <v>11</v>
      </c>
      <c r="C71" s="25"/>
      <c r="D71" s="25" t="s">
        <v>70</v>
      </c>
      <c r="E71" s="25"/>
      <c r="F71" s="25"/>
      <c r="G71" s="1" t="s">
        <v>71</v>
      </c>
      <c r="H71" s="36">
        <v>45658</v>
      </c>
      <c r="I71" s="36"/>
      <c r="J71" s="36"/>
      <c r="K71" s="36"/>
      <c r="L71" s="28">
        <v>28.92</v>
      </c>
      <c r="M71" s="28"/>
      <c r="N71" s="28"/>
    </row>
    <row r="72" spans="2:14" ht="0.75" customHeight="1"/>
    <row r="73" spans="2:14">
      <c r="B73" s="25" t="s">
        <v>11</v>
      </c>
      <c r="C73" s="25"/>
      <c r="D73" s="25" t="s">
        <v>72</v>
      </c>
      <c r="E73" s="25"/>
      <c r="F73" s="25"/>
      <c r="G73" s="1" t="s">
        <v>73</v>
      </c>
      <c r="H73" s="36">
        <v>45597</v>
      </c>
      <c r="I73" s="36"/>
      <c r="J73" s="36"/>
      <c r="K73" s="36"/>
      <c r="L73" s="28">
        <v>28.92</v>
      </c>
      <c r="M73" s="28"/>
      <c r="N73" s="28"/>
    </row>
    <row r="74" spans="2:14" ht="0.75" customHeight="1"/>
    <row r="75" spans="2:14">
      <c r="B75" s="25" t="s">
        <v>11</v>
      </c>
      <c r="C75" s="25"/>
      <c r="D75" s="25" t="s">
        <v>74</v>
      </c>
      <c r="E75" s="25"/>
      <c r="F75" s="25"/>
      <c r="G75" s="1" t="s">
        <v>75</v>
      </c>
      <c r="H75" s="36">
        <v>45658</v>
      </c>
      <c r="I75" s="36"/>
      <c r="J75" s="36"/>
      <c r="K75" s="36"/>
      <c r="L75" s="28">
        <v>28.92</v>
      </c>
      <c r="M75" s="28"/>
      <c r="N75" s="28"/>
    </row>
    <row r="76" spans="2:14" ht="0.75" customHeight="1"/>
    <row r="77" spans="2:14">
      <c r="B77" s="25" t="s">
        <v>11</v>
      </c>
      <c r="C77" s="25"/>
      <c r="D77" s="25" t="s">
        <v>76</v>
      </c>
      <c r="E77" s="25"/>
      <c r="F77" s="25"/>
      <c r="G77" s="1" t="s">
        <v>77</v>
      </c>
      <c r="H77" s="36">
        <v>45627</v>
      </c>
      <c r="I77" s="36"/>
      <c r="J77" s="36"/>
      <c r="K77" s="36"/>
      <c r="L77" s="28">
        <v>28.92</v>
      </c>
      <c r="M77" s="28"/>
      <c r="N77" s="28"/>
    </row>
    <row r="78" spans="2:14" ht="0.75" customHeight="1"/>
    <row r="79" spans="2:14">
      <c r="B79" s="25" t="s">
        <v>11</v>
      </c>
      <c r="C79" s="25"/>
      <c r="D79" s="25" t="s">
        <v>78</v>
      </c>
      <c r="E79" s="25"/>
      <c r="F79" s="25"/>
      <c r="G79" s="1" t="s">
        <v>79</v>
      </c>
      <c r="H79" s="36">
        <v>45658</v>
      </c>
      <c r="I79" s="36"/>
      <c r="J79" s="36"/>
      <c r="K79" s="36"/>
      <c r="L79" s="28">
        <v>28.92</v>
      </c>
      <c r="M79" s="28"/>
      <c r="N79" s="28"/>
    </row>
    <row r="80" spans="2:14" ht="0.75" customHeight="1"/>
    <row r="81" spans="2:22">
      <c r="B81" s="25" t="s">
        <v>11</v>
      </c>
      <c r="C81" s="25"/>
      <c r="D81" s="25" t="s">
        <v>80</v>
      </c>
      <c r="E81" s="25"/>
      <c r="F81" s="25"/>
      <c r="G81" s="1" t="s">
        <v>81</v>
      </c>
      <c r="H81" s="36">
        <v>45505</v>
      </c>
      <c r="I81" s="36"/>
      <c r="J81" s="36"/>
      <c r="K81" s="36"/>
      <c r="L81" s="28">
        <v>28.92</v>
      </c>
      <c r="M81" s="28"/>
      <c r="N81" s="28"/>
    </row>
    <row r="82" spans="2:22" ht="0.75" customHeight="1"/>
    <row r="83" spans="2:22">
      <c r="B83" s="25" t="s">
        <v>11</v>
      </c>
      <c r="C83" s="25"/>
      <c r="D83" s="25" t="s">
        <v>82</v>
      </c>
      <c r="E83" s="25"/>
      <c r="F83" s="25"/>
      <c r="G83" s="1" t="s">
        <v>83</v>
      </c>
      <c r="H83" s="36">
        <v>45658</v>
      </c>
      <c r="I83" s="36"/>
      <c r="J83" s="36"/>
      <c r="K83" s="36"/>
      <c r="L83" s="28">
        <v>28.92</v>
      </c>
      <c r="M83" s="28"/>
      <c r="N83" s="28"/>
    </row>
    <row r="84" spans="2:22" ht="12" customHeight="1"/>
    <row r="85" spans="2:22">
      <c r="B85" s="21" t="s">
        <v>84</v>
      </c>
      <c r="C85" s="21"/>
      <c r="D85" s="21"/>
      <c r="E85" s="21"/>
      <c r="F85" s="21"/>
      <c r="L85" s="22">
        <v>636.24</v>
      </c>
      <c r="M85" s="22"/>
      <c r="N85" s="22"/>
    </row>
    <row r="86" spans="2:22">
      <c r="B86" s="33" t="s">
        <v>85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2:22">
      <c r="B87" s="34" t="s">
        <v>1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 spans="2:22" ht="2.25" customHeight="1"/>
    <row r="89" spans="2:22">
      <c r="B89" s="35" t="s">
        <v>2</v>
      </c>
      <c r="C89" s="35"/>
      <c r="D89" s="35" t="s">
        <v>3</v>
      </c>
      <c r="E89" s="35"/>
      <c r="F89" s="35"/>
      <c r="G89" s="35" t="s">
        <v>4</v>
      </c>
      <c r="H89" s="35" t="s">
        <v>86</v>
      </c>
      <c r="I89" s="35"/>
      <c r="J89" s="35"/>
      <c r="K89" s="35"/>
      <c r="L89" s="35" t="s">
        <v>6</v>
      </c>
      <c r="M89" s="35"/>
      <c r="N89" s="29" t="s">
        <v>19</v>
      </c>
      <c r="O89" s="29"/>
      <c r="Q89" s="29" t="s">
        <v>10</v>
      </c>
      <c r="R89" s="29"/>
    </row>
    <row r="90" spans="2:22"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29"/>
      <c r="O90" s="29"/>
      <c r="Q90" s="29"/>
      <c r="R90" s="29"/>
    </row>
    <row r="91" spans="2:22">
      <c r="B91" s="25" t="s">
        <v>87</v>
      </c>
      <c r="C91" s="25"/>
      <c r="D91" s="25" t="s">
        <v>88</v>
      </c>
      <c r="E91" s="25"/>
      <c r="F91" s="25"/>
      <c r="G91" s="1" t="s">
        <v>89</v>
      </c>
      <c r="H91" s="26">
        <v>1</v>
      </c>
      <c r="I91" s="26"/>
      <c r="J91" s="26"/>
      <c r="K91" s="26"/>
      <c r="L91" s="27">
        <v>100</v>
      </c>
      <c r="M91" s="27"/>
      <c r="N91" s="28">
        <v>161.15183999999999</v>
      </c>
      <c r="O91" s="28"/>
      <c r="Q91" s="28">
        <v>33.840000000000003</v>
      </c>
      <c r="R91" s="28"/>
    </row>
    <row r="92" spans="2:22">
      <c r="B92" s="25" t="s">
        <v>38</v>
      </c>
      <c r="C92" s="25"/>
      <c r="D92" s="25" t="s">
        <v>90</v>
      </c>
      <c r="E92" s="25"/>
      <c r="F92" s="25"/>
      <c r="G92" s="1" t="s">
        <v>91</v>
      </c>
      <c r="H92" s="26">
        <v>1</v>
      </c>
      <c r="I92" s="26"/>
      <c r="J92" s="26"/>
      <c r="K92" s="26"/>
      <c r="L92" s="27">
        <v>100</v>
      </c>
      <c r="M92" s="27"/>
      <c r="N92" s="28">
        <v>203.92452</v>
      </c>
      <c r="O92" s="28"/>
      <c r="Q92" s="28">
        <v>42.82</v>
      </c>
      <c r="R92" s="28"/>
    </row>
    <row r="93" spans="2:22">
      <c r="B93" s="25" t="s">
        <v>43</v>
      </c>
      <c r="C93" s="25"/>
      <c r="D93" s="25" t="s">
        <v>92</v>
      </c>
      <c r="E93" s="25"/>
      <c r="F93" s="25"/>
      <c r="G93" s="1" t="s">
        <v>93</v>
      </c>
      <c r="H93" s="26">
        <v>1</v>
      </c>
      <c r="I93" s="26"/>
      <c r="J93" s="26"/>
      <c r="K93" s="26"/>
      <c r="L93" s="27">
        <v>100</v>
      </c>
      <c r="M93" s="27"/>
      <c r="N93" s="28">
        <v>187.02448000000001</v>
      </c>
      <c r="O93" s="28"/>
      <c r="Q93" s="28">
        <v>39.28</v>
      </c>
      <c r="R93" s="28"/>
    </row>
    <row r="94" spans="2:22">
      <c r="B94" s="25" t="s">
        <v>43</v>
      </c>
      <c r="C94" s="25"/>
      <c r="D94" s="25" t="s">
        <v>94</v>
      </c>
      <c r="E94" s="25"/>
      <c r="F94" s="25"/>
      <c r="G94" s="1" t="s">
        <v>95</v>
      </c>
      <c r="H94" s="26">
        <v>1</v>
      </c>
      <c r="I94" s="26"/>
      <c r="J94" s="26"/>
      <c r="K94" s="26"/>
      <c r="L94" s="27">
        <v>100</v>
      </c>
      <c r="M94" s="27"/>
      <c r="N94" s="28">
        <v>201.30176</v>
      </c>
      <c r="O94" s="28"/>
      <c r="Q94" s="28">
        <v>42.27</v>
      </c>
      <c r="R94" s="28"/>
    </row>
    <row r="95" spans="2:22">
      <c r="B95" s="25" t="s">
        <v>43</v>
      </c>
      <c r="C95" s="25"/>
      <c r="D95" s="25" t="s">
        <v>96</v>
      </c>
      <c r="E95" s="25"/>
      <c r="F95" s="25"/>
      <c r="G95" s="1" t="s">
        <v>97</v>
      </c>
      <c r="H95" s="26">
        <v>1</v>
      </c>
      <c r="I95" s="26"/>
      <c r="J95" s="26"/>
      <c r="K95" s="26"/>
      <c r="L95" s="27">
        <v>100</v>
      </c>
      <c r="M95" s="27"/>
      <c r="N95" s="28">
        <v>182.58748</v>
      </c>
      <c r="O95" s="28"/>
      <c r="Q95" s="28">
        <v>38.340000000000003</v>
      </c>
      <c r="R95" s="28"/>
    </row>
    <row r="96" spans="2:22">
      <c r="B96" s="25" t="s">
        <v>43</v>
      </c>
      <c r="C96" s="25"/>
      <c r="D96" s="25" t="s">
        <v>98</v>
      </c>
      <c r="E96" s="25"/>
      <c r="F96" s="25"/>
      <c r="G96" s="1" t="s">
        <v>99</v>
      </c>
      <c r="H96" s="26">
        <v>1</v>
      </c>
      <c r="I96" s="26"/>
      <c r="J96" s="26"/>
      <c r="K96" s="26"/>
      <c r="L96" s="27">
        <v>100</v>
      </c>
      <c r="M96" s="27"/>
      <c r="N96" s="28">
        <v>172.99369999999999</v>
      </c>
      <c r="O96" s="28"/>
      <c r="Q96" s="28">
        <v>36.33</v>
      </c>
      <c r="R96" s="28"/>
    </row>
    <row r="97" spans="2:22">
      <c r="B97" s="25" t="s">
        <v>43</v>
      </c>
      <c r="C97" s="25"/>
      <c r="D97" s="25" t="s">
        <v>100</v>
      </c>
      <c r="E97" s="25"/>
      <c r="F97" s="25"/>
      <c r="G97" s="1" t="s">
        <v>101</v>
      </c>
      <c r="H97" s="26">
        <v>1</v>
      </c>
      <c r="I97" s="26"/>
      <c r="J97" s="26"/>
      <c r="K97" s="26"/>
      <c r="L97" s="27">
        <v>100</v>
      </c>
      <c r="M97" s="27"/>
      <c r="N97" s="28">
        <v>221.32741999999999</v>
      </c>
      <c r="O97" s="28"/>
      <c r="Q97" s="28">
        <v>46.48</v>
      </c>
      <c r="R97" s="28"/>
    </row>
    <row r="98" spans="2:22" ht="40.5" customHeight="1"/>
    <row r="99" spans="2:22" ht="21">
      <c r="J99" s="30" t="s">
        <v>25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  <row r="100" spans="2:22" ht="33.75" customHeight="1"/>
    <row r="101" spans="2:22" ht="18">
      <c r="B101" s="31" t="s">
        <v>26</v>
      </c>
      <c r="C101" s="31"/>
      <c r="D101" s="31"/>
      <c r="E101" s="31"/>
      <c r="F101" s="31"/>
      <c r="G101" s="31"/>
      <c r="H101" s="31"/>
      <c r="I101" s="31"/>
      <c r="J101" s="32" t="s">
        <v>27</v>
      </c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</row>
    <row r="102" spans="2:22" ht="14.25" customHeight="1"/>
    <row r="103" spans="2:22">
      <c r="B103" s="33" t="s">
        <v>85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spans="2:22">
      <c r="B104" s="34" t="s">
        <v>1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spans="2:22" ht="2.25" customHeight="1"/>
    <row r="106" spans="2:22">
      <c r="B106" s="35" t="s">
        <v>2</v>
      </c>
      <c r="C106" s="35"/>
      <c r="D106" s="35" t="s">
        <v>3</v>
      </c>
      <c r="E106" s="35"/>
      <c r="F106" s="35"/>
      <c r="G106" s="35" t="s">
        <v>4</v>
      </c>
      <c r="H106" s="35" t="s">
        <v>86</v>
      </c>
      <c r="I106" s="35"/>
      <c r="J106" s="35"/>
      <c r="K106" s="35"/>
      <c r="L106" s="35" t="s">
        <v>6</v>
      </c>
      <c r="M106" s="35"/>
      <c r="N106" s="29" t="s">
        <v>19</v>
      </c>
      <c r="O106" s="29"/>
      <c r="Q106" s="29" t="s">
        <v>10</v>
      </c>
      <c r="R106" s="29"/>
    </row>
    <row r="107" spans="2:22"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29"/>
      <c r="O107" s="29"/>
      <c r="Q107" s="29"/>
      <c r="R107" s="29"/>
    </row>
    <row r="108" spans="2:22">
      <c r="B108" s="25" t="s">
        <v>43</v>
      </c>
      <c r="C108" s="25"/>
      <c r="D108" s="25" t="s">
        <v>102</v>
      </c>
      <c r="E108" s="25"/>
      <c r="F108" s="25"/>
      <c r="G108" s="1" t="s">
        <v>103</v>
      </c>
      <c r="H108" s="26">
        <v>1</v>
      </c>
      <c r="I108" s="26"/>
      <c r="J108" s="26"/>
      <c r="K108" s="26"/>
      <c r="L108" s="27">
        <v>100</v>
      </c>
      <c r="M108" s="27"/>
      <c r="N108" s="28">
        <v>157.29658000000001</v>
      </c>
      <c r="O108" s="28"/>
      <c r="Q108" s="28">
        <v>33.03</v>
      </c>
      <c r="R108" s="28"/>
    </row>
    <row r="109" spans="2:22">
      <c r="B109" s="25" t="s">
        <v>43</v>
      </c>
      <c r="C109" s="25"/>
      <c r="D109" s="25" t="s">
        <v>104</v>
      </c>
      <c r="E109" s="25"/>
      <c r="F109" s="25"/>
      <c r="G109" s="1" t="s">
        <v>105</v>
      </c>
      <c r="H109" s="26">
        <v>1</v>
      </c>
      <c r="I109" s="26"/>
      <c r="J109" s="26"/>
      <c r="K109" s="26"/>
      <c r="L109" s="27">
        <v>100</v>
      </c>
      <c r="M109" s="27"/>
      <c r="N109" s="28">
        <v>194.97164000000001</v>
      </c>
      <c r="O109" s="28"/>
      <c r="Q109" s="28">
        <v>40.94</v>
      </c>
      <c r="R109" s="28"/>
    </row>
    <row r="110" spans="2:22">
      <c r="B110" s="25" t="s">
        <v>43</v>
      </c>
      <c r="C110" s="25"/>
      <c r="D110" s="25" t="s">
        <v>106</v>
      </c>
      <c r="E110" s="25"/>
      <c r="F110" s="25"/>
      <c r="G110" s="1" t="s">
        <v>107</v>
      </c>
      <c r="H110" s="26">
        <v>1</v>
      </c>
      <c r="I110" s="26"/>
      <c r="J110" s="26"/>
      <c r="K110" s="26"/>
      <c r="L110" s="27">
        <v>100</v>
      </c>
      <c r="M110" s="27"/>
      <c r="N110" s="28">
        <v>145.50402</v>
      </c>
      <c r="O110" s="28"/>
      <c r="Q110" s="28">
        <v>30.56</v>
      </c>
      <c r="R110" s="28"/>
    </row>
    <row r="111" spans="2:22">
      <c r="B111" s="25" t="s">
        <v>43</v>
      </c>
      <c r="C111" s="25"/>
      <c r="D111" s="25" t="s">
        <v>108</v>
      </c>
      <c r="E111" s="25"/>
      <c r="F111" s="25"/>
      <c r="G111" s="1" t="s">
        <v>109</v>
      </c>
      <c r="H111" s="26">
        <v>1</v>
      </c>
      <c r="I111" s="26"/>
      <c r="J111" s="26"/>
      <c r="K111" s="26"/>
      <c r="L111" s="27">
        <v>100</v>
      </c>
      <c r="M111" s="27"/>
      <c r="N111" s="28">
        <v>195.6224</v>
      </c>
      <c r="O111" s="28"/>
      <c r="Q111" s="28">
        <v>41.08</v>
      </c>
      <c r="R111" s="28"/>
    </row>
    <row r="112" spans="2:22">
      <c r="B112" s="25" t="s">
        <v>43</v>
      </c>
      <c r="C112" s="25"/>
      <c r="D112" s="25" t="s">
        <v>110</v>
      </c>
      <c r="E112" s="25"/>
      <c r="F112" s="25"/>
      <c r="G112" s="1" t="s">
        <v>111</v>
      </c>
      <c r="H112" s="26">
        <v>1</v>
      </c>
      <c r="I112" s="26"/>
      <c r="J112" s="26"/>
      <c r="K112" s="26"/>
      <c r="L112" s="27">
        <v>100</v>
      </c>
      <c r="M112" s="27"/>
      <c r="N112" s="28">
        <v>218.56662</v>
      </c>
      <c r="O112" s="28"/>
      <c r="Q112" s="28">
        <v>45.9</v>
      </c>
      <c r="R112" s="28"/>
    </row>
    <row r="113" spans="2:25">
      <c r="B113" s="25" t="s">
        <v>43</v>
      </c>
      <c r="C113" s="25"/>
      <c r="D113" s="25" t="s">
        <v>112</v>
      </c>
      <c r="E113" s="25"/>
      <c r="F113" s="25"/>
      <c r="G113" s="1" t="s">
        <v>113</v>
      </c>
      <c r="H113" s="26">
        <v>1</v>
      </c>
      <c r="I113" s="26"/>
      <c r="J113" s="26"/>
      <c r="K113" s="26"/>
      <c r="L113" s="27">
        <v>100</v>
      </c>
      <c r="M113" s="27"/>
      <c r="N113" s="28">
        <v>145.50402</v>
      </c>
      <c r="O113" s="28"/>
      <c r="Q113" s="28">
        <v>30.56</v>
      </c>
      <c r="R113" s="28"/>
    </row>
    <row r="114" spans="2:25">
      <c r="B114" s="25" t="s">
        <v>43</v>
      </c>
      <c r="C114" s="25"/>
      <c r="D114" s="25" t="s">
        <v>114</v>
      </c>
      <c r="E114" s="25"/>
      <c r="F114" s="25"/>
      <c r="G114" s="1" t="s">
        <v>115</v>
      </c>
      <c r="H114" s="26">
        <v>1</v>
      </c>
      <c r="I114" s="26"/>
      <c r="J114" s="26"/>
      <c r="K114" s="26"/>
      <c r="L114" s="27">
        <v>100</v>
      </c>
      <c r="M114" s="27"/>
      <c r="N114" s="28">
        <v>36.178213399999997</v>
      </c>
      <c r="O114" s="28"/>
      <c r="Q114" s="28">
        <v>7.6</v>
      </c>
      <c r="R114" s="28"/>
    </row>
    <row r="115" spans="2:25">
      <c r="B115" s="25" t="s">
        <v>43</v>
      </c>
      <c r="C115" s="25"/>
      <c r="D115" s="25" t="s">
        <v>116</v>
      </c>
      <c r="E115" s="25"/>
      <c r="F115" s="25"/>
      <c r="G115" s="1" t="s">
        <v>117</v>
      </c>
      <c r="H115" s="26">
        <v>1</v>
      </c>
      <c r="I115" s="26"/>
      <c r="J115" s="26"/>
      <c r="K115" s="26"/>
      <c r="L115" s="27">
        <v>100</v>
      </c>
      <c r="M115" s="27"/>
      <c r="N115" s="28">
        <v>165.22402</v>
      </c>
      <c r="O115" s="28"/>
      <c r="Q115" s="28">
        <v>34.700000000000003</v>
      </c>
      <c r="R115" s="28"/>
    </row>
    <row r="116" spans="2:25">
      <c r="B116" s="25" t="s">
        <v>43</v>
      </c>
      <c r="C116" s="25"/>
      <c r="D116" s="25" t="s">
        <v>118</v>
      </c>
      <c r="E116" s="25"/>
      <c r="F116" s="25"/>
      <c r="G116" s="1" t="s">
        <v>119</v>
      </c>
      <c r="H116" s="26">
        <v>1</v>
      </c>
      <c r="I116" s="26"/>
      <c r="J116" s="26"/>
      <c r="K116" s="26"/>
      <c r="L116" s="27">
        <v>100</v>
      </c>
      <c r="M116" s="27"/>
      <c r="N116" s="28">
        <v>157.29658000000001</v>
      </c>
      <c r="O116" s="28"/>
      <c r="Q116" s="28">
        <v>33.03</v>
      </c>
      <c r="R116" s="28"/>
    </row>
    <row r="117" spans="2:25">
      <c r="B117" s="25" t="s">
        <v>43</v>
      </c>
      <c r="C117" s="25"/>
      <c r="D117" s="25" t="s">
        <v>120</v>
      </c>
      <c r="E117" s="25"/>
      <c r="F117" s="25"/>
      <c r="G117" s="1" t="s">
        <v>121</v>
      </c>
      <c r="H117" s="26">
        <v>1</v>
      </c>
      <c r="I117" s="26"/>
      <c r="J117" s="26"/>
      <c r="K117" s="26"/>
      <c r="L117" s="27">
        <v>100</v>
      </c>
      <c r="M117" s="27"/>
      <c r="N117" s="28">
        <v>236.16672</v>
      </c>
      <c r="O117" s="28"/>
      <c r="Q117" s="28">
        <v>49.6</v>
      </c>
      <c r="R117" s="28"/>
    </row>
    <row r="118" spans="2:25">
      <c r="B118" s="25" t="s">
        <v>11</v>
      </c>
      <c r="C118" s="25"/>
      <c r="D118" s="25" t="s">
        <v>122</v>
      </c>
      <c r="E118" s="25"/>
      <c r="F118" s="25"/>
      <c r="G118" s="1" t="s">
        <v>123</v>
      </c>
      <c r="H118" s="26">
        <v>1</v>
      </c>
      <c r="I118" s="26"/>
      <c r="J118" s="26"/>
      <c r="K118" s="26"/>
      <c r="L118" s="27">
        <v>100</v>
      </c>
      <c r="M118" s="27"/>
      <c r="N118" s="28">
        <v>145.50402</v>
      </c>
      <c r="O118" s="28"/>
      <c r="Q118" s="28">
        <v>30.56</v>
      </c>
      <c r="R118" s="28"/>
    </row>
    <row r="119" spans="2:25">
      <c r="B119" s="25" t="s">
        <v>11</v>
      </c>
      <c r="C119" s="25"/>
      <c r="D119" s="25" t="s">
        <v>124</v>
      </c>
      <c r="E119" s="25"/>
      <c r="F119" s="25"/>
      <c r="G119" s="1" t="s">
        <v>125</v>
      </c>
      <c r="H119" s="26">
        <v>1</v>
      </c>
      <c r="I119" s="26"/>
      <c r="J119" s="26"/>
      <c r="K119" s="26"/>
      <c r="L119" s="27">
        <v>100</v>
      </c>
      <c r="M119" s="27"/>
      <c r="N119" s="28">
        <v>157.29658000000001</v>
      </c>
      <c r="O119" s="28"/>
      <c r="Q119" s="28">
        <v>33.03</v>
      </c>
      <c r="R119" s="28"/>
    </row>
    <row r="120" spans="2:25">
      <c r="B120" s="21" t="s">
        <v>126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2">
        <v>3285.4426134</v>
      </c>
      <c r="O120" s="22"/>
      <c r="Q120" s="22">
        <v>689.95</v>
      </c>
      <c r="R120" s="22"/>
      <c r="Y120" s="20"/>
    </row>
    <row r="121" spans="2:25" ht="6" customHeight="1"/>
    <row r="122" spans="2:25">
      <c r="B122" s="23" t="s">
        <v>24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4">
        <v>1326.19</v>
      </c>
      <c r="V122" s="24"/>
    </row>
    <row r="123" spans="2:25" ht="8.25" customHeight="1"/>
    <row r="124" spans="2:25" ht="12.75" customHeight="1"/>
    <row r="125" spans="2:25" ht="12.75" customHeight="1"/>
  </sheetData>
  <mergeCells count="294">
    <mergeCell ref="G15:G16"/>
    <mergeCell ref="I15:L16"/>
    <mergeCell ref="M15:O16"/>
    <mergeCell ref="P15:Q16"/>
    <mergeCell ref="R15:T16"/>
    <mergeCell ref="U5:V6"/>
    <mergeCell ref="B2:V2"/>
    <mergeCell ref="B3:V3"/>
    <mergeCell ref="B5:C6"/>
    <mergeCell ref="D5:F6"/>
    <mergeCell ref="G5:G6"/>
    <mergeCell ref="H5:K6"/>
    <mergeCell ref="L5:M6"/>
    <mergeCell ref="N5:O6"/>
    <mergeCell ref="Q5:R6"/>
    <mergeCell ref="S5:T6"/>
    <mergeCell ref="I29:L29"/>
    <mergeCell ref="Q18:R18"/>
    <mergeCell ref="Q19:R19"/>
    <mergeCell ref="B20:J20"/>
    <mergeCell ref="N20:O20"/>
    <mergeCell ref="Q20:R20"/>
    <mergeCell ref="B22:T22"/>
    <mergeCell ref="S7:T7"/>
    <mergeCell ref="U7:V7"/>
    <mergeCell ref="Q9:R9"/>
    <mergeCell ref="U9:V9"/>
    <mergeCell ref="B10:P10"/>
    <mergeCell ref="Q10:R10"/>
    <mergeCell ref="U10:V10"/>
    <mergeCell ref="B7:C7"/>
    <mergeCell ref="D7:F7"/>
    <mergeCell ref="H7:K7"/>
    <mergeCell ref="L7:M7"/>
    <mergeCell ref="N7:O7"/>
    <mergeCell ref="Q7:R7"/>
    <mergeCell ref="B12:V12"/>
    <mergeCell ref="B13:V13"/>
    <mergeCell ref="B15:C16"/>
    <mergeCell ref="D15:F16"/>
    <mergeCell ref="B18:C18"/>
    <mergeCell ref="D18:F18"/>
    <mergeCell ref="H18:K18"/>
    <mergeCell ref="L18:M18"/>
    <mergeCell ref="N18:O18"/>
    <mergeCell ref="B35:V35"/>
    <mergeCell ref="B36:V36"/>
    <mergeCell ref="B38:C39"/>
    <mergeCell ref="D38:F39"/>
    <mergeCell ref="G38:G39"/>
    <mergeCell ref="H38:K39"/>
    <mergeCell ref="L38:N39"/>
    <mergeCell ref="E30:H30"/>
    <mergeCell ref="I30:L30"/>
    <mergeCell ref="E31:H31"/>
    <mergeCell ref="I31:L31"/>
    <mergeCell ref="E33:H33"/>
    <mergeCell ref="I33:L33"/>
    <mergeCell ref="U22:V22"/>
    <mergeCell ref="J25:U25"/>
    <mergeCell ref="B27:I27"/>
    <mergeCell ref="J27:U27"/>
    <mergeCell ref="E28:H28"/>
    <mergeCell ref="E29:H29"/>
    <mergeCell ref="H45:K45"/>
    <mergeCell ref="L45:N45"/>
    <mergeCell ref="B47:C47"/>
    <mergeCell ref="D47:F47"/>
    <mergeCell ref="H47:K47"/>
    <mergeCell ref="L47:N47"/>
    <mergeCell ref="B41:C41"/>
    <mergeCell ref="D41:F41"/>
    <mergeCell ref="H41:K41"/>
    <mergeCell ref="L41:N41"/>
    <mergeCell ref="B43:C43"/>
    <mergeCell ref="D43:F43"/>
    <mergeCell ref="H43:K43"/>
    <mergeCell ref="L43:N43"/>
    <mergeCell ref="B45:C45"/>
    <mergeCell ref="D45:F45"/>
    <mergeCell ref="B57:C57"/>
    <mergeCell ref="D57:F57"/>
    <mergeCell ref="H57:K57"/>
    <mergeCell ref="L57:N57"/>
    <mergeCell ref="B53:C53"/>
    <mergeCell ref="D53:F53"/>
    <mergeCell ref="H53:K53"/>
    <mergeCell ref="L53:N53"/>
    <mergeCell ref="B55:C55"/>
    <mergeCell ref="D55:F55"/>
    <mergeCell ref="B49:C49"/>
    <mergeCell ref="D49:F49"/>
    <mergeCell ref="H49:K49"/>
    <mergeCell ref="L49:N49"/>
    <mergeCell ref="B51:C51"/>
    <mergeCell ref="D51:F51"/>
    <mergeCell ref="H51:K51"/>
    <mergeCell ref="L51:N51"/>
    <mergeCell ref="H55:K55"/>
    <mergeCell ref="L55:N55"/>
    <mergeCell ref="B69:C69"/>
    <mergeCell ref="D69:F69"/>
    <mergeCell ref="H69:K69"/>
    <mergeCell ref="L69:N69"/>
    <mergeCell ref="B71:C71"/>
    <mergeCell ref="D71:F71"/>
    <mergeCell ref="H71:K71"/>
    <mergeCell ref="L71:N71"/>
    <mergeCell ref="H65:K65"/>
    <mergeCell ref="L65:N65"/>
    <mergeCell ref="B67:C67"/>
    <mergeCell ref="D67:F67"/>
    <mergeCell ref="H67:K67"/>
    <mergeCell ref="L67:N67"/>
    <mergeCell ref="B61:C61"/>
    <mergeCell ref="D61:F61"/>
    <mergeCell ref="H61:K61"/>
    <mergeCell ref="L61:N61"/>
    <mergeCell ref="B59:C59"/>
    <mergeCell ref="D59:F59"/>
    <mergeCell ref="H59:K59"/>
    <mergeCell ref="L59:N59"/>
    <mergeCell ref="D81:F81"/>
    <mergeCell ref="H81:K81"/>
    <mergeCell ref="L81:N81"/>
    <mergeCell ref="B63:C63"/>
    <mergeCell ref="D63:F63"/>
    <mergeCell ref="H63:K63"/>
    <mergeCell ref="L63:N63"/>
    <mergeCell ref="B65:C65"/>
    <mergeCell ref="D65:F65"/>
    <mergeCell ref="B77:C77"/>
    <mergeCell ref="D77:F77"/>
    <mergeCell ref="H77:K77"/>
    <mergeCell ref="L77:N77"/>
    <mergeCell ref="B79:C79"/>
    <mergeCell ref="D79:F79"/>
    <mergeCell ref="H79:K79"/>
    <mergeCell ref="L79:N79"/>
    <mergeCell ref="B73:C73"/>
    <mergeCell ref="D73:F73"/>
    <mergeCell ref="H73:K73"/>
    <mergeCell ref="L73:N73"/>
    <mergeCell ref="B75:C75"/>
    <mergeCell ref="D75:F75"/>
    <mergeCell ref="H75:K75"/>
    <mergeCell ref="L75:N75"/>
    <mergeCell ref="B91:C91"/>
    <mergeCell ref="D91:F91"/>
    <mergeCell ref="H91:K91"/>
    <mergeCell ref="L91:M91"/>
    <mergeCell ref="N91:O91"/>
    <mergeCell ref="Q91:R91"/>
    <mergeCell ref="B86:V86"/>
    <mergeCell ref="B87:V87"/>
    <mergeCell ref="B89:C90"/>
    <mergeCell ref="D89:F90"/>
    <mergeCell ref="G89:G90"/>
    <mergeCell ref="H89:K90"/>
    <mergeCell ref="L89:M90"/>
    <mergeCell ref="N89:O90"/>
    <mergeCell ref="Q89:R90"/>
    <mergeCell ref="B83:C83"/>
    <mergeCell ref="D83:F83"/>
    <mergeCell ref="H83:K83"/>
    <mergeCell ref="L83:N83"/>
    <mergeCell ref="B85:F85"/>
    <mergeCell ref="L85:N85"/>
    <mergeCell ref="B81:C81"/>
    <mergeCell ref="B94:C94"/>
    <mergeCell ref="D94:F94"/>
    <mergeCell ref="H94:K94"/>
    <mergeCell ref="L94:M94"/>
    <mergeCell ref="N94:O94"/>
    <mergeCell ref="Q94:R94"/>
    <mergeCell ref="B93:C93"/>
    <mergeCell ref="D93:F93"/>
    <mergeCell ref="H93:K93"/>
    <mergeCell ref="L93:M93"/>
    <mergeCell ref="N93:O93"/>
    <mergeCell ref="Q93:R93"/>
    <mergeCell ref="B92:C92"/>
    <mergeCell ref="D92:F92"/>
    <mergeCell ref="H92:K92"/>
    <mergeCell ref="L92:M92"/>
    <mergeCell ref="N92:O92"/>
    <mergeCell ref="Q92:R92"/>
    <mergeCell ref="B97:C97"/>
    <mergeCell ref="D97:F97"/>
    <mergeCell ref="H97:K97"/>
    <mergeCell ref="L97:M97"/>
    <mergeCell ref="N97:O97"/>
    <mergeCell ref="Q97:R97"/>
    <mergeCell ref="B96:C96"/>
    <mergeCell ref="D96:F96"/>
    <mergeCell ref="H96:K96"/>
    <mergeCell ref="L96:M96"/>
    <mergeCell ref="N96:O96"/>
    <mergeCell ref="Q96:R96"/>
    <mergeCell ref="B95:C95"/>
    <mergeCell ref="D95:F95"/>
    <mergeCell ref="H95:K95"/>
    <mergeCell ref="L95:M95"/>
    <mergeCell ref="N95:O95"/>
    <mergeCell ref="Q95:R95"/>
    <mergeCell ref="N106:O107"/>
    <mergeCell ref="Q106:R107"/>
    <mergeCell ref="B108:C108"/>
    <mergeCell ref="D108:F108"/>
    <mergeCell ref="H108:K108"/>
    <mergeCell ref="L108:M108"/>
    <mergeCell ref="N108:O108"/>
    <mergeCell ref="Q108:R108"/>
    <mergeCell ref="J99:U99"/>
    <mergeCell ref="B101:I101"/>
    <mergeCell ref="J101:U101"/>
    <mergeCell ref="B103:V103"/>
    <mergeCell ref="B104:V104"/>
    <mergeCell ref="B106:C107"/>
    <mergeCell ref="D106:F107"/>
    <mergeCell ref="G106:G107"/>
    <mergeCell ref="H106:K107"/>
    <mergeCell ref="L106:M107"/>
    <mergeCell ref="B111:C111"/>
    <mergeCell ref="D111:F111"/>
    <mergeCell ref="H111:K111"/>
    <mergeCell ref="L111:M111"/>
    <mergeCell ref="N111:O111"/>
    <mergeCell ref="Q111:R111"/>
    <mergeCell ref="B110:C110"/>
    <mergeCell ref="D110:F110"/>
    <mergeCell ref="H110:K110"/>
    <mergeCell ref="L110:M110"/>
    <mergeCell ref="N110:O110"/>
    <mergeCell ref="Q110:R110"/>
    <mergeCell ref="B109:C109"/>
    <mergeCell ref="D109:F109"/>
    <mergeCell ref="H109:K109"/>
    <mergeCell ref="L109:M109"/>
    <mergeCell ref="N109:O109"/>
    <mergeCell ref="Q109:R109"/>
    <mergeCell ref="B114:C114"/>
    <mergeCell ref="D114:F114"/>
    <mergeCell ref="H114:K114"/>
    <mergeCell ref="L114:M114"/>
    <mergeCell ref="N114:O114"/>
    <mergeCell ref="Q114:R114"/>
    <mergeCell ref="B113:C113"/>
    <mergeCell ref="D113:F113"/>
    <mergeCell ref="H113:K113"/>
    <mergeCell ref="L113:M113"/>
    <mergeCell ref="N113:O113"/>
    <mergeCell ref="Q113:R113"/>
    <mergeCell ref="B112:C112"/>
    <mergeCell ref="D112:F112"/>
    <mergeCell ref="H112:K112"/>
    <mergeCell ref="L112:M112"/>
    <mergeCell ref="N112:O112"/>
    <mergeCell ref="Q112:R112"/>
    <mergeCell ref="H117:K117"/>
    <mergeCell ref="L117:M117"/>
    <mergeCell ref="N117:O117"/>
    <mergeCell ref="Q117:R117"/>
    <mergeCell ref="Q115:R115"/>
    <mergeCell ref="B116:C116"/>
    <mergeCell ref="D116:F116"/>
    <mergeCell ref="H116:K116"/>
    <mergeCell ref="L116:M116"/>
    <mergeCell ref="N116:O116"/>
    <mergeCell ref="Q116:R116"/>
    <mergeCell ref="B120:M120"/>
    <mergeCell ref="N120:O120"/>
    <mergeCell ref="Q120:R120"/>
    <mergeCell ref="B122:T122"/>
    <mergeCell ref="U122:V122"/>
    <mergeCell ref="B115:C115"/>
    <mergeCell ref="D115:F115"/>
    <mergeCell ref="H115:K115"/>
    <mergeCell ref="L115:M115"/>
    <mergeCell ref="N115:O115"/>
    <mergeCell ref="B119:C119"/>
    <mergeCell ref="D119:F119"/>
    <mergeCell ref="H119:K119"/>
    <mergeCell ref="L119:M119"/>
    <mergeCell ref="N119:O119"/>
    <mergeCell ref="Q119:R119"/>
    <mergeCell ref="B118:C118"/>
    <mergeCell ref="D118:F118"/>
    <mergeCell ref="H118:K118"/>
    <mergeCell ref="L118:M118"/>
    <mergeCell ref="N118:O118"/>
    <mergeCell ref="Q118:R118"/>
    <mergeCell ref="B117:C117"/>
    <mergeCell ref="D117:F1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CE1B-C123-45B7-8CC4-999E4DDDD2E9}">
  <dimension ref="B1:R44"/>
  <sheetViews>
    <sheetView tabSelected="1" workbookViewId="0">
      <selection activeCell="O20" sqref="O20"/>
    </sheetView>
  </sheetViews>
  <sheetFormatPr defaultRowHeight="15" customHeight="1"/>
  <cols>
    <col min="1" max="1" width="9.140625" style="6"/>
    <col min="2" max="2" width="16.28515625" style="6" bestFit="1" customWidth="1"/>
    <col min="3" max="3" width="19.5703125" style="6" bestFit="1" customWidth="1"/>
    <col min="4" max="5" width="9.140625" style="6"/>
    <col min="6" max="6" width="12.28515625" style="6" bestFit="1" customWidth="1"/>
    <col min="7" max="7" width="11.28515625" style="6" bestFit="1" customWidth="1"/>
    <col min="8" max="10" width="9.140625" style="6"/>
    <col min="11" max="11" width="18.5703125" style="6" customWidth="1"/>
    <col min="12" max="16384" width="9.140625" style="6"/>
  </cols>
  <sheetData>
    <row r="1" spans="2:12" ht="15" customHeight="1">
      <c r="B1" s="5" t="s">
        <v>2</v>
      </c>
      <c r="C1" s="5" t="s">
        <v>3</v>
      </c>
      <c r="D1" s="5" t="s">
        <v>4</v>
      </c>
      <c r="E1" s="5" t="s">
        <v>5</v>
      </c>
      <c r="F1" s="5" t="s">
        <v>36</v>
      </c>
      <c r="G1" s="5" t="s">
        <v>127</v>
      </c>
      <c r="H1" s="5" t="s">
        <v>6</v>
      </c>
      <c r="I1" s="5" t="s">
        <v>8</v>
      </c>
      <c r="J1" s="5" t="s">
        <v>9</v>
      </c>
      <c r="K1" s="5" t="s">
        <v>10</v>
      </c>
      <c r="L1" s="5"/>
    </row>
    <row r="2" spans="2:12" s="18" customFormat="1" ht="15" customHeight="1">
      <c r="B2" s="15" t="s">
        <v>11</v>
      </c>
      <c r="C2" s="15" t="s">
        <v>12</v>
      </c>
      <c r="D2" s="16" t="s">
        <v>13</v>
      </c>
      <c r="E2" s="15" t="s">
        <v>14</v>
      </c>
      <c r="F2" s="15"/>
      <c r="G2" s="17">
        <v>46174</v>
      </c>
      <c r="H2" s="51">
        <v>100</v>
      </c>
      <c r="I2" s="19">
        <v>37.635620000000003</v>
      </c>
      <c r="J2" s="52">
        <v>11</v>
      </c>
      <c r="K2" s="19">
        <v>4.1399999999999997</v>
      </c>
      <c r="L2" s="19"/>
    </row>
    <row r="3" spans="2:12" ht="15" customHeight="1">
      <c r="B3" s="7" t="s">
        <v>11</v>
      </c>
      <c r="C3" s="7" t="s">
        <v>20</v>
      </c>
      <c r="D3" s="8" t="s">
        <v>21</v>
      </c>
      <c r="E3" s="7" t="s">
        <v>22</v>
      </c>
      <c r="F3" s="7"/>
      <c r="G3" s="13">
        <v>46174</v>
      </c>
      <c r="H3" s="11">
        <v>100</v>
      </c>
      <c r="I3" s="10">
        <v>18.546659999999999</v>
      </c>
      <c r="J3" s="14">
        <f>K3/I3</f>
        <v>0.2997844355803147</v>
      </c>
      <c r="K3" s="10">
        <v>5.56</v>
      </c>
    </row>
    <row r="4" spans="2:12" s="49" customFormat="1" ht="15" customHeight="1">
      <c r="B4" s="44" t="s">
        <v>38</v>
      </c>
      <c r="C4" s="44" t="s">
        <v>39</v>
      </c>
      <c r="D4" s="45">
        <v>6277111</v>
      </c>
      <c r="E4" s="46" t="s">
        <v>128</v>
      </c>
      <c r="F4" s="46">
        <v>45992</v>
      </c>
      <c r="G4" s="47">
        <v>46174</v>
      </c>
      <c r="H4" s="48">
        <v>100</v>
      </c>
      <c r="I4" s="49">
        <v>1</v>
      </c>
      <c r="K4" s="50">
        <v>28.92</v>
      </c>
    </row>
    <row r="5" spans="2:12" s="49" customFormat="1" ht="15" customHeight="1">
      <c r="B5" s="44" t="s">
        <v>38</v>
      </c>
      <c r="C5" s="44" t="s">
        <v>41</v>
      </c>
      <c r="D5" s="45">
        <v>6236016</v>
      </c>
      <c r="E5" s="46" t="s">
        <v>128</v>
      </c>
      <c r="F5" s="46">
        <v>45658</v>
      </c>
      <c r="G5" s="47">
        <v>46174</v>
      </c>
      <c r="H5" s="48">
        <v>100</v>
      </c>
      <c r="I5" s="49">
        <v>1</v>
      </c>
      <c r="K5" s="50">
        <v>28.92</v>
      </c>
    </row>
    <row r="6" spans="2:12" s="49" customFormat="1" ht="15" customHeight="1">
      <c r="B6" s="44" t="s">
        <v>43</v>
      </c>
      <c r="C6" s="44" t="s">
        <v>44</v>
      </c>
      <c r="D6" s="45">
        <v>6220011</v>
      </c>
      <c r="E6" s="46" t="s">
        <v>128</v>
      </c>
      <c r="F6" s="46">
        <v>45658</v>
      </c>
      <c r="G6" s="47">
        <v>46174</v>
      </c>
      <c r="H6" s="48">
        <v>100</v>
      </c>
      <c r="I6" s="49">
        <v>1</v>
      </c>
      <c r="K6" s="50">
        <v>28.92</v>
      </c>
    </row>
    <row r="7" spans="2:12" s="49" customFormat="1" ht="15" customHeight="1">
      <c r="B7" s="44" t="s">
        <v>43</v>
      </c>
      <c r="C7" s="44" t="s">
        <v>46</v>
      </c>
      <c r="D7" s="45">
        <v>6224756</v>
      </c>
      <c r="E7" s="46" t="s">
        <v>128</v>
      </c>
      <c r="F7" s="46">
        <v>45658</v>
      </c>
      <c r="G7" s="47">
        <v>46174</v>
      </c>
      <c r="H7" s="48">
        <v>100</v>
      </c>
      <c r="I7" s="49">
        <v>1</v>
      </c>
      <c r="K7" s="50">
        <v>28.92</v>
      </c>
    </row>
    <row r="8" spans="2:12" s="49" customFormat="1" ht="15" customHeight="1">
      <c r="B8" s="44" t="s">
        <v>11</v>
      </c>
      <c r="C8" s="44" t="s">
        <v>48</v>
      </c>
      <c r="D8" s="45">
        <v>6213383</v>
      </c>
      <c r="E8" s="46" t="s">
        <v>128</v>
      </c>
      <c r="F8" s="46">
        <v>45658</v>
      </c>
      <c r="G8" s="47">
        <v>46174</v>
      </c>
      <c r="H8" s="48">
        <v>100</v>
      </c>
      <c r="I8" s="49">
        <v>1</v>
      </c>
      <c r="K8" s="50">
        <v>28.92</v>
      </c>
    </row>
    <row r="9" spans="2:12" s="49" customFormat="1" ht="15" customHeight="1">
      <c r="B9" s="44" t="s">
        <v>11</v>
      </c>
      <c r="C9" s="44" t="s">
        <v>50</v>
      </c>
      <c r="D9" s="45">
        <v>6210817</v>
      </c>
      <c r="E9" s="46" t="s">
        <v>128</v>
      </c>
      <c r="F9" s="46">
        <v>45627</v>
      </c>
      <c r="G9" s="47">
        <v>46174</v>
      </c>
      <c r="H9" s="48">
        <v>100</v>
      </c>
      <c r="I9" s="49">
        <v>1</v>
      </c>
      <c r="K9" s="50">
        <v>28.92</v>
      </c>
    </row>
    <row r="10" spans="2:12" s="49" customFormat="1" ht="15" customHeight="1">
      <c r="B10" s="44" t="s">
        <v>11</v>
      </c>
      <c r="C10" s="44" t="s">
        <v>52</v>
      </c>
      <c r="D10" s="45">
        <v>6218056</v>
      </c>
      <c r="E10" s="46" t="s">
        <v>128</v>
      </c>
      <c r="F10" s="46">
        <v>45658</v>
      </c>
      <c r="G10" s="47">
        <v>46174</v>
      </c>
      <c r="H10" s="48">
        <v>100</v>
      </c>
      <c r="I10" s="49">
        <v>1</v>
      </c>
      <c r="K10" s="50">
        <v>28.92</v>
      </c>
    </row>
    <row r="11" spans="2:12" s="49" customFormat="1" ht="15" customHeight="1">
      <c r="B11" s="44" t="s">
        <v>11</v>
      </c>
      <c r="C11" s="44" t="s">
        <v>54</v>
      </c>
      <c r="D11" s="45">
        <v>6212568</v>
      </c>
      <c r="E11" s="46" t="s">
        <v>128</v>
      </c>
      <c r="F11" s="46">
        <v>45658</v>
      </c>
      <c r="G11" s="47">
        <v>46174</v>
      </c>
      <c r="H11" s="48">
        <v>100</v>
      </c>
      <c r="I11" s="49">
        <v>1</v>
      </c>
      <c r="K11" s="50">
        <v>28.92</v>
      </c>
    </row>
    <row r="12" spans="2:12" s="49" customFormat="1" ht="15" customHeight="1">
      <c r="B12" s="44" t="s">
        <v>11</v>
      </c>
      <c r="C12" s="44" t="s">
        <v>56</v>
      </c>
      <c r="D12" s="45">
        <v>6215141</v>
      </c>
      <c r="E12" s="46" t="s">
        <v>128</v>
      </c>
      <c r="F12" s="46">
        <v>45658</v>
      </c>
      <c r="G12" s="47">
        <v>46174</v>
      </c>
      <c r="H12" s="48">
        <v>100</v>
      </c>
      <c r="I12" s="49">
        <v>1</v>
      </c>
      <c r="K12" s="50">
        <v>28.92</v>
      </c>
    </row>
    <row r="13" spans="2:12" s="49" customFormat="1" ht="15" customHeight="1">
      <c r="B13" s="44" t="s">
        <v>11</v>
      </c>
      <c r="C13" s="44" t="s">
        <v>58</v>
      </c>
      <c r="D13" s="45">
        <v>6218054</v>
      </c>
      <c r="E13" s="46" t="s">
        <v>128</v>
      </c>
      <c r="F13" s="46">
        <v>45658</v>
      </c>
      <c r="G13" s="47">
        <v>46174</v>
      </c>
      <c r="H13" s="48">
        <v>100</v>
      </c>
      <c r="I13" s="49">
        <v>1</v>
      </c>
      <c r="K13" s="50">
        <v>28.92</v>
      </c>
    </row>
    <row r="14" spans="2:12" s="49" customFormat="1" ht="15" customHeight="1">
      <c r="B14" s="44" t="s">
        <v>11</v>
      </c>
      <c r="C14" s="44" t="s">
        <v>60</v>
      </c>
      <c r="D14" s="45">
        <v>6238104</v>
      </c>
      <c r="E14" s="46" t="s">
        <v>128</v>
      </c>
      <c r="F14" s="46">
        <v>45627</v>
      </c>
      <c r="G14" s="47">
        <v>46174</v>
      </c>
      <c r="H14" s="48">
        <v>100</v>
      </c>
      <c r="I14" s="49">
        <v>1</v>
      </c>
      <c r="K14" s="50">
        <v>28.92</v>
      </c>
    </row>
    <row r="15" spans="2:12" s="49" customFormat="1" ht="15" customHeight="1">
      <c r="B15" s="44" t="s">
        <v>11</v>
      </c>
      <c r="C15" s="44" t="s">
        <v>62</v>
      </c>
      <c r="D15" s="45">
        <v>6224965</v>
      </c>
      <c r="E15" s="46" t="s">
        <v>128</v>
      </c>
      <c r="F15" s="46">
        <v>45658</v>
      </c>
      <c r="G15" s="47">
        <v>46174</v>
      </c>
      <c r="H15" s="48">
        <v>100</v>
      </c>
      <c r="I15" s="49">
        <v>1</v>
      </c>
      <c r="K15" s="50">
        <v>28.92</v>
      </c>
    </row>
    <row r="16" spans="2:12" s="49" customFormat="1" ht="15" customHeight="1">
      <c r="B16" s="44" t="s">
        <v>11</v>
      </c>
      <c r="C16" s="44" t="s">
        <v>64</v>
      </c>
      <c r="D16" s="45">
        <v>6210872</v>
      </c>
      <c r="E16" s="46" t="s">
        <v>128</v>
      </c>
      <c r="F16" s="46">
        <v>45597</v>
      </c>
      <c r="G16" s="47">
        <v>46174</v>
      </c>
      <c r="H16" s="48">
        <v>100</v>
      </c>
      <c r="I16" s="49">
        <v>1</v>
      </c>
      <c r="K16" s="50">
        <v>28.92</v>
      </c>
    </row>
    <row r="17" spans="2:11" s="49" customFormat="1" ht="15" customHeight="1">
      <c r="B17" s="44" t="s">
        <v>11</v>
      </c>
      <c r="C17" s="44" t="s">
        <v>66</v>
      </c>
      <c r="D17" s="45">
        <v>6239247</v>
      </c>
      <c r="E17" s="46" t="s">
        <v>128</v>
      </c>
      <c r="F17" s="46">
        <v>45658</v>
      </c>
      <c r="G17" s="47">
        <v>46174</v>
      </c>
      <c r="H17" s="48">
        <v>100</v>
      </c>
      <c r="I17" s="49">
        <v>1</v>
      </c>
      <c r="K17" s="50">
        <v>28.92</v>
      </c>
    </row>
    <row r="18" spans="2:11" s="49" customFormat="1" ht="15" customHeight="1">
      <c r="B18" s="44" t="s">
        <v>11</v>
      </c>
      <c r="C18" s="44" t="s">
        <v>68</v>
      </c>
      <c r="D18" s="45">
        <v>6138508</v>
      </c>
      <c r="E18" s="46" t="s">
        <v>128</v>
      </c>
      <c r="F18" s="46">
        <v>43101</v>
      </c>
      <c r="G18" s="47">
        <v>46174</v>
      </c>
      <c r="H18" s="48">
        <v>100</v>
      </c>
      <c r="I18" s="49">
        <v>1</v>
      </c>
      <c r="K18" s="50">
        <v>28.92</v>
      </c>
    </row>
    <row r="19" spans="2:11" s="49" customFormat="1" ht="15" customHeight="1">
      <c r="B19" s="44" t="s">
        <v>11</v>
      </c>
      <c r="C19" s="44" t="s">
        <v>70</v>
      </c>
      <c r="D19" s="45">
        <v>6233105</v>
      </c>
      <c r="E19" s="46" t="s">
        <v>128</v>
      </c>
      <c r="F19" s="46">
        <v>45658</v>
      </c>
      <c r="G19" s="47">
        <v>46174</v>
      </c>
      <c r="H19" s="48">
        <v>100</v>
      </c>
      <c r="I19" s="49">
        <v>1</v>
      </c>
      <c r="K19" s="50">
        <v>28.92</v>
      </c>
    </row>
    <row r="20" spans="2:11" s="49" customFormat="1" ht="15" customHeight="1">
      <c r="B20" s="44" t="s">
        <v>11</v>
      </c>
      <c r="C20" s="44" t="s">
        <v>72</v>
      </c>
      <c r="D20" s="45">
        <v>6225460</v>
      </c>
      <c r="E20" s="46" t="s">
        <v>128</v>
      </c>
      <c r="F20" s="46">
        <v>45597</v>
      </c>
      <c r="G20" s="47">
        <v>46174</v>
      </c>
      <c r="H20" s="48">
        <v>100</v>
      </c>
      <c r="I20" s="49">
        <v>1</v>
      </c>
      <c r="K20" s="50">
        <v>28.92</v>
      </c>
    </row>
    <row r="21" spans="2:11" s="49" customFormat="1" ht="15" customHeight="1">
      <c r="B21" s="44" t="s">
        <v>11</v>
      </c>
      <c r="C21" s="44" t="s">
        <v>74</v>
      </c>
      <c r="D21" s="45">
        <v>6241874</v>
      </c>
      <c r="E21" s="46" t="s">
        <v>128</v>
      </c>
      <c r="F21" s="46">
        <v>45658</v>
      </c>
      <c r="G21" s="47">
        <v>46174</v>
      </c>
      <c r="H21" s="48">
        <v>100</v>
      </c>
      <c r="I21" s="49">
        <v>1</v>
      </c>
      <c r="K21" s="50">
        <v>28.92</v>
      </c>
    </row>
    <row r="22" spans="2:11" s="49" customFormat="1" ht="15" customHeight="1">
      <c r="B22" s="44" t="s">
        <v>11</v>
      </c>
      <c r="C22" s="44" t="s">
        <v>76</v>
      </c>
      <c r="D22" s="45">
        <v>6231397</v>
      </c>
      <c r="E22" s="46" t="s">
        <v>128</v>
      </c>
      <c r="F22" s="46">
        <v>45627</v>
      </c>
      <c r="G22" s="47">
        <v>46174</v>
      </c>
      <c r="H22" s="48">
        <v>100</v>
      </c>
      <c r="I22" s="49">
        <v>1</v>
      </c>
      <c r="K22" s="50">
        <v>28.92</v>
      </c>
    </row>
    <row r="23" spans="2:11" s="49" customFormat="1" ht="15" customHeight="1">
      <c r="B23" s="44" t="s">
        <v>11</v>
      </c>
      <c r="C23" s="44" t="s">
        <v>78</v>
      </c>
      <c r="D23" s="45">
        <v>6220305</v>
      </c>
      <c r="E23" s="46" t="s">
        <v>128</v>
      </c>
      <c r="F23" s="46">
        <v>45658</v>
      </c>
      <c r="G23" s="47">
        <v>46174</v>
      </c>
      <c r="H23" s="48">
        <v>100</v>
      </c>
      <c r="I23" s="49">
        <v>1</v>
      </c>
      <c r="K23" s="50">
        <v>28.92</v>
      </c>
    </row>
    <row r="24" spans="2:11" s="49" customFormat="1" ht="15" customHeight="1">
      <c r="B24" s="44" t="s">
        <v>11</v>
      </c>
      <c r="C24" s="44" t="s">
        <v>80</v>
      </c>
      <c r="D24" s="45">
        <v>6209348</v>
      </c>
      <c r="E24" s="46" t="s">
        <v>128</v>
      </c>
      <c r="F24" s="46">
        <v>45505</v>
      </c>
      <c r="G24" s="47">
        <v>46174</v>
      </c>
      <c r="H24" s="48">
        <v>100</v>
      </c>
      <c r="I24" s="49">
        <v>1</v>
      </c>
      <c r="K24" s="50">
        <v>28.92</v>
      </c>
    </row>
    <row r="25" spans="2:11" s="49" customFormat="1" ht="15" customHeight="1">
      <c r="B25" s="44" t="s">
        <v>11</v>
      </c>
      <c r="C25" s="44" t="s">
        <v>82</v>
      </c>
      <c r="D25" s="45">
        <v>6155654</v>
      </c>
      <c r="E25" s="46" t="s">
        <v>128</v>
      </c>
      <c r="F25" s="46">
        <v>45658</v>
      </c>
      <c r="G25" s="47">
        <v>46174</v>
      </c>
      <c r="H25" s="48">
        <v>100</v>
      </c>
      <c r="I25" s="49">
        <v>1</v>
      </c>
      <c r="K25" s="50">
        <v>28.92</v>
      </c>
    </row>
    <row r="26" spans="2:11" ht="15" customHeight="1">
      <c r="B26" s="7" t="s">
        <v>87</v>
      </c>
      <c r="C26" s="7" t="s">
        <v>88</v>
      </c>
      <c r="D26" s="7" t="s">
        <v>89</v>
      </c>
      <c r="E26" s="7" t="s">
        <v>22</v>
      </c>
      <c r="F26" s="12"/>
      <c r="G26" s="13">
        <v>46174</v>
      </c>
      <c r="H26" s="9">
        <v>100</v>
      </c>
      <c r="I26" s="10">
        <v>161.15183999999999</v>
      </c>
      <c r="J26" s="14">
        <f t="shared" ref="J26:J44" si="0">K26/I26</f>
        <v>0.20998829426955351</v>
      </c>
      <c r="K26" s="10">
        <v>33.840000000000003</v>
      </c>
    </row>
    <row r="27" spans="2:11" ht="15" customHeight="1">
      <c r="B27" s="7" t="s">
        <v>38</v>
      </c>
      <c r="C27" s="7" t="s">
        <v>90</v>
      </c>
      <c r="D27" s="7" t="s">
        <v>91</v>
      </c>
      <c r="E27" s="7" t="s">
        <v>22</v>
      </c>
      <c r="F27" s="12"/>
      <c r="G27" s="13">
        <v>46174</v>
      </c>
      <c r="H27" s="9">
        <v>100</v>
      </c>
      <c r="I27" s="10">
        <v>203.92452</v>
      </c>
      <c r="J27" s="14">
        <f t="shared" si="0"/>
        <v>0.20997965325601844</v>
      </c>
      <c r="K27" s="10">
        <v>42.82</v>
      </c>
    </row>
    <row r="28" spans="2:11" ht="15" customHeight="1">
      <c r="B28" s="7" t="s">
        <v>43</v>
      </c>
      <c r="C28" s="7" t="s">
        <v>92</v>
      </c>
      <c r="D28" s="8" t="s">
        <v>93</v>
      </c>
      <c r="E28" s="7" t="s">
        <v>22</v>
      </c>
      <c r="F28" s="12"/>
      <c r="G28" s="13">
        <v>46174</v>
      </c>
      <c r="H28" s="9">
        <v>100</v>
      </c>
      <c r="I28" s="10">
        <v>187.02448000000001</v>
      </c>
      <c r="J28" s="14">
        <f t="shared" si="0"/>
        <v>0.21002598162550698</v>
      </c>
      <c r="K28" s="10">
        <v>39.28</v>
      </c>
    </row>
    <row r="29" spans="2:11" ht="15" customHeight="1">
      <c r="B29" s="7" t="s">
        <v>43</v>
      </c>
      <c r="C29" s="7" t="s">
        <v>94</v>
      </c>
      <c r="D29" s="8" t="s">
        <v>95</v>
      </c>
      <c r="E29" s="7" t="s">
        <v>22</v>
      </c>
      <c r="F29" s="12"/>
      <c r="G29" s="13">
        <v>46174</v>
      </c>
      <c r="H29" s="9">
        <v>100</v>
      </c>
      <c r="I29" s="10">
        <v>201.30176</v>
      </c>
      <c r="J29" s="14">
        <f t="shared" si="0"/>
        <v>0.20998326095112135</v>
      </c>
      <c r="K29" s="10">
        <v>42.27</v>
      </c>
    </row>
    <row r="30" spans="2:11" ht="15" customHeight="1">
      <c r="B30" s="7" t="s">
        <v>43</v>
      </c>
      <c r="C30" s="7" t="s">
        <v>96</v>
      </c>
      <c r="D30" s="8" t="s">
        <v>97</v>
      </c>
      <c r="E30" s="7" t="s">
        <v>14</v>
      </c>
      <c r="F30" s="12"/>
      <c r="G30" s="13">
        <v>46174</v>
      </c>
      <c r="H30" s="9">
        <v>100</v>
      </c>
      <c r="I30" s="10">
        <v>182.58748</v>
      </c>
      <c r="J30" s="14">
        <f t="shared" si="0"/>
        <v>0.20998153871229289</v>
      </c>
      <c r="K30" s="10">
        <v>38.340000000000003</v>
      </c>
    </row>
    <row r="31" spans="2:11" ht="15" customHeight="1">
      <c r="B31" s="7" t="s">
        <v>43</v>
      </c>
      <c r="C31" s="7" t="s">
        <v>98</v>
      </c>
      <c r="D31" s="8" t="s">
        <v>99</v>
      </c>
      <c r="E31" s="7" t="s">
        <v>22</v>
      </c>
      <c r="F31" s="12"/>
      <c r="G31" s="13">
        <v>46174</v>
      </c>
      <c r="H31" s="9">
        <v>100</v>
      </c>
      <c r="I31" s="10">
        <v>172.99369999999999</v>
      </c>
      <c r="J31" s="14">
        <f t="shared" si="0"/>
        <v>0.21000764767734317</v>
      </c>
      <c r="K31" s="10">
        <v>36.33</v>
      </c>
    </row>
    <row r="32" spans="2:11" ht="15" customHeight="1">
      <c r="B32" s="7" t="s">
        <v>43</v>
      </c>
      <c r="C32" s="7" t="s">
        <v>100</v>
      </c>
      <c r="D32" s="8" t="s">
        <v>101</v>
      </c>
      <c r="E32" s="7" t="s">
        <v>22</v>
      </c>
      <c r="F32" s="12"/>
      <c r="G32" s="13">
        <v>46174</v>
      </c>
      <c r="H32" s="9">
        <v>100</v>
      </c>
      <c r="I32" s="10">
        <v>221.32741999999999</v>
      </c>
      <c r="J32" s="14">
        <f t="shared" si="0"/>
        <v>0.2100056106920688</v>
      </c>
      <c r="K32" s="10">
        <v>46.48</v>
      </c>
    </row>
    <row r="33" spans="2:18" ht="15" customHeight="1">
      <c r="B33" s="7" t="s">
        <v>43</v>
      </c>
      <c r="C33" s="7" t="s">
        <v>104</v>
      </c>
      <c r="D33" s="8" t="s">
        <v>105</v>
      </c>
      <c r="E33" s="7" t="s">
        <v>14</v>
      </c>
      <c r="F33" s="12"/>
      <c r="G33" s="13">
        <v>46174</v>
      </c>
      <c r="H33" s="9">
        <v>100</v>
      </c>
      <c r="I33" s="10">
        <v>194.97164000000001</v>
      </c>
      <c r="J33" s="14">
        <f t="shared" si="0"/>
        <v>0.20997925647032561</v>
      </c>
      <c r="K33" s="10">
        <v>40.94</v>
      </c>
    </row>
    <row r="34" spans="2:18" ht="15" customHeight="1">
      <c r="B34" s="7" t="s">
        <v>43</v>
      </c>
      <c r="C34" s="7" t="s">
        <v>106</v>
      </c>
      <c r="D34" s="7" t="s">
        <v>107</v>
      </c>
      <c r="E34" s="7" t="s">
        <v>22</v>
      </c>
      <c r="F34" s="12"/>
      <c r="G34" s="13">
        <v>46174</v>
      </c>
      <c r="H34" s="9">
        <v>100</v>
      </c>
      <c r="I34" s="10">
        <v>145.50402</v>
      </c>
      <c r="J34" s="14">
        <f t="shared" si="0"/>
        <v>0.21002856141019333</v>
      </c>
      <c r="K34" s="10">
        <v>30.56</v>
      </c>
    </row>
    <row r="35" spans="2:18" ht="15" customHeight="1">
      <c r="B35" s="7" t="s">
        <v>43</v>
      </c>
      <c r="C35" s="7" t="s">
        <v>108</v>
      </c>
      <c r="D35" s="7" t="s">
        <v>109</v>
      </c>
      <c r="E35" s="7" t="s">
        <v>14</v>
      </c>
      <c r="F35" s="12"/>
      <c r="G35" s="13">
        <v>46174</v>
      </c>
      <c r="H35" s="9">
        <v>100</v>
      </c>
      <c r="I35" s="10">
        <v>195.6224</v>
      </c>
      <c r="J35" s="14">
        <f t="shared" si="0"/>
        <v>0.20999640123012497</v>
      </c>
      <c r="K35" s="10">
        <v>41.08</v>
      </c>
    </row>
    <row r="36" spans="2:18" ht="15" customHeight="1">
      <c r="B36" s="7" t="s">
        <v>43</v>
      </c>
      <c r="C36" s="7" t="s">
        <v>110</v>
      </c>
      <c r="D36" s="8" t="s">
        <v>111</v>
      </c>
      <c r="E36" s="7" t="s">
        <v>14</v>
      </c>
      <c r="F36" s="12"/>
      <c r="G36" s="13">
        <v>46174</v>
      </c>
      <c r="H36" s="9">
        <v>100</v>
      </c>
      <c r="I36" s="10">
        <v>218.56662</v>
      </c>
      <c r="J36" s="14">
        <f t="shared" si="0"/>
        <v>0.21000462010164223</v>
      </c>
      <c r="K36" s="10">
        <v>45.9</v>
      </c>
    </row>
    <row r="37" spans="2:18" ht="15" customHeight="1">
      <c r="B37" s="7" t="s">
        <v>43</v>
      </c>
      <c r="C37" s="7" t="s">
        <v>112</v>
      </c>
      <c r="D37" s="8" t="s">
        <v>113</v>
      </c>
      <c r="E37" s="7" t="s">
        <v>22</v>
      </c>
      <c r="F37" s="12"/>
      <c r="G37" s="13">
        <v>46174</v>
      </c>
      <c r="H37" s="9">
        <v>100</v>
      </c>
      <c r="I37" s="10">
        <v>145.50402</v>
      </c>
      <c r="J37" s="14">
        <f t="shared" si="0"/>
        <v>0.21002856141019333</v>
      </c>
      <c r="K37" s="10">
        <v>30.56</v>
      </c>
    </row>
    <row r="38" spans="2:18" ht="15" customHeight="1">
      <c r="B38" s="7" t="s">
        <v>43</v>
      </c>
      <c r="C38" s="7" t="s">
        <v>114</v>
      </c>
      <c r="D38" s="8" t="s">
        <v>115</v>
      </c>
      <c r="E38" s="7" t="s">
        <v>22</v>
      </c>
      <c r="F38" s="12"/>
      <c r="G38" s="13">
        <v>46174</v>
      </c>
      <c r="H38" s="9">
        <v>100</v>
      </c>
      <c r="I38" s="10">
        <v>36.178213399999997</v>
      </c>
      <c r="J38" s="14">
        <f t="shared" si="0"/>
        <v>0.21007118057410762</v>
      </c>
      <c r="K38" s="10">
        <v>7.6</v>
      </c>
    </row>
    <row r="39" spans="2:18" ht="15" customHeight="1">
      <c r="B39" s="7" t="s">
        <v>43</v>
      </c>
      <c r="C39" s="7" t="s">
        <v>116</v>
      </c>
      <c r="D39" s="8" t="s">
        <v>117</v>
      </c>
      <c r="E39" s="7" t="s">
        <v>14</v>
      </c>
      <c r="F39" s="12"/>
      <c r="G39" s="13">
        <v>46174</v>
      </c>
      <c r="H39" s="9">
        <v>100</v>
      </c>
      <c r="I39" s="10">
        <v>165.22402</v>
      </c>
      <c r="J39" s="14">
        <f t="shared" si="0"/>
        <v>0.21001788965066945</v>
      </c>
      <c r="K39" s="10">
        <v>34.700000000000003</v>
      </c>
    </row>
    <row r="40" spans="2:18" ht="15" customHeight="1">
      <c r="B40" s="7" t="s">
        <v>43</v>
      </c>
      <c r="C40" s="7" t="s">
        <v>118</v>
      </c>
      <c r="D40" s="8" t="s">
        <v>119</v>
      </c>
      <c r="E40" s="7" t="s">
        <v>14</v>
      </c>
      <c r="F40" s="12"/>
      <c r="G40" s="13">
        <v>46174</v>
      </c>
      <c r="H40" s="9">
        <v>100</v>
      </c>
      <c r="I40" s="10">
        <v>157.29658000000001</v>
      </c>
      <c r="J40" s="14">
        <f t="shared" si="0"/>
        <v>0.20998549364518923</v>
      </c>
      <c r="K40" s="10">
        <v>33.03</v>
      </c>
    </row>
    <row r="41" spans="2:18" ht="15" customHeight="1">
      <c r="B41" s="7" t="s">
        <v>43</v>
      </c>
      <c r="C41" s="7" t="s">
        <v>120</v>
      </c>
      <c r="D41" s="8" t="s">
        <v>121</v>
      </c>
      <c r="E41" s="7" t="s">
        <v>22</v>
      </c>
      <c r="F41" s="12"/>
      <c r="G41" s="13">
        <v>46174</v>
      </c>
      <c r="H41" s="9">
        <v>100</v>
      </c>
      <c r="I41" s="10">
        <v>236.16672</v>
      </c>
      <c r="J41" s="14">
        <f t="shared" si="0"/>
        <v>0.21002112406015547</v>
      </c>
      <c r="K41" s="10">
        <v>49.6</v>
      </c>
    </row>
    <row r="42" spans="2:18" ht="15" customHeight="1">
      <c r="B42" s="7" t="s">
        <v>11</v>
      </c>
      <c r="C42" s="7" t="s">
        <v>122</v>
      </c>
      <c r="D42" s="8" t="s">
        <v>123</v>
      </c>
      <c r="E42" s="7" t="s">
        <v>14</v>
      </c>
      <c r="F42" s="12"/>
      <c r="G42" s="13">
        <v>46174</v>
      </c>
      <c r="H42" s="9">
        <v>100</v>
      </c>
      <c r="I42" s="10">
        <v>145.50402</v>
      </c>
      <c r="J42" s="14">
        <f t="shared" si="0"/>
        <v>0.21002856141019333</v>
      </c>
      <c r="K42" s="10">
        <v>30.56</v>
      </c>
    </row>
    <row r="43" spans="2:18" ht="15" customHeight="1">
      <c r="B43" s="7" t="s">
        <v>11</v>
      </c>
      <c r="C43" s="7" t="s">
        <v>124</v>
      </c>
      <c r="D43" s="8" t="s">
        <v>125</v>
      </c>
      <c r="E43" s="7" t="s">
        <v>22</v>
      </c>
      <c r="F43" s="12"/>
      <c r="G43" s="13">
        <v>46174</v>
      </c>
      <c r="H43" s="9">
        <v>100</v>
      </c>
      <c r="I43" s="10">
        <v>157.29658000000001</v>
      </c>
      <c r="J43" s="14">
        <f t="shared" si="0"/>
        <v>0.20998549364518923</v>
      </c>
      <c r="K43" s="10">
        <v>33.03</v>
      </c>
    </row>
    <row r="44" spans="2:18" ht="15" customHeight="1">
      <c r="B44" s="2" t="s">
        <v>43</v>
      </c>
      <c r="C44" s="2" t="s">
        <v>102</v>
      </c>
      <c r="D44" s="1" t="s">
        <v>103</v>
      </c>
      <c r="E44" s="7" t="s">
        <v>22</v>
      </c>
      <c r="G44" s="13">
        <v>46174</v>
      </c>
      <c r="H44" s="3">
        <v>100</v>
      </c>
      <c r="I44" s="4">
        <v>157.29658000000001</v>
      </c>
      <c r="J44" s="14">
        <f t="shared" si="0"/>
        <v>0.20998549364518923</v>
      </c>
      <c r="K44" s="4">
        <v>33.03</v>
      </c>
      <c r="L44" s="3"/>
      <c r="M44" s="3"/>
      <c r="N44" s="4"/>
      <c r="O44" s="4"/>
      <c r="P44"/>
      <c r="Q44" s="4"/>
      <c r="R44" s="4"/>
    </row>
  </sheetData>
  <sortState xmlns:xlrd2="http://schemas.microsoft.com/office/spreadsheetml/2017/richdata2" ref="B4:L24">
    <sortCondition ref="B4:B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2026-07-15T09:49:39Z</dcterms:created>
  <dcterms:modified xsi:type="dcterms:W3CDTF">2026-07-17T12:48:18Z</dcterms:modified>
</cp:coreProperties>
</file>