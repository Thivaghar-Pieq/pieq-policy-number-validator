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l Mutual Senior\2026\January\"/>
    </mc:Choice>
  </mc:AlternateContent>
  <xr:revisionPtr revIDLastSave="0" documentId="13_ncr:1_{30CD17A8-4DBE-4429-BFC9-F4B988D1DB4E}" xr6:coauthVersionLast="47" xr6:coauthVersionMax="47" xr10:uidLastSave="{00000000-0000-0000-0000-000000000000}"/>
  <bookViews>
    <workbookView xWindow="-120" yWindow="-120" windowWidth="29040" windowHeight="16440" activeTab="1" xr2:uid="{C3503D46-1D4D-4FDB-9042-A31F96820FB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2" i="2"/>
</calcChain>
</file>

<file path=xl/sharedStrings.xml><?xml version="1.0" encoding="utf-8"?>
<sst xmlns="http://schemas.openxmlformats.org/spreadsheetml/2006/main" count="234" uniqueCount="73">
  <si>
    <t>Individual - Indemnity Business</t>
  </si>
  <si>
    <t>Indemnity</t>
  </si>
  <si>
    <t xml:space="preserve">
Producer Name</t>
  </si>
  <si>
    <t xml:space="preserve">
Group Name</t>
  </si>
  <si>
    <t>Group 
Number</t>
  </si>
  <si>
    <t>Type of 
Business</t>
  </si>
  <si>
    <t xml:space="preserve">
Split %</t>
  </si>
  <si>
    <t>Split 
Premium</t>
  </si>
  <si>
    <t xml:space="preserve">
Commission</t>
  </si>
  <si>
    <t>STEVEN BRANDT</t>
  </si>
  <si>
    <t>STEVEN K BRANDT</t>
  </si>
  <si>
    <t>C64807_H</t>
  </si>
  <si>
    <t>Critical Ill</t>
  </si>
  <si>
    <t>Total Individual - Indemnity Business</t>
  </si>
  <si>
    <t>Total Base Commission</t>
  </si>
  <si>
    <t>Detailed Commission Statement</t>
  </si>
  <si>
    <t>MAIN LINE BENEFITS LLC_10_MA</t>
  </si>
  <si>
    <t>For Period: January 2026</t>
  </si>
  <si>
    <t>Summary</t>
  </si>
  <si>
    <t>BASE COMMISSIONS</t>
  </si>
  <si>
    <t>SUBTOTAL</t>
  </si>
  <si>
    <t>TOTAL AMOUNT PAID</t>
  </si>
  <si>
    <t>Medicare Advantage</t>
  </si>
  <si>
    <t>Health</t>
  </si>
  <si>
    <t xml:space="preserve">
Member Name</t>
  </si>
  <si>
    <t>Policy Holder</t>
  </si>
  <si>
    <t>Effective Date</t>
  </si>
  <si>
    <t>NATHAN WELLER</t>
  </si>
  <si>
    <t>EDWARD G TRIMMER</t>
  </si>
  <si>
    <t>RONNA M JOHNSON</t>
  </si>
  <si>
    <t>RYAN SHEPARD</t>
  </si>
  <si>
    <t>MARY T CUSICK</t>
  </si>
  <si>
    <t>NANCY L RUESCHMAN</t>
  </si>
  <si>
    <t>CINDY L LEACH</t>
  </si>
  <si>
    <t>JEFF L SCOTT</t>
  </si>
  <si>
    <t>JOHN J ABSHIRE</t>
  </si>
  <si>
    <t>JOHN U WILSON JR</t>
  </si>
  <si>
    <t>KAREN B RAUSCH</t>
  </si>
  <si>
    <t>KAREN D ABSHIRE</t>
  </si>
  <si>
    <t>KURT D LARKIN</t>
  </si>
  <si>
    <t>LINDA M BUTSKO</t>
  </si>
  <si>
    <t>PAM F WILSON</t>
  </si>
  <si>
    <t>REBECCA F HILL</t>
  </si>
  <si>
    <t>ROBERT W SMITH</t>
  </si>
  <si>
    <t>SHARON N SMITH</t>
  </si>
  <si>
    <t>TAMMY D HAYWOOD</t>
  </si>
  <si>
    <t>TAMMY J WILHELM</t>
  </si>
  <si>
    <t>TAMMY L VANATTA</t>
  </si>
  <si>
    <t>THERESA J MCFARLAND</t>
  </si>
  <si>
    <t>TIMOTHY G ZAHLER</t>
  </si>
  <si>
    <t>WILLIAM J BUTSKO</t>
  </si>
  <si>
    <t>Total Medicare Advantage</t>
  </si>
  <si>
    <t>Medicare Supplement</t>
  </si>
  <si>
    <t>Policy 
Age</t>
  </si>
  <si>
    <t>JENNIFER HALSAVER</t>
  </si>
  <si>
    <t>GEORGE MELLEN</t>
  </si>
  <si>
    <t>C48377_H</t>
  </si>
  <si>
    <t>JEFFREY GAUL</t>
  </si>
  <si>
    <t>C61905_H</t>
  </si>
  <si>
    <t>JANET ROTH</t>
  </si>
  <si>
    <t>C83629_H</t>
  </si>
  <si>
    <t>JEANE NOBLETT</t>
  </si>
  <si>
    <t>C83690_H</t>
  </si>
  <si>
    <t>JOANN WAGNER</t>
  </si>
  <si>
    <t>C85198_H</t>
  </si>
  <si>
    <t>SUZANNE MALONEY</t>
  </si>
  <si>
    <t>C86006_H</t>
  </si>
  <si>
    <t>THOMAS CLARKE</t>
  </si>
  <si>
    <t>C52332_H</t>
  </si>
  <si>
    <t>Total Medicare Supplement</t>
  </si>
  <si>
    <t>Medical Mutual All Plans New</t>
  </si>
  <si>
    <t>Medical Mutual 2026*</t>
  </si>
  <si>
    <t>[%/$=347][prorate=1/12]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</si>
</sst>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5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5A5A5A"/>
      <name val="Helvetica Neue"/>
    </font>
    <font>
      <b/>
      <sz val="10"/>
      <color rgb="FFFFFFFF"/>
      <name val="Palatino Linotype"/>
      <family val="1"/>
    </font>
    <font>
      <sz val="10"/>
      <color rgb="FFFFFFFF"/>
      <name val="Arial"/>
      <family val="2"/>
    </font>
    <font>
      <sz val="8"/>
      <color theme="1"/>
      <name val="Arial"/>
      <family val="2"/>
    </font>
    <font>
      <sz val="8"/>
      <color theme="1"/>
      <name val="Helvetica Neue"/>
    </font>
    <font>
      <b/>
      <sz val="9"/>
      <color rgb="FF414042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Helvetica Neue"/>
    </font>
    <font>
      <b/>
      <sz val="14"/>
      <color rgb="FF038675"/>
      <name val="Palatino Linotype"/>
      <family val="1"/>
    </font>
    <font>
      <b/>
      <sz val="12"/>
      <color rgb="FF038675"/>
      <name val="Palatino Linotype"/>
      <family val="1"/>
    </font>
    <font>
      <b/>
      <sz val="11"/>
      <color rgb="FF414042"/>
      <name val="Arial"/>
      <family val="2"/>
    </font>
    <font>
      <sz val="10"/>
      <color theme="1"/>
      <name val="Arial"/>
      <family val="2"/>
    </font>
    <font>
      <b/>
      <sz val="10"/>
      <color rgb="FF41404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285"/>
        <bgColor indexed="64"/>
      </patternFill>
    </fill>
    <fill>
      <patternFill patternType="solid">
        <fgColor rgb="FF03867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8" fillId="3" borderId="4" xfId="0" applyFont="1" applyFill="1" applyBorder="1" applyAlignment="1">
      <alignment vertical="top" wrapText="1"/>
    </xf>
    <xf numFmtId="0" fontId="8" fillId="3" borderId="5" xfId="0" applyFont="1" applyFill="1" applyBorder="1" applyAlignment="1">
      <alignment vertical="top" wrapText="1"/>
    </xf>
    <xf numFmtId="0" fontId="8" fillId="3" borderId="6" xfId="0" applyFont="1" applyFill="1" applyBorder="1" applyAlignment="1">
      <alignment vertical="top" wrapText="1"/>
    </xf>
    <xf numFmtId="8" fontId="9" fillId="3" borderId="4" xfId="0" applyNumberFormat="1" applyFont="1" applyFill="1" applyBorder="1" applyAlignment="1">
      <alignment horizontal="right" vertical="top" wrapText="1"/>
    </xf>
    <xf numFmtId="8" fontId="9" fillId="3" borderId="6" xfId="0" applyNumberFormat="1" applyFont="1" applyFill="1" applyBorder="1" applyAlignment="1">
      <alignment horizontal="right" vertical="top" wrapText="1"/>
    </xf>
    <xf numFmtId="0" fontId="7" fillId="0" borderId="0" xfId="0" applyFont="1" applyAlignment="1">
      <alignment vertical="top" wrapText="1"/>
    </xf>
    <xf numFmtId="8" fontId="7" fillId="0" borderId="0" xfId="0" applyNumberFormat="1" applyFont="1" applyAlignment="1">
      <alignment horizontal="righ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righ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10" fontId="5" fillId="0" borderId="0" xfId="0" applyNumberFormat="1" applyFont="1" applyAlignment="1">
      <alignment horizontal="center" vertical="top" wrapText="1"/>
    </xf>
    <xf numFmtId="8" fontId="5" fillId="0" borderId="0" xfId="0" applyNumberFormat="1" applyFont="1" applyAlignment="1">
      <alignment horizontal="right" vertical="top" wrapText="1"/>
    </xf>
    <xf numFmtId="0" fontId="5" fillId="0" borderId="10" xfId="0" applyFont="1" applyBorder="1" applyAlignment="1">
      <alignment vertical="top" wrapText="1"/>
    </xf>
    <xf numFmtId="0" fontId="5" fillId="0" borderId="10" xfId="0" applyFont="1" applyBorder="1" applyAlignment="1">
      <alignment horizontal="center" vertical="top" wrapText="1"/>
    </xf>
    <xf numFmtId="10" fontId="5" fillId="0" borderId="10" xfId="0" applyNumberFormat="1" applyFont="1" applyBorder="1" applyAlignment="1">
      <alignment horizontal="center" vertical="top" wrapText="1"/>
    </xf>
    <xf numFmtId="8" fontId="5" fillId="0" borderId="10" xfId="0" applyNumberFormat="1" applyFont="1" applyBorder="1" applyAlignment="1">
      <alignment horizontal="right" vertical="top" wrapText="1"/>
    </xf>
    <xf numFmtId="0" fontId="2" fillId="2" borderId="1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top" wrapText="1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right" vertical="top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right" vertical="top" wrapText="1"/>
    </xf>
    <xf numFmtId="0" fontId="12" fillId="0" borderId="0" xfId="0" applyFont="1" applyAlignment="1">
      <alignment vertical="top" wrapText="1"/>
    </xf>
    <xf numFmtId="0" fontId="4" fillId="4" borderId="7" xfId="0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5" fillId="0" borderId="10" xfId="0" applyFont="1" applyBorder="1" applyAlignment="1">
      <alignment wrapText="1"/>
    </xf>
    <xf numFmtId="8" fontId="5" fillId="0" borderId="10" xfId="0" applyNumberFormat="1" applyFont="1" applyBorder="1" applyAlignment="1">
      <alignment wrapText="1"/>
    </xf>
    <xf numFmtId="0" fontId="5" fillId="0" borderId="0" xfId="0" applyFont="1" applyBorder="1" applyAlignment="1">
      <alignment wrapText="1"/>
    </xf>
    <xf numFmtId="10" fontId="5" fillId="0" borderId="0" xfId="0" applyNumberFormat="1" applyFont="1" applyBorder="1" applyAlignment="1">
      <alignment wrapText="1"/>
    </xf>
    <xf numFmtId="8" fontId="5" fillId="0" borderId="0" xfId="0" applyNumberFormat="1" applyFont="1" applyBorder="1" applyAlignment="1">
      <alignment wrapText="1"/>
    </xf>
    <xf numFmtId="0" fontId="1" fillId="0" borderId="0" xfId="0" applyFont="1" applyBorder="1" applyAlignment="1">
      <alignment wrapText="1"/>
    </xf>
    <xf numFmtId="8" fontId="1" fillId="0" borderId="0" xfId="0" applyNumberFormat="1" applyFont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10" fontId="6" fillId="5" borderId="0" xfId="0" applyNumberFormat="1" applyFont="1" applyFill="1" applyAlignment="1">
      <alignment horizontal="center" vertical="top" wrapText="1"/>
    </xf>
    <xf numFmtId="8" fontId="5" fillId="5" borderId="0" xfId="0" applyNumberFormat="1" applyFont="1" applyFill="1" applyAlignment="1">
      <alignment horizontal="right" vertical="top" wrapText="1"/>
    </xf>
    <xf numFmtId="0" fontId="0" fillId="5" borderId="0" xfId="0" applyFill="1"/>
    <xf numFmtId="14" fontId="5" fillId="0" borderId="10" xfId="0" applyNumberFormat="1" applyFont="1" applyBorder="1" applyAlignment="1">
      <alignment wrapText="1"/>
    </xf>
    <xf numFmtId="0" fontId="0" fillId="0" borderId="0" xfId="0" applyBorder="1" applyAlignment="1"/>
    <xf numFmtId="0" fontId="5" fillId="0" borderId="0" xfId="0" applyFont="1" applyBorder="1" applyAlignment="1">
      <alignment horizontal="left" wrapText="1"/>
    </xf>
    <xf numFmtId="14" fontId="5" fillId="0" borderId="0" xfId="0" applyNumberFormat="1" applyFont="1" applyBorder="1" applyAlignment="1">
      <alignment wrapText="1"/>
    </xf>
    <xf numFmtId="0" fontId="5" fillId="5" borderId="0" xfId="0" applyFont="1" applyFill="1" applyBorder="1" applyAlignment="1">
      <alignment wrapText="1"/>
    </xf>
    <xf numFmtId="10" fontId="6" fillId="5" borderId="0" xfId="0" applyNumberFormat="1" applyFont="1" applyFill="1" applyBorder="1" applyAlignment="1">
      <alignment wrapText="1"/>
    </xf>
    <xf numFmtId="8" fontId="5" fillId="5" borderId="0" xfId="0" applyNumberFormat="1" applyFont="1" applyFill="1" applyBorder="1" applyAlignment="1">
      <alignment wrapText="1"/>
    </xf>
    <xf numFmtId="0" fontId="0" fillId="5" borderId="0" xfId="0" applyFill="1" applyBorder="1" applyAlignment="1"/>
    <xf numFmtId="0" fontId="1" fillId="5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F180-CC26-416F-978D-98FC78B61113}">
  <dimension ref="A1:Z120"/>
  <sheetViews>
    <sheetView workbookViewId="0">
      <selection activeCell="A7" sqref="A7:XFD7"/>
    </sheetView>
  </sheetViews>
  <sheetFormatPr defaultRowHeight="15"/>
  <sheetData>
    <row r="1" spans="1:26" ht="15.75" thickBot="1">
      <c r="A1" s="1"/>
      <c r="B1" s="23" t="s">
        <v>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1"/>
      <c r="X1" s="1"/>
      <c r="Y1" s="1"/>
      <c r="Z1" s="1"/>
    </row>
    <row r="2" spans="1:26" ht="15.75" thickBot="1">
      <c r="A2" s="2"/>
      <c r="B2" s="24" t="s">
        <v>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6"/>
      <c r="W2" s="1"/>
      <c r="X2" s="1"/>
      <c r="Y2" s="1"/>
      <c r="Z2" s="1"/>
    </row>
    <row r="3" spans="1:26" ht="15.75" thickBot="1">
      <c r="A3" s="1"/>
      <c r="B3" s="3"/>
      <c r="C3" s="3"/>
      <c r="D3" s="3"/>
      <c r="E3" s="3"/>
      <c r="F3" s="3"/>
      <c r="G3" s="3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  <c r="V3" s="1"/>
      <c r="W3" s="1"/>
      <c r="X3" s="1"/>
      <c r="Y3" s="1"/>
      <c r="Z3" s="1"/>
    </row>
    <row r="4" spans="1:26">
      <c r="A4" s="2"/>
      <c r="B4" s="27" t="s">
        <v>2</v>
      </c>
      <c r="C4" s="28"/>
      <c r="D4" s="27" t="s">
        <v>3</v>
      </c>
      <c r="E4" s="31"/>
      <c r="F4" s="28"/>
      <c r="G4" s="27" t="s">
        <v>4</v>
      </c>
      <c r="H4" s="2"/>
      <c r="I4" s="27" t="s">
        <v>5</v>
      </c>
      <c r="J4" s="31"/>
      <c r="K4" s="31"/>
      <c r="L4" s="28"/>
      <c r="M4" s="27" t="s">
        <v>6</v>
      </c>
      <c r="N4" s="31"/>
      <c r="O4" s="28"/>
      <c r="P4" s="27" t="s">
        <v>7</v>
      </c>
      <c r="Q4" s="28"/>
      <c r="R4" s="27" t="s">
        <v>8</v>
      </c>
      <c r="S4" s="31"/>
      <c r="T4" s="28"/>
      <c r="U4" s="1"/>
      <c r="V4" s="1"/>
      <c r="W4" s="1"/>
      <c r="X4" s="1"/>
      <c r="Y4" s="1"/>
      <c r="Z4" s="1"/>
    </row>
    <row r="5" spans="1:26" ht="15.75" thickBot="1">
      <c r="A5" s="2"/>
      <c r="B5" s="29"/>
      <c r="C5" s="30"/>
      <c r="D5" s="29"/>
      <c r="E5" s="32"/>
      <c r="F5" s="30"/>
      <c r="G5" s="29"/>
      <c r="H5" s="2"/>
      <c r="I5" s="29"/>
      <c r="J5" s="32"/>
      <c r="K5" s="32"/>
      <c r="L5" s="30"/>
      <c r="M5" s="29"/>
      <c r="N5" s="32"/>
      <c r="O5" s="30"/>
      <c r="P5" s="29"/>
      <c r="Q5" s="30"/>
      <c r="R5" s="29"/>
      <c r="S5" s="32"/>
      <c r="T5" s="30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s="57" customFormat="1">
      <c r="A7" s="52"/>
      <c r="B7" s="53" t="s">
        <v>9</v>
      </c>
      <c r="C7" s="53"/>
      <c r="D7" s="53" t="s">
        <v>10</v>
      </c>
      <c r="E7" s="53"/>
      <c r="F7" s="53"/>
      <c r="G7" s="54" t="s">
        <v>11</v>
      </c>
      <c r="H7" s="53" t="s">
        <v>12</v>
      </c>
      <c r="I7" s="53"/>
      <c r="J7" s="53"/>
      <c r="K7" s="53"/>
      <c r="L7" s="55">
        <v>1</v>
      </c>
      <c r="M7" s="55"/>
      <c r="N7" s="56">
        <v>18.55</v>
      </c>
      <c r="O7" s="56"/>
      <c r="P7" s="52"/>
      <c r="Q7" s="56">
        <v>5.56</v>
      </c>
      <c r="R7" s="56"/>
      <c r="S7" s="52"/>
      <c r="T7" s="52"/>
      <c r="U7" s="52"/>
      <c r="V7" s="52"/>
      <c r="W7" s="52"/>
      <c r="X7" s="52"/>
      <c r="Y7" s="52"/>
      <c r="Z7" s="52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1">
        <v>5.56</v>
      </c>
      <c r="R8" s="1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0" t="s">
        <v>13</v>
      </c>
      <c r="C9" s="10"/>
      <c r="D9" s="10"/>
      <c r="E9" s="10"/>
      <c r="F9" s="10"/>
      <c r="G9" s="10"/>
      <c r="H9" s="10"/>
      <c r="I9" s="10"/>
      <c r="J9" s="10"/>
      <c r="K9" s="1"/>
      <c r="L9" s="1"/>
      <c r="M9" s="1"/>
      <c r="N9" s="11">
        <v>18.55</v>
      </c>
      <c r="O9" s="11"/>
      <c r="P9" s="1"/>
      <c r="Q9" s="11">
        <v>5.56</v>
      </c>
      <c r="R9" s="11"/>
      <c r="S9" s="1"/>
      <c r="T9" s="1"/>
      <c r="U9" s="1"/>
      <c r="V9" s="1"/>
      <c r="W9" s="1"/>
      <c r="X9" s="1"/>
      <c r="Y9" s="1"/>
      <c r="Z9" s="1"/>
    </row>
    <row r="10" spans="1:26" ht="15.75" thickBo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"/>
      <c r="X10" s="1"/>
      <c r="Y10" s="1"/>
      <c r="Z10" s="1"/>
    </row>
    <row r="11" spans="1:26" ht="15.75" thickBot="1">
      <c r="A11" s="2"/>
      <c r="B11" s="5" t="s">
        <v>14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  <c r="U11" s="8">
        <v>4655.43</v>
      </c>
      <c r="V11" s="9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>
      <c r="A14" s="1"/>
      <c r="B14" s="1"/>
      <c r="C14" s="1"/>
      <c r="D14" s="1"/>
      <c r="E14" s="1"/>
      <c r="F14" s="1"/>
      <c r="G14" s="1"/>
      <c r="H14" s="1"/>
      <c r="I14" s="1"/>
      <c r="J14" s="12" t="s">
        <v>15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>
      <c r="A16" s="1"/>
      <c r="B16" s="13" t="s">
        <v>16</v>
      </c>
      <c r="C16" s="13"/>
      <c r="D16" s="13"/>
      <c r="E16" s="13"/>
      <c r="F16" s="13"/>
      <c r="G16" s="13"/>
      <c r="H16" s="13"/>
      <c r="I16" s="13"/>
      <c r="J16" s="14" t="s">
        <v>17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"/>
      <c r="W16" s="1"/>
      <c r="X16" s="1"/>
      <c r="Y16" s="1"/>
      <c r="Z16" s="1"/>
    </row>
    <row r="17" spans="1:26" ht="15" customHeight="1">
      <c r="A17" s="1"/>
      <c r="B17" s="1"/>
      <c r="C17" s="1"/>
      <c r="D17" s="1"/>
      <c r="E17" s="40" t="s">
        <v>18</v>
      </c>
      <c r="F17" s="40"/>
      <c r="G17" s="40"/>
      <c r="H17" s="4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36" t="s">
        <v>19</v>
      </c>
      <c r="F18" s="36"/>
      <c r="G18" s="36"/>
      <c r="H18" s="36"/>
      <c r="I18" s="37">
        <v>911.37</v>
      </c>
      <c r="J18" s="37"/>
      <c r="K18" s="37"/>
      <c r="L18" s="37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36" t="s">
        <v>20</v>
      </c>
      <c r="F19" s="36"/>
      <c r="G19" s="36"/>
      <c r="H19" s="36"/>
      <c r="I19" s="37">
        <v>911.37</v>
      </c>
      <c r="J19" s="37"/>
      <c r="K19" s="37"/>
      <c r="L19" s="3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38" t="s">
        <v>21</v>
      </c>
      <c r="F21" s="38"/>
      <c r="G21" s="38"/>
      <c r="H21" s="38"/>
      <c r="I21" s="39">
        <v>911.37</v>
      </c>
      <c r="J21" s="39"/>
      <c r="K21" s="39"/>
      <c r="L21" s="3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1"/>
      <c r="B23" s="23" t="s">
        <v>22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1"/>
      <c r="X23" s="1"/>
      <c r="Y23" s="1"/>
      <c r="Z23" s="1"/>
    </row>
    <row r="24" spans="1:26" ht="15.75" thickBot="1">
      <c r="A24" s="2"/>
      <c r="B24" s="24" t="s">
        <v>23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6"/>
      <c r="W24" s="1"/>
      <c r="X24" s="1"/>
      <c r="Y24" s="1"/>
      <c r="Z24" s="1"/>
    </row>
    <row r="25" spans="1:26" ht="15.75" thickBot="1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2"/>
      <c r="B26" s="27" t="s">
        <v>2</v>
      </c>
      <c r="C26" s="28"/>
      <c r="D26" s="27" t="s">
        <v>24</v>
      </c>
      <c r="E26" s="31"/>
      <c r="F26" s="28"/>
      <c r="G26" s="33" t="s">
        <v>25</v>
      </c>
      <c r="H26" s="27" t="s">
        <v>26</v>
      </c>
      <c r="I26" s="31"/>
      <c r="J26" s="31"/>
      <c r="K26" s="28"/>
      <c r="L26" s="27" t="s">
        <v>8</v>
      </c>
      <c r="M26" s="31"/>
      <c r="N26" s="28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2"/>
      <c r="B27" s="29"/>
      <c r="C27" s="30"/>
      <c r="D27" s="29"/>
      <c r="E27" s="32"/>
      <c r="F27" s="30"/>
      <c r="G27" s="34"/>
      <c r="H27" s="29"/>
      <c r="I27" s="32"/>
      <c r="J27" s="32"/>
      <c r="K27" s="30"/>
      <c r="L27" s="29"/>
      <c r="M27" s="32"/>
      <c r="N27" s="3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5" t="s">
        <v>27</v>
      </c>
      <c r="C29" s="15"/>
      <c r="D29" s="15" t="s">
        <v>28</v>
      </c>
      <c r="E29" s="15"/>
      <c r="F29" s="15"/>
      <c r="G29" s="4">
        <v>6277111</v>
      </c>
      <c r="H29" s="35">
        <v>45992</v>
      </c>
      <c r="I29" s="35"/>
      <c r="J29" s="35"/>
      <c r="K29" s="35"/>
      <c r="L29" s="18">
        <v>28.92</v>
      </c>
      <c r="M29" s="18"/>
      <c r="N29" s="18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5" t="s">
        <v>27</v>
      </c>
      <c r="C31" s="15"/>
      <c r="D31" s="15" t="s">
        <v>29</v>
      </c>
      <c r="E31" s="15"/>
      <c r="F31" s="15"/>
      <c r="G31" s="4">
        <v>6236016</v>
      </c>
      <c r="H31" s="35">
        <v>45658</v>
      </c>
      <c r="I31" s="35"/>
      <c r="J31" s="35"/>
      <c r="K31" s="35"/>
      <c r="L31" s="18">
        <v>28.92</v>
      </c>
      <c r="M31" s="18"/>
      <c r="N31" s="18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5" t="s">
        <v>30</v>
      </c>
      <c r="C33" s="15"/>
      <c r="D33" s="15" t="s">
        <v>31</v>
      </c>
      <c r="E33" s="15"/>
      <c r="F33" s="15"/>
      <c r="G33" s="4">
        <v>6220011</v>
      </c>
      <c r="H33" s="35">
        <v>45658</v>
      </c>
      <c r="I33" s="35"/>
      <c r="J33" s="35"/>
      <c r="K33" s="35"/>
      <c r="L33" s="18">
        <v>28.92</v>
      </c>
      <c r="M33" s="18"/>
      <c r="N33" s="1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5" t="s">
        <v>30</v>
      </c>
      <c r="C35" s="15"/>
      <c r="D35" s="15" t="s">
        <v>32</v>
      </c>
      <c r="E35" s="15"/>
      <c r="F35" s="15"/>
      <c r="G35" s="4">
        <v>6224756</v>
      </c>
      <c r="H35" s="35">
        <v>45658</v>
      </c>
      <c r="I35" s="35"/>
      <c r="J35" s="35"/>
      <c r="K35" s="35"/>
      <c r="L35" s="18">
        <v>28.92</v>
      </c>
      <c r="M35" s="18"/>
      <c r="N35" s="1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5" t="s">
        <v>9</v>
      </c>
      <c r="C37" s="15"/>
      <c r="D37" s="15" t="s">
        <v>33</v>
      </c>
      <c r="E37" s="15"/>
      <c r="F37" s="15"/>
      <c r="G37" s="4">
        <v>6213383</v>
      </c>
      <c r="H37" s="35">
        <v>45658</v>
      </c>
      <c r="I37" s="35"/>
      <c r="J37" s="35"/>
      <c r="K37" s="35"/>
      <c r="L37" s="18">
        <v>28.92</v>
      </c>
      <c r="M37" s="18"/>
      <c r="N37" s="18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5" t="s">
        <v>9</v>
      </c>
      <c r="C39" s="15"/>
      <c r="D39" s="15" t="s">
        <v>34</v>
      </c>
      <c r="E39" s="15"/>
      <c r="F39" s="15"/>
      <c r="G39" s="4">
        <v>6210817</v>
      </c>
      <c r="H39" s="35">
        <v>45627</v>
      </c>
      <c r="I39" s="35"/>
      <c r="J39" s="35"/>
      <c r="K39" s="35"/>
      <c r="L39" s="18">
        <v>28.92</v>
      </c>
      <c r="M39" s="18"/>
      <c r="N39" s="18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5" t="s">
        <v>9</v>
      </c>
      <c r="C41" s="15"/>
      <c r="D41" s="15" t="s">
        <v>35</v>
      </c>
      <c r="E41" s="15"/>
      <c r="F41" s="15"/>
      <c r="G41" s="4">
        <v>6218056</v>
      </c>
      <c r="H41" s="35">
        <v>45658</v>
      </c>
      <c r="I41" s="35"/>
      <c r="J41" s="35"/>
      <c r="K41" s="35"/>
      <c r="L41" s="18">
        <v>28.92</v>
      </c>
      <c r="M41" s="18"/>
      <c r="N41" s="18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5" t="s">
        <v>9</v>
      </c>
      <c r="C43" s="15"/>
      <c r="D43" s="15" t="s">
        <v>36</v>
      </c>
      <c r="E43" s="15"/>
      <c r="F43" s="15"/>
      <c r="G43" s="4">
        <v>6212568</v>
      </c>
      <c r="H43" s="35">
        <v>45658</v>
      </c>
      <c r="I43" s="35"/>
      <c r="J43" s="35"/>
      <c r="K43" s="35"/>
      <c r="L43" s="18">
        <v>28.92</v>
      </c>
      <c r="M43" s="18"/>
      <c r="N43" s="18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5" t="s">
        <v>9</v>
      </c>
      <c r="C45" s="15"/>
      <c r="D45" s="15" t="s">
        <v>37</v>
      </c>
      <c r="E45" s="15"/>
      <c r="F45" s="15"/>
      <c r="G45" s="4">
        <v>6215141</v>
      </c>
      <c r="H45" s="35">
        <v>45658</v>
      </c>
      <c r="I45" s="35"/>
      <c r="J45" s="35"/>
      <c r="K45" s="35"/>
      <c r="L45" s="18">
        <v>28.92</v>
      </c>
      <c r="M45" s="18"/>
      <c r="N45" s="18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5" t="s">
        <v>9</v>
      </c>
      <c r="C47" s="15"/>
      <c r="D47" s="15" t="s">
        <v>38</v>
      </c>
      <c r="E47" s="15"/>
      <c r="F47" s="15"/>
      <c r="G47" s="4">
        <v>6218054</v>
      </c>
      <c r="H47" s="35">
        <v>45658</v>
      </c>
      <c r="I47" s="35"/>
      <c r="J47" s="35"/>
      <c r="K47" s="35"/>
      <c r="L47" s="18">
        <v>28.92</v>
      </c>
      <c r="M47" s="18"/>
      <c r="N47" s="18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5" t="s">
        <v>9</v>
      </c>
      <c r="C49" s="15"/>
      <c r="D49" s="15" t="s">
        <v>39</v>
      </c>
      <c r="E49" s="15"/>
      <c r="F49" s="15"/>
      <c r="G49" s="4">
        <v>6238104</v>
      </c>
      <c r="H49" s="35">
        <v>45627</v>
      </c>
      <c r="I49" s="35"/>
      <c r="J49" s="35"/>
      <c r="K49" s="35"/>
      <c r="L49" s="18">
        <v>28.92</v>
      </c>
      <c r="M49" s="18"/>
      <c r="N49" s="18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5" t="s">
        <v>9</v>
      </c>
      <c r="C51" s="15"/>
      <c r="D51" s="15" t="s">
        <v>40</v>
      </c>
      <c r="E51" s="15"/>
      <c r="F51" s="15"/>
      <c r="G51" s="4">
        <v>6224965</v>
      </c>
      <c r="H51" s="35">
        <v>45658</v>
      </c>
      <c r="I51" s="35"/>
      <c r="J51" s="35"/>
      <c r="K51" s="35"/>
      <c r="L51" s="18">
        <v>28.92</v>
      </c>
      <c r="M51" s="18"/>
      <c r="N51" s="18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5" t="s">
        <v>9</v>
      </c>
      <c r="C53" s="15"/>
      <c r="D53" s="15" t="s">
        <v>41</v>
      </c>
      <c r="E53" s="15"/>
      <c r="F53" s="15"/>
      <c r="G53" s="4">
        <v>6210872</v>
      </c>
      <c r="H53" s="35">
        <v>45597</v>
      </c>
      <c r="I53" s="35"/>
      <c r="J53" s="35"/>
      <c r="K53" s="35"/>
      <c r="L53" s="18">
        <v>28.92</v>
      </c>
      <c r="M53" s="18"/>
      <c r="N53" s="1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5" t="s">
        <v>9</v>
      </c>
      <c r="C55" s="15"/>
      <c r="D55" s="15" t="s">
        <v>42</v>
      </c>
      <c r="E55" s="15"/>
      <c r="F55" s="15"/>
      <c r="G55" s="4">
        <v>6239247</v>
      </c>
      <c r="H55" s="35">
        <v>45658</v>
      </c>
      <c r="I55" s="35"/>
      <c r="J55" s="35"/>
      <c r="K55" s="35"/>
      <c r="L55" s="18">
        <v>28.92</v>
      </c>
      <c r="M55" s="18"/>
      <c r="N55" s="1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5" t="s">
        <v>9</v>
      </c>
      <c r="C57" s="15"/>
      <c r="D57" s="15" t="s">
        <v>43</v>
      </c>
      <c r="E57" s="15"/>
      <c r="F57" s="15"/>
      <c r="G57" s="4">
        <v>6138508</v>
      </c>
      <c r="H57" s="35">
        <v>43101</v>
      </c>
      <c r="I57" s="35"/>
      <c r="J57" s="35"/>
      <c r="K57" s="35"/>
      <c r="L57" s="18">
        <v>28.92</v>
      </c>
      <c r="M57" s="18"/>
      <c r="N57" s="1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5" t="s">
        <v>9</v>
      </c>
      <c r="C59" s="15"/>
      <c r="D59" s="15" t="s">
        <v>44</v>
      </c>
      <c r="E59" s="15"/>
      <c r="F59" s="15"/>
      <c r="G59" s="4">
        <v>6233105</v>
      </c>
      <c r="H59" s="35">
        <v>45658</v>
      </c>
      <c r="I59" s="35"/>
      <c r="J59" s="35"/>
      <c r="K59" s="35"/>
      <c r="L59" s="18">
        <v>28.92</v>
      </c>
      <c r="M59" s="18"/>
      <c r="N59" s="1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5" t="s">
        <v>9</v>
      </c>
      <c r="C61" s="15"/>
      <c r="D61" s="15" t="s">
        <v>45</v>
      </c>
      <c r="E61" s="15"/>
      <c r="F61" s="15"/>
      <c r="G61" s="4">
        <v>6225460</v>
      </c>
      <c r="H61" s="35">
        <v>45597</v>
      </c>
      <c r="I61" s="35"/>
      <c r="J61" s="35"/>
      <c r="K61" s="35"/>
      <c r="L61" s="18">
        <v>28.92</v>
      </c>
      <c r="M61" s="18"/>
      <c r="N61" s="1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5" t="s">
        <v>9</v>
      </c>
      <c r="C63" s="15"/>
      <c r="D63" s="15" t="s">
        <v>46</v>
      </c>
      <c r="E63" s="15"/>
      <c r="F63" s="15"/>
      <c r="G63" s="4">
        <v>6241874</v>
      </c>
      <c r="H63" s="35">
        <v>45658</v>
      </c>
      <c r="I63" s="35"/>
      <c r="J63" s="35"/>
      <c r="K63" s="35"/>
      <c r="L63" s="18">
        <v>28.92</v>
      </c>
      <c r="M63" s="18"/>
      <c r="N63" s="1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5" t="s">
        <v>9</v>
      </c>
      <c r="C65" s="15"/>
      <c r="D65" s="15" t="s">
        <v>47</v>
      </c>
      <c r="E65" s="15"/>
      <c r="F65" s="15"/>
      <c r="G65" s="4">
        <v>6231397</v>
      </c>
      <c r="H65" s="35">
        <v>45627</v>
      </c>
      <c r="I65" s="35"/>
      <c r="J65" s="35"/>
      <c r="K65" s="35"/>
      <c r="L65" s="18">
        <v>28.92</v>
      </c>
      <c r="M65" s="18"/>
      <c r="N65" s="1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5" t="s">
        <v>9</v>
      </c>
      <c r="C67" s="15"/>
      <c r="D67" s="15" t="s">
        <v>48</v>
      </c>
      <c r="E67" s="15"/>
      <c r="F67" s="15"/>
      <c r="G67" s="4">
        <v>6220305</v>
      </c>
      <c r="H67" s="35">
        <v>45658</v>
      </c>
      <c r="I67" s="35"/>
      <c r="J67" s="35"/>
      <c r="K67" s="35"/>
      <c r="L67" s="18">
        <v>28.92</v>
      </c>
      <c r="M67" s="18"/>
      <c r="N67" s="1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5" t="s">
        <v>9</v>
      </c>
      <c r="C69" s="15"/>
      <c r="D69" s="15" t="s">
        <v>49</v>
      </c>
      <c r="E69" s="15"/>
      <c r="F69" s="15"/>
      <c r="G69" s="4">
        <v>6209348</v>
      </c>
      <c r="H69" s="35">
        <v>45505</v>
      </c>
      <c r="I69" s="35"/>
      <c r="J69" s="35"/>
      <c r="K69" s="35"/>
      <c r="L69" s="18">
        <v>28.92</v>
      </c>
      <c r="M69" s="18"/>
      <c r="N69" s="1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5" t="s">
        <v>9</v>
      </c>
      <c r="C71" s="15"/>
      <c r="D71" s="15" t="s">
        <v>50</v>
      </c>
      <c r="E71" s="15"/>
      <c r="F71" s="15"/>
      <c r="G71" s="4">
        <v>6155654</v>
      </c>
      <c r="H71" s="35">
        <v>45658</v>
      </c>
      <c r="I71" s="35"/>
      <c r="J71" s="35"/>
      <c r="K71" s="35"/>
      <c r="L71" s="18">
        <v>28.92</v>
      </c>
      <c r="M71" s="18"/>
      <c r="N71" s="18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0" t="s">
        <v>51</v>
      </c>
      <c r="C73" s="10"/>
      <c r="D73" s="10"/>
      <c r="E73" s="10"/>
      <c r="F73" s="10"/>
      <c r="G73" s="1"/>
      <c r="H73" s="1"/>
      <c r="I73" s="1"/>
      <c r="J73" s="1"/>
      <c r="K73" s="1"/>
      <c r="L73" s="11">
        <v>636.24</v>
      </c>
      <c r="M73" s="11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23" t="s">
        <v>52</v>
      </c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1"/>
      <c r="X74" s="1"/>
      <c r="Y74" s="1"/>
      <c r="Z74" s="1"/>
    </row>
    <row r="75" spans="1:26" ht="15.75" thickBot="1">
      <c r="A75" s="2"/>
      <c r="B75" s="24" t="s">
        <v>23</v>
      </c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6"/>
      <c r="W75" s="1"/>
      <c r="X75" s="1"/>
      <c r="Y75" s="1"/>
      <c r="Z75" s="1"/>
    </row>
    <row r="76" spans="1:26" ht="15.75" thickBot="1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1"/>
      <c r="Q76" s="3"/>
      <c r="R76" s="3"/>
      <c r="S76" s="1"/>
      <c r="T76" s="1"/>
      <c r="U76" s="1"/>
      <c r="V76" s="1"/>
      <c r="W76" s="1"/>
      <c r="X76" s="1"/>
      <c r="Y76" s="1"/>
      <c r="Z76" s="1"/>
    </row>
    <row r="77" spans="1:26">
      <c r="A77" s="2"/>
      <c r="B77" s="27" t="s">
        <v>2</v>
      </c>
      <c r="C77" s="28"/>
      <c r="D77" s="27" t="s">
        <v>3</v>
      </c>
      <c r="E77" s="31"/>
      <c r="F77" s="28"/>
      <c r="G77" s="33" t="s">
        <v>4</v>
      </c>
      <c r="H77" s="27" t="s">
        <v>53</v>
      </c>
      <c r="I77" s="31"/>
      <c r="J77" s="31"/>
      <c r="K77" s="28"/>
      <c r="L77" s="27" t="s">
        <v>6</v>
      </c>
      <c r="M77" s="28"/>
      <c r="N77" s="27" t="s">
        <v>7</v>
      </c>
      <c r="O77" s="28"/>
      <c r="P77" s="2"/>
      <c r="Q77" s="27" t="s">
        <v>8</v>
      </c>
      <c r="R77" s="28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2"/>
      <c r="B78" s="29"/>
      <c r="C78" s="30"/>
      <c r="D78" s="29"/>
      <c r="E78" s="32"/>
      <c r="F78" s="30"/>
      <c r="G78" s="34"/>
      <c r="H78" s="29"/>
      <c r="I78" s="32"/>
      <c r="J78" s="32"/>
      <c r="K78" s="30"/>
      <c r="L78" s="29"/>
      <c r="M78" s="30"/>
      <c r="N78" s="29"/>
      <c r="O78" s="30"/>
      <c r="P78" s="2"/>
      <c r="Q78" s="29"/>
      <c r="R78" s="30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9" t="s">
        <v>54</v>
      </c>
      <c r="C79" s="19"/>
      <c r="D79" s="19" t="s">
        <v>55</v>
      </c>
      <c r="E79" s="19"/>
      <c r="F79" s="19"/>
      <c r="G79" s="4" t="s">
        <v>56</v>
      </c>
      <c r="H79" s="20">
        <v>1</v>
      </c>
      <c r="I79" s="20"/>
      <c r="J79" s="20"/>
      <c r="K79" s="20"/>
      <c r="L79" s="21">
        <v>1</v>
      </c>
      <c r="M79" s="21"/>
      <c r="N79" s="22">
        <v>161.15</v>
      </c>
      <c r="O79" s="22"/>
      <c r="P79" s="1"/>
      <c r="Q79" s="22">
        <v>33.840000000000003</v>
      </c>
      <c r="R79" s="22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5" t="s">
        <v>27</v>
      </c>
      <c r="C80" s="15"/>
      <c r="D80" s="15" t="s">
        <v>57</v>
      </c>
      <c r="E80" s="15"/>
      <c r="F80" s="15"/>
      <c r="G80" s="4" t="s">
        <v>58</v>
      </c>
      <c r="H80" s="16">
        <v>1</v>
      </c>
      <c r="I80" s="16"/>
      <c r="J80" s="16"/>
      <c r="K80" s="16"/>
      <c r="L80" s="17">
        <v>1</v>
      </c>
      <c r="M80" s="17"/>
      <c r="N80" s="18">
        <v>203.92</v>
      </c>
      <c r="O80" s="18"/>
      <c r="P80" s="1"/>
      <c r="Q80" s="18">
        <v>42.82</v>
      </c>
      <c r="R80" s="18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5" t="s">
        <v>30</v>
      </c>
      <c r="C81" s="15"/>
      <c r="D81" s="15" t="s">
        <v>59</v>
      </c>
      <c r="E81" s="15"/>
      <c r="F81" s="15"/>
      <c r="G81" s="4" t="s">
        <v>60</v>
      </c>
      <c r="H81" s="16">
        <v>1</v>
      </c>
      <c r="I81" s="16"/>
      <c r="J81" s="16"/>
      <c r="K81" s="16"/>
      <c r="L81" s="17">
        <v>1</v>
      </c>
      <c r="M81" s="17"/>
      <c r="N81" s="18">
        <v>172.99</v>
      </c>
      <c r="O81" s="18"/>
      <c r="P81" s="1"/>
      <c r="Q81" s="18">
        <v>36.33</v>
      </c>
      <c r="R81" s="18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5" t="s">
        <v>30</v>
      </c>
      <c r="C82" s="15"/>
      <c r="D82" s="15" t="s">
        <v>61</v>
      </c>
      <c r="E82" s="15"/>
      <c r="F82" s="15"/>
      <c r="G82" s="4" t="s">
        <v>62</v>
      </c>
      <c r="H82" s="16">
        <v>1</v>
      </c>
      <c r="I82" s="16"/>
      <c r="J82" s="16"/>
      <c r="K82" s="16"/>
      <c r="L82" s="17">
        <v>1</v>
      </c>
      <c r="M82" s="17"/>
      <c r="N82" s="18">
        <v>221.33</v>
      </c>
      <c r="O82" s="18"/>
      <c r="P82" s="1"/>
      <c r="Q82" s="18">
        <v>46.48</v>
      </c>
      <c r="R82" s="18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5" t="s">
        <v>30</v>
      </c>
      <c r="C83" s="15"/>
      <c r="D83" s="15" t="s">
        <v>63</v>
      </c>
      <c r="E83" s="15"/>
      <c r="F83" s="15"/>
      <c r="G83" s="4" t="s">
        <v>64</v>
      </c>
      <c r="H83" s="16">
        <v>1</v>
      </c>
      <c r="I83" s="16"/>
      <c r="J83" s="16"/>
      <c r="K83" s="16"/>
      <c r="L83" s="17">
        <v>1</v>
      </c>
      <c r="M83" s="17"/>
      <c r="N83" s="18">
        <v>157.30000000000001</v>
      </c>
      <c r="O83" s="18"/>
      <c r="P83" s="1"/>
      <c r="Q83" s="18">
        <v>33.03</v>
      </c>
      <c r="R83" s="18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5" t="s">
        <v>30</v>
      </c>
      <c r="C84" s="15"/>
      <c r="D84" s="15" t="s">
        <v>65</v>
      </c>
      <c r="E84" s="15"/>
      <c r="F84" s="15"/>
      <c r="G84" s="4" t="s">
        <v>66</v>
      </c>
      <c r="H84" s="16">
        <v>1</v>
      </c>
      <c r="I84" s="16"/>
      <c r="J84" s="16"/>
      <c r="K84" s="16"/>
      <c r="L84" s="17">
        <v>1</v>
      </c>
      <c r="M84" s="17"/>
      <c r="N84" s="18">
        <v>157.30000000000001</v>
      </c>
      <c r="O84" s="18"/>
      <c r="P84" s="1"/>
      <c r="Q84" s="18">
        <v>33.03</v>
      </c>
      <c r="R84" s="18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5" t="s">
        <v>30</v>
      </c>
      <c r="C85" s="15"/>
      <c r="D85" s="15" t="s">
        <v>67</v>
      </c>
      <c r="E85" s="15"/>
      <c r="F85" s="15"/>
      <c r="G85" s="4" t="s">
        <v>68</v>
      </c>
      <c r="H85" s="16">
        <v>1</v>
      </c>
      <c r="I85" s="16"/>
      <c r="J85" s="16"/>
      <c r="K85" s="16"/>
      <c r="L85" s="17">
        <v>1</v>
      </c>
      <c r="M85" s="17"/>
      <c r="N85" s="18">
        <v>236.17</v>
      </c>
      <c r="O85" s="18"/>
      <c r="P85" s="1"/>
      <c r="Q85" s="18">
        <v>49.6</v>
      </c>
      <c r="R85" s="18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0" t="s">
        <v>69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1">
        <v>1310.1600000000001</v>
      </c>
      <c r="O86" s="11"/>
      <c r="P86" s="1"/>
      <c r="Q86" s="11">
        <v>275.13</v>
      </c>
      <c r="R86" s="11"/>
      <c r="S86" s="1"/>
      <c r="T86" s="1"/>
      <c r="U86" s="5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>
      <c r="A88" s="1"/>
      <c r="B88" s="1"/>
      <c r="C88" s="1"/>
      <c r="D88" s="1"/>
      <c r="E88" s="1"/>
      <c r="F88" s="1"/>
      <c r="G88" s="1"/>
      <c r="H88" s="1"/>
      <c r="I88" s="1"/>
      <c r="J88" s="12" t="s">
        <v>15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" customHeight="1">
      <c r="A90" s="1"/>
      <c r="B90" s="13" t="s">
        <v>16</v>
      </c>
      <c r="C90" s="13"/>
      <c r="D90" s="13"/>
      <c r="E90" s="13"/>
      <c r="F90" s="13"/>
      <c r="G90" s="13"/>
      <c r="H90" s="13"/>
      <c r="I90" s="13"/>
      <c r="J90" s="14" t="s">
        <v>17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"/>
      <c r="W90" s="1"/>
      <c r="X90" s="1"/>
      <c r="Y90" s="1"/>
      <c r="Z90" s="1"/>
    </row>
    <row r="91" spans="1:26" ht="15.75" thickBot="1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1"/>
      <c r="X91" s="1"/>
      <c r="Y91" s="1"/>
      <c r="Z91" s="1"/>
    </row>
    <row r="92" spans="1:26" ht="15.75" thickBot="1">
      <c r="A92" s="2"/>
      <c r="B92" s="5" t="s">
        <v>14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7"/>
      <c r="U92" s="8">
        <v>911.37</v>
      </c>
      <c r="V92" s="9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</sheetData>
  <mergeCells count="187">
    <mergeCell ref="B1:V1"/>
    <mergeCell ref="B2:V2"/>
    <mergeCell ref="B4:C5"/>
    <mergeCell ref="D4:F5"/>
    <mergeCell ref="G4:G5"/>
    <mergeCell ref="I4:L5"/>
    <mergeCell ref="M4:O5"/>
    <mergeCell ref="P4:Q5"/>
    <mergeCell ref="R4:T5"/>
    <mergeCell ref="Q8:R8"/>
    <mergeCell ref="B9:J9"/>
    <mergeCell ref="N9:O9"/>
    <mergeCell ref="Q9:R9"/>
    <mergeCell ref="B11:T11"/>
    <mergeCell ref="U11:V11"/>
    <mergeCell ref="B7:C7"/>
    <mergeCell ref="D7:F7"/>
    <mergeCell ref="H7:K7"/>
    <mergeCell ref="L7:M7"/>
    <mergeCell ref="N7:O7"/>
    <mergeCell ref="Q7:R7"/>
    <mergeCell ref="E19:H19"/>
    <mergeCell ref="I19:L19"/>
    <mergeCell ref="E21:H21"/>
    <mergeCell ref="I21:L21"/>
    <mergeCell ref="B23:V23"/>
    <mergeCell ref="B24:V24"/>
    <mergeCell ref="J14:U14"/>
    <mergeCell ref="B16:I16"/>
    <mergeCell ref="J16:U16"/>
    <mergeCell ref="E17:H17"/>
    <mergeCell ref="E18:H18"/>
    <mergeCell ref="I18:L18"/>
    <mergeCell ref="B31:C31"/>
    <mergeCell ref="D31:F31"/>
    <mergeCell ref="H31:K31"/>
    <mergeCell ref="L31:N31"/>
    <mergeCell ref="B33:C33"/>
    <mergeCell ref="D33:F33"/>
    <mergeCell ref="H33:K33"/>
    <mergeCell ref="L33:N33"/>
    <mergeCell ref="B26:C27"/>
    <mergeCell ref="D26:F27"/>
    <mergeCell ref="G26:G27"/>
    <mergeCell ref="H26:K27"/>
    <mergeCell ref="L26:N27"/>
    <mergeCell ref="B29:C29"/>
    <mergeCell ref="D29:F29"/>
    <mergeCell ref="H29:K29"/>
    <mergeCell ref="L29:N29"/>
    <mergeCell ref="B39:C39"/>
    <mergeCell ref="D39:F39"/>
    <mergeCell ref="H39:K39"/>
    <mergeCell ref="L39:N39"/>
    <mergeCell ref="B41:C41"/>
    <mergeCell ref="D41:F41"/>
    <mergeCell ref="H41:K41"/>
    <mergeCell ref="L41:N41"/>
    <mergeCell ref="B35:C35"/>
    <mergeCell ref="D35:F35"/>
    <mergeCell ref="H35:K35"/>
    <mergeCell ref="L35:N35"/>
    <mergeCell ref="B37:C37"/>
    <mergeCell ref="D37:F37"/>
    <mergeCell ref="H37:K37"/>
    <mergeCell ref="L37:N37"/>
    <mergeCell ref="B47:C47"/>
    <mergeCell ref="D47:F47"/>
    <mergeCell ref="H47:K47"/>
    <mergeCell ref="L47:N47"/>
    <mergeCell ref="B49:C49"/>
    <mergeCell ref="D49:F49"/>
    <mergeCell ref="H49:K49"/>
    <mergeCell ref="L49:N49"/>
    <mergeCell ref="B43:C43"/>
    <mergeCell ref="D43:F43"/>
    <mergeCell ref="H43:K43"/>
    <mergeCell ref="L43:N43"/>
    <mergeCell ref="B45:C45"/>
    <mergeCell ref="D45:F45"/>
    <mergeCell ref="H45:K45"/>
    <mergeCell ref="L45:N45"/>
    <mergeCell ref="B55:C55"/>
    <mergeCell ref="D55:F55"/>
    <mergeCell ref="H55:K55"/>
    <mergeCell ref="L55:N55"/>
    <mergeCell ref="B57:C57"/>
    <mergeCell ref="D57:F57"/>
    <mergeCell ref="H57:K57"/>
    <mergeCell ref="L57:N57"/>
    <mergeCell ref="B51:C51"/>
    <mergeCell ref="D51:F51"/>
    <mergeCell ref="H51:K51"/>
    <mergeCell ref="L51:N51"/>
    <mergeCell ref="B53:C53"/>
    <mergeCell ref="D53:F53"/>
    <mergeCell ref="H53:K53"/>
    <mergeCell ref="L53:N53"/>
    <mergeCell ref="B63:C63"/>
    <mergeCell ref="D63:F63"/>
    <mergeCell ref="H63:K63"/>
    <mergeCell ref="L63:N63"/>
    <mergeCell ref="B65:C65"/>
    <mergeCell ref="D65:F65"/>
    <mergeCell ref="H65:K65"/>
    <mergeCell ref="L65:N65"/>
    <mergeCell ref="B59:C59"/>
    <mergeCell ref="D59:F59"/>
    <mergeCell ref="H59:K59"/>
    <mergeCell ref="L59:N59"/>
    <mergeCell ref="B61:C61"/>
    <mergeCell ref="D61:F61"/>
    <mergeCell ref="H61:K61"/>
    <mergeCell ref="L61:N61"/>
    <mergeCell ref="B71:C71"/>
    <mergeCell ref="D71:F71"/>
    <mergeCell ref="H71:K71"/>
    <mergeCell ref="L71:N71"/>
    <mergeCell ref="B73:F73"/>
    <mergeCell ref="L73:N73"/>
    <mergeCell ref="B67:C67"/>
    <mergeCell ref="D67:F67"/>
    <mergeCell ref="H67:K67"/>
    <mergeCell ref="L67:N67"/>
    <mergeCell ref="B69:C69"/>
    <mergeCell ref="D69:F69"/>
    <mergeCell ref="H69:K69"/>
    <mergeCell ref="L69:N69"/>
    <mergeCell ref="B74:V74"/>
    <mergeCell ref="B75:V75"/>
    <mergeCell ref="B77:C78"/>
    <mergeCell ref="D77:F78"/>
    <mergeCell ref="G77:G78"/>
    <mergeCell ref="H77:K78"/>
    <mergeCell ref="L77:M78"/>
    <mergeCell ref="N77:O78"/>
    <mergeCell ref="Q77:R78"/>
    <mergeCell ref="B80:C80"/>
    <mergeCell ref="D80:F80"/>
    <mergeCell ref="H80:K80"/>
    <mergeCell ref="L80:M80"/>
    <mergeCell ref="N80:O80"/>
    <mergeCell ref="Q80:R80"/>
    <mergeCell ref="B79:C79"/>
    <mergeCell ref="D79:F79"/>
    <mergeCell ref="H79:K79"/>
    <mergeCell ref="L79:M79"/>
    <mergeCell ref="N79:O79"/>
    <mergeCell ref="Q79:R79"/>
    <mergeCell ref="B82:C82"/>
    <mergeCell ref="D82:F82"/>
    <mergeCell ref="H82:K82"/>
    <mergeCell ref="L82:M82"/>
    <mergeCell ref="N82:O82"/>
    <mergeCell ref="Q82:R82"/>
    <mergeCell ref="B81:C81"/>
    <mergeCell ref="D81:F81"/>
    <mergeCell ref="H81:K81"/>
    <mergeCell ref="L81:M81"/>
    <mergeCell ref="N81:O81"/>
    <mergeCell ref="Q81:R81"/>
    <mergeCell ref="B84:C84"/>
    <mergeCell ref="D84:F84"/>
    <mergeCell ref="H84:K84"/>
    <mergeCell ref="L84:M84"/>
    <mergeCell ref="N84:O84"/>
    <mergeCell ref="Q84:R84"/>
    <mergeCell ref="B83:C83"/>
    <mergeCell ref="D83:F83"/>
    <mergeCell ref="H83:K83"/>
    <mergeCell ref="L83:M83"/>
    <mergeCell ref="N83:O83"/>
    <mergeCell ref="Q83:R83"/>
    <mergeCell ref="B92:T92"/>
    <mergeCell ref="U92:V92"/>
    <mergeCell ref="B86:M86"/>
    <mergeCell ref="N86:O86"/>
    <mergeCell ref="Q86:R86"/>
    <mergeCell ref="J88:U88"/>
    <mergeCell ref="B90:I90"/>
    <mergeCell ref="J90:U90"/>
    <mergeCell ref="B85:C85"/>
    <mergeCell ref="D85:F85"/>
    <mergeCell ref="H85:K85"/>
    <mergeCell ref="L85:M85"/>
    <mergeCell ref="N85:O85"/>
    <mergeCell ref="Q85:R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A3B4C-DD1A-44B6-9CE5-421865F68761}">
  <dimension ref="A1:T58"/>
  <sheetViews>
    <sheetView tabSelected="1" workbookViewId="0">
      <selection activeCell="F32" sqref="F32"/>
    </sheetView>
  </sheetViews>
  <sheetFormatPr defaultRowHeight="15"/>
  <cols>
    <col min="1" max="1" width="16.28515625" style="59" bestFit="1" customWidth="1"/>
    <col min="2" max="2" width="16.28515625" style="59" customWidth="1"/>
    <col min="3" max="3" width="18.7109375" style="59" bestFit="1" customWidth="1"/>
    <col min="4" max="5" width="9.140625" style="59"/>
    <col min="6" max="6" width="12" style="59" bestFit="1" customWidth="1"/>
    <col min="7" max="7" width="12" style="59" customWidth="1"/>
    <col min="8" max="8" width="12.28515625" style="59" bestFit="1" customWidth="1"/>
    <col min="9" max="10" width="9.140625" style="59"/>
    <col min="11" max="11" width="25.140625" style="59" bestFit="1" customWidth="1"/>
    <col min="12" max="12" width="24" style="59" customWidth="1"/>
    <col min="13" max="16384" width="9.140625" style="59"/>
  </cols>
  <sheetData>
    <row r="1" spans="1:20" ht="15" customHeight="1">
      <c r="A1" s="41" t="s">
        <v>2</v>
      </c>
      <c r="B1" s="41"/>
      <c r="C1" s="41" t="s">
        <v>24</v>
      </c>
      <c r="D1" s="42"/>
      <c r="E1" s="43"/>
      <c r="F1" s="44" t="s">
        <v>25</v>
      </c>
      <c r="G1" s="41"/>
      <c r="H1" s="41" t="s">
        <v>26</v>
      </c>
      <c r="I1" s="41" t="s">
        <v>7</v>
      </c>
      <c r="J1" s="41" t="s">
        <v>8</v>
      </c>
      <c r="K1" s="50"/>
      <c r="L1" s="50"/>
      <c r="M1" s="50"/>
      <c r="N1" s="50"/>
      <c r="O1" s="50"/>
      <c r="P1" s="50"/>
      <c r="Q1" s="50"/>
      <c r="R1" s="50"/>
      <c r="S1" s="50"/>
      <c r="T1" s="50"/>
    </row>
    <row r="2" spans="1:20" ht="15" customHeight="1">
      <c r="A2" s="47" t="s">
        <v>27</v>
      </c>
      <c r="B2" s="47">
        <v>19219478</v>
      </c>
      <c r="C2" s="47" t="s">
        <v>28</v>
      </c>
      <c r="D2" s="47"/>
      <c r="E2" s="47"/>
      <c r="F2" s="60">
        <v>6277111</v>
      </c>
      <c r="G2" s="60" t="str">
        <f>CONCATENATE(F2,1)</f>
        <v>62771111</v>
      </c>
      <c r="H2" s="61">
        <v>45992</v>
      </c>
      <c r="I2" s="59">
        <v>1</v>
      </c>
      <c r="J2" s="49">
        <v>28.92</v>
      </c>
      <c r="K2" s="50" t="s">
        <v>71</v>
      </c>
      <c r="L2" s="50" t="s">
        <v>72</v>
      </c>
      <c r="M2" s="50"/>
      <c r="N2" s="50"/>
      <c r="O2" s="50"/>
      <c r="P2" s="50"/>
      <c r="Q2" s="50"/>
      <c r="R2" s="50"/>
      <c r="S2" s="50"/>
      <c r="T2" s="50"/>
    </row>
    <row r="3" spans="1:20" ht="15" customHeight="1">
      <c r="A3" s="47" t="s">
        <v>27</v>
      </c>
      <c r="B3" s="47">
        <v>19219478</v>
      </c>
      <c r="C3" s="47" t="s">
        <v>29</v>
      </c>
      <c r="D3" s="47"/>
      <c r="E3" s="47"/>
      <c r="F3" s="60">
        <v>6236016</v>
      </c>
      <c r="G3" s="60" t="str">
        <f t="shared" ref="G3:G30" si="0">CONCATENATE(F3,1)</f>
        <v>62360161</v>
      </c>
      <c r="H3" s="61">
        <v>45658</v>
      </c>
      <c r="I3" s="59">
        <v>1</v>
      </c>
      <c r="J3" s="49">
        <v>28.92</v>
      </c>
      <c r="K3" s="50" t="s">
        <v>71</v>
      </c>
      <c r="L3" s="50" t="s">
        <v>72</v>
      </c>
      <c r="M3" s="50"/>
      <c r="N3" s="50"/>
      <c r="O3" s="50"/>
      <c r="P3" s="50"/>
      <c r="Q3" s="50"/>
      <c r="R3" s="50"/>
      <c r="S3" s="50"/>
      <c r="T3" s="50"/>
    </row>
    <row r="4" spans="1:20">
      <c r="A4" s="47" t="s">
        <v>30</v>
      </c>
      <c r="B4" s="47">
        <v>16170994</v>
      </c>
      <c r="C4" s="47" t="s">
        <v>31</v>
      </c>
      <c r="D4" s="47"/>
      <c r="E4" s="47"/>
      <c r="F4" s="60">
        <v>6220011</v>
      </c>
      <c r="G4" s="60" t="str">
        <f t="shared" si="0"/>
        <v>62200111</v>
      </c>
      <c r="H4" s="61">
        <v>45658</v>
      </c>
      <c r="I4" s="59">
        <v>1</v>
      </c>
      <c r="J4" s="49">
        <v>28.92</v>
      </c>
      <c r="K4" s="50" t="s">
        <v>71</v>
      </c>
      <c r="L4" s="50" t="s">
        <v>72</v>
      </c>
      <c r="M4" s="50"/>
      <c r="N4" s="50"/>
      <c r="O4" s="50"/>
      <c r="P4" s="50"/>
      <c r="Q4" s="50"/>
      <c r="R4" s="50"/>
      <c r="S4" s="50"/>
      <c r="T4" s="50"/>
    </row>
    <row r="5" spans="1:20" ht="15" customHeight="1">
      <c r="A5" s="47" t="s">
        <v>30</v>
      </c>
      <c r="B5" s="47">
        <v>16170994</v>
      </c>
      <c r="C5" s="47" t="s">
        <v>32</v>
      </c>
      <c r="D5" s="47"/>
      <c r="E5" s="47"/>
      <c r="F5" s="60">
        <v>6224756</v>
      </c>
      <c r="G5" s="60" t="str">
        <f t="shared" si="0"/>
        <v>62247561</v>
      </c>
      <c r="H5" s="61">
        <v>45658</v>
      </c>
      <c r="I5" s="59">
        <v>1</v>
      </c>
      <c r="J5" s="49">
        <v>28.92</v>
      </c>
      <c r="K5" s="50" t="s">
        <v>71</v>
      </c>
      <c r="L5" s="50" t="s">
        <v>72</v>
      </c>
      <c r="M5" s="50"/>
      <c r="N5" s="50"/>
      <c r="O5" s="50"/>
      <c r="P5" s="50"/>
      <c r="Q5" s="50"/>
      <c r="R5" s="50"/>
      <c r="S5" s="50"/>
      <c r="T5" s="50"/>
    </row>
    <row r="6" spans="1:20">
      <c r="A6" s="47" t="s">
        <v>9</v>
      </c>
      <c r="B6" s="47">
        <v>19491313</v>
      </c>
      <c r="C6" s="47" t="s">
        <v>33</v>
      </c>
      <c r="D6" s="47"/>
      <c r="E6" s="47"/>
      <c r="F6" s="60">
        <v>6213383</v>
      </c>
      <c r="G6" s="60" t="str">
        <f t="shared" si="0"/>
        <v>62133831</v>
      </c>
      <c r="H6" s="61">
        <v>45658</v>
      </c>
      <c r="I6" s="59">
        <v>1</v>
      </c>
      <c r="J6" s="49">
        <v>28.92</v>
      </c>
      <c r="K6" s="50" t="s">
        <v>71</v>
      </c>
      <c r="L6" s="50" t="s">
        <v>72</v>
      </c>
      <c r="M6" s="50"/>
      <c r="N6" s="50"/>
      <c r="O6" s="50"/>
      <c r="P6" s="50"/>
      <c r="Q6" s="50"/>
      <c r="R6" s="50"/>
      <c r="S6" s="50"/>
      <c r="T6" s="50"/>
    </row>
    <row r="7" spans="1:20" ht="15" customHeight="1">
      <c r="A7" s="47" t="s">
        <v>9</v>
      </c>
      <c r="B7" s="47">
        <v>19491313</v>
      </c>
      <c r="C7" s="47" t="s">
        <v>34</v>
      </c>
      <c r="D7" s="47"/>
      <c r="E7" s="47"/>
      <c r="F7" s="60">
        <v>6210817</v>
      </c>
      <c r="G7" s="60" t="str">
        <f t="shared" si="0"/>
        <v>62108171</v>
      </c>
      <c r="H7" s="61">
        <v>45627</v>
      </c>
      <c r="I7" s="59">
        <v>1</v>
      </c>
      <c r="J7" s="49">
        <v>28.92</v>
      </c>
      <c r="K7" s="50" t="s">
        <v>71</v>
      </c>
      <c r="L7" s="50" t="s">
        <v>72</v>
      </c>
      <c r="M7" s="50"/>
      <c r="N7" s="50"/>
      <c r="O7" s="50"/>
      <c r="P7" s="50"/>
      <c r="Q7" s="50"/>
      <c r="R7" s="50"/>
      <c r="S7" s="50"/>
      <c r="T7" s="50"/>
    </row>
    <row r="8" spans="1:20">
      <c r="A8" s="47" t="s">
        <v>9</v>
      </c>
      <c r="B8" s="47">
        <v>19491313</v>
      </c>
      <c r="C8" s="47" t="s">
        <v>35</v>
      </c>
      <c r="D8" s="47"/>
      <c r="E8" s="47"/>
      <c r="F8" s="60">
        <v>6218056</v>
      </c>
      <c r="G8" s="60" t="str">
        <f t="shared" si="0"/>
        <v>62180561</v>
      </c>
      <c r="H8" s="61">
        <v>45658</v>
      </c>
      <c r="I8" s="59">
        <v>1</v>
      </c>
      <c r="J8" s="49">
        <v>28.92</v>
      </c>
      <c r="K8" s="50" t="s">
        <v>71</v>
      </c>
      <c r="L8" s="50" t="s">
        <v>72</v>
      </c>
      <c r="M8" s="50"/>
      <c r="N8" s="50"/>
      <c r="O8" s="50"/>
      <c r="P8" s="50"/>
      <c r="Q8" s="50"/>
      <c r="R8" s="50"/>
      <c r="S8" s="50"/>
      <c r="T8" s="50"/>
    </row>
    <row r="9" spans="1:20" ht="15" customHeight="1">
      <c r="A9" s="47" t="s">
        <v>9</v>
      </c>
      <c r="B9" s="47">
        <v>19491313</v>
      </c>
      <c r="C9" s="47" t="s">
        <v>36</v>
      </c>
      <c r="D9" s="47"/>
      <c r="E9" s="47"/>
      <c r="F9" s="60">
        <v>6212568</v>
      </c>
      <c r="G9" s="60" t="str">
        <f t="shared" si="0"/>
        <v>62125681</v>
      </c>
      <c r="H9" s="61">
        <v>45658</v>
      </c>
      <c r="I9" s="59">
        <v>1</v>
      </c>
      <c r="J9" s="49">
        <v>28.92</v>
      </c>
      <c r="K9" s="50" t="s">
        <v>71</v>
      </c>
      <c r="L9" s="50" t="s">
        <v>72</v>
      </c>
      <c r="M9" s="50"/>
      <c r="N9" s="50"/>
      <c r="O9" s="50"/>
      <c r="P9" s="50"/>
      <c r="Q9" s="50"/>
      <c r="R9" s="50"/>
      <c r="S9" s="50"/>
      <c r="T9" s="50"/>
    </row>
    <row r="10" spans="1:20">
      <c r="A10" s="47" t="s">
        <v>9</v>
      </c>
      <c r="B10" s="47">
        <v>19491313</v>
      </c>
      <c r="C10" s="47" t="s">
        <v>37</v>
      </c>
      <c r="D10" s="47"/>
      <c r="E10" s="47"/>
      <c r="F10" s="60">
        <v>6215141</v>
      </c>
      <c r="G10" s="60" t="str">
        <f t="shared" si="0"/>
        <v>62151411</v>
      </c>
      <c r="H10" s="61">
        <v>45658</v>
      </c>
      <c r="I10" s="59">
        <v>1</v>
      </c>
      <c r="J10" s="49">
        <v>28.92</v>
      </c>
      <c r="K10" s="50" t="s">
        <v>71</v>
      </c>
      <c r="L10" s="50" t="s">
        <v>72</v>
      </c>
      <c r="M10" s="50"/>
      <c r="N10" s="50"/>
      <c r="O10" s="50"/>
      <c r="P10" s="50"/>
      <c r="Q10" s="50"/>
      <c r="R10" s="50"/>
      <c r="S10" s="50"/>
      <c r="T10" s="50"/>
    </row>
    <row r="11" spans="1:20" ht="15" customHeight="1">
      <c r="A11" s="47" t="s">
        <v>9</v>
      </c>
      <c r="B11" s="47">
        <v>19491313</v>
      </c>
      <c r="C11" s="47" t="s">
        <v>38</v>
      </c>
      <c r="D11" s="47"/>
      <c r="E11" s="47"/>
      <c r="F11" s="60">
        <v>6218054</v>
      </c>
      <c r="G11" s="60" t="str">
        <f t="shared" si="0"/>
        <v>62180541</v>
      </c>
      <c r="H11" s="61">
        <v>45658</v>
      </c>
      <c r="I11" s="59">
        <v>1</v>
      </c>
      <c r="J11" s="49">
        <v>28.92</v>
      </c>
      <c r="K11" s="50" t="s">
        <v>71</v>
      </c>
      <c r="L11" s="50" t="s">
        <v>72</v>
      </c>
      <c r="M11" s="50"/>
      <c r="N11" s="50"/>
      <c r="O11" s="50"/>
      <c r="P11" s="50"/>
      <c r="Q11" s="50"/>
      <c r="R11" s="50"/>
      <c r="S11" s="50"/>
      <c r="T11" s="50"/>
    </row>
    <row r="12" spans="1:20">
      <c r="A12" s="47" t="s">
        <v>9</v>
      </c>
      <c r="B12" s="47">
        <v>19491313</v>
      </c>
      <c r="C12" s="47" t="s">
        <v>39</v>
      </c>
      <c r="D12" s="47"/>
      <c r="E12" s="47"/>
      <c r="F12" s="60">
        <v>6238104</v>
      </c>
      <c r="G12" s="60" t="str">
        <f t="shared" si="0"/>
        <v>62381041</v>
      </c>
      <c r="H12" s="61">
        <v>45627</v>
      </c>
      <c r="I12" s="59">
        <v>1</v>
      </c>
      <c r="J12" s="49">
        <v>28.92</v>
      </c>
      <c r="K12" s="50" t="s">
        <v>71</v>
      </c>
      <c r="L12" s="50" t="s">
        <v>72</v>
      </c>
      <c r="M12" s="50"/>
      <c r="N12" s="50"/>
      <c r="O12" s="50"/>
      <c r="P12" s="50"/>
      <c r="Q12" s="50"/>
      <c r="R12" s="50"/>
      <c r="S12" s="50"/>
      <c r="T12" s="50"/>
    </row>
    <row r="13" spans="1:20" ht="15" customHeight="1">
      <c r="A13" s="47" t="s">
        <v>9</v>
      </c>
      <c r="B13" s="47">
        <v>19491313</v>
      </c>
      <c r="C13" s="47" t="s">
        <v>40</v>
      </c>
      <c r="D13" s="47"/>
      <c r="E13" s="47"/>
      <c r="F13" s="60">
        <v>6224965</v>
      </c>
      <c r="G13" s="60" t="str">
        <f t="shared" si="0"/>
        <v>62249651</v>
      </c>
      <c r="H13" s="61">
        <v>45658</v>
      </c>
      <c r="I13" s="59">
        <v>1</v>
      </c>
      <c r="J13" s="49">
        <v>28.92</v>
      </c>
      <c r="K13" s="50" t="s">
        <v>71</v>
      </c>
      <c r="L13" s="50" t="s">
        <v>72</v>
      </c>
      <c r="M13" s="50"/>
      <c r="N13" s="50"/>
      <c r="O13" s="50"/>
      <c r="P13" s="50"/>
      <c r="Q13" s="50"/>
      <c r="R13" s="50"/>
      <c r="S13" s="50"/>
      <c r="T13" s="50"/>
    </row>
    <row r="14" spans="1:20">
      <c r="A14" s="47" t="s">
        <v>9</v>
      </c>
      <c r="B14" s="47">
        <v>19491313</v>
      </c>
      <c r="C14" s="47" t="s">
        <v>41</v>
      </c>
      <c r="D14" s="47"/>
      <c r="E14" s="47"/>
      <c r="F14" s="60">
        <v>6210872</v>
      </c>
      <c r="G14" s="60" t="str">
        <f t="shared" si="0"/>
        <v>62108721</v>
      </c>
      <c r="H14" s="61">
        <v>45597</v>
      </c>
      <c r="I14" s="59">
        <v>1</v>
      </c>
      <c r="J14" s="49">
        <v>28.92</v>
      </c>
      <c r="K14" s="50" t="s">
        <v>71</v>
      </c>
      <c r="L14" s="50" t="s">
        <v>72</v>
      </c>
      <c r="M14" s="50"/>
      <c r="N14" s="50"/>
      <c r="O14" s="50"/>
      <c r="P14" s="50"/>
      <c r="Q14" s="50"/>
      <c r="R14" s="50"/>
      <c r="S14" s="50"/>
      <c r="T14" s="50"/>
    </row>
    <row r="15" spans="1:20" ht="15" customHeight="1">
      <c r="A15" s="47" t="s">
        <v>9</v>
      </c>
      <c r="B15" s="47">
        <v>19491313</v>
      </c>
      <c r="C15" s="47" t="s">
        <v>42</v>
      </c>
      <c r="D15" s="47"/>
      <c r="E15" s="47"/>
      <c r="F15" s="60">
        <v>6239247</v>
      </c>
      <c r="G15" s="60" t="str">
        <f t="shared" si="0"/>
        <v>62392471</v>
      </c>
      <c r="H15" s="61">
        <v>45658</v>
      </c>
      <c r="I15" s="59">
        <v>1</v>
      </c>
      <c r="J15" s="49">
        <v>28.92</v>
      </c>
      <c r="K15" s="50" t="s">
        <v>71</v>
      </c>
      <c r="L15" s="50" t="s">
        <v>72</v>
      </c>
      <c r="M15" s="50"/>
      <c r="N15" s="50"/>
      <c r="O15" s="50"/>
      <c r="P15" s="50"/>
      <c r="Q15" s="50"/>
      <c r="R15" s="50"/>
      <c r="S15" s="50"/>
      <c r="T15" s="50"/>
    </row>
    <row r="16" spans="1:20">
      <c r="A16" s="47" t="s">
        <v>9</v>
      </c>
      <c r="B16" s="47">
        <v>19491313</v>
      </c>
      <c r="C16" s="47" t="s">
        <v>43</v>
      </c>
      <c r="D16" s="47"/>
      <c r="E16" s="47"/>
      <c r="F16" s="60">
        <v>6138508</v>
      </c>
      <c r="G16" s="60" t="str">
        <f t="shared" si="0"/>
        <v>61385081</v>
      </c>
      <c r="H16" s="61">
        <v>43101</v>
      </c>
      <c r="I16" s="59">
        <v>1</v>
      </c>
      <c r="J16" s="49">
        <v>28.92</v>
      </c>
      <c r="K16" s="50" t="s">
        <v>71</v>
      </c>
      <c r="L16" s="50" t="s">
        <v>72</v>
      </c>
      <c r="M16" s="50"/>
      <c r="N16" s="50"/>
      <c r="O16" s="50"/>
      <c r="P16" s="50"/>
      <c r="Q16" s="50"/>
      <c r="R16" s="50"/>
      <c r="S16" s="50"/>
      <c r="T16" s="50"/>
    </row>
    <row r="17" spans="1:20" ht="15" customHeight="1">
      <c r="A17" s="47" t="s">
        <v>9</v>
      </c>
      <c r="B17" s="47">
        <v>19491313</v>
      </c>
      <c r="C17" s="47" t="s">
        <v>44</v>
      </c>
      <c r="D17" s="47"/>
      <c r="E17" s="47"/>
      <c r="F17" s="60">
        <v>6233105</v>
      </c>
      <c r="G17" s="60" t="str">
        <f t="shared" si="0"/>
        <v>62331051</v>
      </c>
      <c r="H17" s="61">
        <v>45658</v>
      </c>
      <c r="I17" s="59">
        <v>1</v>
      </c>
      <c r="J17" s="49">
        <v>28.92</v>
      </c>
      <c r="K17" s="50" t="s">
        <v>71</v>
      </c>
      <c r="L17" s="50" t="s">
        <v>72</v>
      </c>
      <c r="M17" s="50"/>
      <c r="N17" s="50"/>
      <c r="O17" s="50"/>
      <c r="P17" s="50"/>
      <c r="Q17" s="50"/>
      <c r="R17" s="50"/>
      <c r="S17" s="50"/>
      <c r="T17" s="50"/>
    </row>
    <row r="18" spans="1:20">
      <c r="A18" s="47" t="s">
        <v>9</v>
      </c>
      <c r="B18" s="47">
        <v>19491313</v>
      </c>
      <c r="C18" s="47" t="s">
        <v>45</v>
      </c>
      <c r="D18" s="47"/>
      <c r="E18" s="47"/>
      <c r="F18" s="60">
        <v>6225460</v>
      </c>
      <c r="G18" s="60" t="str">
        <f t="shared" si="0"/>
        <v>62254601</v>
      </c>
      <c r="H18" s="61">
        <v>45597</v>
      </c>
      <c r="I18" s="59">
        <v>1</v>
      </c>
      <c r="J18" s="49">
        <v>28.92</v>
      </c>
      <c r="K18" s="50" t="s">
        <v>71</v>
      </c>
      <c r="L18" s="50" t="s">
        <v>72</v>
      </c>
      <c r="M18" s="50"/>
      <c r="N18" s="50"/>
      <c r="O18" s="50"/>
      <c r="P18" s="50"/>
      <c r="Q18" s="50"/>
      <c r="R18" s="50"/>
      <c r="S18" s="50"/>
      <c r="T18" s="50"/>
    </row>
    <row r="19" spans="1:20" ht="15" customHeight="1">
      <c r="A19" s="47" t="s">
        <v>9</v>
      </c>
      <c r="B19" s="47">
        <v>19491313</v>
      </c>
      <c r="C19" s="47" t="s">
        <v>46</v>
      </c>
      <c r="D19" s="47"/>
      <c r="E19" s="47"/>
      <c r="F19" s="60">
        <v>6241874</v>
      </c>
      <c r="G19" s="60" t="str">
        <f t="shared" si="0"/>
        <v>62418741</v>
      </c>
      <c r="H19" s="61">
        <v>45658</v>
      </c>
      <c r="I19" s="59">
        <v>1</v>
      </c>
      <c r="J19" s="49">
        <v>28.92</v>
      </c>
      <c r="K19" s="50" t="s">
        <v>71</v>
      </c>
      <c r="L19" s="50" t="s">
        <v>72</v>
      </c>
      <c r="M19" s="50"/>
      <c r="N19" s="50"/>
      <c r="O19" s="50"/>
      <c r="P19" s="50"/>
      <c r="Q19" s="50"/>
      <c r="R19" s="50"/>
      <c r="S19" s="50"/>
      <c r="T19" s="50"/>
    </row>
    <row r="20" spans="1:20">
      <c r="A20" s="47" t="s">
        <v>9</v>
      </c>
      <c r="B20" s="47">
        <v>19491313</v>
      </c>
      <c r="C20" s="47" t="s">
        <v>47</v>
      </c>
      <c r="D20" s="47"/>
      <c r="E20" s="47"/>
      <c r="F20" s="60">
        <v>6231397</v>
      </c>
      <c r="G20" s="60" t="str">
        <f t="shared" si="0"/>
        <v>62313971</v>
      </c>
      <c r="H20" s="61">
        <v>45627</v>
      </c>
      <c r="I20" s="59">
        <v>1</v>
      </c>
      <c r="J20" s="49">
        <v>28.92</v>
      </c>
      <c r="K20" s="50" t="s">
        <v>71</v>
      </c>
      <c r="L20" s="50" t="s">
        <v>72</v>
      </c>
      <c r="M20" s="50"/>
      <c r="N20" s="50"/>
      <c r="O20" s="50"/>
      <c r="P20" s="50"/>
      <c r="Q20" s="50"/>
      <c r="R20" s="50"/>
      <c r="S20" s="50"/>
      <c r="T20" s="50"/>
    </row>
    <row r="21" spans="1:20" ht="15" customHeight="1">
      <c r="A21" s="47" t="s">
        <v>9</v>
      </c>
      <c r="B21" s="47">
        <v>19491313</v>
      </c>
      <c r="C21" s="47" t="s">
        <v>48</v>
      </c>
      <c r="D21" s="47"/>
      <c r="E21" s="47"/>
      <c r="F21" s="60">
        <v>6220305</v>
      </c>
      <c r="G21" s="60" t="str">
        <f t="shared" si="0"/>
        <v>62203051</v>
      </c>
      <c r="H21" s="61">
        <v>45658</v>
      </c>
      <c r="I21" s="59">
        <v>1</v>
      </c>
      <c r="J21" s="49">
        <v>28.92</v>
      </c>
      <c r="K21" s="50" t="s">
        <v>71</v>
      </c>
      <c r="L21" s="50" t="s">
        <v>72</v>
      </c>
      <c r="M21" s="50"/>
      <c r="N21" s="50"/>
      <c r="O21" s="50"/>
      <c r="P21" s="50"/>
      <c r="Q21" s="50"/>
      <c r="R21" s="50"/>
      <c r="S21" s="50"/>
      <c r="T21" s="50"/>
    </row>
    <row r="22" spans="1:20">
      <c r="A22" s="47" t="s">
        <v>9</v>
      </c>
      <c r="B22" s="47">
        <v>19491313</v>
      </c>
      <c r="C22" s="47" t="s">
        <v>49</v>
      </c>
      <c r="D22" s="47"/>
      <c r="E22" s="47"/>
      <c r="F22" s="60">
        <v>6209348</v>
      </c>
      <c r="G22" s="60" t="str">
        <f t="shared" si="0"/>
        <v>62093481</v>
      </c>
      <c r="H22" s="61">
        <v>45505</v>
      </c>
      <c r="I22" s="59">
        <v>1</v>
      </c>
      <c r="J22" s="49">
        <v>28.92</v>
      </c>
      <c r="K22" s="50" t="s">
        <v>71</v>
      </c>
      <c r="L22" s="50" t="s">
        <v>72</v>
      </c>
      <c r="M22" s="50"/>
      <c r="N22" s="50"/>
      <c r="O22" s="50"/>
      <c r="P22" s="50"/>
      <c r="Q22" s="50"/>
      <c r="R22" s="50"/>
      <c r="S22" s="50"/>
      <c r="T22" s="50"/>
    </row>
    <row r="23" spans="1:20" ht="15" customHeight="1" thickBot="1">
      <c r="A23" s="47" t="s">
        <v>9</v>
      </c>
      <c r="B23" s="47">
        <v>19491313</v>
      </c>
      <c r="C23" s="47" t="s">
        <v>50</v>
      </c>
      <c r="D23" s="47"/>
      <c r="E23" s="47"/>
      <c r="F23" s="60">
        <v>6155654</v>
      </c>
      <c r="G23" s="60" t="str">
        <f t="shared" si="0"/>
        <v>61556541</v>
      </c>
      <c r="H23" s="61">
        <v>45658</v>
      </c>
      <c r="I23" s="59">
        <v>1</v>
      </c>
      <c r="J23" s="49">
        <v>28.92</v>
      </c>
      <c r="K23" s="50" t="s">
        <v>71</v>
      </c>
      <c r="L23" s="50" t="s">
        <v>72</v>
      </c>
      <c r="M23" s="50"/>
      <c r="N23" s="50"/>
      <c r="O23" s="50"/>
      <c r="P23" s="50"/>
      <c r="Q23" s="50"/>
      <c r="R23" s="50"/>
      <c r="S23" s="50"/>
      <c r="T23" s="50"/>
    </row>
    <row r="24" spans="1:20" ht="15" customHeight="1" thickBot="1">
      <c r="A24" s="45" t="s">
        <v>54</v>
      </c>
      <c r="B24" s="45">
        <v>21564088</v>
      </c>
      <c r="C24" s="45" t="s">
        <v>55</v>
      </c>
      <c r="D24" s="45"/>
      <c r="E24" s="45"/>
      <c r="F24" s="47" t="s">
        <v>56</v>
      </c>
      <c r="G24" s="60" t="str">
        <f t="shared" si="0"/>
        <v>C48377_H1</v>
      </c>
      <c r="H24" s="58">
        <v>46023</v>
      </c>
      <c r="I24" s="46">
        <v>161.15</v>
      </c>
      <c r="J24" s="46">
        <v>33.840000000000003</v>
      </c>
      <c r="K24" s="50" t="s">
        <v>70</v>
      </c>
      <c r="L24" s="50"/>
      <c r="M24" s="50"/>
      <c r="N24" s="50"/>
      <c r="O24" s="50"/>
      <c r="P24" s="50"/>
      <c r="Q24" s="50"/>
      <c r="R24" s="50"/>
    </row>
    <row r="25" spans="1:20" ht="15" customHeight="1" thickBot="1">
      <c r="A25" s="47" t="s">
        <v>27</v>
      </c>
      <c r="B25" s="47">
        <v>19219478</v>
      </c>
      <c r="C25" s="47" t="s">
        <v>57</v>
      </c>
      <c r="D25" s="47"/>
      <c r="E25" s="47"/>
      <c r="F25" s="47" t="s">
        <v>58</v>
      </c>
      <c r="G25" s="60" t="str">
        <f t="shared" si="0"/>
        <v>C61905_H1</v>
      </c>
      <c r="H25" s="58">
        <v>46023</v>
      </c>
      <c r="I25" s="49">
        <v>203.92</v>
      </c>
      <c r="J25" s="49">
        <v>42.82</v>
      </c>
      <c r="K25" s="50" t="s">
        <v>70</v>
      </c>
      <c r="L25" s="50"/>
      <c r="M25" s="50"/>
      <c r="N25" s="50"/>
      <c r="O25" s="50"/>
      <c r="P25" s="50"/>
      <c r="Q25" s="50"/>
      <c r="R25" s="50"/>
    </row>
    <row r="26" spans="1:20" ht="15" customHeight="1" thickBot="1">
      <c r="A26" s="47" t="s">
        <v>30</v>
      </c>
      <c r="B26" s="47">
        <v>16170994</v>
      </c>
      <c r="C26" s="47" t="s">
        <v>59</v>
      </c>
      <c r="D26" s="47"/>
      <c r="E26" s="47"/>
      <c r="F26" s="47" t="s">
        <v>60</v>
      </c>
      <c r="G26" s="60" t="str">
        <f t="shared" si="0"/>
        <v>C83629_H1</v>
      </c>
      <c r="H26" s="58">
        <v>46023</v>
      </c>
      <c r="I26" s="49">
        <v>172.99</v>
      </c>
      <c r="J26" s="49">
        <v>36.33</v>
      </c>
      <c r="K26" s="50" t="s">
        <v>70</v>
      </c>
      <c r="L26" s="50"/>
      <c r="M26" s="50"/>
      <c r="N26" s="50"/>
      <c r="O26" s="50"/>
      <c r="P26" s="50"/>
      <c r="Q26" s="50"/>
      <c r="R26" s="50"/>
    </row>
    <row r="27" spans="1:20" ht="15" customHeight="1" thickBot="1">
      <c r="A27" s="47" t="s">
        <v>30</v>
      </c>
      <c r="B27" s="47">
        <v>16170994</v>
      </c>
      <c r="C27" s="47" t="s">
        <v>61</v>
      </c>
      <c r="D27" s="47"/>
      <c r="E27" s="47"/>
      <c r="F27" s="47" t="s">
        <v>62</v>
      </c>
      <c r="G27" s="60" t="str">
        <f t="shared" si="0"/>
        <v>C83690_H1</v>
      </c>
      <c r="H27" s="58">
        <v>46023</v>
      </c>
      <c r="I27" s="49">
        <v>221.33</v>
      </c>
      <c r="J27" s="49">
        <v>46.48</v>
      </c>
      <c r="K27" s="50" t="s">
        <v>70</v>
      </c>
      <c r="L27" s="50"/>
      <c r="M27" s="50"/>
      <c r="N27" s="50"/>
      <c r="O27" s="50"/>
      <c r="P27" s="50"/>
      <c r="Q27" s="50"/>
      <c r="R27" s="50"/>
    </row>
    <row r="28" spans="1:20" ht="15" customHeight="1" thickBot="1">
      <c r="A28" s="47" t="s">
        <v>30</v>
      </c>
      <c r="B28" s="47">
        <v>16170994</v>
      </c>
      <c r="C28" s="47" t="s">
        <v>63</v>
      </c>
      <c r="D28" s="47"/>
      <c r="E28" s="47"/>
      <c r="F28" s="47" t="s">
        <v>64</v>
      </c>
      <c r="G28" s="60" t="str">
        <f t="shared" si="0"/>
        <v>C85198_H1</v>
      </c>
      <c r="H28" s="58">
        <v>46023</v>
      </c>
      <c r="I28" s="49">
        <v>157.30000000000001</v>
      </c>
      <c r="J28" s="49">
        <v>33.03</v>
      </c>
      <c r="K28" s="50" t="s">
        <v>70</v>
      </c>
      <c r="L28" s="50"/>
      <c r="M28" s="50"/>
      <c r="N28" s="50"/>
      <c r="O28" s="50"/>
      <c r="P28" s="50"/>
      <c r="Q28" s="50"/>
      <c r="R28" s="50"/>
    </row>
    <row r="29" spans="1:20" ht="15" customHeight="1" thickBot="1">
      <c r="A29" s="47" t="s">
        <v>30</v>
      </c>
      <c r="B29" s="47">
        <v>16170994</v>
      </c>
      <c r="C29" s="47" t="s">
        <v>65</v>
      </c>
      <c r="D29" s="47"/>
      <c r="E29" s="47"/>
      <c r="F29" s="47" t="s">
        <v>66</v>
      </c>
      <c r="G29" s="60" t="str">
        <f t="shared" si="0"/>
        <v>C86006_H1</v>
      </c>
      <c r="H29" s="58">
        <v>46023</v>
      </c>
      <c r="I29" s="49">
        <v>157.30000000000001</v>
      </c>
      <c r="J29" s="49">
        <v>33.03</v>
      </c>
      <c r="K29" s="50" t="s">
        <v>70</v>
      </c>
      <c r="L29" s="50"/>
      <c r="M29" s="50"/>
      <c r="N29" s="50"/>
      <c r="O29" s="50"/>
      <c r="P29" s="50"/>
      <c r="Q29" s="50"/>
      <c r="R29" s="50"/>
    </row>
    <row r="30" spans="1:20" ht="15" customHeight="1">
      <c r="A30" s="47" t="s">
        <v>30</v>
      </c>
      <c r="B30" s="47">
        <v>16170994</v>
      </c>
      <c r="C30" s="47" t="s">
        <v>67</v>
      </c>
      <c r="D30" s="47"/>
      <c r="E30" s="47"/>
      <c r="F30" s="47" t="s">
        <v>68</v>
      </c>
      <c r="G30" s="60" t="str">
        <f t="shared" si="0"/>
        <v>C52332_H1</v>
      </c>
      <c r="H30" s="58">
        <v>46023</v>
      </c>
      <c r="I30" s="49">
        <v>236.17</v>
      </c>
      <c r="J30" s="49">
        <v>49.6</v>
      </c>
      <c r="K30" s="50" t="s">
        <v>70</v>
      </c>
      <c r="L30" s="50"/>
      <c r="M30" s="50"/>
      <c r="N30" s="50"/>
      <c r="O30" s="50"/>
      <c r="P30" s="50"/>
      <c r="Q30" s="50"/>
      <c r="R30" s="50"/>
    </row>
    <row r="31" spans="1:20" ht="15" customHeight="1">
      <c r="A31" s="47"/>
      <c r="B31" s="47"/>
      <c r="C31" s="47"/>
      <c r="D31" s="47"/>
      <c r="E31" s="47"/>
      <c r="F31" s="47"/>
      <c r="G31" s="47"/>
      <c r="H31" s="48"/>
      <c r="I31" s="49"/>
      <c r="J31" s="49"/>
      <c r="K31" s="50"/>
      <c r="L31" s="50"/>
      <c r="M31" s="50"/>
      <c r="N31" s="50"/>
      <c r="O31" s="50"/>
      <c r="P31" s="50"/>
      <c r="Q31" s="50"/>
      <c r="R31" s="50"/>
    </row>
    <row r="32" spans="1:20" s="65" customFormat="1" ht="15.75" customHeight="1">
      <c r="A32" s="62" t="s">
        <v>9</v>
      </c>
      <c r="B32" s="62"/>
      <c r="C32" s="62" t="s">
        <v>10</v>
      </c>
      <c r="D32" s="62"/>
      <c r="E32" s="62"/>
      <c r="F32" s="62" t="s">
        <v>11</v>
      </c>
      <c r="G32" s="62"/>
      <c r="H32" s="63"/>
      <c r="I32" s="64">
        <v>18.55</v>
      </c>
      <c r="J32" s="64">
        <v>5.56</v>
      </c>
      <c r="K32" s="66"/>
      <c r="L32" s="66"/>
      <c r="M32" s="66"/>
      <c r="N32" s="66"/>
      <c r="O32" s="66"/>
      <c r="P32" s="66"/>
      <c r="Q32" s="66"/>
      <c r="R32" s="66"/>
    </row>
    <row r="33" spans="1:20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</row>
    <row r="34" spans="1:20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</row>
    <row r="35" spans="1:20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</row>
    <row r="36" spans="1:20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</row>
    <row r="37" spans="1:20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</row>
    <row r="38" spans="1:20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</row>
    <row r="39" spans="1:20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</row>
    <row r="40" spans="1:20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 spans="1:20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</row>
    <row r="42" spans="1:20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</row>
    <row r="43" spans="1:20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</row>
    <row r="44" spans="1:20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</row>
    <row r="45" spans="1:20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</row>
    <row r="46" spans="1:20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</row>
    <row r="47" spans="1:20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</row>
    <row r="48" spans="1:20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</row>
    <row r="49" spans="1:20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</row>
    <row r="50" spans="1:20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</row>
    <row r="51" spans="1:20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</row>
    <row r="52" spans="1:20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</row>
    <row r="53" spans="1:20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</row>
    <row r="54" spans="1:20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</row>
    <row r="55" spans="1:20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</row>
    <row r="56" spans="1:20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</row>
    <row r="57" spans="1:20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</row>
    <row r="58" spans="1:20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</row>
  </sheetData>
  <sortState xmlns:xlrd2="http://schemas.microsoft.com/office/spreadsheetml/2017/richdata2" ref="A2:Y23">
    <sortCondition ref="A2:A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2026-02-20T13:23:26Z</dcterms:created>
  <dcterms:modified xsi:type="dcterms:W3CDTF">2026-02-26T15:10:51Z</dcterms:modified>
</cp:coreProperties>
</file>