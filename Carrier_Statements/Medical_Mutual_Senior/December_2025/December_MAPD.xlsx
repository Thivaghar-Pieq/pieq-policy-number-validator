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l Mutual MAPD\December 2025\"/>
    </mc:Choice>
  </mc:AlternateContent>
  <xr:revisionPtr revIDLastSave="0" documentId="13_ncr:1_{A8FC3358-B93E-477E-85D9-89B287719A0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2" i="2"/>
  <c r="G35" i="2"/>
  <c r="G34" i="2"/>
  <c r="G33" i="2"/>
  <c r="G32" i="2"/>
  <c r="G31" i="2"/>
  <c r="G30" i="2"/>
  <c r="G29" i="2"/>
  <c r="G28" i="2"/>
  <c r="G27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<sst xmlns="http://schemas.openxmlformats.org/spreadsheetml/2006/main" count="633" uniqueCount="292">
  <si>
    <t>Detailed Commission Statement</t>
  </si>
  <si>
    <t>MAIN LINE BENEFITS LLC_01_ALL</t>
  </si>
  <si>
    <t>For Period: December 2025</t>
  </si>
  <si>
    <t xml:space="preserve">Summary </t>
  </si>
  <si>
    <t>BASE COMMISSIONS</t>
  </si>
  <si>
    <t>SUBTOTAL</t>
  </si>
  <si>
    <t>ADJUSTMENTS</t>
  </si>
  <si>
    <t>TOTAL AMOUNT PAID</t>
  </si>
  <si>
    <t>Individual - PMPM</t>
  </si>
  <si>
    <t>Health</t>
  </si>
  <si>
    <t xml:space="preserve">
Producer Name</t>
  </si>
  <si>
    <t xml:space="preserve">
Group Name</t>
  </si>
  <si>
    <t>Group 
Number</t>
  </si>
  <si>
    <t xml:space="preserve">Type of 
Business </t>
  </si>
  <si>
    <t xml:space="preserve">
Split %</t>
  </si>
  <si>
    <t>Billed 
Member</t>
  </si>
  <si>
    <t xml:space="preserve">
Premium</t>
  </si>
  <si>
    <t xml:space="preserve">
PMPM Rate</t>
  </si>
  <si>
    <t xml:space="preserve">
Commission</t>
  </si>
  <si>
    <t>JENNIFER HALSAVER</t>
  </si>
  <si>
    <t>ELIZABETH WALKER</t>
  </si>
  <si>
    <t>C49119_H</t>
  </si>
  <si>
    <t>Individual</t>
  </si>
  <si>
    <t>GABRIELLE ESPOSITO</t>
  </si>
  <si>
    <t>A95513_H</t>
  </si>
  <si>
    <t>GARY HUMMEL</t>
  </si>
  <si>
    <t>C43824_H</t>
  </si>
  <si>
    <t>KEVIN MYERS</t>
  </si>
  <si>
    <t>A96485_H</t>
  </si>
  <si>
    <t>RYAN SHEPARD</t>
  </si>
  <si>
    <t>BRIANNA KUHLWEIN</t>
  </si>
  <si>
    <t>C85704_H</t>
  </si>
  <si>
    <t>DAVID KEARNS</t>
  </si>
  <si>
    <t>C79445_H</t>
  </si>
  <si>
    <t>ERIC EVERETT</t>
  </si>
  <si>
    <t>C64798_H</t>
  </si>
  <si>
    <t>GRACE KELLEY</t>
  </si>
  <si>
    <t>C78889_H</t>
  </si>
  <si>
    <t>GREGORY STANLEY</t>
  </si>
  <si>
    <t>C87651_H</t>
  </si>
  <si>
    <t>KATE CROPP</t>
  </si>
  <si>
    <t>C74921_H</t>
  </si>
  <si>
    <t>KELLY CROPP</t>
  </si>
  <si>
    <t>C74916_H</t>
  </si>
  <si>
    <t>STEVEN BRANDT</t>
  </si>
  <si>
    <t>CYNTHIA D TAYLOR</t>
  </si>
  <si>
    <t>C57128_H</t>
  </si>
  <si>
    <t>HOLLIANNE KANOSKI</t>
  </si>
  <si>
    <t>C51143_H</t>
  </si>
  <si>
    <t>JOHN HALL</t>
  </si>
  <si>
    <t>C63530_H</t>
  </si>
  <si>
    <t>SCOTT ULERY</t>
  </si>
  <si>
    <t>C57644_H</t>
  </si>
  <si>
    <t>SVEN CHRISTIANSON</t>
  </si>
  <si>
    <t>C51245_H</t>
  </si>
  <si>
    <t>GREGORY LEHRER</t>
  </si>
  <si>
    <t>C73621_H</t>
  </si>
  <si>
    <t>JUSTIN BERTHIAUME</t>
  </si>
  <si>
    <t>C79444_H</t>
  </si>
  <si>
    <t>YUSUF KHAN</t>
  </si>
  <si>
    <t>C84959_H</t>
  </si>
  <si>
    <t>BETH MELLEN</t>
  </si>
  <si>
    <t>A53759_H</t>
  </si>
  <si>
    <t xml:space="preserve">Total Individual - PMPM  </t>
  </si>
  <si>
    <t>Total Base Commission</t>
  </si>
  <si>
    <t>Page 1 of 3</t>
  </si>
  <si>
    <t>Generated:</t>
  </si>
  <si>
    <t>MAIN LINE BENEFITS LLC_10_MA</t>
  </si>
  <si>
    <t>Medicare Advantage</t>
  </si>
  <si>
    <t xml:space="preserve">
Member Name</t>
  </si>
  <si>
    <t xml:space="preserve">Policy Holder </t>
  </si>
  <si>
    <t>Effective Date</t>
  </si>
  <si>
    <t xml:space="preserve">
Commission </t>
  </si>
  <si>
    <t>BRITTANY OLIVER</t>
  </si>
  <si>
    <t>LORETTA G SPECK</t>
  </si>
  <si>
    <t>6268021</t>
  </si>
  <si>
    <t>NATHAN WELLER</t>
  </si>
  <si>
    <t>EDWARD G TRIMMER</t>
  </si>
  <si>
    <t>6277111</t>
  </si>
  <si>
    <t>LAWRENCE J JUPINA</t>
  </si>
  <si>
    <t>6276501</t>
  </si>
  <si>
    <t>RONNA M JOHNSON</t>
  </si>
  <si>
    <t>6236016</t>
  </si>
  <si>
    <t>DAWN M TROYER</t>
  </si>
  <si>
    <t>6263312</t>
  </si>
  <si>
    <t>E V EVIN</t>
  </si>
  <si>
    <t>6268486</t>
  </si>
  <si>
    <t>EDGARDO V SANTIAGO</t>
  </si>
  <si>
    <t>6263325</t>
  </si>
  <si>
    <t>JAMES R SIBBIO</t>
  </si>
  <si>
    <t>6268132</t>
  </si>
  <si>
    <t>JOSEPH M DULIN JR</t>
  </si>
  <si>
    <t>6126362</t>
  </si>
  <si>
    <t>KAY A ALESSIO</t>
  </si>
  <si>
    <t>6262864</t>
  </si>
  <si>
    <t>LUCY A SANTIAGO</t>
  </si>
  <si>
    <t>6263326</t>
  </si>
  <si>
    <t>MARILEE DULIN</t>
  </si>
  <si>
    <t>6264301</t>
  </si>
  <si>
    <t>MARILYN DEHART</t>
  </si>
  <si>
    <t>6265274</t>
  </si>
  <si>
    <t>MARY L DIEHL</t>
  </si>
  <si>
    <t>6269613</t>
  </si>
  <si>
    <t>MARY T CUSICK</t>
  </si>
  <si>
    <t>6220011</t>
  </si>
  <si>
    <t>NANCY L RUESCHMAN</t>
  </si>
  <si>
    <t>6224756</t>
  </si>
  <si>
    <t>NATHALIE A CHARNUK</t>
  </si>
  <si>
    <t>6263324</t>
  </si>
  <si>
    <t>ROBERT BISSLER</t>
  </si>
  <si>
    <t>6270840</t>
  </si>
  <si>
    <t>ROBERT R DEHART</t>
  </si>
  <si>
    <t>6265368</t>
  </si>
  <si>
    <t>ROBERTA L MCDONNELL</t>
  </si>
  <si>
    <t>6169495</t>
  </si>
  <si>
    <t>SUSAN B LANG</t>
  </si>
  <si>
    <t>6267559</t>
  </si>
  <si>
    <t>TRUDY A COX</t>
  </si>
  <si>
    <t>6275022</t>
  </si>
  <si>
    <t>VALENTINE L TROYER</t>
  </si>
  <si>
    <t>6263314</t>
  </si>
  <si>
    <t>CAROLYN K KLEIN</t>
  </si>
  <si>
    <t>6280327</t>
  </si>
  <si>
    <t>CINDY L LEACH</t>
  </si>
  <si>
    <t>6213383</t>
  </si>
  <si>
    <t>DANIEL L HAWK</t>
  </si>
  <si>
    <t>6281656</t>
  </si>
  <si>
    <t>ILKKA T REINI</t>
  </si>
  <si>
    <t>6186975</t>
  </si>
  <si>
    <t>JEFF L SCOTT</t>
  </si>
  <si>
    <t>6210817</t>
  </si>
  <si>
    <t>JOHN A MOSEMAN</t>
  </si>
  <si>
    <t>6263321</t>
  </si>
  <si>
    <t>JOHN J ABSHIRE</t>
  </si>
  <si>
    <t>6218056</t>
  </si>
  <si>
    <t>JOHN U WILSON JR</t>
  </si>
  <si>
    <t>6212568</t>
  </si>
  <si>
    <t>KAREN B RAUSCH</t>
  </si>
  <si>
    <t>6215141</t>
  </si>
  <si>
    <t>KAREN D ABSHIRE</t>
  </si>
  <si>
    <t>6218054</t>
  </si>
  <si>
    <t>KAREN R SMITH</t>
  </si>
  <si>
    <t>6270228</t>
  </si>
  <si>
    <t>KAREN S HAWK</t>
  </si>
  <si>
    <t>6281655</t>
  </si>
  <si>
    <t>KURT D LARKIN</t>
  </si>
  <si>
    <t>6238104</t>
  </si>
  <si>
    <t>LINDA M BUTSKO</t>
  </si>
  <si>
    <t>6224965</t>
  </si>
  <si>
    <t>MARK A COSMA</t>
  </si>
  <si>
    <t>6278829</t>
  </si>
  <si>
    <t>MARVIN E MCCREARY</t>
  </si>
  <si>
    <t>6274324</t>
  </si>
  <si>
    <t>PAM F WILSON</t>
  </si>
  <si>
    <t>6210872</t>
  </si>
  <si>
    <t>PATRICIA A SCISM</t>
  </si>
  <si>
    <t>6224561</t>
  </si>
  <si>
    <t>REBECCA F HILL</t>
  </si>
  <si>
    <t>6239247</t>
  </si>
  <si>
    <t>ROBERT A KEVE</t>
  </si>
  <si>
    <t>6263721</t>
  </si>
  <si>
    <t>ROBERT W SMITH</t>
  </si>
  <si>
    <t>6138508</t>
  </si>
  <si>
    <t>ROBYN L TEBINKA</t>
  </si>
  <si>
    <t>6267083</t>
  </si>
  <si>
    <t>SHARON N SMITH</t>
  </si>
  <si>
    <t>6233105</t>
  </si>
  <si>
    <t>SUSAN H SHAY</t>
  </si>
  <si>
    <t>6279119</t>
  </si>
  <si>
    <t>TAMMY D HAYWOOD</t>
  </si>
  <si>
    <t>6225460</t>
  </si>
  <si>
    <t>TAMMY J WILHELM</t>
  </si>
  <si>
    <t>6241874</t>
  </si>
  <si>
    <t>TAMMY L VANATTA</t>
  </si>
  <si>
    <t>6231397</t>
  </si>
  <si>
    <t>THERESA J MCFARLAND</t>
  </si>
  <si>
    <t>6220305</t>
  </si>
  <si>
    <t>TIMOTHY G ZAHLER</t>
  </si>
  <si>
    <t>6209348</t>
  </si>
  <si>
    <t>TIMOTHY L DAVIS</t>
  </si>
  <si>
    <t>6274394</t>
  </si>
  <si>
    <t>VINCENT J SUSI</t>
  </si>
  <si>
    <t>6268636</t>
  </si>
  <si>
    <t>WILLIAM J BUTSKO</t>
  </si>
  <si>
    <t>6155654</t>
  </si>
  <si>
    <t>YULIAN KEVE</t>
  </si>
  <si>
    <t>6262923</t>
  </si>
  <si>
    <t xml:space="preserve">Total Medicare Advantage  </t>
  </si>
  <si>
    <t>Medicare Supplement</t>
  </si>
  <si>
    <t>Policy 
Age</t>
  </si>
  <si>
    <t>Split  
Premium</t>
  </si>
  <si>
    <t>GEORGE MELLEN</t>
  </si>
  <si>
    <t>C48377_H</t>
  </si>
  <si>
    <t>THOMAS CLARKE</t>
  </si>
  <si>
    <t>C52332_H</t>
  </si>
  <si>
    <t xml:space="preserve">Total Medicare Supplement  </t>
  </si>
  <si>
    <t>Medical Mutual 2026*</t>
  </si>
  <si>
    <t>Medical Mutual 2026</t>
  </si>
  <si>
    <t>Medical Mutual All Plans New</t>
  </si>
  <si>
    <t>[%/$=347][prorate=1/12]</t>
  </si>
  <si>
    <t>[%/$=347][prorate=12/12]</t>
  </si>
  <si>
    <t>[%/$=300]</t>
  </si>
  <si>
    <t>ROBERT</t>
  </si>
  <si>
    <t>SMITH</t>
  </si>
  <si>
    <t>WILLIAM</t>
  </si>
  <si>
    <t>BUTSKO</t>
  </si>
  <si>
    <t>TIMOTHY</t>
  </si>
  <si>
    <t>ZAHLER</t>
  </si>
  <si>
    <t>JEFF</t>
  </si>
  <si>
    <t>SCOTT</t>
  </si>
  <si>
    <t>PAM</t>
  </si>
  <si>
    <t>WILSON</t>
  </si>
  <si>
    <t>JOHN</t>
  </si>
  <si>
    <t>CINDY</t>
  </si>
  <si>
    <t>LEACH</t>
  </si>
  <si>
    <t>KAREN</t>
  </si>
  <si>
    <t>RAUSCH</t>
  </si>
  <si>
    <t>ABSHIRE</t>
  </si>
  <si>
    <t>MARY</t>
  </si>
  <si>
    <t>CUSICK</t>
  </si>
  <si>
    <t>THERESA</t>
  </si>
  <si>
    <t>MCFARLAND</t>
  </si>
  <si>
    <t>PATRICIA</t>
  </si>
  <si>
    <t>SCISM</t>
  </si>
  <si>
    <t>NANCY</t>
  </si>
  <si>
    <t>RUESCHMAN</t>
  </si>
  <si>
    <t>LINDA</t>
  </si>
  <si>
    <t>TAMMY</t>
  </si>
  <si>
    <t>HAYWOOD</t>
  </si>
  <si>
    <t>VANATTA</t>
  </si>
  <si>
    <t>SHARON</t>
  </si>
  <si>
    <t>RONNA</t>
  </si>
  <si>
    <t>JOHNSON</t>
  </si>
  <si>
    <t>KURT</t>
  </si>
  <si>
    <t>LARKIN</t>
  </si>
  <si>
    <t>REBECCA</t>
  </si>
  <si>
    <t>HILL</t>
  </si>
  <si>
    <t>WILHELM</t>
  </si>
  <si>
    <t>EDWARD</t>
  </si>
  <si>
    <t>TRIMMER</t>
  </si>
  <si>
    <t>GEORGE</t>
  </si>
  <si>
    <t>MELLEN</t>
  </si>
  <si>
    <t>THOMAS</t>
  </si>
  <si>
    <t>CLARKE</t>
  </si>
  <si>
    <t>MARILYN</t>
  </si>
  <si>
    <t>DEHART</t>
  </si>
  <si>
    <t>LORETTA</t>
  </si>
  <si>
    <t>SPECK</t>
  </si>
  <si>
    <t>DAVIS</t>
  </si>
  <si>
    <t>LAWRENCE</t>
  </si>
  <si>
    <t>JUPINA</t>
  </si>
  <si>
    <t>SUSAN</t>
  </si>
  <si>
    <t>SHAY</t>
  </si>
  <si>
    <t>CAROLYN</t>
  </si>
  <si>
    <t>KLEIN</t>
  </si>
  <si>
    <t>HAWK</t>
  </si>
  <si>
    <t>DANIEL</t>
  </si>
  <si>
    <t>JOSEPH</t>
  </si>
  <si>
    <t>DULIN</t>
  </si>
  <si>
    <t>ROBERTA</t>
  </si>
  <si>
    <t>MCDONNELL</t>
  </si>
  <si>
    <t>ILKKA</t>
  </si>
  <si>
    <t>REINI</t>
  </si>
  <si>
    <t>KAY</t>
  </si>
  <si>
    <t>ALESSIO</t>
  </si>
  <si>
    <t>YULIAN</t>
  </si>
  <si>
    <t>KEVE</t>
  </si>
  <si>
    <t>DAWN</t>
  </si>
  <si>
    <t>TROYER</t>
  </si>
  <si>
    <t>VALENTINE</t>
  </si>
  <si>
    <t>MOSEMAN</t>
  </si>
  <si>
    <t>NATHALIE</t>
  </si>
  <si>
    <t>CHARNUK</t>
  </si>
  <si>
    <t>EDGARDO</t>
  </si>
  <si>
    <t>SANTIAGO</t>
  </si>
  <si>
    <t>LUCY</t>
  </si>
  <si>
    <t>MARILEE</t>
  </si>
  <si>
    <t>ROBYN</t>
  </si>
  <si>
    <t>TEBINKA</t>
  </si>
  <si>
    <t>LANG</t>
  </si>
  <si>
    <t>JAMES</t>
  </si>
  <si>
    <t>SIBBIO</t>
  </si>
  <si>
    <t>E</t>
  </si>
  <si>
    <t>EVIN</t>
  </si>
  <si>
    <t>VINCENT</t>
  </si>
  <si>
    <t>SUSI</t>
  </si>
  <si>
    <t>DIEHL</t>
  </si>
  <si>
    <t>BISSLER</t>
  </si>
  <si>
    <t>MARVIN</t>
  </si>
  <si>
    <t>MCCREARY</t>
  </si>
  <si>
    <t>MARK</t>
  </si>
  <si>
    <t>COSMA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</si>
</sst>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[$%-409]"/>
    <numFmt numFmtId="165" formatCode="[$$-409]#,##0.00_);\([$$-409]#,##0.00\)"/>
    <numFmt numFmtId="166" formatCode="[$$-409]#,##0.00"/>
    <numFmt numFmtId="167" formatCode="mm\/dd\/yyyy"/>
  </numFmts>
  <fonts count="14">
    <font>
      <sz val="10"/>
      <color rgb="FF000000"/>
      <name val="ARIAL"/>
      <charset val="1"/>
    </font>
    <font>
      <b/>
      <sz val="14"/>
      <color rgb="FF038675"/>
      <name val="Palatino Linotype"/>
      <family val="18"/>
      <charset val="1"/>
    </font>
    <font>
      <b/>
      <sz val="12"/>
      <color rgb="FF038675"/>
      <name val="Palatino Linotype"/>
      <family val="18"/>
      <charset val="1"/>
    </font>
    <font>
      <b/>
      <sz val="11"/>
      <color rgb="FF414042"/>
      <name val="Arial"/>
      <family val="16"/>
      <charset val="1"/>
    </font>
    <font>
      <sz val="10"/>
      <color rgb="FF000000"/>
      <name val="ARIAL"/>
      <family val="16"/>
      <charset val="1"/>
    </font>
    <font>
      <b/>
      <sz val="10"/>
      <color rgb="FF414042"/>
      <name val="ARIAL"/>
      <family val="16"/>
      <charset val="1"/>
    </font>
    <font>
      <b/>
      <sz val="10"/>
      <color rgb="FF5A5A5A"/>
      <name val="Helvetica Narrow"/>
      <family val="34"/>
      <charset val="1"/>
    </font>
    <font>
      <b/>
      <sz val="10"/>
      <color rgb="FFFFFFFF"/>
      <name val="Palatino Linotype"/>
      <family val="18"/>
      <charset val="1"/>
    </font>
    <font>
      <sz val="10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9"/>
      <color rgb="FF414042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000000"/>
      <name val="Helvetica Narrow"/>
      <family val="34"/>
      <charset val="1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285"/>
      </patternFill>
    </fill>
    <fill>
      <patternFill patternType="solid">
        <fgColor rgb="FF03867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4">
    <xf numFmtId="0" fontId="0" fillId="0" borderId="0" xfId="0"/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4" fontId="5" fillId="0" borderId="0" xfId="0" applyNumberFormat="1" applyFont="1" applyAlignment="1">
      <alignment horizontal="right" vertical="top"/>
    </xf>
    <xf numFmtId="0" fontId="6" fillId="2" borderId="0" xfId="0" applyFont="1" applyFill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3" xfId="0" applyFont="1" applyFill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164" fontId="9" fillId="0" borderId="0" xfId="0" applyNumberFormat="1" applyFont="1" applyAlignment="1">
      <alignment horizontal="center" vertical="top"/>
    </xf>
    <xf numFmtId="4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166" fontId="12" fillId="3" borderId="1" xfId="0" applyNumberFormat="1" applyFont="1" applyFill="1" applyBorder="1" applyAlignment="1">
      <alignment horizontal="right" vertical="top" wrapText="1"/>
    </xf>
    <xf numFmtId="14" fontId="9" fillId="0" borderId="0" xfId="0" applyNumberFormat="1" applyFont="1" applyAlignment="1">
      <alignment horizontal="center" vertical="top" wrapText="1"/>
    </xf>
    <xf numFmtId="167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center" vertical="top"/>
    </xf>
    <xf numFmtId="0" fontId="0" fillId="0" borderId="0" xfId="0" applyAlignment="1"/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vertical="top"/>
    </xf>
    <xf numFmtId="167" fontId="9" fillId="0" borderId="0" xfId="0" applyNumberFormat="1" applyFont="1" applyAlignment="1">
      <alignment vertical="top"/>
    </xf>
    <xf numFmtId="0" fontId="8" fillId="4" borderId="2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9" fillId="0" borderId="0" xfId="0" applyNumberFormat="1" applyFont="1" applyAlignment="1">
      <alignment horizontal="left" vertical="top"/>
    </xf>
    <xf numFmtId="0" fontId="9" fillId="5" borderId="0" xfId="0" applyFont="1" applyFill="1" applyAlignment="1">
      <alignment vertical="top"/>
    </xf>
    <xf numFmtId="0" fontId="9" fillId="5" borderId="0" xfId="0" applyNumberFormat="1" applyFont="1" applyFill="1" applyAlignment="1">
      <alignment horizontal="left" vertical="top"/>
    </xf>
    <xf numFmtId="167" fontId="9" fillId="5" borderId="0" xfId="0" applyNumberFormat="1" applyFont="1" applyFill="1" applyAlignment="1">
      <alignment vertical="top"/>
    </xf>
    <xf numFmtId="165" fontId="9" fillId="5" borderId="0" xfId="0" applyNumberFormat="1" applyFont="1" applyFill="1" applyAlignment="1">
      <alignment vertical="top"/>
    </xf>
    <xf numFmtId="0" fontId="0" fillId="5" borderId="0" xfId="0" applyFill="1" applyAlignment="1"/>
    <xf numFmtId="0" fontId="0" fillId="5" borderId="0" xfId="0" applyFill="1"/>
    <xf numFmtId="165" fontId="0" fillId="0" borderId="0" xfId="0" applyNumberFormat="1"/>
    <xf numFmtId="9" fontId="0" fillId="0" borderId="0" xfId="1" applyFont="1"/>
    <xf numFmtId="0" fontId="1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26528</xdr:colOff>
      <xdr:row>2</xdr:row>
      <xdr:rowOff>285750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5</xdr:col>
      <xdr:colOff>26528</xdr:colOff>
      <xdr:row>50</xdr:row>
      <xdr:rowOff>285750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5</xdr:col>
      <xdr:colOff>26528</xdr:colOff>
      <xdr:row>136</xdr:row>
      <xdr:rowOff>285750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V217"/>
  <sheetViews>
    <sheetView showGridLines="0" topLeftCell="A87" workbookViewId="0">
      <selection activeCell="A116" sqref="A116:XFD116"/>
    </sheetView>
  </sheetViews>
  <sheetFormatPr defaultColWidth="6.85546875" defaultRowHeight="12.75" customHeight="1"/>
  <cols>
    <col min="1" max="1" width="1" customWidth="1"/>
    <col min="2" max="2" width="23.7109375" customWidth="1"/>
    <col min="3" max="3" width="1.42578125" customWidth="1"/>
    <col min="4" max="4" width="16.140625" customWidth="1"/>
    <col min="5" max="5" width="15" customWidth="1"/>
    <col min="6" max="6" width="8.85546875" customWidth="1"/>
    <col min="7" max="7" width="9.140625" customWidth="1"/>
    <col min="8" max="8" width="1.28515625" customWidth="1"/>
    <col min="9" max="9" width="6.85546875" customWidth="1"/>
    <col min="10" max="10" width="4.5703125" customWidth="1"/>
    <col min="11" max="11" width="3.28515625" customWidth="1"/>
    <col min="12" max="12" width="5.85546875" customWidth="1"/>
    <col min="13" max="13" width="2.140625" customWidth="1"/>
    <col min="14" max="14" width="4.7109375" customWidth="1"/>
    <col min="15" max="15" width="5.28515625" customWidth="1"/>
    <col min="16" max="16" width="1" customWidth="1"/>
    <col min="17" max="17" width="10.85546875" customWidth="1"/>
    <col min="18" max="18" width="1" customWidth="1"/>
    <col min="19" max="19" width="2.42578125" customWidth="1"/>
    <col min="20" max="20" width="9" customWidth="1"/>
    <col min="21" max="21" width="10.7109375" bestFit="1" customWidth="1"/>
    <col min="22" max="22" width="2" customWidth="1"/>
    <col min="23" max="23" width="6.85546875" customWidth="1"/>
  </cols>
  <sheetData>
    <row r="1" spans="2:22" ht="40.5" customHeight="1"/>
    <row r="2" spans="2:22" ht="27" customHeight="1">
      <c r="J2" s="4" t="s">
        <v>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2" ht="33.75" customHeight="1"/>
    <row r="4" spans="2:22" ht="24.75" customHeight="1">
      <c r="B4" s="5" t="s">
        <v>1</v>
      </c>
      <c r="C4" s="5"/>
      <c r="D4" s="5"/>
      <c r="E4" s="5"/>
      <c r="F4" s="5"/>
      <c r="G4" s="5"/>
      <c r="H4" s="5"/>
      <c r="I4" s="5"/>
      <c r="J4" s="6" t="s">
        <v>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2:22" ht="20.25" customHeight="1">
      <c r="E5" s="7" t="s">
        <v>3</v>
      </c>
      <c r="F5" s="7"/>
      <c r="G5" s="7"/>
      <c r="H5" s="7"/>
    </row>
    <row r="6" spans="2:22" ht="15" customHeight="1">
      <c r="E6" s="8" t="s">
        <v>4</v>
      </c>
      <c r="F6" s="8"/>
      <c r="G6" s="8"/>
      <c r="H6" s="8"/>
      <c r="I6" s="9">
        <v>367.07</v>
      </c>
      <c r="J6" s="9"/>
      <c r="K6" s="9"/>
      <c r="L6" s="9"/>
    </row>
    <row r="7" spans="2:22" ht="12.75" customHeight="1">
      <c r="E7" s="8" t="s">
        <v>5</v>
      </c>
      <c r="F7" s="8"/>
      <c r="G7" s="8"/>
      <c r="H7" s="8"/>
      <c r="I7" s="9">
        <v>367.07</v>
      </c>
      <c r="J7" s="9"/>
      <c r="K7" s="9"/>
      <c r="L7" s="9"/>
    </row>
    <row r="8" spans="2:22" ht="12.75" customHeight="1">
      <c r="E8" s="8" t="s">
        <v>6</v>
      </c>
      <c r="F8" s="8"/>
      <c r="G8" s="8"/>
      <c r="H8" s="8"/>
      <c r="I8" s="9">
        <v>-1470.28</v>
      </c>
      <c r="J8" s="9"/>
      <c r="K8" s="9"/>
      <c r="L8" s="9"/>
    </row>
    <row r="9" spans="2:22" ht="6.75" customHeight="1"/>
    <row r="10" spans="2:22" ht="15.75" customHeight="1">
      <c r="E10" s="10" t="s">
        <v>7</v>
      </c>
      <c r="F10" s="10"/>
      <c r="G10" s="10"/>
      <c r="H10" s="10"/>
      <c r="I10" s="11">
        <v>-1103.21</v>
      </c>
      <c r="J10" s="11"/>
      <c r="K10" s="11"/>
      <c r="L10" s="11"/>
    </row>
    <row r="11" spans="2:22" ht="14.25" customHeight="1"/>
    <row r="12" spans="2:22" ht="13.5" customHeight="1">
      <c r="B12" s="12" t="s">
        <v>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2:22" ht="18.75" customHeight="1">
      <c r="B13" s="13" t="s">
        <v>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2:22" ht="2.25" customHeight="1"/>
    <row r="15" spans="2:22" ht="13.5" customHeight="1">
      <c r="B15" s="14" t="s">
        <v>10</v>
      </c>
      <c r="C15" s="14"/>
      <c r="D15" s="14" t="s">
        <v>11</v>
      </c>
      <c r="E15" s="14"/>
      <c r="F15" s="14"/>
      <c r="G15" s="14" t="s">
        <v>12</v>
      </c>
      <c r="H15" s="14" t="s">
        <v>13</v>
      </c>
      <c r="I15" s="14"/>
      <c r="J15" s="14"/>
      <c r="K15" s="14"/>
      <c r="L15" s="14" t="s">
        <v>14</v>
      </c>
      <c r="M15" s="14"/>
      <c r="N15" s="15" t="s">
        <v>15</v>
      </c>
      <c r="O15" s="15"/>
      <c r="Q15" s="15" t="s">
        <v>16</v>
      </c>
      <c r="R15" s="15"/>
      <c r="S15" s="15" t="s">
        <v>17</v>
      </c>
      <c r="T15" s="15"/>
      <c r="U15" s="16" t="s">
        <v>18</v>
      </c>
      <c r="V15" s="16"/>
    </row>
    <row r="16" spans="2:22" ht="13.5" customHeight="1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  <c r="O16" s="15"/>
      <c r="Q16" s="15"/>
      <c r="R16" s="15"/>
      <c r="S16" s="15"/>
      <c r="T16" s="15"/>
      <c r="U16" s="16"/>
      <c r="V16" s="16"/>
    </row>
    <row r="17" spans="2:22" ht="11.25" customHeight="1">
      <c r="B17" s="17" t="s">
        <v>19</v>
      </c>
      <c r="C17" s="17"/>
      <c r="D17" s="17" t="s">
        <v>20</v>
      </c>
      <c r="E17" s="17"/>
      <c r="F17" s="17"/>
      <c r="G17" s="1" t="s">
        <v>21</v>
      </c>
      <c r="H17" s="17" t="s">
        <v>22</v>
      </c>
      <c r="I17" s="17"/>
      <c r="J17" s="17"/>
      <c r="K17" s="17"/>
      <c r="L17" s="18">
        <v>100</v>
      </c>
      <c r="M17" s="18"/>
      <c r="N17" s="19">
        <v>1</v>
      </c>
      <c r="O17" s="19"/>
      <c r="Q17" s="20">
        <v>354.11203999999998</v>
      </c>
      <c r="R17" s="20"/>
      <c r="S17" s="19">
        <v>20</v>
      </c>
      <c r="T17" s="19"/>
      <c r="U17" s="20">
        <v>20</v>
      </c>
      <c r="V17" s="20"/>
    </row>
    <row r="18" spans="2:22" ht="11.25" customHeight="1">
      <c r="B18" s="17" t="s">
        <v>19</v>
      </c>
      <c r="C18" s="17"/>
      <c r="D18" s="17" t="s">
        <v>23</v>
      </c>
      <c r="E18" s="17"/>
      <c r="F18" s="17"/>
      <c r="G18" s="1" t="s">
        <v>24</v>
      </c>
      <c r="H18" s="17" t="s">
        <v>22</v>
      </c>
      <c r="I18" s="17"/>
      <c r="J18" s="17"/>
      <c r="K18" s="17"/>
      <c r="L18" s="18">
        <v>100</v>
      </c>
      <c r="M18" s="18"/>
      <c r="N18" s="19">
        <v>1</v>
      </c>
      <c r="O18" s="19"/>
      <c r="Q18" s="20">
        <v>375.90264000000002</v>
      </c>
      <c r="R18" s="20"/>
      <c r="S18" s="19">
        <v>20</v>
      </c>
      <c r="T18" s="19"/>
      <c r="U18" s="20">
        <v>20</v>
      </c>
      <c r="V18" s="20"/>
    </row>
    <row r="19" spans="2:22" ht="11.25" customHeight="1">
      <c r="B19" s="17" t="s">
        <v>19</v>
      </c>
      <c r="C19" s="17"/>
      <c r="D19" s="17" t="s">
        <v>25</v>
      </c>
      <c r="E19" s="17"/>
      <c r="F19" s="17"/>
      <c r="G19" s="1" t="s">
        <v>26</v>
      </c>
      <c r="H19" s="17" t="s">
        <v>22</v>
      </c>
      <c r="I19" s="17"/>
      <c r="J19" s="17"/>
      <c r="K19" s="17"/>
      <c r="L19" s="18">
        <v>100</v>
      </c>
      <c r="M19" s="18"/>
      <c r="N19" s="19">
        <v>1</v>
      </c>
      <c r="O19" s="19"/>
      <c r="Q19" s="20">
        <v>881.13890000000004</v>
      </c>
      <c r="R19" s="20"/>
      <c r="S19" s="19">
        <v>20</v>
      </c>
      <c r="T19" s="19"/>
      <c r="U19" s="20">
        <v>20</v>
      </c>
      <c r="V19" s="20"/>
    </row>
    <row r="20" spans="2:22" ht="11.25" customHeight="1">
      <c r="B20" s="17" t="s">
        <v>19</v>
      </c>
      <c r="C20" s="17"/>
      <c r="D20" s="17" t="s">
        <v>27</v>
      </c>
      <c r="E20" s="17"/>
      <c r="F20" s="17"/>
      <c r="G20" s="1" t="s">
        <v>28</v>
      </c>
      <c r="H20" s="17" t="s">
        <v>22</v>
      </c>
      <c r="I20" s="17"/>
      <c r="J20" s="17"/>
      <c r="K20" s="17"/>
      <c r="L20" s="18">
        <v>100</v>
      </c>
      <c r="M20" s="18"/>
      <c r="N20" s="19">
        <v>2</v>
      </c>
      <c r="O20" s="19"/>
      <c r="Q20" s="20">
        <v>2041.69048</v>
      </c>
      <c r="R20" s="20"/>
      <c r="S20" s="19">
        <v>20</v>
      </c>
      <c r="T20" s="19"/>
      <c r="U20" s="20">
        <v>40</v>
      </c>
      <c r="V20" s="20"/>
    </row>
    <row r="21" spans="2:22" ht="11.25" customHeight="1">
      <c r="B21" s="17" t="s">
        <v>29</v>
      </c>
      <c r="C21" s="17"/>
      <c r="D21" s="17" t="s">
        <v>30</v>
      </c>
      <c r="E21" s="17"/>
      <c r="F21" s="17"/>
      <c r="G21" s="1" t="s">
        <v>31</v>
      </c>
      <c r="H21" s="17" t="s">
        <v>22</v>
      </c>
      <c r="I21" s="17"/>
      <c r="J21" s="17"/>
      <c r="K21" s="17"/>
      <c r="L21" s="18">
        <v>100</v>
      </c>
      <c r="M21" s="18"/>
      <c r="N21" s="19">
        <v>7.0000000000000007E-2</v>
      </c>
      <c r="O21" s="19"/>
      <c r="Q21" s="20">
        <v>10.97418</v>
      </c>
      <c r="R21" s="20"/>
      <c r="S21" s="19">
        <v>19</v>
      </c>
      <c r="T21" s="19"/>
      <c r="U21" s="20">
        <v>1.33</v>
      </c>
      <c r="V21" s="20"/>
    </row>
    <row r="22" spans="2:22" ht="11.25" customHeight="1">
      <c r="B22" s="17" t="s">
        <v>29</v>
      </c>
      <c r="C22" s="17"/>
      <c r="D22" s="17" t="s">
        <v>32</v>
      </c>
      <c r="E22" s="17"/>
      <c r="F22" s="17"/>
      <c r="G22" s="1" t="s">
        <v>33</v>
      </c>
      <c r="H22" s="17" t="s">
        <v>22</v>
      </c>
      <c r="I22" s="17"/>
      <c r="J22" s="17"/>
      <c r="K22" s="17"/>
      <c r="L22" s="18">
        <v>100</v>
      </c>
      <c r="M22" s="18"/>
      <c r="N22" s="19">
        <v>0.5</v>
      </c>
      <c r="O22" s="19"/>
      <c r="Q22" s="20">
        <v>136.66945999999999</v>
      </c>
      <c r="R22" s="20"/>
      <c r="S22" s="19">
        <v>19</v>
      </c>
      <c r="T22" s="19"/>
      <c r="U22" s="20">
        <v>9.5</v>
      </c>
      <c r="V22" s="20"/>
    </row>
    <row r="23" spans="2:22" ht="11.25" customHeight="1">
      <c r="B23" s="17" t="s">
        <v>29</v>
      </c>
      <c r="C23" s="17"/>
      <c r="D23" s="17" t="s">
        <v>34</v>
      </c>
      <c r="E23" s="17"/>
      <c r="F23" s="17"/>
      <c r="G23" s="1" t="s">
        <v>35</v>
      </c>
      <c r="H23" s="17" t="s">
        <v>22</v>
      </c>
      <c r="I23" s="17"/>
      <c r="J23" s="17"/>
      <c r="K23" s="17"/>
      <c r="L23" s="18">
        <v>100</v>
      </c>
      <c r="M23" s="18"/>
      <c r="N23" s="19">
        <v>1</v>
      </c>
      <c r="O23" s="19"/>
      <c r="Q23" s="20">
        <v>383.48498000000001</v>
      </c>
      <c r="R23" s="20"/>
      <c r="S23" s="19">
        <v>19</v>
      </c>
      <c r="T23" s="19"/>
      <c r="U23" s="20">
        <v>19</v>
      </c>
      <c r="V23" s="20"/>
    </row>
    <row r="24" spans="2:22" ht="11.25" customHeight="1">
      <c r="B24" s="17" t="s">
        <v>29</v>
      </c>
      <c r="C24" s="17"/>
      <c r="D24" s="17" t="s">
        <v>36</v>
      </c>
      <c r="E24" s="17"/>
      <c r="F24" s="17"/>
      <c r="G24" s="1" t="s">
        <v>37</v>
      </c>
      <c r="H24" s="17" t="s">
        <v>22</v>
      </c>
      <c r="I24" s="17"/>
      <c r="J24" s="17"/>
      <c r="K24" s="17"/>
      <c r="L24" s="18">
        <v>100</v>
      </c>
      <c r="M24" s="18"/>
      <c r="N24" s="19">
        <v>0.5</v>
      </c>
      <c r="O24" s="19"/>
      <c r="Q24" s="20">
        <v>50.059220000000003</v>
      </c>
      <c r="R24" s="20"/>
      <c r="S24" s="19">
        <v>19</v>
      </c>
      <c r="T24" s="19"/>
      <c r="U24" s="20">
        <v>9.5</v>
      </c>
      <c r="V24" s="20"/>
    </row>
    <row r="25" spans="2:22" ht="11.25" customHeight="1">
      <c r="B25" s="17" t="s">
        <v>29</v>
      </c>
      <c r="C25" s="17"/>
      <c r="D25" s="17" t="s">
        <v>38</v>
      </c>
      <c r="E25" s="17"/>
      <c r="F25" s="17"/>
      <c r="G25" s="1" t="s">
        <v>39</v>
      </c>
      <c r="H25" s="17" t="s">
        <v>22</v>
      </c>
      <c r="I25" s="17"/>
      <c r="J25" s="17"/>
      <c r="K25" s="17"/>
      <c r="L25" s="18">
        <v>100</v>
      </c>
      <c r="M25" s="18"/>
      <c r="N25" s="19">
        <v>0.3</v>
      </c>
      <c r="O25" s="19"/>
      <c r="Q25" s="20">
        <v>35.190339999999999</v>
      </c>
      <c r="R25" s="20"/>
      <c r="S25" s="19">
        <v>19</v>
      </c>
      <c r="T25" s="19"/>
      <c r="U25" s="20">
        <v>5.7</v>
      </c>
      <c r="V25" s="20"/>
    </row>
    <row r="26" spans="2:22" ht="11.25" customHeight="1">
      <c r="B26" s="17" t="s">
        <v>29</v>
      </c>
      <c r="C26" s="17"/>
      <c r="D26" s="17" t="s">
        <v>40</v>
      </c>
      <c r="E26" s="17"/>
      <c r="F26" s="17"/>
      <c r="G26" s="1" t="s">
        <v>41</v>
      </c>
      <c r="H26" s="17" t="s">
        <v>22</v>
      </c>
      <c r="I26" s="17"/>
      <c r="J26" s="17"/>
      <c r="K26" s="17"/>
      <c r="L26" s="18">
        <v>100</v>
      </c>
      <c r="M26" s="18"/>
      <c r="N26" s="19">
        <v>0</v>
      </c>
      <c r="O26" s="19"/>
      <c r="Q26" s="20">
        <v>5.4821600000000004</v>
      </c>
      <c r="R26" s="20"/>
      <c r="S26" s="19">
        <v>19</v>
      </c>
      <c r="T26" s="19"/>
      <c r="U26" s="20">
        <v>0</v>
      </c>
      <c r="V26" s="20"/>
    </row>
    <row r="27" spans="2:22" ht="11.25" customHeight="1">
      <c r="B27" s="17" t="s">
        <v>29</v>
      </c>
      <c r="C27" s="17"/>
      <c r="D27" s="17" t="s">
        <v>42</v>
      </c>
      <c r="E27" s="17"/>
      <c r="F27" s="17"/>
      <c r="G27" s="1" t="s">
        <v>43</v>
      </c>
      <c r="H27" s="17" t="s">
        <v>22</v>
      </c>
      <c r="I27" s="17"/>
      <c r="J27" s="17"/>
      <c r="K27" s="17"/>
      <c r="L27" s="18">
        <v>100</v>
      </c>
      <c r="M27" s="18"/>
      <c r="N27" s="19">
        <v>0</v>
      </c>
      <c r="O27" s="19"/>
      <c r="Q27" s="20">
        <v>14.997059999999999</v>
      </c>
      <c r="R27" s="20"/>
      <c r="S27" s="19">
        <v>19</v>
      </c>
      <c r="T27" s="19"/>
      <c r="U27" s="20">
        <v>0</v>
      </c>
      <c r="V27" s="20"/>
    </row>
    <row r="28" spans="2:22" ht="11.25" customHeight="1">
      <c r="B28" s="17" t="s">
        <v>44</v>
      </c>
      <c r="C28" s="17"/>
      <c r="D28" s="17" t="s">
        <v>45</v>
      </c>
      <c r="E28" s="17"/>
      <c r="F28" s="17"/>
      <c r="G28" s="1" t="s">
        <v>46</v>
      </c>
      <c r="H28" s="17" t="s">
        <v>22</v>
      </c>
      <c r="I28" s="17"/>
      <c r="J28" s="17"/>
      <c r="K28" s="17"/>
      <c r="L28" s="18">
        <v>100</v>
      </c>
      <c r="M28" s="18"/>
      <c r="N28" s="19">
        <v>2</v>
      </c>
      <c r="O28" s="19"/>
      <c r="Q28" s="20">
        <v>2045.7429400000001</v>
      </c>
      <c r="R28" s="20"/>
      <c r="S28" s="19">
        <v>20</v>
      </c>
      <c r="T28" s="19"/>
      <c r="U28" s="20">
        <v>40</v>
      </c>
      <c r="V28" s="20"/>
    </row>
    <row r="29" spans="2:22" ht="11.25" customHeight="1">
      <c r="B29" s="17" t="s">
        <v>44</v>
      </c>
      <c r="C29" s="17"/>
      <c r="D29" s="17" t="s">
        <v>47</v>
      </c>
      <c r="E29" s="17"/>
      <c r="F29" s="17"/>
      <c r="G29" s="1" t="s">
        <v>48</v>
      </c>
      <c r="H29" s="17" t="s">
        <v>22</v>
      </c>
      <c r="I29" s="17"/>
      <c r="J29" s="17"/>
      <c r="K29" s="17"/>
      <c r="L29" s="18">
        <v>100</v>
      </c>
      <c r="M29" s="18"/>
      <c r="N29" s="19">
        <v>1</v>
      </c>
      <c r="O29" s="19"/>
      <c r="Q29" s="20">
        <v>1037.42976</v>
      </c>
      <c r="R29" s="20"/>
      <c r="S29" s="19">
        <v>20</v>
      </c>
      <c r="T29" s="19"/>
      <c r="U29" s="20">
        <v>20</v>
      </c>
      <c r="V29" s="20"/>
    </row>
    <row r="30" spans="2:22" ht="11.25" customHeight="1">
      <c r="B30" s="17" t="s">
        <v>44</v>
      </c>
      <c r="C30" s="17"/>
      <c r="D30" s="17" t="s">
        <v>49</v>
      </c>
      <c r="E30" s="17"/>
      <c r="F30" s="17"/>
      <c r="G30" s="1" t="s">
        <v>50</v>
      </c>
      <c r="H30" s="17" t="s">
        <v>22</v>
      </c>
      <c r="I30" s="17"/>
      <c r="J30" s="17"/>
      <c r="K30" s="17"/>
      <c r="L30" s="18">
        <v>100</v>
      </c>
      <c r="M30" s="18"/>
      <c r="N30" s="19">
        <v>1</v>
      </c>
      <c r="O30" s="19"/>
      <c r="Q30" s="20">
        <v>354.11203999999998</v>
      </c>
      <c r="R30" s="20"/>
      <c r="S30" s="19">
        <v>20</v>
      </c>
      <c r="T30" s="19"/>
      <c r="U30" s="20">
        <v>20</v>
      </c>
      <c r="V30" s="20"/>
    </row>
    <row r="31" spans="2:22" ht="11.25" customHeight="1">
      <c r="B31" s="17" t="s">
        <v>44</v>
      </c>
      <c r="C31" s="17"/>
      <c r="D31" s="17" t="s">
        <v>51</v>
      </c>
      <c r="E31" s="17"/>
      <c r="F31" s="17"/>
      <c r="G31" s="1" t="s">
        <v>52</v>
      </c>
      <c r="H31" s="17" t="s">
        <v>22</v>
      </c>
      <c r="I31" s="17"/>
      <c r="J31" s="17"/>
      <c r="K31" s="17"/>
      <c r="L31" s="18">
        <v>100</v>
      </c>
      <c r="M31" s="18"/>
      <c r="N31" s="19">
        <v>1</v>
      </c>
      <c r="O31" s="19"/>
      <c r="Q31" s="20">
        <v>412.32548000000003</v>
      </c>
      <c r="R31" s="20"/>
      <c r="S31" s="19">
        <v>19</v>
      </c>
      <c r="T31" s="19"/>
      <c r="U31" s="20">
        <v>19</v>
      </c>
      <c r="V31" s="20"/>
    </row>
    <row r="32" spans="2:22" ht="11.25" customHeight="1">
      <c r="B32" s="17" t="s">
        <v>44</v>
      </c>
      <c r="C32" s="17"/>
      <c r="D32" s="17" t="s">
        <v>53</v>
      </c>
      <c r="E32" s="17"/>
      <c r="F32" s="17"/>
      <c r="G32" s="1" t="s">
        <v>54</v>
      </c>
      <c r="H32" s="17" t="s">
        <v>22</v>
      </c>
      <c r="I32" s="17"/>
      <c r="J32" s="17"/>
      <c r="K32" s="17"/>
      <c r="L32" s="18">
        <v>100</v>
      </c>
      <c r="M32" s="18"/>
      <c r="N32" s="19">
        <v>5</v>
      </c>
      <c r="O32" s="19"/>
      <c r="Q32" s="20">
        <v>2309.3500399999998</v>
      </c>
      <c r="R32" s="20"/>
      <c r="S32" s="19">
        <v>20</v>
      </c>
      <c r="T32" s="19"/>
      <c r="U32" s="20">
        <v>100</v>
      </c>
      <c r="V32" s="20"/>
    </row>
    <row r="33" spans="1:22" ht="12" customHeight="1"/>
    <row r="34" spans="1:22" ht="18" customHeight="1">
      <c r="Q34" s="21">
        <v>10448.66172</v>
      </c>
      <c r="R34" s="21"/>
      <c r="U34" s="21">
        <v>344.03</v>
      </c>
      <c r="V34" s="21"/>
    </row>
    <row r="35" spans="1:22" ht="11.25" customHeight="1">
      <c r="B35" s="17" t="s">
        <v>29</v>
      </c>
      <c r="C35" s="17"/>
      <c r="D35" s="17" t="s">
        <v>55</v>
      </c>
      <c r="E35" s="17"/>
      <c r="F35" s="17"/>
      <c r="G35" s="1" t="s">
        <v>56</v>
      </c>
      <c r="H35" s="17" t="s">
        <v>22</v>
      </c>
      <c r="I35" s="17"/>
      <c r="J35" s="17"/>
      <c r="K35" s="17"/>
      <c r="L35" s="18">
        <v>100</v>
      </c>
      <c r="M35" s="18"/>
      <c r="N35" s="19">
        <v>0.12</v>
      </c>
      <c r="O35" s="19"/>
      <c r="Q35" s="20">
        <v>91.106399999999994</v>
      </c>
      <c r="R35" s="20"/>
      <c r="S35" s="19">
        <v>19</v>
      </c>
      <c r="T35" s="19"/>
      <c r="U35" s="20">
        <v>2.2799999999999998</v>
      </c>
      <c r="V35" s="20"/>
    </row>
    <row r="36" spans="1:22" ht="11.25" customHeight="1">
      <c r="B36" s="17" t="s">
        <v>29</v>
      </c>
      <c r="C36" s="17"/>
      <c r="D36" s="17" t="s">
        <v>57</v>
      </c>
      <c r="E36" s="17"/>
      <c r="F36" s="17"/>
      <c r="G36" s="1" t="s">
        <v>58</v>
      </c>
      <c r="H36" s="17" t="s">
        <v>22</v>
      </c>
      <c r="I36" s="17"/>
      <c r="J36" s="17"/>
      <c r="K36" s="17"/>
      <c r="L36" s="18">
        <v>100</v>
      </c>
      <c r="M36" s="18"/>
      <c r="N36" s="19">
        <v>0.04</v>
      </c>
      <c r="O36" s="19"/>
      <c r="Q36" s="20">
        <v>50.660679999999999</v>
      </c>
      <c r="R36" s="20"/>
      <c r="S36" s="19">
        <v>19</v>
      </c>
      <c r="T36" s="19"/>
      <c r="U36" s="20">
        <v>0.76</v>
      </c>
      <c r="V36" s="20"/>
    </row>
    <row r="37" spans="1:22" ht="11.25" customHeight="1">
      <c r="B37" s="17" t="s">
        <v>29</v>
      </c>
      <c r="C37" s="17"/>
      <c r="D37" s="17" t="s">
        <v>59</v>
      </c>
      <c r="E37" s="17"/>
      <c r="F37" s="17"/>
      <c r="G37" s="1" t="s">
        <v>60</v>
      </c>
      <c r="H37" s="17" t="s">
        <v>22</v>
      </c>
      <c r="I37" s="17"/>
      <c r="J37" s="17"/>
      <c r="K37" s="17"/>
      <c r="L37" s="18">
        <v>100</v>
      </c>
      <c r="M37" s="18"/>
      <c r="N37" s="19">
        <v>0</v>
      </c>
      <c r="O37" s="19"/>
      <c r="Q37" s="20">
        <v>4.3876999999999997</v>
      </c>
      <c r="R37" s="20"/>
      <c r="S37" s="19">
        <v>19</v>
      </c>
      <c r="T37" s="19"/>
      <c r="U37" s="20">
        <v>0</v>
      </c>
      <c r="V37" s="20"/>
    </row>
    <row r="38" spans="1:22" ht="11.25" customHeight="1">
      <c r="B38" s="17" t="s">
        <v>44</v>
      </c>
      <c r="C38" s="17"/>
      <c r="D38" s="17" t="s">
        <v>61</v>
      </c>
      <c r="E38" s="17"/>
      <c r="F38" s="17"/>
      <c r="G38" s="1" t="s">
        <v>62</v>
      </c>
      <c r="H38" s="17" t="s">
        <v>22</v>
      </c>
      <c r="I38" s="17"/>
      <c r="J38" s="17"/>
      <c r="K38" s="17"/>
      <c r="L38" s="18">
        <v>100</v>
      </c>
      <c r="M38" s="18"/>
      <c r="N38" s="19">
        <v>1</v>
      </c>
      <c r="O38" s="19"/>
      <c r="Q38" s="20">
        <v>938.54381999999998</v>
      </c>
      <c r="R38" s="20"/>
      <c r="S38" s="19">
        <v>20</v>
      </c>
      <c r="T38" s="19"/>
      <c r="U38" s="20">
        <v>20</v>
      </c>
      <c r="V38" s="20"/>
    </row>
    <row r="39" spans="1:22" ht="12" customHeight="1"/>
    <row r="40" spans="1:22" ht="18" customHeight="1">
      <c r="Q40" s="21">
        <v>1084.6985999999999</v>
      </c>
      <c r="R40" s="21"/>
      <c r="U40" s="21">
        <v>23.04</v>
      </c>
      <c r="V40" s="21"/>
    </row>
    <row r="41" spans="1:22" ht="13.5" customHeight="1">
      <c r="A41" s="22" t="s">
        <v>63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Q41" s="21">
        <v>11533.36032</v>
      </c>
      <c r="R41" s="21"/>
      <c r="U41" s="21">
        <v>367.07</v>
      </c>
      <c r="V41" s="21"/>
    </row>
    <row r="42" spans="1:22" ht="6" customHeight="1"/>
    <row r="43" spans="1:22" ht="20.25" customHeight="1">
      <c r="B43" s="23" t="s">
        <v>64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4">
        <v>367.07</v>
      </c>
      <c r="V43" s="24"/>
    </row>
    <row r="44" spans="1:22" ht="8.25" customHeight="1"/>
    <row r="45" spans="1:22" ht="126.75" customHeight="1"/>
    <row r="46" spans="1:22" ht="12" customHeight="1"/>
    <row r="47" spans="1:22" ht="13.5" customHeight="1">
      <c r="B47" s="2" t="s">
        <v>65</v>
      </c>
      <c r="T47" s="3" t="s">
        <v>66</v>
      </c>
      <c r="U47" s="25">
        <v>46066</v>
      </c>
      <c r="V47" s="25"/>
    </row>
    <row r="48" spans="1:22" ht="9.75" customHeight="1"/>
    <row r="49" spans="2:22" ht="40.5" customHeight="1"/>
    <row r="50" spans="2:22" ht="27" customHeight="1">
      <c r="J50" s="4" t="s">
        <v>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2:22" ht="33.75" customHeight="1"/>
    <row r="52" spans="2:22" ht="24.75" customHeight="1">
      <c r="B52" s="5" t="s">
        <v>67</v>
      </c>
      <c r="C52" s="5"/>
      <c r="D52" s="5"/>
      <c r="E52" s="5"/>
      <c r="F52" s="5"/>
      <c r="G52" s="5"/>
      <c r="H52" s="5"/>
      <c r="I52" s="5"/>
      <c r="J52" s="6" t="s">
        <v>2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2:22" ht="20.25" customHeight="1">
      <c r="E53" s="7" t="s">
        <v>3</v>
      </c>
      <c r="F53" s="7"/>
      <c r="G53" s="7"/>
      <c r="H53" s="7"/>
    </row>
    <row r="54" spans="2:22" ht="15" customHeight="1">
      <c r="E54" s="8" t="s">
        <v>4</v>
      </c>
      <c r="F54" s="8"/>
      <c r="G54" s="8"/>
      <c r="H54" s="8"/>
      <c r="I54" s="9">
        <v>11429.6</v>
      </c>
      <c r="J54" s="9"/>
      <c r="K54" s="9"/>
      <c r="L54" s="9"/>
    </row>
    <row r="55" spans="2:22" ht="12.75" customHeight="1">
      <c r="E55" s="8" t="s">
        <v>5</v>
      </c>
      <c r="F55" s="8"/>
      <c r="G55" s="8"/>
      <c r="H55" s="8"/>
      <c r="I55" s="9">
        <v>11429.6</v>
      </c>
      <c r="J55" s="9"/>
      <c r="K55" s="9"/>
      <c r="L55" s="9"/>
    </row>
    <row r="56" spans="2:22" ht="12.75" customHeight="1">
      <c r="E56" s="8" t="s">
        <v>6</v>
      </c>
      <c r="F56" s="8"/>
      <c r="G56" s="8"/>
      <c r="H56" s="8"/>
      <c r="I56" s="9">
        <v>-1984.93</v>
      </c>
      <c r="J56" s="9"/>
      <c r="K56" s="9"/>
      <c r="L56" s="9"/>
    </row>
    <row r="57" spans="2:22" ht="6.75" customHeight="1"/>
    <row r="58" spans="2:22" ht="15.75" customHeight="1">
      <c r="E58" s="10" t="s">
        <v>7</v>
      </c>
      <c r="F58" s="10"/>
      <c r="G58" s="10"/>
      <c r="H58" s="10"/>
      <c r="I58" s="11">
        <v>9444.67</v>
      </c>
      <c r="J58" s="11"/>
      <c r="K58" s="11"/>
      <c r="L58" s="11"/>
    </row>
    <row r="59" spans="2:22" ht="14.25" customHeight="1"/>
    <row r="60" spans="2:22" ht="13.5" customHeight="1">
      <c r="B60" s="12" t="s">
        <v>68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2:22" ht="18.75" customHeight="1">
      <c r="B61" s="13" t="s">
        <v>9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2:22" ht="2.25" customHeight="1"/>
    <row r="63" spans="2:22" ht="13.5" customHeight="1">
      <c r="B63" s="14" t="s">
        <v>10</v>
      </c>
      <c r="C63" s="14"/>
      <c r="D63" s="14" t="s">
        <v>69</v>
      </c>
      <c r="E63" s="14"/>
      <c r="F63" s="14"/>
      <c r="G63" s="14" t="s">
        <v>70</v>
      </c>
      <c r="H63" s="14" t="s">
        <v>71</v>
      </c>
      <c r="I63" s="14"/>
      <c r="J63" s="14"/>
      <c r="K63" s="14"/>
      <c r="L63" s="15" t="s">
        <v>72</v>
      </c>
      <c r="M63" s="15"/>
      <c r="N63" s="15"/>
    </row>
    <row r="64" spans="2:22" ht="13.5" customHeight="1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5"/>
      <c r="M64" s="15"/>
      <c r="N64" s="15"/>
    </row>
    <row r="65" spans="2:14" ht="0.75" customHeight="1"/>
    <row r="66" spans="2:14" ht="12.75" customHeight="1">
      <c r="B66" s="17" t="s">
        <v>73</v>
      </c>
      <c r="C66" s="17"/>
      <c r="D66" s="17" t="s">
        <v>74</v>
      </c>
      <c r="E66" s="17"/>
      <c r="F66" s="17"/>
      <c r="G66" s="1" t="s">
        <v>75</v>
      </c>
      <c r="H66" s="26">
        <v>46023</v>
      </c>
      <c r="I66" s="26"/>
      <c r="J66" s="26"/>
      <c r="K66" s="26"/>
      <c r="L66" s="20">
        <v>347</v>
      </c>
      <c r="M66" s="20"/>
      <c r="N66" s="20"/>
    </row>
    <row r="67" spans="2:14" ht="0.75" customHeight="1"/>
    <row r="68" spans="2:14" ht="12.75" customHeight="1">
      <c r="B68" s="17" t="s">
        <v>73</v>
      </c>
      <c r="C68" s="17"/>
      <c r="D68" s="17" t="s">
        <v>74</v>
      </c>
      <c r="E68" s="17"/>
      <c r="F68" s="17"/>
      <c r="G68" s="1" t="s">
        <v>75</v>
      </c>
      <c r="H68" s="26">
        <v>46023</v>
      </c>
      <c r="I68" s="26"/>
      <c r="J68" s="26"/>
      <c r="K68" s="26"/>
      <c r="L68" s="20">
        <v>-47</v>
      </c>
      <c r="M68" s="20"/>
      <c r="N68" s="20"/>
    </row>
    <row r="69" spans="2:14" ht="0.75" customHeight="1"/>
    <row r="70" spans="2:14" ht="12.75" customHeight="1">
      <c r="B70" s="17" t="s">
        <v>76</v>
      </c>
      <c r="C70" s="17"/>
      <c r="D70" s="17" t="s">
        <v>77</v>
      </c>
      <c r="E70" s="17"/>
      <c r="F70" s="17"/>
      <c r="G70" s="1" t="s">
        <v>78</v>
      </c>
      <c r="H70" s="26">
        <v>45992</v>
      </c>
      <c r="I70" s="26"/>
      <c r="J70" s="26"/>
      <c r="K70" s="26"/>
      <c r="L70" s="20">
        <v>28.92</v>
      </c>
      <c r="M70" s="20"/>
      <c r="N70" s="20"/>
    </row>
    <row r="71" spans="2:14" ht="0.75" customHeight="1"/>
    <row r="72" spans="2:14" ht="12.75" customHeight="1">
      <c r="B72" s="17" t="s">
        <v>76</v>
      </c>
      <c r="C72" s="17"/>
      <c r="D72" s="17" t="s">
        <v>79</v>
      </c>
      <c r="E72" s="17"/>
      <c r="F72" s="17"/>
      <c r="G72" s="1" t="s">
        <v>80</v>
      </c>
      <c r="H72" s="26">
        <v>46023</v>
      </c>
      <c r="I72" s="26"/>
      <c r="J72" s="26"/>
      <c r="K72" s="26"/>
      <c r="L72" s="20">
        <v>347</v>
      </c>
      <c r="M72" s="20"/>
      <c r="N72" s="20"/>
    </row>
    <row r="73" spans="2:14" ht="0.75" customHeight="1"/>
    <row r="74" spans="2:14" ht="12.75" customHeight="1">
      <c r="B74" s="17" t="s">
        <v>76</v>
      </c>
      <c r="C74" s="17"/>
      <c r="D74" s="17" t="s">
        <v>79</v>
      </c>
      <c r="E74" s="17"/>
      <c r="F74" s="17"/>
      <c r="G74" s="1" t="s">
        <v>80</v>
      </c>
      <c r="H74" s="26">
        <v>46023</v>
      </c>
      <c r="I74" s="26"/>
      <c r="J74" s="26"/>
      <c r="K74" s="26"/>
      <c r="L74" s="20">
        <v>-47</v>
      </c>
      <c r="M74" s="20"/>
      <c r="N74" s="20"/>
    </row>
    <row r="75" spans="2:14" ht="0.75" customHeight="1"/>
    <row r="76" spans="2:14" ht="12.75" customHeight="1">
      <c r="B76" s="17" t="s">
        <v>76</v>
      </c>
      <c r="C76" s="17"/>
      <c r="D76" s="17" t="s">
        <v>81</v>
      </c>
      <c r="E76" s="17"/>
      <c r="F76" s="17"/>
      <c r="G76" s="1" t="s">
        <v>82</v>
      </c>
      <c r="H76" s="26">
        <v>45658</v>
      </c>
      <c r="I76" s="26"/>
      <c r="J76" s="26"/>
      <c r="K76" s="26"/>
      <c r="L76" s="20">
        <v>28.92</v>
      </c>
      <c r="M76" s="20"/>
      <c r="N76" s="20"/>
    </row>
    <row r="77" spans="2:14" ht="0.75" customHeight="1"/>
    <row r="78" spans="2:14" ht="12.75" customHeight="1">
      <c r="B78" s="17" t="s">
        <v>29</v>
      </c>
      <c r="C78" s="17"/>
      <c r="D78" s="17" t="s">
        <v>83</v>
      </c>
      <c r="E78" s="17"/>
      <c r="F78" s="17"/>
      <c r="G78" s="1" t="s">
        <v>84</v>
      </c>
      <c r="H78" s="26">
        <v>46023</v>
      </c>
      <c r="I78" s="26"/>
      <c r="J78" s="26"/>
      <c r="K78" s="26"/>
      <c r="L78" s="20">
        <v>347</v>
      </c>
      <c r="M78" s="20"/>
      <c r="N78" s="20"/>
    </row>
    <row r="79" spans="2:14" ht="0.75" customHeight="1"/>
    <row r="80" spans="2:14" ht="12.75" customHeight="1">
      <c r="B80" s="17" t="s">
        <v>29</v>
      </c>
      <c r="C80" s="17"/>
      <c r="D80" s="17" t="s">
        <v>85</v>
      </c>
      <c r="E80" s="17"/>
      <c r="F80" s="17"/>
      <c r="G80" s="1" t="s">
        <v>86</v>
      </c>
      <c r="H80" s="26">
        <v>46023</v>
      </c>
      <c r="I80" s="26"/>
      <c r="J80" s="26"/>
      <c r="K80" s="26"/>
      <c r="L80" s="20">
        <v>347</v>
      </c>
      <c r="M80" s="20"/>
      <c r="N80" s="20"/>
    </row>
    <row r="81" spans="2:14" ht="0.75" customHeight="1"/>
    <row r="82" spans="2:14" ht="12.75" customHeight="1">
      <c r="B82" s="17" t="s">
        <v>29</v>
      </c>
      <c r="C82" s="17"/>
      <c r="D82" s="17" t="s">
        <v>87</v>
      </c>
      <c r="E82" s="17"/>
      <c r="F82" s="17"/>
      <c r="G82" s="1" t="s">
        <v>88</v>
      </c>
      <c r="H82" s="26">
        <v>46023</v>
      </c>
      <c r="I82" s="26"/>
      <c r="J82" s="26"/>
      <c r="K82" s="26"/>
      <c r="L82" s="20">
        <v>347</v>
      </c>
      <c r="M82" s="20"/>
      <c r="N82" s="20"/>
    </row>
    <row r="83" spans="2:14" ht="0.75" customHeight="1"/>
    <row r="84" spans="2:14" ht="12.75" customHeight="1">
      <c r="B84" s="17" t="s">
        <v>29</v>
      </c>
      <c r="C84" s="17"/>
      <c r="D84" s="17" t="s">
        <v>89</v>
      </c>
      <c r="E84" s="17"/>
      <c r="F84" s="17"/>
      <c r="G84" s="1" t="s">
        <v>90</v>
      </c>
      <c r="H84" s="26">
        <v>46023</v>
      </c>
      <c r="I84" s="26"/>
      <c r="J84" s="26"/>
      <c r="K84" s="26"/>
      <c r="L84" s="20">
        <v>347</v>
      </c>
      <c r="M84" s="20"/>
      <c r="N84" s="20"/>
    </row>
    <row r="85" spans="2:14" ht="0.75" customHeight="1"/>
    <row r="86" spans="2:14" ht="12.75" customHeight="1">
      <c r="B86" s="17" t="s">
        <v>29</v>
      </c>
      <c r="C86" s="17"/>
      <c r="D86" s="17" t="s">
        <v>91</v>
      </c>
      <c r="E86" s="17"/>
      <c r="F86" s="17"/>
      <c r="G86" s="1" t="s">
        <v>92</v>
      </c>
      <c r="H86" s="26">
        <v>46023</v>
      </c>
      <c r="I86" s="26"/>
      <c r="J86" s="26"/>
      <c r="K86" s="26"/>
      <c r="L86" s="20">
        <v>347</v>
      </c>
      <c r="M86" s="20"/>
      <c r="N86" s="20"/>
    </row>
    <row r="87" spans="2:14" ht="0.75" customHeight="1"/>
    <row r="88" spans="2:14" ht="12.75" customHeight="1">
      <c r="B88" s="17" t="s">
        <v>29</v>
      </c>
      <c r="C88" s="17"/>
      <c r="D88" s="17" t="s">
        <v>93</v>
      </c>
      <c r="E88" s="17"/>
      <c r="F88" s="17"/>
      <c r="G88" s="1" t="s">
        <v>94</v>
      </c>
      <c r="H88" s="26">
        <v>46023</v>
      </c>
      <c r="I88" s="26"/>
      <c r="J88" s="26"/>
      <c r="K88" s="26"/>
      <c r="L88" s="20">
        <v>347</v>
      </c>
      <c r="M88" s="20"/>
      <c r="N88" s="20"/>
    </row>
    <row r="89" spans="2:14" ht="0.75" customHeight="1"/>
    <row r="90" spans="2:14" ht="12.75" customHeight="1">
      <c r="B90" s="17" t="s">
        <v>29</v>
      </c>
      <c r="C90" s="17"/>
      <c r="D90" s="17" t="s">
        <v>95</v>
      </c>
      <c r="E90" s="17"/>
      <c r="F90" s="17"/>
      <c r="G90" s="1" t="s">
        <v>96</v>
      </c>
      <c r="H90" s="26">
        <v>46023</v>
      </c>
      <c r="I90" s="26"/>
      <c r="J90" s="26"/>
      <c r="K90" s="26"/>
      <c r="L90" s="20">
        <v>347</v>
      </c>
      <c r="M90" s="20"/>
      <c r="N90" s="20"/>
    </row>
    <row r="91" spans="2:14" ht="0.75" customHeight="1"/>
    <row r="92" spans="2:14" ht="12.75" customHeight="1">
      <c r="B92" s="17" t="s">
        <v>29</v>
      </c>
      <c r="C92" s="17"/>
      <c r="D92" s="17" t="s">
        <v>97</v>
      </c>
      <c r="E92" s="17"/>
      <c r="F92" s="17"/>
      <c r="G92" s="1" t="s">
        <v>98</v>
      </c>
      <c r="H92" s="26">
        <v>46023</v>
      </c>
      <c r="I92" s="26"/>
      <c r="J92" s="26"/>
      <c r="K92" s="26"/>
      <c r="L92" s="20">
        <v>347</v>
      </c>
      <c r="M92" s="20"/>
      <c r="N92" s="20"/>
    </row>
    <row r="93" spans="2:14" ht="0.75" customHeight="1"/>
    <row r="94" spans="2:14" ht="12.75" customHeight="1">
      <c r="B94" s="17" t="s">
        <v>29</v>
      </c>
      <c r="C94" s="17"/>
      <c r="D94" s="17" t="s">
        <v>99</v>
      </c>
      <c r="E94" s="17"/>
      <c r="F94" s="17"/>
      <c r="G94" s="1" t="s">
        <v>100</v>
      </c>
      <c r="H94" s="26">
        <v>46023</v>
      </c>
      <c r="I94" s="26"/>
      <c r="J94" s="26"/>
      <c r="K94" s="26"/>
      <c r="L94" s="20">
        <v>-47</v>
      </c>
      <c r="M94" s="20"/>
      <c r="N94" s="20"/>
    </row>
    <row r="95" spans="2:14" ht="0.75" customHeight="1"/>
    <row r="96" spans="2:14" ht="12.75" customHeight="1">
      <c r="B96" s="17" t="s">
        <v>29</v>
      </c>
      <c r="C96" s="17"/>
      <c r="D96" s="17" t="s">
        <v>99</v>
      </c>
      <c r="E96" s="17"/>
      <c r="F96" s="17"/>
      <c r="G96" s="1" t="s">
        <v>100</v>
      </c>
      <c r="H96" s="26">
        <v>46023</v>
      </c>
      <c r="I96" s="26"/>
      <c r="J96" s="26"/>
      <c r="K96" s="26"/>
      <c r="L96" s="20">
        <v>347</v>
      </c>
      <c r="M96" s="20"/>
      <c r="N96" s="20"/>
    </row>
    <row r="97" spans="2:14" ht="0.75" customHeight="1"/>
    <row r="98" spans="2:14" ht="12.75" customHeight="1">
      <c r="B98" s="17" t="s">
        <v>29</v>
      </c>
      <c r="C98" s="17"/>
      <c r="D98" s="17" t="s">
        <v>101</v>
      </c>
      <c r="E98" s="17"/>
      <c r="F98" s="17"/>
      <c r="G98" s="1" t="s">
        <v>102</v>
      </c>
      <c r="H98" s="26">
        <v>46023</v>
      </c>
      <c r="I98" s="26"/>
      <c r="J98" s="26"/>
      <c r="K98" s="26"/>
      <c r="L98" s="20">
        <v>347</v>
      </c>
      <c r="M98" s="20"/>
      <c r="N98" s="20"/>
    </row>
    <row r="99" spans="2:14" ht="0.75" customHeight="1"/>
    <row r="100" spans="2:14" ht="12.75" customHeight="1">
      <c r="B100" s="17" t="s">
        <v>29</v>
      </c>
      <c r="C100" s="17"/>
      <c r="D100" s="17" t="s">
        <v>103</v>
      </c>
      <c r="E100" s="17"/>
      <c r="F100" s="17"/>
      <c r="G100" s="1" t="s">
        <v>104</v>
      </c>
      <c r="H100" s="26">
        <v>45658</v>
      </c>
      <c r="I100" s="26"/>
      <c r="J100" s="26"/>
      <c r="K100" s="26"/>
      <c r="L100" s="20">
        <v>28.92</v>
      </c>
      <c r="M100" s="20"/>
      <c r="N100" s="20"/>
    </row>
    <row r="101" spans="2:14" ht="0.75" customHeight="1"/>
    <row r="102" spans="2:14" ht="12.75" customHeight="1">
      <c r="B102" s="17" t="s">
        <v>29</v>
      </c>
      <c r="C102" s="17"/>
      <c r="D102" s="17" t="s">
        <v>105</v>
      </c>
      <c r="E102" s="17"/>
      <c r="F102" s="17"/>
      <c r="G102" s="1" t="s">
        <v>106</v>
      </c>
      <c r="H102" s="26">
        <v>45658</v>
      </c>
      <c r="I102" s="26"/>
      <c r="J102" s="26"/>
      <c r="K102" s="26"/>
      <c r="L102" s="20">
        <v>28.92</v>
      </c>
      <c r="M102" s="20"/>
      <c r="N102" s="20"/>
    </row>
    <row r="103" spans="2:14" ht="0.75" customHeight="1"/>
    <row r="104" spans="2:14" ht="12.75" customHeight="1">
      <c r="B104" s="17" t="s">
        <v>29</v>
      </c>
      <c r="C104" s="17"/>
      <c r="D104" s="17" t="s">
        <v>107</v>
      </c>
      <c r="E104" s="17"/>
      <c r="F104" s="17"/>
      <c r="G104" s="1" t="s">
        <v>108</v>
      </c>
      <c r="H104" s="26">
        <v>46023</v>
      </c>
      <c r="I104" s="26"/>
      <c r="J104" s="26"/>
      <c r="K104" s="26"/>
      <c r="L104" s="20">
        <v>347</v>
      </c>
      <c r="M104" s="20"/>
      <c r="N104" s="20"/>
    </row>
    <row r="105" spans="2:14" ht="0.75" customHeight="1"/>
    <row r="106" spans="2:14" ht="12.75" customHeight="1">
      <c r="B106" s="17" t="s">
        <v>29</v>
      </c>
      <c r="C106" s="17"/>
      <c r="D106" s="17" t="s">
        <v>109</v>
      </c>
      <c r="E106" s="17"/>
      <c r="F106" s="17"/>
      <c r="G106" s="1" t="s">
        <v>110</v>
      </c>
      <c r="H106" s="26">
        <v>46023</v>
      </c>
      <c r="I106" s="26"/>
      <c r="J106" s="26"/>
      <c r="K106" s="26"/>
      <c r="L106" s="20">
        <v>347</v>
      </c>
      <c r="M106" s="20"/>
      <c r="N106" s="20"/>
    </row>
    <row r="107" spans="2:14" ht="0.75" customHeight="1"/>
    <row r="108" spans="2:14" ht="12.75" customHeight="1">
      <c r="B108" s="17" t="s">
        <v>29</v>
      </c>
      <c r="C108" s="17"/>
      <c r="D108" s="17" t="s">
        <v>111</v>
      </c>
      <c r="E108" s="17"/>
      <c r="F108" s="17"/>
      <c r="G108" s="1" t="s">
        <v>112</v>
      </c>
      <c r="H108" s="26">
        <v>46023</v>
      </c>
      <c r="I108" s="26"/>
      <c r="J108" s="26"/>
      <c r="K108" s="26"/>
      <c r="L108" s="20">
        <v>347</v>
      </c>
      <c r="M108" s="20"/>
      <c r="N108" s="20"/>
    </row>
    <row r="109" spans="2:14" ht="0.75" customHeight="1"/>
    <row r="110" spans="2:14" ht="12.75" customHeight="1">
      <c r="B110" s="17" t="s">
        <v>29</v>
      </c>
      <c r="C110" s="17"/>
      <c r="D110" s="17" t="s">
        <v>111</v>
      </c>
      <c r="E110" s="17"/>
      <c r="F110" s="17"/>
      <c r="G110" s="1" t="s">
        <v>112</v>
      </c>
      <c r="H110" s="26">
        <v>46023</v>
      </c>
      <c r="I110" s="26"/>
      <c r="J110" s="26"/>
      <c r="K110" s="26"/>
      <c r="L110" s="20">
        <v>-47</v>
      </c>
      <c r="M110" s="20"/>
      <c r="N110" s="20"/>
    </row>
    <row r="111" spans="2:14" ht="0.75" customHeight="1"/>
    <row r="112" spans="2:14" ht="12.75" customHeight="1">
      <c r="B112" s="17" t="s">
        <v>29</v>
      </c>
      <c r="C112" s="17"/>
      <c r="D112" s="17" t="s">
        <v>113</v>
      </c>
      <c r="E112" s="17"/>
      <c r="F112" s="17"/>
      <c r="G112" s="1" t="s">
        <v>114</v>
      </c>
      <c r="H112" s="26">
        <v>46023</v>
      </c>
      <c r="I112" s="26"/>
      <c r="J112" s="26"/>
      <c r="K112" s="26"/>
      <c r="L112" s="20">
        <v>347</v>
      </c>
      <c r="M112" s="20"/>
      <c r="N112" s="20"/>
    </row>
    <row r="113" spans="2:14" ht="0.75" customHeight="1"/>
    <row r="114" spans="2:14" ht="12.75" customHeight="1">
      <c r="B114" s="17" t="s">
        <v>29</v>
      </c>
      <c r="C114" s="17"/>
      <c r="D114" s="17" t="s">
        <v>115</v>
      </c>
      <c r="E114" s="17"/>
      <c r="F114" s="17"/>
      <c r="G114" s="1" t="s">
        <v>116</v>
      </c>
      <c r="H114" s="26">
        <v>46023</v>
      </c>
      <c r="I114" s="26"/>
      <c r="J114" s="26"/>
      <c r="K114" s="26"/>
      <c r="L114" s="20">
        <v>347</v>
      </c>
      <c r="M114" s="20"/>
      <c r="N114" s="20"/>
    </row>
    <row r="115" spans="2:14" ht="0.75" customHeight="1"/>
    <row r="116" spans="2:14" ht="12.75" customHeight="1">
      <c r="B116" s="17" t="s">
        <v>29</v>
      </c>
      <c r="C116" s="17"/>
      <c r="D116" s="17" t="s">
        <v>117</v>
      </c>
      <c r="E116" s="17"/>
      <c r="F116" s="17"/>
      <c r="G116" s="1" t="s">
        <v>118</v>
      </c>
      <c r="H116" s="26">
        <v>46023</v>
      </c>
      <c r="I116" s="26"/>
      <c r="J116" s="26"/>
      <c r="K116" s="26"/>
      <c r="L116" s="20">
        <v>0</v>
      </c>
      <c r="M116" s="20"/>
      <c r="N116" s="20"/>
    </row>
    <row r="117" spans="2:14" ht="0.75" customHeight="1"/>
    <row r="118" spans="2:14" ht="12.75" customHeight="1">
      <c r="B118" s="17" t="s">
        <v>29</v>
      </c>
      <c r="C118" s="17"/>
      <c r="D118" s="17" t="s">
        <v>119</v>
      </c>
      <c r="E118" s="17"/>
      <c r="F118" s="17"/>
      <c r="G118" s="1" t="s">
        <v>120</v>
      </c>
      <c r="H118" s="26">
        <v>46023</v>
      </c>
      <c r="I118" s="26"/>
      <c r="J118" s="26"/>
      <c r="K118" s="26"/>
      <c r="L118" s="20">
        <v>347</v>
      </c>
      <c r="M118" s="20"/>
      <c r="N118" s="20"/>
    </row>
    <row r="119" spans="2:14" ht="0.75" customHeight="1"/>
    <row r="120" spans="2:14" ht="12.75" customHeight="1">
      <c r="B120" s="17" t="s">
        <v>44</v>
      </c>
      <c r="C120" s="17"/>
      <c r="D120" s="17" t="s">
        <v>121</v>
      </c>
      <c r="E120" s="17"/>
      <c r="F120" s="17"/>
      <c r="G120" s="1" t="s">
        <v>122</v>
      </c>
      <c r="H120" s="26">
        <v>46023</v>
      </c>
      <c r="I120" s="26"/>
      <c r="J120" s="26"/>
      <c r="K120" s="26"/>
      <c r="L120" s="20">
        <v>347</v>
      </c>
      <c r="M120" s="20"/>
      <c r="N120" s="20"/>
    </row>
    <row r="121" spans="2:14" ht="0.75" customHeight="1"/>
    <row r="122" spans="2:14" ht="12.75" customHeight="1">
      <c r="B122" s="17" t="s">
        <v>44</v>
      </c>
      <c r="C122" s="17"/>
      <c r="D122" s="17" t="s">
        <v>121</v>
      </c>
      <c r="E122" s="17"/>
      <c r="F122" s="17"/>
      <c r="G122" s="1" t="s">
        <v>122</v>
      </c>
      <c r="H122" s="26">
        <v>46023</v>
      </c>
      <c r="I122" s="26"/>
      <c r="J122" s="26"/>
      <c r="K122" s="26"/>
      <c r="L122" s="20">
        <v>-47</v>
      </c>
      <c r="M122" s="20"/>
      <c r="N122" s="20"/>
    </row>
    <row r="123" spans="2:14" ht="0.75" customHeight="1"/>
    <row r="124" spans="2:14" ht="12.75" customHeight="1">
      <c r="B124" s="17" t="s">
        <v>44</v>
      </c>
      <c r="C124" s="17"/>
      <c r="D124" s="17" t="s">
        <v>123</v>
      </c>
      <c r="E124" s="17"/>
      <c r="F124" s="17"/>
      <c r="G124" s="1" t="s">
        <v>124</v>
      </c>
      <c r="H124" s="26">
        <v>45658</v>
      </c>
      <c r="I124" s="26"/>
      <c r="J124" s="26"/>
      <c r="K124" s="26"/>
      <c r="L124" s="20">
        <v>28.92</v>
      </c>
      <c r="M124" s="20"/>
      <c r="N124" s="20"/>
    </row>
    <row r="125" spans="2:14" ht="0.75" customHeight="1"/>
    <row r="126" spans="2:14" ht="12.75" customHeight="1">
      <c r="B126" s="17" t="s">
        <v>44</v>
      </c>
      <c r="C126" s="17"/>
      <c r="D126" s="17" t="s">
        <v>125</v>
      </c>
      <c r="E126" s="17"/>
      <c r="F126" s="17"/>
      <c r="G126" s="1" t="s">
        <v>126</v>
      </c>
      <c r="H126" s="26">
        <v>46023</v>
      </c>
      <c r="I126" s="26"/>
      <c r="J126" s="26"/>
      <c r="K126" s="26"/>
      <c r="L126" s="20">
        <v>347</v>
      </c>
      <c r="M126" s="20"/>
      <c r="N126" s="20"/>
    </row>
    <row r="127" spans="2:14" ht="0.75" customHeight="1"/>
    <row r="128" spans="2:14" ht="12.75" customHeight="1">
      <c r="B128" s="17" t="s">
        <v>44</v>
      </c>
      <c r="C128" s="17"/>
      <c r="D128" s="17" t="s">
        <v>125</v>
      </c>
      <c r="E128" s="17"/>
      <c r="F128" s="17"/>
      <c r="G128" s="1" t="s">
        <v>126</v>
      </c>
      <c r="H128" s="26">
        <v>46023</v>
      </c>
      <c r="I128" s="26"/>
      <c r="J128" s="26"/>
      <c r="K128" s="26"/>
      <c r="L128" s="20">
        <v>-47</v>
      </c>
      <c r="M128" s="20"/>
      <c r="N128" s="20"/>
    </row>
    <row r="129" spans="2:22" ht="0.75" customHeight="1"/>
    <row r="130" spans="2:22" ht="12.75" customHeight="1">
      <c r="B130" s="17" t="s">
        <v>44</v>
      </c>
      <c r="C130" s="17"/>
      <c r="D130" s="17" t="s">
        <v>127</v>
      </c>
      <c r="E130" s="17"/>
      <c r="F130" s="17"/>
      <c r="G130" s="1" t="s">
        <v>128</v>
      </c>
      <c r="H130" s="26">
        <v>46023</v>
      </c>
      <c r="I130" s="26"/>
      <c r="J130" s="26"/>
      <c r="K130" s="26"/>
      <c r="L130" s="20">
        <v>347</v>
      </c>
      <c r="M130" s="20"/>
      <c r="N130" s="20"/>
    </row>
    <row r="131" spans="2:22" ht="0.75" customHeight="1"/>
    <row r="132" spans="2:22" ht="12.75" customHeight="1">
      <c r="B132" s="17" t="s">
        <v>44</v>
      </c>
      <c r="C132" s="17"/>
      <c r="D132" s="17" t="s">
        <v>129</v>
      </c>
      <c r="E132" s="17"/>
      <c r="F132" s="17"/>
      <c r="G132" s="1" t="s">
        <v>130</v>
      </c>
      <c r="H132" s="26">
        <v>45627</v>
      </c>
      <c r="I132" s="26"/>
      <c r="J132" s="26"/>
      <c r="K132" s="26"/>
      <c r="L132" s="20">
        <v>28.92</v>
      </c>
      <c r="M132" s="20"/>
      <c r="N132" s="20"/>
    </row>
    <row r="133" spans="2:22" ht="0.75" customHeight="1"/>
    <row r="134" spans="2:22" ht="12.75" customHeight="1">
      <c r="B134" s="17" t="s">
        <v>44</v>
      </c>
      <c r="C134" s="17"/>
      <c r="D134" s="17" t="s">
        <v>131</v>
      </c>
      <c r="E134" s="17"/>
      <c r="F134" s="17"/>
      <c r="G134" s="1" t="s">
        <v>132</v>
      </c>
      <c r="H134" s="26">
        <v>46023</v>
      </c>
      <c r="I134" s="26"/>
      <c r="J134" s="26"/>
      <c r="K134" s="26"/>
      <c r="L134" s="20">
        <v>347</v>
      </c>
      <c r="M134" s="20"/>
      <c r="N134" s="20"/>
    </row>
    <row r="135" spans="2:22" ht="40.5" customHeight="1">
      <c r="Q135" s="41"/>
    </row>
    <row r="136" spans="2:22" ht="27" customHeight="1">
      <c r="J136" s="4" t="s">
        <v>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2:22" ht="33.75" customHeight="1"/>
    <row r="138" spans="2:22" ht="24.75" customHeight="1">
      <c r="B138" s="5" t="s">
        <v>67</v>
      </c>
      <c r="C138" s="5"/>
      <c r="D138" s="5"/>
      <c r="E138" s="5"/>
      <c r="F138" s="5"/>
      <c r="G138" s="5"/>
      <c r="H138" s="5"/>
      <c r="I138" s="5"/>
      <c r="J138" s="6" t="s">
        <v>2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2:22" ht="14.25" customHeight="1"/>
    <row r="140" spans="2:22" ht="13.5" customHeight="1">
      <c r="B140" s="12" t="s">
        <v>68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2:22" ht="18.75" customHeight="1">
      <c r="B141" s="13" t="s">
        <v>9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 spans="2:22" ht="2.25" customHeight="1"/>
    <row r="143" spans="2:22" ht="13.5" customHeight="1">
      <c r="B143" s="14" t="s">
        <v>10</v>
      </c>
      <c r="C143" s="14"/>
      <c r="D143" s="14" t="s">
        <v>69</v>
      </c>
      <c r="E143" s="14"/>
      <c r="F143" s="14"/>
      <c r="G143" s="14" t="s">
        <v>70</v>
      </c>
      <c r="H143" s="14" t="s">
        <v>71</v>
      </c>
      <c r="I143" s="14"/>
      <c r="J143" s="14"/>
      <c r="K143" s="14"/>
      <c r="L143" s="15" t="s">
        <v>72</v>
      </c>
      <c r="M143" s="15"/>
      <c r="N143" s="15"/>
    </row>
    <row r="144" spans="2:22" ht="13.5" customHeight="1"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5"/>
      <c r="M144" s="15"/>
      <c r="N144" s="15"/>
    </row>
    <row r="145" spans="2:14" ht="0.75" customHeight="1"/>
    <row r="146" spans="2:14" ht="12.75" customHeight="1">
      <c r="B146" s="17" t="s">
        <v>44</v>
      </c>
      <c r="C146" s="17"/>
      <c r="D146" s="17" t="s">
        <v>133</v>
      </c>
      <c r="E146" s="17"/>
      <c r="F146" s="17"/>
      <c r="G146" s="1" t="s">
        <v>134</v>
      </c>
      <c r="H146" s="26">
        <v>45658</v>
      </c>
      <c r="I146" s="26"/>
      <c r="J146" s="26"/>
      <c r="K146" s="26"/>
      <c r="L146" s="20">
        <v>28.92</v>
      </c>
      <c r="M146" s="20"/>
      <c r="N146" s="20"/>
    </row>
    <row r="147" spans="2:14" ht="0.75" customHeight="1"/>
    <row r="148" spans="2:14" ht="12.75" customHeight="1">
      <c r="B148" s="17" t="s">
        <v>44</v>
      </c>
      <c r="C148" s="17"/>
      <c r="D148" s="17" t="s">
        <v>135</v>
      </c>
      <c r="E148" s="17"/>
      <c r="F148" s="17"/>
      <c r="G148" s="1" t="s">
        <v>136</v>
      </c>
      <c r="H148" s="26">
        <v>45658</v>
      </c>
      <c r="I148" s="26"/>
      <c r="J148" s="26"/>
      <c r="K148" s="26"/>
      <c r="L148" s="20">
        <v>28.92</v>
      </c>
      <c r="M148" s="20"/>
      <c r="N148" s="20"/>
    </row>
    <row r="149" spans="2:14" ht="0.75" customHeight="1"/>
    <row r="150" spans="2:14" ht="12.75" customHeight="1">
      <c r="B150" s="17" t="s">
        <v>44</v>
      </c>
      <c r="C150" s="17"/>
      <c r="D150" s="17" t="s">
        <v>137</v>
      </c>
      <c r="E150" s="17"/>
      <c r="F150" s="17"/>
      <c r="G150" s="1" t="s">
        <v>138</v>
      </c>
      <c r="H150" s="26">
        <v>45658</v>
      </c>
      <c r="I150" s="26"/>
      <c r="J150" s="26"/>
      <c r="K150" s="26"/>
      <c r="L150" s="20">
        <v>28.92</v>
      </c>
      <c r="M150" s="20"/>
      <c r="N150" s="20"/>
    </row>
    <row r="151" spans="2:14" ht="0.75" customHeight="1"/>
    <row r="152" spans="2:14" ht="12.75" customHeight="1">
      <c r="B152" s="17" t="s">
        <v>44</v>
      </c>
      <c r="C152" s="17"/>
      <c r="D152" s="17" t="s">
        <v>139</v>
      </c>
      <c r="E152" s="17"/>
      <c r="F152" s="17"/>
      <c r="G152" s="1" t="s">
        <v>140</v>
      </c>
      <c r="H152" s="26">
        <v>45658</v>
      </c>
      <c r="I152" s="26"/>
      <c r="J152" s="26"/>
      <c r="K152" s="26"/>
      <c r="L152" s="20">
        <v>28.92</v>
      </c>
      <c r="M152" s="20"/>
      <c r="N152" s="20"/>
    </row>
    <row r="153" spans="2:14" ht="0.75" customHeight="1"/>
    <row r="154" spans="2:14" ht="12.75" customHeight="1">
      <c r="B154" s="17" t="s">
        <v>44</v>
      </c>
      <c r="C154" s="17"/>
      <c r="D154" s="17" t="s">
        <v>141</v>
      </c>
      <c r="E154" s="17"/>
      <c r="F154" s="17"/>
      <c r="G154" s="1" t="s">
        <v>142</v>
      </c>
      <c r="H154" s="26">
        <v>46023</v>
      </c>
      <c r="I154" s="26"/>
      <c r="J154" s="26"/>
      <c r="K154" s="26"/>
      <c r="L154" s="20">
        <v>347</v>
      </c>
      <c r="M154" s="20"/>
      <c r="N154" s="20"/>
    </row>
    <row r="155" spans="2:14" ht="0.75" customHeight="1"/>
    <row r="156" spans="2:14" ht="12.75" customHeight="1">
      <c r="B156" s="17" t="s">
        <v>44</v>
      </c>
      <c r="C156" s="17"/>
      <c r="D156" s="17" t="s">
        <v>143</v>
      </c>
      <c r="E156" s="17"/>
      <c r="F156" s="17"/>
      <c r="G156" s="1" t="s">
        <v>144</v>
      </c>
      <c r="H156" s="26">
        <v>46023</v>
      </c>
      <c r="I156" s="26"/>
      <c r="J156" s="26"/>
      <c r="K156" s="26"/>
      <c r="L156" s="20">
        <v>-47</v>
      </c>
      <c r="M156" s="20"/>
      <c r="N156" s="20"/>
    </row>
    <row r="157" spans="2:14" ht="0.75" customHeight="1"/>
    <row r="158" spans="2:14" ht="12.75" customHeight="1">
      <c r="B158" s="17" t="s">
        <v>44</v>
      </c>
      <c r="C158" s="17"/>
      <c r="D158" s="17" t="s">
        <v>143</v>
      </c>
      <c r="E158" s="17"/>
      <c r="F158" s="17"/>
      <c r="G158" s="1" t="s">
        <v>144</v>
      </c>
      <c r="H158" s="26">
        <v>46023</v>
      </c>
      <c r="I158" s="26"/>
      <c r="J158" s="26"/>
      <c r="K158" s="26"/>
      <c r="L158" s="20">
        <v>347</v>
      </c>
      <c r="M158" s="20"/>
      <c r="N158" s="20"/>
    </row>
    <row r="159" spans="2:14" ht="0.75" customHeight="1"/>
    <row r="160" spans="2:14" ht="12.75" customHeight="1">
      <c r="B160" s="17" t="s">
        <v>44</v>
      </c>
      <c r="C160" s="17"/>
      <c r="D160" s="17" t="s">
        <v>145</v>
      </c>
      <c r="E160" s="17"/>
      <c r="F160" s="17"/>
      <c r="G160" s="1" t="s">
        <v>146</v>
      </c>
      <c r="H160" s="26">
        <v>45627</v>
      </c>
      <c r="I160" s="26"/>
      <c r="J160" s="26"/>
      <c r="K160" s="26"/>
      <c r="L160" s="20">
        <v>28.92</v>
      </c>
      <c r="M160" s="20"/>
      <c r="N160" s="20"/>
    </row>
    <row r="161" spans="2:14" ht="0.75" customHeight="1"/>
    <row r="162" spans="2:14" ht="12.75" customHeight="1">
      <c r="B162" s="17" t="s">
        <v>44</v>
      </c>
      <c r="C162" s="17"/>
      <c r="D162" s="17" t="s">
        <v>147</v>
      </c>
      <c r="E162" s="17"/>
      <c r="F162" s="17"/>
      <c r="G162" s="1" t="s">
        <v>148</v>
      </c>
      <c r="H162" s="26">
        <v>45658</v>
      </c>
      <c r="I162" s="26"/>
      <c r="J162" s="26"/>
      <c r="K162" s="26"/>
      <c r="L162" s="20">
        <v>28.92</v>
      </c>
      <c r="M162" s="20"/>
      <c r="N162" s="20"/>
    </row>
    <row r="163" spans="2:14" ht="0.75" customHeight="1"/>
    <row r="164" spans="2:14" ht="12.75" customHeight="1">
      <c r="B164" s="17" t="s">
        <v>44</v>
      </c>
      <c r="C164" s="17"/>
      <c r="D164" s="17" t="s">
        <v>149</v>
      </c>
      <c r="E164" s="17"/>
      <c r="F164" s="17"/>
      <c r="G164" s="1" t="s">
        <v>150</v>
      </c>
      <c r="H164" s="26">
        <v>46023</v>
      </c>
      <c r="I164" s="26"/>
      <c r="J164" s="26"/>
      <c r="K164" s="26"/>
      <c r="L164" s="20">
        <v>347</v>
      </c>
      <c r="M164" s="20"/>
      <c r="N164" s="20"/>
    </row>
    <row r="165" spans="2:14" ht="0.75" customHeight="1"/>
    <row r="166" spans="2:14" ht="12.75" customHeight="1">
      <c r="B166" s="17" t="s">
        <v>44</v>
      </c>
      <c r="C166" s="17"/>
      <c r="D166" s="17" t="s">
        <v>151</v>
      </c>
      <c r="E166" s="17"/>
      <c r="F166" s="17"/>
      <c r="G166" s="1" t="s">
        <v>152</v>
      </c>
      <c r="H166" s="26">
        <v>46023</v>
      </c>
      <c r="I166" s="26"/>
      <c r="J166" s="26"/>
      <c r="K166" s="26"/>
      <c r="L166" s="20">
        <v>347</v>
      </c>
      <c r="M166" s="20"/>
      <c r="N166" s="20"/>
    </row>
    <row r="167" spans="2:14" ht="0.75" customHeight="1"/>
    <row r="168" spans="2:14" ht="12.75" customHeight="1">
      <c r="B168" s="17" t="s">
        <v>44</v>
      </c>
      <c r="C168" s="17"/>
      <c r="D168" s="17" t="s">
        <v>153</v>
      </c>
      <c r="E168" s="17"/>
      <c r="F168" s="17"/>
      <c r="G168" s="1" t="s">
        <v>154</v>
      </c>
      <c r="H168" s="26">
        <v>45597</v>
      </c>
      <c r="I168" s="26"/>
      <c r="J168" s="26"/>
      <c r="K168" s="26"/>
      <c r="L168" s="20">
        <v>28.92</v>
      </c>
      <c r="M168" s="20"/>
      <c r="N168" s="20"/>
    </row>
    <row r="169" spans="2:14" ht="0.75" customHeight="1"/>
    <row r="170" spans="2:14" ht="12.75" customHeight="1">
      <c r="B170" s="17" t="s">
        <v>44</v>
      </c>
      <c r="C170" s="17"/>
      <c r="D170" s="17" t="s">
        <v>155</v>
      </c>
      <c r="E170" s="17"/>
      <c r="F170" s="17"/>
      <c r="G170" s="1" t="s">
        <v>156</v>
      </c>
      <c r="H170" s="26">
        <v>45839</v>
      </c>
      <c r="I170" s="26"/>
      <c r="J170" s="26"/>
      <c r="K170" s="26"/>
      <c r="L170" s="20">
        <v>28.92</v>
      </c>
      <c r="M170" s="20"/>
      <c r="N170" s="20"/>
    </row>
    <row r="171" spans="2:14" ht="0.75" customHeight="1"/>
    <row r="172" spans="2:14" ht="12.75" customHeight="1">
      <c r="B172" s="17" t="s">
        <v>44</v>
      </c>
      <c r="C172" s="17"/>
      <c r="D172" s="17" t="s">
        <v>157</v>
      </c>
      <c r="E172" s="17"/>
      <c r="F172" s="17"/>
      <c r="G172" s="1" t="s">
        <v>158</v>
      </c>
      <c r="H172" s="26">
        <v>45658</v>
      </c>
      <c r="I172" s="26"/>
      <c r="J172" s="26"/>
      <c r="K172" s="26"/>
      <c r="L172" s="20">
        <v>28.92</v>
      </c>
      <c r="M172" s="20"/>
      <c r="N172" s="20"/>
    </row>
    <row r="173" spans="2:14" ht="0.75" customHeight="1"/>
    <row r="174" spans="2:14" ht="12.75" customHeight="1">
      <c r="B174" s="17" t="s">
        <v>44</v>
      </c>
      <c r="C174" s="17"/>
      <c r="D174" s="17" t="s">
        <v>159</v>
      </c>
      <c r="E174" s="17"/>
      <c r="F174" s="17"/>
      <c r="G174" s="1" t="s">
        <v>160</v>
      </c>
      <c r="H174" s="26">
        <v>46023</v>
      </c>
      <c r="I174" s="26"/>
      <c r="J174" s="26"/>
      <c r="K174" s="26"/>
      <c r="L174" s="20">
        <v>347</v>
      </c>
      <c r="M174" s="20"/>
      <c r="N174" s="20"/>
    </row>
    <row r="175" spans="2:14" ht="0.75" customHeight="1"/>
    <row r="176" spans="2:14" ht="12.75" customHeight="1">
      <c r="B176" s="17" t="s">
        <v>44</v>
      </c>
      <c r="C176" s="17"/>
      <c r="D176" s="17" t="s">
        <v>161</v>
      </c>
      <c r="E176" s="17"/>
      <c r="F176" s="17"/>
      <c r="G176" s="1" t="s">
        <v>162</v>
      </c>
      <c r="H176" s="26">
        <v>43101</v>
      </c>
      <c r="I176" s="26"/>
      <c r="J176" s="26"/>
      <c r="K176" s="26"/>
      <c r="L176" s="20">
        <v>28.92</v>
      </c>
      <c r="M176" s="20"/>
      <c r="N176" s="20"/>
    </row>
    <row r="177" spans="2:14" ht="0.75" customHeight="1"/>
    <row r="178" spans="2:14" ht="12.75" customHeight="1">
      <c r="B178" s="17" t="s">
        <v>44</v>
      </c>
      <c r="C178" s="17"/>
      <c r="D178" s="17" t="s">
        <v>163</v>
      </c>
      <c r="E178" s="17"/>
      <c r="F178" s="17"/>
      <c r="G178" s="1" t="s">
        <v>164</v>
      </c>
      <c r="H178" s="26">
        <v>46023</v>
      </c>
      <c r="I178" s="26"/>
      <c r="J178" s="26"/>
      <c r="K178" s="26"/>
      <c r="L178" s="20">
        <v>347</v>
      </c>
      <c r="M178" s="20"/>
      <c r="N178" s="20"/>
    </row>
    <row r="179" spans="2:14" ht="0.75" customHeight="1"/>
    <row r="180" spans="2:14" ht="12.75" customHeight="1">
      <c r="B180" s="17" t="s">
        <v>44</v>
      </c>
      <c r="C180" s="17"/>
      <c r="D180" s="17" t="s">
        <v>165</v>
      </c>
      <c r="E180" s="17"/>
      <c r="F180" s="17"/>
      <c r="G180" s="1" t="s">
        <v>166</v>
      </c>
      <c r="H180" s="26">
        <v>45658</v>
      </c>
      <c r="I180" s="26"/>
      <c r="J180" s="26"/>
      <c r="K180" s="26"/>
      <c r="L180" s="20">
        <v>28.92</v>
      </c>
      <c r="M180" s="20"/>
      <c r="N180" s="20"/>
    </row>
    <row r="181" spans="2:14" ht="0.75" customHeight="1"/>
    <row r="182" spans="2:14" ht="12.75" customHeight="1">
      <c r="B182" s="17" t="s">
        <v>44</v>
      </c>
      <c r="C182" s="17"/>
      <c r="D182" s="17" t="s">
        <v>167</v>
      </c>
      <c r="E182" s="17"/>
      <c r="F182" s="17"/>
      <c r="G182" s="1" t="s">
        <v>168</v>
      </c>
      <c r="H182" s="26">
        <v>46023</v>
      </c>
      <c r="I182" s="26"/>
      <c r="J182" s="26"/>
      <c r="K182" s="26"/>
      <c r="L182" s="20">
        <v>-47</v>
      </c>
      <c r="M182" s="20"/>
      <c r="N182" s="20"/>
    </row>
    <row r="183" spans="2:14" ht="0.75" customHeight="1"/>
    <row r="184" spans="2:14" ht="12.75" customHeight="1">
      <c r="B184" s="17" t="s">
        <v>44</v>
      </c>
      <c r="C184" s="17"/>
      <c r="D184" s="17" t="s">
        <v>167</v>
      </c>
      <c r="E184" s="17"/>
      <c r="F184" s="17"/>
      <c r="G184" s="1" t="s">
        <v>168</v>
      </c>
      <c r="H184" s="26">
        <v>46023</v>
      </c>
      <c r="I184" s="26"/>
      <c r="J184" s="26"/>
      <c r="K184" s="26"/>
      <c r="L184" s="20">
        <v>347</v>
      </c>
      <c r="M184" s="20"/>
      <c r="N184" s="20"/>
    </row>
    <row r="185" spans="2:14" ht="0.75" customHeight="1"/>
    <row r="186" spans="2:14" ht="12.75" customHeight="1">
      <c r="B186" s="17" t="s">
        <v>44</v>
      </c>
      <c r="C186" s="17"/>
      <c r="D186" s="17" t="s">
        <v>169</v>
      </c>
      <c r="E186" s="17"/>
      <c r="F186" s="17"/>
      <c r="G186" s="1" t="s">
        <v>170</v>
      </c>
      <c r="H186" s="26">
        <v>45597</v>
      </c>
      <c r="I186" s="26"/>
      <c r="J186" s="26"/>
      <c r="K186" s="26"/>
      <c r="L186" s="20">
        <v>28.92</v>
      </c>
      <c r="M186" s="20"/>
      <c r="N186" s="20"/>
    </row>
    <row r="187" spans="2:14" ht="0.75" customHeight="1"/>
    <row r="188" spans="2:14" ht="12.75" customHeight="1">
      <c r="B188" s="17" t="s">
        <v>44</v>
      </c>
      <c r="C188" s="17"/>
      <c r="D188" s="17" t="s">
        <v>171</v>
      </c>
      <c r="E188" s="17"/>
      <c r="F188" s="17"/>
      <c r="G188" s="1" t="s">
        <v>172</v>
      </c>
      <c r="H188" s="26">
        <v>45658</v>
      </c>
      <c r="I188" s="26"/>
      <c r="J188" s="26"/>
      <c r="K188" s="26"/>
      <c r="L188" s="20">
        <v>28.92</v>
      </c>
      <c r="M188" s="20"/>
      <c r="N188" s="20"/>
    </row>
    <row r="189" spans="2:14" ht="0.75" customHeight="1"/>
    <row r="190" spans="2:14" ht="12.75" customHeight="1">
      <c r="B190" s="17" t="s">
        <v>44</v>
      </c>
      <c r="C190" s="17"/>
      <c r="D190" s="17" t="s">
        <v>173</v>
      </c>
      <c r="E190" s="17"/>
      <c r="F190" s="17"/>
      <c r="G190" s="1" t="s">
        <v>174</v>
      </c>
      <c r="H190" s="26">
        <v>45627</v>
      </c>
      <c r="I190" s="26"/>
      <c r="J190" s="26"/>
      <c r="K190" s="26"/>
      <c r="L190" s="20">
        <v>28.92</v>
      </c>
      <c r="M190" s="20"/>
      <c r="N190" s="20"/>
    </row>
    <row r="191" spans="2:14" ht="0.75" customHeight="1"/>
    <row r="192" spans="2:14" ht="12.75" customHeight="1">
      <c r="B192" s="17" t="s">
        <v>44</v>
      </c>
      <c r="C192" s="17"/>
      <c r="D192" s="17" t="s">
        <v>175</v>
      </c>
      <c r="E192" s="17"/>
      <c r="F192" s="17"/>
      <c r="G192" s="1" t="s">
        <v>176</v>
      </c>
      <c r="H192" s="26">
        <v>45658</v>
      </c>
      <c r="I192" s="26"/>
      <c r="J192" s="26"/>
      <c r="K192" s="26"/>
      <c r="L192" s="20">
        <v>28.92</v>
      </c>
      <c r="M192" s="20"/>
      <c r="N192" s="20"/>
    </row>
    <row r="193" spans="2:22" ht="0.75" customHeight="1"/>
    <row r="194" spans="2:22" ht="12.75" customHeight="1">
      <c r="B194" s="17" t="s">
        <v>44</v>
      </c>
      <c r="C194" s="17"/>
      <c r="D194" s="17" t="s">
        <v>177</v>
      </c>
      <c r="E194" s="17"/>
      <c r="F194" s="17"/>
      <c r="G194" s="1" t="s">
        <v>178</v>
      </c>
      <c r="H194" s="26">
        <v>45505</v>
      </c>
      <c r="I194" s="26"/>
      <c r="J194" s="26"/>
      <c r="K194" s="26"/>
      <c r="L194" s="20">
        <v>28.92</v>
      </c>
      <c r="M194" s="20"/>
      <c r="N194" s="20"/>
    </row>
    <row r="195" spans="2:22" ht="0.75" customHeight="1"/>
    <row r="196" spans="2:22" ht="12.75" customHeight="1">
      <c r="B196" s="17" t="s">
        <v>44</v>
      </c>
      <c r="C196" s="17"/>
      <c r="D196" s="17" t="s">
        <v>179</v>
      </c>
      <c r="E196" s="17"/>
      <c r="F196" s="17"/>
      <c r="G196" s="1" t="s">
        <v>180</v>
      </c>
      <c r="H196" s="26">
        <v>46023</v>
      </c>
      <c r="I196" s="26"/>
      <c r="J196" s="26"/>
      <c r="K196" s="26"/>
      <c r="L196" s="20">
        <v>347</v>
      </c>
      <c r="M196" s="20"/>
      <c r="N196" s="20"/>
    </row>
    <row r="197" spans="2:22" ht="0.75" customHeight="1"/>
    <row r="198" spans="2:22" ht="12.75" customHeight="1">
      <c r="B198" s="17" t="s">
        <v>44</v>
      </c>
      <c r="C198" s="17"/>
      <c r="D198" s="17" t="s">
        <v>179</v>
      </c>
      <c r="E198" s="17"/>
      <c r="F198" s="17"/>
      <c r="G198" s="1" t="s">
        <v>180</v>
      </c>
      <c r="H198" s="26">
        <v>46023</v>
      </c>
      <c r="I198" s="26"/>
      <c r="J198" s="26"/>
      <c r="K198" s="26"/>
      <c r="L198" s="20">
        <v>-47</v>
      </c>
      <c r="M198" s="20"/>
      <c r="N198" s="20"/>
    </row>
    <row r="199" spans="2:22" ht="0.75" customHeight="1"/>
    <row r="200" spans="2:22" ht="12.75" customHeight="1">
      <c r="B200" s="17" t="s">
        <v>44</v>
      </c>
      <c r="C200" s="17"/>
      <c r="D200" s="17" t="s">
        <v>181</v>
      </c>
      <c r="E200" s="17"/>
      <c r="F200" s="17"/>
      <c r="G200" s="1" t="s">
        <v>182</v>
      </c>
      <c r="H200" s="26">
        <v>46023</v>
      </c>
      <c r="I200" s="26"/>
      <c r="J200" s="26"/>
      <c r="K200" s="26"/>
      <c r="L200" s="20">
        <v>347</v>
      </c>
      <c r="M200" s="20"/>
      <c r="N200" s="20"/>
    </row>
    <row r="201" spans="2:22" ht="0.75" customHeight="1"/>
    <row r="202" spans="2:22" ht="12.75" customHeight="1">
      <c r="B202" s="17" t="s">
        <v>44</v>
      </c>
      <c r="C202" s="17"/>
      <c r="D202" s="17" t="s">
        <v>183</v>
      </c>
      <c r="E202" s="17"/>
      <c r="F202" s="17"/>
      <c r="G202" s="1" t="s">
        <v>184</v>
      </c>
      <c r="H202" s="26">
        <v>45658</v>
      </c>
      <c r="I202" s="26"/>
      <c r="J202" s="26"/>
      <c r="K202" s="26"/>
      <c r="L202" s="20">
        <v>28.92</v>
      </c>
      <c r="M202" s="20"/>
      <c r="N202" s="20"/>
    </row>
    <row r="203" spans="2:22" ht="0.75" customHeight="1"/>
    <row r="204" spans="2:22" ht="12.75" customHeight="1">
      <c r="B204" s="17" t="s">
        <v>44</v>
      </c>
      <c r="C204" s="17"/>
      <c r="D204" s="17" t="s">
        <v>185</v>
      </c>
      <c r="E204" s="17"/>
      <c r="F204" s="17"/>
      <c r="G204" s="1" t="s">
        <v>186</v>
      </c>
      <c r="H204" s="26">
        <v>46023</v>
      </c>
      <c r="I204" s="26"/>
      <c r="J204" s="26"/>
      <c r="K204" s="26"/>
      <c r="L204" s="20">
        <v>347</v>
      </c>
      <c r="M204" s="20"/>
      <c r="N204" s="20"/>
    </row>
    <row r="205" spans="2:22" ht="12" customHeight="1"/>
    <row r="206" spans="2:22" ht="13.5" customHeight="1">
      <c r="B206" s="22" t="s">
        <v>187</v>
      </c>
      <c r="C206" s="22"/>
      <c r="D206" s="22"/>
      <c r="E206" s="22"/>
      <c r="F206" s="22"/>
      <c r="L206" s="21">
        <v>11346.16</v>
      </c>
      <c r="M206" s="21"/>
      <c r="N206" s="21"/>
      <c r="Q206" s="41"/>
    </row>
    <row r="207" spans="2:22" ht="13.5" customHeight="1">
      <c r="B207" s="12" t="s">
        <v>188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spans="2:22" ht="18.75" customHeight="1">
      <c r="B208" s="13" t="s">
        <v>9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</row>
    <row r="209" spans="2:22" ht="2.25" customHeight="1"/>
    <row r="210" spans="2:22" ht="13.5" customHeight="1">
      <c r="B210" s="14" t="s">
        <v>10</v>
      </c>
      <c r="C210" s="14"/>
      <c r="D210" s="14" t="s">
        <v>11</v>
      </c>
      <c r="E210" s="14"/>
      <c r="F210" s="14"/>
      <c r="G210" s="14" t="s">
        <v>12</v>
      </c>
      <c r="H210" s="14" t="s">
        <v>189</v>
      </c>
      <c r="I210" s="14"/>
      <c r="J210" s="14"/>
      <c r="K210" s="14"/>
      <c r="L210" s="14" t="s">
        <v>14</v>
      </c>
      <c r="M210" s="14"/>
      <c r="N210" s="15" t="s">
        <v>190</v>
      </c>
      <c r="O210" s="15"/>
      <c r="Q210" s="15" t="s">
        <v>18</v>
      </c>
      <c r="R210" s="15"/>
    </row>
    <row r="211" spans="2:22" ht="13.5" customHeight="1"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5"/>
      <c r="O211" s="15"/>
      <c r="Q211" s="15"/>
      <c r="R211" s="15"/>
    </row>
    <row r="212" spans="2:22" ht="13.5" customHeight="1">
      <c r="B212" s="17" t="s">
        <v>19</v>
      </c>
      <c r="C212" s="17"/>
      <c r="D212" s="17" t="s">
        <v>191</v>
      </c>
      <c r="E212" s="17"/>
      <c r="F212" s="17"/>
      <c r="G212" s="1" t="s">
        <v>192</v>
      </c>
      <c r="H212" s="27">
        <v>1</v>
      </c>
      <c r="I212" s="27"/>
      <c r="J212" s="27"/>
      <c r="K212" s="27"/>
      <c r="L212" s="18">
        <v>100</v>
      </c>
      <c r="M212" s="18"/>
      <c r="N212" s="20">
        <v>161.15183999999999</v>
      </c>
      <c r="O212" s="20"/>
      <c r="Q212" s="20">
        <v>33.840000000000003</v>
      </c>
      <c r="R212" s="20"/>
    </row>
    <row r="213" spans="2:22" ht="13.5" customHeight="1">
      <c r="B213" s="17" t="s">
        <v>29</v>
      </c>
      <c r="C213" s="17"/>
      <c r="D213" s="17" t="s">
        <v>193</v>
      </c>
      <c r="E213" s="17"/>
      <c r="F213" s="17"/>
      <c r="G213" s="1" t="s">
        <v>194</v>
      </c>
      <c r="H213" s="27">
        <v>1</v>
      </c>
      <c r="I213" s="27"/>
      <c r="J213" s="27"/>
      <c r="K213" s="27"/>
      <c r="L213" s="18">
        <v>100</v>
      </c>
      <c r="M213" s="18"/>
      <c r="N213" s="20">
        <v>236.16672</v>
      </c>
      <c r="O213" s="20"/>
      <c r="Q213" s="20">
        <v>49.6</v>
      </c>
      <c r="R213" s="20"/>
      <c r="U213" s="41"/>
    </row>
    <row r="214" spans="2:22" ht="13.5" customHeight="1">
      <c r="B214" s="22" t="s">
        <v>195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1">
        <v>397.31855999999999</v>
      </c>
      <c r="O214" s="21"/>
      <c r="Q214" s="21">
        <v>83.44</v>
      </c>
      <c r="R214" s="21"/>
    </row>
    <row r="215" spans="2:22" ht="6" customHeight="1"/>
    <row r="216" spans="2:22" ht="20.25" customHeight="1">
      <c r="B216" s="23" t="s">
        <v>64</v>
      </c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4">
        <v>11429.6</v>
      </c>
      <c r="V216" s="24"/>
    </row>
    <row r="217" spans="2:22" ht="8.25" customHeight="1"/>
  </sheetData>
  <mergeCells count="510">
    <mergeCell ref="B214:M214"/>
    <mergeCell ref="N214:O214"/>
    <mergeCell ref="Q214:R214"/>
    <mergeCell ref="B216:T216"/>
    <mergeCell ref="U216:V216"/>
    <mergeCell ref="B212:C212"/>
    <mergeCell ref="D212:F212"/>
    <mergeCell ref="H212:K212"/>
    <mergeCell ref="L212:M212"/>
    <mergeCell ref="N212:O212"/>
    <mergeCell ref="Q212:R212"/>
    <mergeCell ref="B213:C213"/>
    <mergeCell ref="D213:F213"/>
    <mergeCell ref="H213:K213"/>
    <mergeCell ref="L213:M213"/>
    <mergeCell ref="N213:O213"/>
    <mergeCell ref="Q213:R213"/>
    <mergeCell ref="B207:V207"/>
    <mergeCell ref="B208:V208"/>
    <mergeCell ref="B210:C211"/>
    <mergeCell ref="D210:F211"/>
    <mergeCell ref="G210:G211"/>
    <mergeCell ref="H210:K211"/>
    <mergeCell ref="L210:M211"/>
    <mergeCell ref="N210:O211"/>
    <mergeCell ref="Q210:R211"/>
    <mergeCell ref="B202:C202"/>
    <mergeCell ref="D202:F202"/>
    <mergeCell ref="H202:K202"/>
    <mergeCell ref="L202:N202"/>
    <mergeCell ref="B204:C204"/>
    <mergeCell ref="D204:F204"/>
    <mergeCell ref="H204:K204"/>
    <mergeCell ref="L204:N204"/>
    <mergeCell ref="B206:F206"/>
    <mergeCell ref="L206:N206"/>
    <mergeCell ref="B196:C196"/>
    <mergeCell ref="D196:F196"/>
    <mergeCell ref="H196:K196"/>
    <mergeCell ref="L196:N196"/>
    <mergeCell ref="B198:C198"/>
    <mergeCell ref="D198:F198"/>
    <mergeCell ref="H198:K198"/>
    <mergeCell ref="L198:N198"/>
    <mergeCell ref="B200:C200"/>
    <mergeCell ref="D200:F200"/>
    <mergeCell ref="H200:K200"/>
    <mergeCell ref="L200:N200"/>
    <mergeCell ref="B190:C190"/>
    <mergeCell ref="D190:F190"/>
    <mergeCell ref="H190:K190"/>
    <mergeCell ref="L190:N190"/>
    <mergeCell ref="B192:C192"/>
    <mergeCell ref="D192:F192"/>
    <mergeCell ref="H192:K192"/>
    <mergeCell ref="L192:N192"/>
    <mergeCell ref="B194:C194"/>
    <mergeCell ref="D194:F194"/>
    <mergeCell ref="H194:K194"/>
    <mergeCell ref="L194:N194"/>
    <mergeCell ref="B184:C184"/>
    <mergeCell ref="D184:F184"/>
    <mergeCell ref="H184:K184"/>
    <mergeCell ref="L184:N184"/>
    <mergeCell ref="B186:C186"/>
    <mergeCell ref="D186:F186"/>
    <mergeCell ref="H186:K186"/>
    <mergeCell ref="L186:N186"/>
    <mergeCell ref="B188:C188"/>
    <mergeCell ref="D188:F188"/>
    <mergeCell ref="H188:K188"/>
    <mergeCell ref="L188:N188"/>
    <mergeCell ref="B178:C178"/>
    <mergeCell ref="D178:F178"/>
    <mergeCell ref="H178:K178"/>
    <mergeCell ref="L178:N178"/>
    <mergeCell ref="B180:C180"/>
    <mergeCell ref="D180:F180"/>
    <mergeCell ref="H180:K180"/>
    <mergeCell ref="L180:N180"/>
    <mergeCell ref="B182:C182"/>
    <mergeCell ref="D182:F182"/>
    <mergeCell ref="H182:K182"/>
    <mergeCell ref="L182:N182"/>
    <mergeCell ref="B172:C172"/>
    <mergeCell ref="D172:F172"/>
    <mergeCell ref="H172:K172"/>
    <mergeCell ref="L172:N172"/>
    <mergeCell ref="B174:C174"/>
    <mergeCell ref="D174:F174"/>
    <mergeCell ref="H174:K174"/>
    <mergeCell ref="L174:N174"/>
    <mergeCell ref="B176:C176"/>
    <mergeCell ref="D176:F176"/>
    <mergeCell ref="H176:K176"/>
    <mergeCell ref="L176:N176"/>
    <mergeCell ref="B166:C166"/>
    <mergeCell ref="D166:F166"/>
    <mergeCell ref="H166:K166"/>
    <mergeCell ref="L166:N166"/>
    <mergeCell ref="B168:C168"/>
    <mergeCell ref="D168:F168"/>
    <mergeCell ref="H168:K168"/>
    <mergeCell ref="L168:N168"/>
    <mergeCell ref="B170:C170"/>
    <mergeCell ref="D170:F170"/>
    <mergeCell ref="H170:K170"/>
    <mergeCell ref="L170:N170"/>
    <mergeCell ref="B160:C160"/>
    <mergeCell ref="D160:F160"/>
    <mergeCell ref="H160:K160"/>
    <mergeCell ref="L160:N160"/>
    <mergeCell ref="B162:C162"/>
    <mergeCell ref="D162:F162"/>
    <mergeCell ref="H162:K162"/>
    <mergeCell ref="L162:N162"/>
    <mergeCell ref="B164:C164"/>
    <mergeCell ref="D164:F164"/>
    <mergeCell ref="H164:K164"/>
    <mergeCell ref="L164:N164"/>
    <mergeCell ref="B154:C154"/>
    <mergeCell ref="D154:F154"/>
    <mergeCell ref="H154:K154"/>
    <mergeCell ref="L154:N154"/>
    <mergeCell ref="B156:C156"/>
    <mergeCell ref="D156:F156"/>
    <mergeCell ref="H156:K156"/>
    <mergeCell ref="L156:N156"/>
    <mergeCell ref="B158:C158"/>
    <mergeCell ref="D158:F158"/>
    <mergeCell ref="H158:K158"/>
    <mergeCell ref="L158:N158"/>
    <mergeCell ref="B148:C148"/>
    <mergeCell ref="D148:F148"/>
    <mergeCell ref="H148:K148"/>
    <mergeCell ref="L148:N148"/>
    <mergeCell ref="B150:C150"/>
    <mergeCell ref="D150:F150"/>
    <mergeCell ref="H150:K150"/>
    <mergeCell ref="L150:N150"/>
    <mergeCell ref="B152:C152"/>
    <mergeCell ref="D152:F152"/>
    <mergeCell ref="H152:K152"/>
    <mergeCell ref="L152:N152"/>
    <mergeCell ref="B143:C144"/>
    <mergeCell ref="D143:F144"/>
    <mergeCell ref="G143:G144"/>
    <mergeCell ref="H143:K144"/>
    <mergeCell ref="L143:N144"/>
    <mergeCell ref="B146:C146"/>
    <mergeCell ref="D146:F146"/>
    <mergeCell ref="H146:K146"/>
    <mergeCell ref="L146:N146"/>
    <mergeCell ref="B134:C134"/>
    <mergeCell ref="D134:F134"/>
    <mergeCell ref="H134:K134"/>
    <mergeCell ref="L134:N134"/>
    <mergeCell ref="J136:U136"/>
    <mergeCell ref="B138:I138"/>
    <mergeCell ref="J138:U138"/>
    <mergeCell ref="B140:V140"/>
    <mergeCell ref="B141:V141"/>
    <mergeCell ref="B128:C128"/>
    <mergeCell ref="D128:F128"/>
    <mergeCell ref="H128:K128"/>
    <mergeCell ref="L128:N128"/>
    <mergeCell ref="B130:C130"/>
    <mergeCell ref="D130:F130"/>
    <mergeCell ref="H130:K130"/>
    <mergeCell ref="L130:N130"/>
    <mergeCell ref="B132:C132"/>
    <mergeCell ref="D132:F132"/>
    <mergeCell ref="H132:K132"/>
    <mergeCell ref="L132:N132"/>
    <mergeCell ref="B122:C122"/>
    <mergeCell ref="D122:F122"/>
    <mergeCell ref="H122:K122"/>
    <mergeCell ref="L122:N122"/>
    <mergeCell ref="B124:C124"/>
    <mergeCell ref="D124:F124"/>
    <mergeCell ref="H124:K124"/>
    <mergeCell ref="L124:N124"/>
    <mergeCell ref="B126:C126"/>
    <mergeCell ref="D126:F126"/>
    <mergeCell ref="H126:K126"/>
    <mergeCell ref="L126:N126"/>
    <mergeCell ref="B116:C116"/>
    <mergeCell ref="D116:F116"/>
    <mergeCell ref="H116:K116"/>
    <mergeCell ref="L116:N116"/>
    <mergeCell ref="B118:C118"/>
    <mergeCell ref="D118:F118"/>
    <mergeCell ref="H118:K118"/>
    <mergeCell ref="L118:N118"/>
    <mergeCell ref="B120:C120"/>
    <mergeCell ref="D120:F120"/>
    <mergeCell ref="H120:K120"/>
    <mergeCell ref="L120:N120"/>
    <mergeCell ref="B110:C110"/>
    <mergeCell ref="D110:F110"/>
    <mergeCell ref="H110:K110"/>
    <mergeCell ref="L110:N110"/>
    <mergeCell ref="B112:C112"/>
    <mergeCell ref="D112:F112"/>
    <mergeCell ref="H112:K112"/>
    <mergeCell ref="L112:N112"/>
    <mergeCell ref="B114:C114"/>
    <mergeCell ref="D114:F114"/>
    <mergeCell ref="H114:K114"/>
    <mergeCell ref="L114:N114"/>
    <mergeCell ref="B104:C104"/>
    <mergeCell ref="D104:F104"/>
    <mergeCell ref="H104:K104"/>
    <mergeCell ref="L104:N104"/>
    <mergeCell ref="B106:C106"/>
    <mergeCell ref="D106:F106"/>
    <mergeCell ref="H106:K106"/>
    <mergeCell ref="L106:N106"/>
    <mergeCell ref="B108:C108"/>
    <mergeCell ref="D108:F108"/>
    <mergeCell ref="H108:K108"/>
    <mergeCell ref="L108:N108"/>
    <mergeCell ref="B98:C98"/>
    <mergeCell ref="D98:F98"/>
    <mergeCell ref="H98:K98"/>
    <mergeCell ref="L98:N98"/>
    <mergeCell ref="B100:C100"/>
    <mergeCell ref="D100:F100"/>
    <mergeCell ref="H100:K100"/>
    <mergeCell ref="L100:N100"/>
    <mergeCell ref="B102:C102"/>
    <mergeCell ref="D102:F102"/>
    <mergeCell ref="H102:K102"/>
    <mergeCell ref="L102:N102"/>
    <mergeCell ref="B92:C92"/>
    <mergeCell ref="D92:F92"/>
    <mergeCell ref="H92:K92"/>
    <mergeCell ref="L92:N92"/>
    <mergeCell ref="B94:C94"/>
    <mergeCell ref="D94:F94"/>
    <mergeCell ref="H94:K94"/>
    <mergeCell ref="L94:N94"/>
    <mergeCell ref="B96:C96"/>
    <mergeCell ref="D96:F96"/>
    <mergeCell ref="H96:K96"/>
    <mergeCell ref="L96:N96"/>
    <mergeCell ref="B86:C86"/>
    <mergeCell ref="D86:F86"/>
    <mergeCell ref="H86:K86"/>
    <mergeCell ref="L86:N86"/>
    <mergeCell ref="B88:C88"/>
    <mergeCell ref="D88:F88"/>
    <mergeCell ref="H88:K88"/>
    <mergeCell ref="L88:N88"/>
    <mergeCell ref="B90:C90"/>
    <mergeCell ref="D90:F90"/>
    <mergeCell ref="H90:K90"/>
    <mergeCell ref="L90:N90"/>
    <mergeCell ref="B80:C80"/>
    <mergeCell ref="D80:F80"/>
    <mergeCell ref="H80:K80"/>
    <mergeCell ref="L80:N80"/>
    <mergeCell ref="B82:C82"/>
    <mergeCell ref="D82:F82"/>
    <mergeCell ref="H82:K82"/>
    <mergeCell ref="L82:N82"/>
    <mergeCell ref="B84:C84"/>
    <mergeCell ref="D84:F84"/>
    <mergeCell ref="H84:K84"/>
    <mergeCell ref="L84:N84"/>
    <mergeCell ref="B74:C74"/>
    <mergeCell ref="D74:F74"/>
    <mergeCell ref="H74:K74"/>
    <mergeCell ref="L74:N74"/>
    <mergeCell ref="B76:C76"/>
    <mergeCell ref="D76:F76"/>
    <mergeCell ref="H76:K76"/>
    <mergeCell ref="L76:N76"/>
    <mergeCell ref="B78:C78"/>
    <mergeCell ref="D78:F78"/>
    <mergeCell ref="H78:K78"/>
    <mergeCell ref="L78:N78"/>
    <mergeCell ref="B68:C68"/>
    <mergeCell ref="D68:F68"/>
    <mergeCell ref="H68:K68"/>
    <mergeCell ref="L68:N68"/>
    <mergeCell ref="B70:C70"/>
    <mergeCell ref="D70:F70"/>
    <mergeCell ref="H70:K70"/>
    <mergeCell ref="L70:N70"/>
    <mergeCell ref="B72:C72"/>
    <mergeCell ref="D72:F72"/>
    <mergeCell ref="H72:K72"/>
    <mergeCell ref="L72:N72"/>
    <mergeCell ref="B60:V60"/>
    <mergeCell ref="B61:V61"/>
    <mergeCell ref="B63:C64"/>
    <mergeCell ref="D63:F64"/>
    <mergeCell ref="G63:G64"/>
    <mergeCell ref="H63:K64"/>
    <mergeCell ref="L63:N64"/>
    <mergeCell ref="B66:C66"/>
    <mergeCell ref="D66:F66"/>
    <mergeCell ref="H66:K66"/>
    <mergeCell ref="L66:N66"/>
    <mergeCell ref="E53:H53"/>
    <mergeCell ref="E54:H54"/>
    <mergeCell ref="I54:L54"/>
    <mergeCell ref="E55:H55"/>
    <mergeCell ref="I55:L55"/>
    <mergeCell ref="E56:H56"/>
    <mergeCell ref="I56:L56"/>
    <mergeCell ref="E58:H58"/>
    <mergeCell ref="I58:L58"/>
    <mergeCell ref="A41:O41"/>
    <mergeCell ref="Q41:R41"/>
    <mergeCell ref="U41:V41"/>
    <mergeCell ref="B43:T43"/>
    <mergeCell ref="U43:V43"/>
    <mergeCell ref="U47:V47"/>
    <mergeCell ref="J50:U50"/>
    <mergeCell ref="B52:I52"/>
    <mergeCell ref="J52:U52"/>
    <mergeCell ref="B38:C38"/>
    <mergeCell ref="D38:F38"/>
    <mergeCell ref="H38:K38"/>
    <mergeCell ref="L38:M38"/>
    <mergeCell ref="N38:O38"/>
    <mergeCell ref="Q38:R38"/>
    <mergeCell ref="S38:T38"/>
    <mergeCell ref="U38:V38"/>
    <mergeCell ref="Q40:R40"/>
    <mergeCell ref="U40:V40"/>
    <mergeCell ref="B36:C36"/>
    <mergeCell ref="D36:F36"/>
    <mergeCell ref="H36:K36"/>
    <mergeCell ref="L36:M36"/>
    <mergeCell ref="N36:O36"/>
    <mergeCell ref="Q36:R36"/>
    <mergeCell ref="S36:T36"/>
    <mergeCell ref="U36:V36"/>
    <mergeCell ref="B37:C37"/>
    <mergeCell ref="D37:F37"/>
    <mergeCell ref="H37:K37"/>
    <mergeCell ref="L37:M37"/>
    <mergeCell ref="N37:O37"/>
    <mergeCell ref="Q37:R37"/>
    <mergeCell ref="S37:T37"/>
    <mergeCell ref="U37:V37"/>
    <mergeCell ref="Q34:R34"/>
    <mergeCell ref="U34:V34"/>
    <mergeCell ref="B35:C35"/>
    <mergeCell ref="D35:F35"/>
    <mergeCell ref="H35:K35"/>
    <mergeCell ref="L35:M35"/>
    <mergeCell ref="N35:O35"/>
    <mergeCell ref="Q35:R35"/>
    <mergeCell ref="S35:T35"/>
    <mergeCell ref="U35:V35"/>
    <mergeCell ref="B31:C31"/>
    <mergeCell ref="D31:F31"/>
    <mergeCell ref="H31:K31"/>
    <mergeCell ref="L31:M31"/>
    <mergeCell ref="N31:O31"/>
    <mergeCell ref="Q31:R31"/>
    <mergeCell ref="S31:T31"/>
    <mergeCell ref="U31:V31"/>
    <mergeCell ref="B32:C32"/>
    <mergeCell ref="D32:F32"/>
    <mergeCell ref="H32:K32"/>
    <mergeCell ref="L32:M32"/>
    <mergeCell ref="N32:O32"/>
    <mergeCell ref="Q32:R32"/>
    <mergeCell ref="S32:T32"/>
    <mergeCell ref="U32:V32"/>
    <mergeCell ref="B29:C29"/>
    <mergeCell ref="D29:F29"/>
    <mergeCell ref="H29:K29"/>
    <mergeCell ref="L29:M29"/>
    <mergeCell ref="N29:O29"/>
    <mergeCell ref="Q29:R29"/>
    <mergeCell ref="S29:T29"/>
    <mergeCell ref="U29:V29"/>
    <mergeCell ref="B30:C30"/>
    <mergeCell ref="D30:F30"/>
    <mergeCell ref="H30:K30"/>
    <mergeCell ref="L30:M30"/>
    <mergeCell ref="N30:O30"/>
    <mergeCell ref="Q30:R30"/>
    <mergeCell ref="S30:T30"/>
    <mergeCell ref="U30:V30"/>
    <mergeCell ref="B27:C27"/>
    <mergeCell ref="D27:F27"/>
    <mergeCell ref="H27:K27"/>
    <mergeCell ref="L27:M27"/>
    <mergeCell ref="N27:O27"/>
    <mergeCell ref="Q27:R27"/>
    <mergeCell ref="S27:T27"/>
    <mergeCell ref="U27:V27"/>
    <mergeCell ref="B28:C28"/>
    <mergeCell ref="D28:F28"/>
    <mergeCell ref="H28:K28"/>
    <mergeCell ref="L28:M28"/>
    <mergeCell ref="N28:O28"/>
    <mergeCell ref="Q28:R28"/>
    <mergeCell ref="S28:T28"/>
    <mergeCell ref="U28:V28"/>
    <mergeCell ref="B25:C25"/>
    <mergeCell ref="D25:F25"/>
    <mergeCell ref="H25:K25"/>
    <mergeCell ref="L25:M25"/>
    <mergeCell ref="N25:O25"/>
    <mergeCell ref="Q25:R25"/>
    <mergeCell ref="S25:T25"/>
    <mergeCell ref="U25:V25"/>
    <mergeCell ref="B26:C26"/>
    <mergeCell ref="D26:F26"/>
    <mergeCell ref="H26:K26"/>
    <mergeCell ref="L26:M26"/>
    <mergeCell ref="N26:O26"/>
    <mergeCell ref="Q26:R26"/>
    <mergeCell ref="S26:T26"/>
    <mergeCell ref="U26:V26"/>
    <mergeCell ref="B23:C23"/>
    <mergeCell ref="D23:F23"/>
    <mergeCell ref="H23:K23"/>
    <mergeCell ref="L23:M23"/>
    <mergeCell ref="N23:O23"/>
    <mergeCell ref="Q23:R23"/>
    <mergeCell ref="S23:T23"/>
    <mergeCell ref="U23:V23"/>
    <mergeCell ref="B24:C24"/>
    <mergeCell ref="D24:F24"/>
    <mergeCell ref="H24:K24"/>
    <mergeCell ref="L24:M24"/>
    <mergeCell ref="N24:O24"/>
    <mergeCell ref="Q24:R24"/>
    <mergeCell ref="S24:T24"/>
    <mergeCell ref="U24:V24"/>
    <mergeCell ref="B21:C21"/>
    <mergeCell ref="D21:F21"/>
    <mergeCell ref="H21:K21"/>
    <mergeCell ref="L21:M21"/>
    <mergeCell ref="N21:O21"/>
    <mergeCell ref="Q21:R21"/>
    <mergeCell ref="S21:T21"/>
    <mergeCell ref="U21:V21"/>
    <mergeCell ref="B22:C22"/>
    <mergeCell ref="D22:F22"/>
    <mergeCell ref="H22:K22"/>
    <mergeCell ref="L22:M22"/>
    <mergeCell ref="N22:O22"/>
    <mergeCell ref="Q22:R22"/>
    <mergeCell ref="S22:T22"/>
    <mergeCell ref="U22:V22"/>
    <mergeCell ref="B19:C19"/>
    <mergeCell ref="D19:F19"/>
    <mergeCell ref="H19:K19"/>
    <mergeCell ref="L19:M19"/>
    <mergeCell ref="N19:O19"/>
    <mergeCell ref="Q19:R19"/>
    <mergeCell ref="S19:T19"/>
    <mergeCell ref="U19:V19"/>
    <mergeCell ref="B20:C20"/>
    <mergeCell ref="D20:F20"/>
    <mergeCell ref="H20:K20"/>
    <mergeCell ref="L20:M20"/>
    <mergeCell ref="N20:O20"/>
    <mergeCell ref="Q20:R20"/>
    <mergeCell ref="S20:T20"/>
    <mergeCell ref="U20:V20"/>
    <mergeCell ref="B17:C17"/>
    <mergeCell ref="D17:F17"/>
    <mergeCell ref="H17:K17"/>
    <mergeCell ref="L17:M17"/>
    <mergeCell ref="N17:O17"/>
    <mergeCell ref="Q17:R17"/>
    <mergeCell ref="S17:T17"/>
    <mergeCell ref="U17:V17"/>
    <mergeCell ref="B18:C18"/>
    <mergeCell ref="D18:F18"/>
    <mergeCell ref="H18:K18"/>
    <mergeCell ref="L18:M18"/>
    <mergeCell ref="N18:O18"/>
    <mergeCell ref="Q18:R18"/>
    <mergeCell ref="S18:T18"/>
    <mergeCell ref="U18:V18"/>
    <mergeCell ref="E10:H10"/>
    <mergeCell ref="I10:L10"/>
    <mergeCell ref="B12:V12"/>
    <mergeCell ref="B13:V13"/>
    <mergeCell ref="B15:C16"/>
    <mergeCell ref="D15:F16"/>
    <mergeCell ref="G15:G16"/>
    <mergeCell ref="H15:K16"/>
    <mergeCell ref="L15:M16"/>
    <mergeCell ref="N15:O16"/>
    <mergeCell ref="Q15:R16"/>
    <mergeCell ref="S15:T16"/>
    <mergeCell ref="U15:V16"/>
    <mergeCell ref="J2:U2"/>
    <mergeCell ref="B4:I4"/>
    <mergeCell ref="J4:U4"/>
    <mergeCell ref="E5:H5"/>
    <mergeCell ref="E6:H6"/>
    <mergeCell ref="I6:L6"/>
    <mergeCell ref="E7:H7"/>
    <mergeCell ref="I7:L7"/>
    <mergeCell ref="E8:H8"/>
    <mergeCell ref="I8:L8"/>
  </mergeCells>
  <pageMargins left="0.16041666666666701" right="0.15972222222222199" top="0.15972222222222199" bottom="0.16041666666666701" header="0" footer="0"/>
  <pageSetup paperSize="0" scale="0" fitToWidth="0" fitToHeight="0" orientation="landscape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FA5D-BED1-448C-BC56-2AC2FFF87CF8}">
  <dimension ref="A1:Z128"/>
  <sheetViews>
    <sheetView tabSelected="1" topLeftCell="A20" workbookViewId="0">
      <selection activeCell="L2" sqref="L2:L58"/>
    </sheetView>
  </sheetViews>
  <sheetFormatPr defaultColWidth="6.85546875" defaultRowHeight="15" customHeight="1"/>
  <cols>
    <col min="1" max="1" width="16.28515625" bestFit="1" customWidth="1"/>
    <col min="2" max="2" width="16.28515625" customWidth="1"/>
    <col min="3" max="3" width="11.140625" customWidth="1"/>
    <col min="4" max="4" width="13.7109375" customWidth="1"/>
    <col min="5" max="5" width="18" customWidth="1"/>
    <col min="6" max="6" width="12" bestFit="1" customWidth="1"/>
    <col min="7" max="7" width="12" customWidth="1"/>
    <col min="8" max="8" width="12.28515625" bestFit="1" customWidth="1"/>
    <col min="9" max="9" width="11.28515625" bestFit="1" customWidth="1"/>
    <col min="10" max="10" width="9.85546875" customWidth="1"/>
    <col min="11" max="11" width="26.28515625" bestFit="1" customWidth="1"/>
    <col min="12" max="12" width="9" customWidth="1"/>
    <col min="13" max="13" width="20.42578125" customWidth="1"/>
    <col min="14" max="14" width="12.140625" customWidth="1"/>
    <col min="15" max="15" width="9" customWidth="1"/>
    <col min="16" max="16" width="9.28515625" customWidth="1"/>
    <col min="17" max="17" width="2" customWidth="1"/>
  </cols>
  <sheetData>
    <row r="1" spans="1:26" s="28" customFormat="1" ht="15" customHeight="1">
      <c r="A1" s="32" t="s">
        <v>10</v>
      </c>
      <c r="B1" s="32"/>
      <c r="C1" s="32" t="s">
        <v>69</v>
      </c>
      <c r="D1" s="32"/>
      <c r="E1" s="32"/>
      <c r="F1" s="32" t="s">
        <v>70</v>
      </c>
      <c r="G1" s="32"/>
      <c r="H1" s="32" t="s">
        <v>71</v>
      </c>
      <c r="I1" s="33" t="s">
        <v>72</v>
      </c>
      <c r="J1" s="33"/>
      <c r="K1" s="33"/>
    </row>
    <row r="2" spans="1:26" s="40" customFormat="1" ht="15" customHeight="1">
      <c r="A2" s="29" t="s">
        <v>44</v>
      </c>
      <c r="B2" s="29">
        <v>19491313</v>
      </c>
      <c r="C2" s="29" t="s">
        <v>202</v>
      </c>
      <c r="D2" s="29" t="s">
        <v>203</v>
      </c>
      <c r="E2" s="29" t="str">
        <f>CONCATENATE(C2," ",D2)</f>
        <v>ROBERT SMITH</v>
      </c>
      <c r="F2" s="34">
        <v>6138508</v>
      </c>
      <c r="G2" s="34" t="str">
        <f>CONCATENATE(F2,1)</f>
        <v>61385081</v>
      </c>
      <c r="H2" s="31">
        <v>43101</v>
      </c>
      <c r="I2" s="30">
        <v>28.92</v>
      </c>
      <c r="J2" s="30">
        <v>1</v>
      </c>
      <c r="K2" s="30" t="s">
        <v>196</v>
      </c>
      <c r="L2" t="s">
        <v>199</v>
      </c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ht="15" customHeight="1">
      <c r="A3" s="29" t="s">
        <v>44</v>
      </c>
      <c r="B3" s="29">
        <v>19491313</v>
      </c>
      <c r="C3" s="29" t="s">
        <v>204</v>
      </c>
      <c r="D3" s="29" t="s">
        <v>205</v>
      </c>
      <c r="E3" s="29" t="str">
        <f t="shared" ref="E3:E58" si="0">CONCATENATE(C3," ",D3)</f>
        <v>WILLIAM BUTSKO</v>
      </c>
      <c r="F3" s="34">
        <v>6155654</v>
      </c>
      <c r="G3" s="34" t="str">
        <f t="shared" ref="G3:G24" si="1">CONCATENATE(F3,1)</f>
        <v>61556541</v>
      </c>
      <c r="H3" s="31">
        <v>45658</v>
      </c>
      <c r="I3" s="30">
        <v>28.92</v>
      </c>
      <c r="J3" s="30">
        <v>1</v>
      </c>
      <c r="K3" s="30" t="s">
        <v>196</v>
      </c>
      <c r="L3" t="s">
        <v>199</v>
      </c>
    </row>
    <row r="4" spans="1:26" s="40" customFormat="1" ht="15" customHeight="1">
      <c r="A4" s="29" t="s">
        <v>44</v>
      </c>
      <c r="B4" s="29">
        <v>19491313</v>
      </c>
      <c r="C4" s="29" t="s">
        <v>206</v>
      </c>
      <c r="D4" s="29" t="s">
        <v>207</v>
      </c>
      <c r="E4" s="29" t="str">
        <f t="shared" si="0"/>
        <v>TIMOTHY ZAHLER</v>
      </c>
      <c r="F4" s="34">
        <v>6209348</v>
      </c>
      <c r="G4" s="34" t="str">
        <f t="shared" si="1"/>
        <v>62093481</v>
      </c>
      <c r="H4" s="31">
        <v>45505</v>
      </c>
      <c r="I4" s="30">
        <v>28.92</v>
      </c>
      <c r="J4" s="30">
        <v>1</v>
      </c>
      <c r="K4" s="30" t="s">
        <v>196</v>
      </c>
      <c r="L4" t="s">
        <v>199</v>
      </c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s="40" customFormat="1" ht="15" customHeight="1">
      <c r="A5" s="29" t="s">
        <v>44</v>
      </c>
      <c r="B5" s="29">
        <v>19491313</v>
      </c>
      <c r="C5" s="29" t="s">
        <v>208</v>
      </c>
      <c r="D5" s="29" t="s">
        <v>209</v>
      </c>
      <c r="E5" s="29" t="str">
        <f t="shared" si="0"/>
        <v>JEFF SCOTT</v>
      </c>
      <c r="F5" s="34">
        <v>6210817</v>
      </c>
      <c r="G5" s="34" t="str">
        <f t="shared" si="1"/>
        <v>62108171</v>
      </c>
      <c r="H5" s="31">
        <v>45627</v>
      </c>
      <c r="I5" s="30">
        <v>28.92</v>
      </c>
      <c r="J5" s="30">
        <v>1</v>
      </c>
      <c r="K5" s="30" t="s">
        <v>196</v>
      </c>
      <c r="L5" t="s">
        <v>199</v>
      </c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ht="15" customHeight="1">
      <c r="A6" s="29" t="s">
        <v>44</v>
      </c>
      <c r="B6" s="29">
        <v>19491313</v>
      </c>
      <c r="C6" s="29" t="s">
        <v>210</v>
      </c>
      <c r="D6" s="29" t="s">
        <v>211</v>
      </c>
      <c r="E6" s="29" t="str">
        <f t="shared" si="0"/>
        <v>PAM WILSON</v>
      </c>
      <c r="F6" s="34">
        <v>6210872</v>
      </c>
      <c r="G6" s="34" t="str">
        <f t="shared" si="1"/>
        <v>62108721</v>
      </c>
      <c r="H6" s="31">
        <v>45597</v>
      </c>
      <c r="I6" s="30">
        <v>28.92</v>
      </c>
      <c r="J6" s="30">
        <v>1</v>
      </c>
      <c r="K6" s="30" t="s">
        <v>196</v>
      </c>
      <c r="L6" t="s">
        <v>199</v>
      </c>
    </row>
    <row r="7" spans="1:26" ht="15" customHeight="1">
      <c r="A7" s="29" t="s">
        <v>44</v>
      </c>
      <c r="B7" s="29">
        <v>19491313</v>
      </c>
      <c r="C7" s="29" t="s">
        <v>212</v>
      </c>
      <c r="D7" s="29" t="s">
        <v>211</v>
      </c>
      <c r="E7" s="29" t="str">
        <f t="shared" si="0"/>
        <v>JOHN WILSON</v>
      </c>
      <c r="F7" s="34">
        <v>6212568</v>
      </c>
      <c r="G7" s="34" t="str">
        <f t="shared" si="1"/>
        <v>62125681</v>
      </c>
      <c r="H7" s="31">
        <v>45658</v>
      </c>
      <c r="I7" s="30">
        <v>28.92</v>
      </c>
      <c r="J7" s="30">
        <v>1</v>
      </c>
      <c r="K7" s="30" t="s">
        <v>196</v>
      </c>
      <c r="L7" t="s">
        <v>199</v>
      </c>
      <c r="M7" s="28"/>
      <c r="N7" s="28"/>
      <c r="O7" s="28"/>
      <c r="P7" s="28"/>
    </row>
    <row r="8" spans="1:26" ht="15" customHeight="1">
      <c r="A8" s="29" t="s">
        <v>44</v>
      </c>
      <c r="B8" s="29">
        <v>19491313</v>
      </c>
      <c r="C8" s="29" t="s">
        <v>213</v>
      </c>
      <c r="D8" s="29" t="s">
        <v>214</v>
      </c>
      <c r="E8" s="29" t="str">
        <f t="shared" si="0"/>
        <v>CINDY LEACH</v>
      </c>
      <c r="F8" s="34">
        <v>6213383</v>
      </c>
      <c r="G8" s="34" t="str">
        <f t="shared" si="1"/>
        <v>62133831</v>
      </c>
      <c r="H8" s="31">
        <v>45658</v>
      </c>
      <c r="I8" s="30">
        <v>28.92</v>
      </c>
      <c r="J8" s="30">
        <v>1</v>
      </c>
      <c r="K8" s="30" t="s">
        <v>196</v>
      </c>
      <c r="L8" t="s">
        <v>199</v>
      </c>
    </row>
    <row r="9" spans="1:26" ht="15" customHeight="1">
      <c r="A9" s="29" t="s">
        <v>44</v>
      </c>
      <c r="B9" s="29">
        <v>19491313</v>
      </c>
      <c r="C9" s="29" t="s">
        <v>215</v>
      </c>
      <c r="D9" s="29" t="s">
        <v>216</v>
      </c>
      <c r="E9" s="29" t="str">
        <f t="shared" si="0"/>
        <v>KAREN RAUSCH</v>
      </c>
      <c r="F9" s="34">
        <v>6215141</v>
      </c>
      <c r="G9" s="34" t="str">
        <f t="shared" si="1"/>
        <v>62151411</v>
      </c>
      <c r="H9" s="31">
        <v>45658</v>
      </c>
      <c r="I9" s="30">
        <v>28.92</v>
      </c>
      <c r="J9" s="30">
        <v>1</v>
      </c>
      <c r="K9" s="30" t="s">
        <v>196</v>
      </c>
      <c r="L9" t="s">
        <v>199</v>
      </c>
      <c r="M9" s="28"/>
      <c r="N9" s="28"/>
      <c r="O9" s="28"/>
      <c r="P9" s="28"/>
      <c r="Q9" s="28"/>
    </row>
    <row r="10" spans="1:26" ht="15" customHeight="1">
      <c r="A10" s="29" t="s">
        <v>44</v>
      </c>
      <c r="B10" s="29">
        <v>19491313</v>
      </c>
      <c r="C10" s="29" t="s">
        <v>215</v>
      </c>
      <c r="D10" s="29" t="s">
        <v>217</v>
      </c>
      <c r="E10" s="29" t="str">
        <f t="shared" si="0"/>
        <v>KAREN ABSHIRE</v>
      </c>
      <c r="F10" s="34">
        <v>6218054</v>
      </c>
      <c r="G10" s="34" t="str">
        <f t="shared" si="1"/>
        <v>62180541</v>
      </c>
      <c r="H10" s="31">
        <v>45658</v>
      </c>
      <c r="I10" s="30">
        <v>28.92</v>
      </c>
      <c r="J10" s="30">
        <v>1</v>
      </c>
      <c r="K10" s="30" t="s">
        <v>196</v>
      </c>
      <c r="L10" t="s">
        <v>199</v>
      </c>
    </row>
    <row r="11" spans="1:26" ht="15" customHeight="1">
      <c r="A11" s="29" t="s">
        <v>44</v>
      </c>
      <c r="B11" s="29">
        <v>19491313</v>
      </c>
      <c r="C11" s="29" t="s">
        <v>212</v>
      </c>
      <c r="D11" s="29" t="s">
        <v>217</v>
      </c>
      <c r="E11" s="29" t="str">
        <f t="shared" si="0"/>
        <v>JOHN ABSHIRE</v>
      </c>
      <c r="F11" s="34">
        <v>6218056</v>
      </c>
      <c r="G11" s="34" t="str">
        <f t="shared" si="1"/>
        <v>62180561</v>
      </c>
      <c r="H11" s="31">
        <v>45658</v>
      </c>
      <c r="I11" s="30">
        <v>28.92</v>
      </c>
      <c r="J11" s="30">
        <v>1</v>
      </c>
      <c r="K11" s="30" t="s">
        <v>196</v>
      </c>
      <c r="L11" t="s">
        <v>199</v>
      </c>
      <c r="M11" s="28"/>
      <c r="N11" s="28"/>
      <c r="O11" s="28"/>
      <c r="P11" s="28"/>
    </row>
    <row r="12" spans="1:26" ht="15" customHeight="1">
      <c r="A12" s="29" t="s">
        <v>29</v>
      </c>
      <c r="B12" s="29">
        <v>16170994</v>
      </c>
      <c r="C12" s="29" t="s">
        <v>218</v>
      </c>
      <c r="D12" s="29" t="s">
        <v>219</v>
      </c>
      <c r="E12" s="29" t="str">
        <f t="shared" si="0"/>
        <v>MARY CUSICK</v>
      </c>
      <c r="F12" s="34">
        <v>6220011</v>
      </c>
      <c r="G12" s="34" t="str">
        <f t="shared" si="1"/>
        <v>62200111</v>
      </c>
      <c r="H12" s="31">
        <v>45658</v>
      </c>
      <c r="I12" s="30">
        <v>28.92</v>
      </c>
      <c r="J12" s="30">
        <v>1</v>
      </c>
      <c r="K12" s="30" t="s">
        <v>196</v>
      </c>
      <c r="L12" t="s">
        <v>199</v>
      </c>
      <c r="M12" s="28"/>
      <c r="N12" s="28"/>
      <c r="O12" s="28"/>
      <c r="P12" s="28"/>
      <c r="Q12" s="28"/>
    </row>
    <row r="13" spans="1:26" ht="15" customHeight="1">
      <c r="A13" s="29" t="s">
        <v>44</v>
      </c>
      <c r="B13" s="29">
        <v>19491313</v>
      </c>
      <c r="C13" s="29" t="s">
        <v>220</v>
      </c>
      <c r="D13" s="29" t="s">
        <v>221</v>
      </c>
      <c r="E13" s="29" t="str">
        <f t="shared" si="0"/>
        <v>THERESA MCFARLAND</v>
      </c>
      <c r="F13" s="34">
        <v>6220305</v>
      </c>
      <c r="G13" s="34" t="str">
        <f t="shared" si="1"/>
        <v>62203051</v>
      </c>
      <c r="H13" s="31">
        <v>45658</v>
      </c>
      <c r="I13" s="30">
        <v>28.92</v>
      </c>
      <c r="J13" s="30">
        <v>1</v>
      </c>
      <c r="K13" s="30" t="s">
        <v>196</v>
      </c>
      <c r="L13" t="s">
        <v>199</v>
      </c>
    </row>
    <row r="14" spans="1:26" ht="15" customHeight="1">
      <c r="A14" s="29" t="s">
        <v>44</v>
      </c>
      <c r="B14" s="29">
        <v>19491313</v>
      </c>
      <c r="C14" s="29" t="s">
        <v>222</v>
      </c>
      <c r="D14" s="29" t="s">
        <v>223</v>
      </c>
      <c r="E14" s="29" t="str">
        <f t="shared" si="0"/>
        <v>PATRICIA SCISM</v>
      </c>
      <c r="F14" s="34">
        <v>6224561</v>
      </c>
      <c r="G14" s="34" t="str">
        <f t="shared" si="1"/>
        <v>62245611</v>
      </c>
      <c r="H14" s="31">
        <v>45839</v>
      </c>
      <c r="I14" s="30">
        <v>28.92</v>
      </c>
      <c r="J14" s="30">
        <v>1</v>
      </c>
      <c r="K14" s="30" t="s">
        <v>196</v>
      </c>
      <c r="L14" t="s">
        <v>199</v>
      </c>
    </row>
    <row r="15" spans="1:26" ht="15" customHeight="1">
      <c r="A15" s="29" t="s">
        <v>29</v>
      </c>
      <c r="B15" s="29">
        <v>16170994</v>
      </c>
      <c r="C15" s="29" t="s">
        <v>224</v>
      </c>
      <c r="D15" s="29" t="s">
        <v>225</v>
      </c>
      <c r="E15" s="29" t="str">
        <f t="shared" si="0"/>
        <v>NANCY RUESCHMAN</v>
      </c>
      <c r="F15" s="34">
        <v>6224756</v>
      </c>
      <c r="G15" s="34" t="str">
        <f t="shared" si="1"/>
        <v>62247561</v>
      </c>
      <c r="H15" s="31">
        <v>45658</v>
      </c>
      <c r="I15" s="30">
        <v>28.92</v>
      </c>
      <c r="J15" s="30">
        <v>1</v>
      </c>
      <c r="K15" s="30" t="s">
        <v>196</v>
      </c>
      <c r="L15" t="s">
        <v>199</v>
      </c>
      <c r="M15" s="28"/>
      <c r="P15" s="28"/>
      <c r="Q15" s="28"/>
    </row>
    <row r="16" spans="1:26" ht="15" customHeight="1">
      <c r="A16" s="29" t="s">
        <v>44</v>
      </c>
      <c r="B16" s="29">
        <v>19491313</v>
      </c>
      <c r="C16" s="29" t="s">
        <v>226</v>
      </c>
      <c r="D16" s="29" t="s">
        <v>205</v>
      </c>
      <c r="E16" s="29" t="str">
        <f t="shared" si="0"/>
        <v>LINDA BUTSKO</v>
      </c>
      <c r="F16" s="34">
        <v>6224965</v>
      </c>
      <c r="G16" s="34" t="str">
        <f t="shared" si="1"/>
        <v>62249651</v>
      </c>
      <c r="H16" s="31">
        <v>45658</v>
      </c>
      <c r="I16" s="30">
        <v>28.92</v>
      </c>
      <c r="J16" s="30">
        <v>1</v>
      </c>
      <c r="K16" s="30" t="s">
        <v>196</v>
      </c>
      <c r="L16" t="s">
        <v>199</v>
      </c>
    </row>
    <row r="17" spans="1:26" ht="15" customHeight="1">
      <c r="A17" s="29" t="s">
        <v>44</v>
      </c>
      <c r="B17" s="29">
        <v>19491313</v>
      </c>
      <c r="C17" s="29" t="s">
        <v>227</v>
      </c>
      <c r="D17" s="29" t="s">
        <v>228</v>
      </c>
      <c r="E17" s="29" t="str">
        <f t="shared" si="0"/>
        <v>TAMMY HAYWOOD</v>
      </c>
      <c r="F17" s="34">
        <v>6225460</v>
      </c>
      <c r="G17" s="34" t="str">
        <f t="shared" si="1"/>
        <v>62254601</v>
      </c>
      <c r="H17" s="31">
        <v>45597</v>
      </c>
      <c r="I17" s="30">
        <v>28.92</v>
      </c>
      <c r="J17" s="30">
        <v>1</v>
      </c>
      <c r="K17" s="30" t="s">
        <v>196</v>
      </c>
      <c r="L17" t="s">
        <v>199</v>
      </c>
    </row>
    <row r="18" spans="1:26" ht="15" customHeight="1">
      <c r="A18" s="29" t="s">
        <v>44</v>
      </c>
      <c r="B18" s="29">
        <v>19491313</v>
      </c>
      <c r="C18" s="29" t="s">
        <v>227</v>
      </c>
      <c r="D18" s="29" t="s">
        <v>229</v>
      </c>
      <c r="E18" s="29" t="str">
        <f t="shared" si="0"/>
        <v>TAMMY VANATTA</v>
      </c>
      <c r="F18" s="34">
        <v>6231397</v>
      </c>
      <c r="G18" s="34" t="str">
        <f t="shared" si="1"/>
        <v>62313971</v>
      </c>
      <c r="H18" s="31">
        <v>45627</v>
      </c>
      <c r="I18" s="30">
        <v>28.92</v>
      </c>
      <c r="J18" s="30">
        <v>1</v>
      </c>
      <c r="K18" s="30" t="s">
        <v>196</v>
      </c>
      <c r="L18" t="s">
        <v>199</v>
      </c>
    </row>
    <row r="19" spans="1:26" ht="15" customHeight="1">
      <c r="A19" s="29" t="s">
        <v>44</v>
      </c>
      <c r="B19" s="29">
        <v>19491313</v>
      </c>
      <c r="C19" s="29" t="s">
        <v>230</v>
      </c>
      <c r="D19" s="29" t="s">
        <v>203</v>
      </c>
      <c r="E19" s="29" t="str">
        <f t="shared" si="0"/>
        <v>SHARON SMITH</v>
      </c>
      <c r="F19" s="34">
        <v>6233105</v>
      </c>
      <c r="G19" s="34" t="str">
        <f t="shared" si="1"/>
        <v>62331051</v>
      </c>
      <c r="H19" s="31">
        <v>45658</v>
      </c>
      <c r="I19" s="30">
        <v>28.92</v>
      </c>
      <c r="J19" s="30">
        <v>1</v>
      </c>
      <c r="K19" s="30" t="s">
        <v>196</v>
      </c>
      <c r="L19" t="s">
        <v>199</v>
      </c>
    </row>
    <row r="20" spans="1:26" ht="15" customHeight="1">
      <c r="A20" s="29" t="s">
        <v>76</v>
      </c>
      <c r="B20" s="29">
        <v>19219478</v>
      </c>
      <c r="C20" s="29" t="s">
        <v>231</v>
      </c>
      <c r="D20" s="29" t="s">
        <v>232</v>
      </c>
      <c r="E20" s="29" t="str">
        <f t="shared" si="0"/>
        <v>RONNA JOHNSON</v>
      </c>
      <c r="F20" s="34">
        <v>6236016</v>
      </c>
      <c r="G20" s="34" t="str">
        <f t="shared" si="1"/>
        <v>62360161</v>
      </c>
      <c r="H20" s="31">
        <v>45658</v>
      </c>
      <c r="I20" s="30">
        <v>28.92</v>
      </c>
      <c r="J20" s="30">
        <v>1</v>
      </c>
      <c r="K20" s="30" t="s">
        <v>196</v>
      </c>
      <c r="L20" t="s">
        <v>199</v>
      </c>
    </row>
    <row r="21" spans="1:26" s="40" customFormat="1" ht="15" customHeight="1">
      <c r="A21" s="29" t="s">
        <v>44</v>
      </c>
      <c r="B21" s="29">
        <v>19491313</v>
      </c>
      <c r="C21" s="29" t="s">
        <v>233</v>
      </c>
      <c r="D21" s="29" t="s">
        <v>234</v>
      </c>
      <c r="E21" s="29" t="str">
        <f t="shared" si="0"/>
        <v>KURT LARKIN</v>
      </c>
      <c r="F21" s="34">
        <v>6238104</v>
      </c>
      <c r="G21" s="34" t="str">
        <f t="shared" si="1"/>
        <v>62381041</v>
      </c>
      <c r="H21" s="31">
        <v>45627</v>
      </c>
      <c r="I21" s="30">
        <v>28.92</v>
      </c>
      <c r="J21" s="30">
        <v>1</v>
      </c>
      <c r="K21" s="30" t="s">
        <v>196</v>
      </c>
      <c r="L21" t="s">
        <v>199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s="40" customFormat="1" ht="15" customHeight="1">
      <c r="A22" s="29" t="s">
        <v>44</v>
      </c>
      <c r="B22" s="29">
        <v>19491313</v>
      </c>
      <c r="C22" s="29" t="s">
        <v>235</v>
      </c>
      <c r="D22" s="29" t="s">
        <v>236</v>
      </c>
      <c r="E22" s="29" t="str">
        <f t="shared" si="0"/>
        <v>REBECCA HILL</v>
      </c>
      <c r="F22" s="34">
        <v>6239247</v>
      </c>
      <c r="G22" s="34" t="str">
        <f t="shared" si="1"/>
        <v>62392471</v>
      </c>
      <c r="H22" s="31">
        <v>45658</v>
      </c>
      <c r="I22" s="30">
        <v>28.92</v>
      </c>
      <c r="J22" s="30">
        <v>1</v>
      </c>
      <c r="K22" s="30" t="s">
        <v>196</v>
      </c>
      <c r="L22" t="s">
        <v>199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ht="15" customHeight="1">
      <c r="A23" s="29" t="s">
        <v>44</v>
      </c>
      <c r="B23" s="29">
        <v>19491313</v>
      </c>
      <c r="C23" s="29" t="s">
        <v>227</v>
      </c>
      <c r="D23" s="29" t="s">
        <v>237</v>
      </c>
      <c r="E23" s="29" t="str">
        <f t="shared" si="0"/>
        <v>TAMMY WILHELM</v>
      </c>
      <c r="F23" s="34">
        <v>6241874</v>
      </c>
      <c r="G23" s="34" t="str">
        <f t="shared" si="1"/>
        <v>62418741</v>
      </c>
      <c r="H23" s="31">
        <v>45658</v>
      </c>
      <c r="I23" s="30">
        <v>28.92</v>
      </c>
      <c r="J23" s="30">
        <v>1</v>
      </c>
      <c r="K23" s="30" t="s">
        <v>196</v>
      </c>
      <c r="L23" t="s">
        <v>199</v>
      </c>
    </row>
    <row r="24" spans="1:26" ht="15" customHeight="1">
      <c r="A24" s="29" t="s">
        <v>76</v>
      </c>
      <c r="B24" s="29">
        <v>19219478</v>
      </c>
      <c r="C24" s="29" t="s">
        <v>238</v>
      </c>
      <c r="D24" s="29" t="s">
        <v>239</v>
      </c>
      <c r="E24" s="29" t="str">
        <f t="shared" si="0"/>
        <v>EDWARD TRIMMER</v>
      </c>
      <c r="F24" s="34">
        <v>6277111</v>
      </c>
      <c r="G24" s="34" t="str">
        <f t="shared" si="1"/>
        <v>62771111</v>
      </c>
      <c r="H24" s="31">
        <v>45992</v>
      </c>
      <c r="I24" s="30">
        <v>28.92</v>
      </c>
      <c r="J24" s="30">
        <v>1</v>
      </c>
      <c r="K24" s="30" t="s">
        <v>196</v>
      </c>
      <c r="L24" t="s">
        <v>199</v>
      </c>
    </row>
    <row r="25" spans="1:26" s="40" customFormat="1" ht="15" customHeight="1">
      <c r="A25" s="29" t="s">
        <v>19</v>
      </c>
      <c r="B25" s="29">
        <v>21564088</v>
      </c>
      <c r="C25" s="29" t="s">
        <v>240</v>
      </c>
      <c r="D25" s="29" t="s">
        <v>241</v>
      </c>
      <c r="E25" s="29" t="str">
        <f t="shared" si="0"/>
        <v>GEORGE MELLEN</v>
      </c>
      <c r="F25" s="1" t="s">
        <v>192</v>
      </c>
      <c r="G25" s="1" t="s">
        <v>192</v>
      </c>
      <c r="H25" s="31">
        <v>46023</v>
      </c>
      <c r="I25" s="30">
        <v>33.840000000000003</v>
      </c>
      <c r="J25" s="30">
        <v>161.15183999999999</v>
      </c>
      <c r="K25" s="40" t="s">
        <v>198</v>
      </c>
      <c r="L25" s="30"/>
      <c r="M25" s="30"/>
      <c r="N25" s="42"/>
      <c r="O25"/>
      <c r="P25" s="41"/>
      <c r="Q25"/>
      <c r="R25"/>
      <c r="S25"/>
      <c r="T25"/>
      <c r="U25"/>
      <c r="V25"/>
      <c r="W25"/>
      <c r="X25"/>
      <c r="Y25"/>
      <c r="Z25"/>
    </row>
    <row r="26" spans="1:26" s="40" customFormat="1" ht="15" customHeight="1">
      <c r="A26" s="29" t="s">
        <v>29</v>
      </c>
      <c r="B26" s="29">
        <v>16170994</v>
      </c>
      <c r="C26" s="29" t="s">
        <v>242</v>
      </c>
      <c r="D26" s="29" t="s">
        <v>243</v>
      </c>
      <c r="E26" s="29" t="str">
        <f t="shared" si="0"/>
        <v>THOMAS CLARKE</v>
      </c>
      <c r="F26" s="1" t="s">
        <v>194</v>
      </c>
      <c r="G26" s="1" t="s">
        <v>194</v>
      </c>
      <c r="H26" s="31">
        <v>46023</v>
      </c>
      <c r="I26" s="30">
        <v>49.6</v>
      </c>
      <c r="J26" s="30">
        <v>236.16672</v>
      </c>
      <c r="K26" s="40" t="s">
        <v>198</v>
      </c>
      <c r="L26" s="30"/>
      <c r="M26" s="30"/>
      <c r="N26" s="42"/>
      <c r="O26"/>
      <c r="P26" s="41"/>
      <c r="Q26"/>
      <c r="R26"/>
      <c r="S26"/>
      <c r="T26"/>
      <c r="U26"/>
      <c r="V26"/>
      <c r="W26"/>
      <c r="X26"/>
      <c r="Y26"/>
      <c r="Z26"/>
    </row>
    <row r="27" spans="1:26" ht="15" customHeight="1">
      <c r="A27" s="35" t="s">
        <v>29</v>
      </c>
      <c r="B27" s="35">
        <v>16170994</v>
      </c>
      <c r="C27" s="35" t="s">
        <v>244</v>
      </c>
      <c r="D27" s="35" t="s">
        <v>245</v>
      </c>
      <c r="E27" s="29" t="str">
        <f t="shared" si="0"/>
        <v>MARILYN DEHART</v>
      </c>
      <c r="F27" s="36">
        <v>6265274</v>
      </c>
      <c r="G27" s="36" t="str">
        <f>CONCATENATE(F27,2)</f>
        <v>62652742</v>
      </c>
      <c r="H27" s="37">
        <v>46023</v>
      </c>
      <c r="I27" s="38">
        <v>300</v>
      </c>
      <c r="J27" s="30">
        <v>1</v>
      </c>
      <c r="K27" s="38" t="s">
        <v>197</v>
      </c>
      <c r="L27" s="43" t="s">
        <v>201</v>
      </c>
      <c r="M27" s="39"/>
      <c r="N27" s="40"/>
      <c r="O27" s="40"/>
      <c r="P27" s="39"/>
      <c r="Q27" s="39"/>
      <c r="R27" s="40"/>
      <c r="S27" s="40"/>
      <c r="T27" s="40"/>
      <c r="U27" s="40"/>
      <c r="V27" s="40"/>
      <c r="W27" s="40"/>
      <c r="X27" s="40"/>
      <c r="Y27" s="40"/>
      <c r="Z27" s="40"/>
    </row>
    <row r="28" spans="1:26" s="40" customFormat="1" ht="15" customHeight="1">
      <c r="A28" s="35" t="s">
        <v>29</v>
      </c>
      <c r="B28" s="35">
        <v>16170994</v>
      </c>
      <c r="C28" s="35" t="s">
        <v>202</v>
      </c>
      <c r="D28" s="35" t="s">
        <v>245</v>
      </c>
      <c r="E28" s="29" t="str">
        <f t="shared" si="0"/>
        <v>ROBERT DEHART</v>
      </c>
      <c r="F28" s="36">
        <v>6265368</v>
      </c>
      <c r="G28" s="36" t="str">
        <f t="shared" ref="G28:G35" si="2">CONCATENATE(F28,2)</f>
        <v>62653682</v>
      </c>
      <c r="H28" s="37">
        <v>46023</v>
      </c>
      <c r="I28" s="38">
        <v>300</v>
      </c>
      <c r="J28" s="30">
        <v>1</v>
      </c>
      <c r="K28" s="38" t="s">
        <v>197</v>
      </c>
      <c r="L28" s="43" t="s">
        <v>201</v>
      </c>
    </row>
    <row r="29" spans="1:26" s="40" customFormat="1" ht="15" customHeight="1">
      <c r="A29" s="35" t="s">
        <v>73</v>
      </c>
      <c r="B29" s="35">
        <v>17554531</v>
      </c>
      <c r="C29" s="35" t="s">
        <v>246</v>
      </c>
      <c r="D29" s="35" t="s">
        <v>247</v>
      </c>
      <c r="E29" s="29" t="str">
        <f t="shared" si="0"/>
        <v>LORETTA SPECK</v>
      </c>
      <c r="F29" s="36">
        <v>6268021</v>
      </c>
      <c r="G29" s="36" t="str">
        <f t="shared" si="2"/>
        <v>62680212</v>
      </c>
      <c r="H29" s="37">
        <v>46023</v>
      </c>
      <c r="I29" s="38">
        <v>300</v>
      </c>
      <c r="J29" s="30">
        <v>1</v>
      </c>
      <c r="K29" s="38" t="s">
        <v>197</v>
      </c>
      <c r="L29" s="43" t="s">
        <v>201</v>
      </c>
      <c r="M29" s="39"/>
      <c r="N29" s="39"/>
      <c r="O29" s="39"/>
      <c r="P29" s="39"/>
    </row>
    <row r="30" spans="1:26" ht="15" customHeight="1">
      <c r="A30" s="35" t="s">
        <v>44</v>
      </c>
      <c r="B30" s="35">
        <v>19491313</v>
      </c>
      <c r="C30" s="35" t="s">
        <v>206</v>
      </c>
      <c r="D30" s="35" t="s">
        <v>248</v>
      </c>
      <c r="E30" s="29" t="str">
        <f t="shared" si="0"/>
        <v>TIMOTHY DAVIS</v>
      </c>
      <c r="F30" s="36">
        <v>6274394</v>
      </c>
      <c r="G30" s="36" t="str">
        <f t="shared" si="2"/>
        <v>62743942</v>
      </c>
      <c r="H30" s="37">
        <v>46023</v>
      </c>
      <c r="I30" s="38">
        <v>300</v>
      </c>
      <c r="J30" s="30">
        <v>1</v>
      </c>
      <c r="K30" s="38" t="s">
        <v>197</v>
      </c>
      <c r="L30" s="43" t="s">
        <v>201</v>
      </c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" customHeight="1">
      <c r="A31" s="35" t="s">
        <v>76</v>
      </c>
      <c r="B31" s="35">
        <v>19219478</v>
      </c>
      <c r="C31" s="35" t="s">
        <v>249</v>
      </c>
      <c r="D31" s="35" t="s">
        <v>250</v>
      </c>
      <c r="E31" s="29" t="str">
        <f t="shared" si="0"/>
        <v>LAWRENCE JUPINA</v>
      </c>
      <c r="F31" s="36">
        <v>6276501</v>
      </c>
      <c r="G31" s="36" t="str">
        <f t="shared" si="2"/>
        <v>62765012</v>
      </c>
      <c r="H31" s="37">
        <v>46023</v>
      </c>
      <c r="I31" s="38">
        <v>300</v>
      </c>
      <c r="J31" s="30">
        <v>1</v>
      </c>
      <c r="K31" s="38" t="s">
        <v>197</v>
      </c>
      <c r="L31" s="43" t="s">
        <v>201</v>
      </c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s="40" customFormat="1" ht="15" customHeight="1">
      <c r="A32" s="35" t="s">
        <v>44</v>
      </c>
      <c r="B32" s="35">
        <v>19491313</v>
      </c>
      <c r="C32" s="35" t="s">
        <v>251</v>
      </c>
      <c r="D32" s="35" t="s">
        <v>252</v>
      </c>
      <c r="E32" s="29" t="str">
        <f t="shared" si="0"/>
        <v>SUSAN SHAY</v>
      </c>
      <c r="F32" s="36">
        <v>6279119</v>
      </c>
      <c r="G32" s="36" t="str">
        <f t="shared" si="2"/>
        <v>62791192</v>
      </c>
      <c r="H32" s="37">
        <v>46023</v>
      </c>
      <c r="I32" s="38">
        <v>300</v>
      </c>
      <c r="J32" s="30">
        <v>1</v>
      </c>
      <c r="K32" s="38" t="s">
        <v>197</v>
      </c>
      <c r="L32" s="43" t="s">
        <v>201</v>
      </c>
    </row>
    <row r="33" spans="1:26" s="40" customFormat="1" ht="15" customHeight="1">
      <c r="A33" s="35" t="s">
        <v>44</v>
      </c>
      <c r="B33" s="35">
        <v>19491313</v>
      </c>
      <c r="C33" s="35" t="s">
        <v>253</v>
      </c>
      <c r="D33" s="35" t="s">
        <v>254</v>
      </c>
      <c r="E33" s="29" t="str">
        <f t="shared" si="0"/>
        <v>CAROLYN KLEIN</v>
      </c>
      <c r="F33" s="36">
        <v>6280327</v>
      </c>
      <c r="G33" s="36" t="str">
        <f t="shared" si="2"/>
        <v>62803272</v>
      </c>
      <c r="H33" s="37">
        <v>46023</v>
      </c>
      <c r="I33" s="38">
        <v>300</v>
      </c>
      <c r="J33" s="30">
        <v>1</v>
      </c>
      <c r="K33" s="38" t="s">
        <v>197</v>
      </c>
      <c r="L33" s="43" t="s">
        <v>201</v>
      </c>
    </row>
    <row r="34" spans="1:26" ht="15" customHeight="1">
      <c r="A34" s="35" t="s">
        <v>44</v>
      </c>
      <c r="B34" s="35">
        <v>19491313</v>
      </c>
      <c r="C34" s="35" t="s">
        <v>215</v>
      </c>
      <c r="D34" s="35" t="s">
        <v>255</v>
      </c>
      <c r="E34" s="29" t="str">
        <f t="shared" si="0"/>
        <v>KAREN HAWK</v>
      </c>
      <c r="F34" s="36">
        <v>6281655</v>
      </c>
      <c r="G34" s="36" t="str">
        <f t="shared" si="2"/>
        <v>62816552</v>
      </c>
      <c r="H34" s="37">
        <v>46023</v>
      </c>
      <c r="I34" s="38">
        <v>300</v>
      </c>
      <c r="J34" s="30">
        <v>1</v>
      </c>
      <c r="K34" s="38" t="s">
        <v>197</v>
      </c>
      <c r="L34" s="43" t="s">
        <v>201</v>
      </c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" customHeight="1">
      <c r="A35" s="35" t="s">
        <v>44</v>
      </c>
      <c r="B35" s="35">
        <v>19491313</v>
      </c>
      <c r="C35" s="35" t="s">
        <v>256</v>
      </c>
      <c r="D35" s="35" t="s">
        <v>255</v>
      </c>
      <c r="E35" s="29" t="str">
        <f t="shared" si="0"/>
        <v>DANIEL HAWK</v>
      </c>
      <c r="F35" s="36">
        <v>6281656</v>
      </c>
      <c r="G35" s="36" t="str">
        <f t="shared" si="2"/>
        <v>62816562</v>
      </c>
      <c r="H35" s="37">
        <v>46023</v>
      </c>
      <c r="I35" s="38">
        <v>300</v>
      </c>
      <c r="J35" s="30">
        <v>1</v>
      </c>
      <c r="K35" s="38" t="s">
        <v>197</v>
      </c>
      <c r="L35" s="43" t="s">
        <v>201</v>
      </c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" customHeight="1">
      <c r="A36" s="29" t="s">
        <v>29</v>
      </c>
      <c r="B36" s="29">
        <v>16170994</v>
      </c>
      <c r="C36" s="29" t="s">
        <v>257</v>
      </c>
      <c r="D36" s="29" t="s">
        <v>258</v>
      </c>
      <c r="E36" s="29" t="str">
        <f t="shared" si="0"/>
        <v>JOSEPH DULIN</v>
      </c>
      <c r="F36" s="34">
        <v>6126362</v>
      </c>
      <c r="G36" s="34" t="str">
        <f t="shared" ref="G36:G58" si="3">CONCATENATE(F36,1)</f>
        <v>61263621</v>
      </c>
      <c r="H36" s="31">
        <v>46023</v>
      </c>
      <c r="I36" s="30">
        <v>347</v>
      </c>
      <c r="J36" s="30">
        <v>1</v>
      </c>
      <c r="K36" s="30" t="s">
        <v>196</v>
      </c>
      <c r="L36" s="43" t="s">
        <v>200</v>
      </c>
      <c r="M36" s="28"/>
      <c r="N36" s="28"/>
      <c r="O36" s="28"/>
      <c r="P36" s="28"/>
      <c r="Q36" s="28"/>
    </row>
    <row r="37" spans="1:26" ht="15" customHeight="1">
      <c r="A37" s="29" t="s">
        <v>29</v>
      </c>
      <c r="B37" s="29">
        <v>16170994</v>
      </c>
      <c r="C37" s="29" t="s">
        <v>259</v>
      </c>
      <c r="D37" s="29" t="s">
        <v>260</v>
      </c>
      <c r="E37" s="29" t="str">
        <f t="shared" si="0"/>
        <v>ROBERTA MCDONNELL</v>
      </c>
      <c r="F37" s="34">
        <v>6169495</v>
      </c>
      <c r="G37" s="34" t="str">
        <f t="shared" si="3"/>
        <v>61694951</v>
      </c>
      <c r="H37" s="31">
        <v>46023</v>
      </c>
      <c r="I37" s="30">
        <v>347</v>
      </c>
      <c r="J37" s="30">
        <v>1</v>
      </c>
      <c r="K37" s="30" t="s">
        <v>196</v>
      </c>
      <c r="L37" s="43" t="s">
        <v>200</v>
      </c>
      <c r="M37" s="28"/>
      <c r="N37" s="28"/>
      <c r="O37" s="28"/>
      <c r="P37" s="28"/>
    </row>
    <row r="38" spans="1:26" ht="15" customHeight="1">
      <c r="A38" s="29" t="s">
        <v>44</v>
      </c>
      <c r="B38" s="29">
        <v>19491313</v>
      </c>
      <c r="C38" s="29" t="s">
        <v>261</v>
      </c>
      <c r="D38" s="29" t="s">
        <v>262</v>
      </c>
      <c r="E38" s="29" t="str">
        <f t="shared" si="0"/>
        <v>ILKKA REINI</v>
      </c>
      <c r="F38" s="34">
        <v>6186975</v>
      </c>
      <c r="G38" s="34" t="str">
        <f t="shared" si="3"/>
        <v>61869751</v>
      </c>
      <c r="H38" s="31">
        <v>46023</v>
      </c>
      <c r="I38" s="30">
        <v>347</v>
      </c>
      <c r="J38" s="30">
        <v>1</v>
      </c>
      <c r="K38" s="30" t="s">
        <v>196</v>
      </c>
      <c r="L38" s="43" t="s">
        <v>200</v>
      </c>
    </row>
    <row r="39" spans="1:26" ht="15" customHeight="1">
      <c r="A39" s="29" t="s">
        <v>29</v>
      </c>
      <c r="B39" s="29">
        <v>16170994</v>
      </c>
      <c r="C39" s="29" t="s">
        <v>263</v>
      </c>
      <c r="D39" s="29" t="s">
        <v>264</v>
      </c>
      <c r="E39" s="29" t="str">
        <f t="shared" si="0"/>
        <v>KAY ALESSIO</v>
      </c>
      <c r="F39" s="34">
        <v>6262864</v>
      </c>
      <c r="G39" s="34" t="str">
        <f t="shared" si="3"/>
        <v>62628641</v>
      </c>
      <c r="H39" s="31">
        <v>46023</v>
      </c>
      <c r="I39" s="30">
        <v>347</v>
      </c>
      <c r="J39" s="30">
        <v>1</v>
      </c>
      <c r="K39" s="30" t="s">
        <v>196</v>
      </c>
      <c r="L39" s="43" t="s">
        <v>200</v>
      </c>
      <c r="M39" s="28"/>
      <c r="N39" s="28"/>
      <c r="O39" s="28"/>
      <c r="P39" s="28"/>
      <c r="Q39" s="28"/>
    </row>
    <row r="40" spans="1:26" ht="15" customHeight="1">
      <c r="A40" s="29" t="s">
        <v>44</v>
      </c>
      <c r="B40" s="29">
        <v>19491313</v>
      </c>
      <c r="C40" s="29" t="s">
        <v>265</v>
      </c>
      <c r="D40" s="29" t="s">
        <v>266</v>
      </c>
      <c r="E40" s="29" t="str">
        <f t="shared" si="0"/>
        <v>YULIAN KEVE</v>
      </c>
      <c r="F40" s="34">
        <v>6262923</v>
      </c>
      <c r="G40" s="34" t="str">
        <f t="shared" si="3"/>
        <v>62629231</v>
      </c>
      <c r="H40" s="31">
        <v>46023</v>
      </c>
      <c r="I40" s="30">
        <v>347</v>
      </c>
      <c r="J40" s="30">
        <v>1</v>
      </c>
      <c r="K40" s="30" t="s">
        <v>196</v>
      </c>
      <c r="L40" s="43" t="s">
        <v>200</v>
      </c>
    </row>
    <row r="41" spans="1:26" ht="15" customHeight="1">
      <c r="A41" s="29" t="s">
        <v>29</v>
      </c>
      <c r="B41" s="29">
        <v>16170994</v>
      </c>
      <c r="C41" s="29" t="s">
        <v>267</v>
      </c>
      <c r="D41" s="29" t="s">
        <v>268</v>
      </c>
      <c r="E41" s="29" t="str">
        <f t="shared" si="0"/>
        <v>DAWN TROYER</v>
      </c>
      <c r="F41" s="34">
        <v>6263312</v>
      </c>
      <c r="G41" s="34" t="str">
        <f t="shared" si="3"/>
        <v>62633121</v>
      </c>
      <c r="H41" s="31">
        <v>46023</v>
      </c>
      <c r="I41" s="30">
        <v>347</v>
      </c>
      <c r="J41" s="30">
        <v>1</v>
      </c>
      <c r="K41" s="30" t="s">
        <v>196</v>
      </c>
      <c r="L41" s="43" t="s">
        <v>200</v>
      </c>
      <c r="M41" s="28"/>
      <c r="N41" s="28"/>
      <c r="O41" s="28"/>
      <c r="P41" s="28"/>
      <c r="Q41" s="28"/>
    </row>
    <row r="42" spans="1:26" s="40" customFormat="1" ht="15" customHeight="1">
      <c r="A42" s="29" t="s">
        <v>29</v>
      </c>
      <c r="B42" s="29">
        <v>16170994</v>
      </c>
      <c r="C42" s="29" t="s">
        <v>269</v>
      </c>
      <c r="D42" s="29" t="s">
        <v>268</v>
      </c>
      <c r="E42" s="29" t="str">
        <f t="shared" si="0"/>
        <v>VALENTINE TROYER</v>
      </c>
      <c r="F42" s="34">
        <v>6263314</v>
      </c>
      <c r="G42" s="34" t="str">
        <f t="shared" si="3"/>
        <v>62633141</v>
      </c>
      <c r="H42" s="31">
        <v>46023</v>
      </c>
      <c r="I42" s="30">
        <v>347</v>
      </c>
      <c r="J42" s="30">
        <v>1</v>
      </c>
      <c r="K42" s="30" t="s">
        <v>196</v>
      </c>
      <c r="L42" s="43" t="s">
        <v>200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s="40" customFormat="1" ht="15" customHeight="1">
      <c r="A43" s="29" t="s">
        <v>44</v>
      </c>
      <c r="B43" s="29">
        <v>19491313</v>
      </c>
      <c r="C43" s="29" t="s">
        <v>212</v>
      </c>
      <c r="D43" s="29" t="s">
        <v>270</v>
      </c>
      <c r="E43" s="29" t="str">
        <f t="shared" si="0"/>
        <v>JOHN MOSEMAN</v>
      </c>
      <c r="F43" s="34">
        <v>6263321</v>
      </c>
      <c r="G43" s="34" t="str">
        <f t="shared" si="3"/>
        <v>62633211</v>
      </c>
      <c r="H43" s="31">
        <v>46023</v>
      </c>
      <c r="I43" s="30">
        <v>347</v>
      </c>
      <c r="J43" s="30">
        <v>1</v>
      </c>
      <c r="K43" s="30" t="s">
        <v>196</v>
      </c>
      <c r="L43" s="43" t="s">
        <v>200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15" customHeight="1">
      <c r="A44" s="29" t="s">
        <v>29</v>
      </c>
      <c r="B44" s="29">
        <v>16170994</v>
      </c>
      <c r="C44" s="29" t="s">
        <v>271</v>
      </c>
      <c r="D44" s="29" t="s">
        <v>272</v>
      </c>
      <c r="E44" s="29" t="str">
        <f t="shared" si="0"/>
        <v>NATHALIE CHARNUK</v>
      </c>
      <c r="F44" s="34">
        <v>6263324</v>
      </c>
      <c r="G44" s="34" t="str">
        <f t="shared" si="3"/>
        <v>62633241</v>
      </c>
      <c r="H44" s="31">
        <v>46023</v>
      </c>
      <c r="I44" s="30">
        <v>347</v>
      </c>
      <c r="J44" s="30">
        <v>1</v>
      </c>
      <c r="K44" s="30" t="s">
        <v>196</v>
      </c>
      <c r="L44" s="43" t="s">
        <v>200</v>
      </c>
    </row>
    <row r="45" spans="1:26" ht="15" customHeight="1">
      <c r="A45" s="29" t="s">
        <v>29</v>
      </c>
      <c r="B45" s="29">
        <v>16170994</v>
      </c>
      <c r="C45" s="29" t="s">
        <v>273</v>
      </c>
      <c r="D45" s="29" t="s">
        <v>274</v>
      </c>
      <c r="E45" s="29" t="str">
        <f t="shared" si="0"/>
        <v>EDGARDO SANTIAGO</v>
      </c>
      <c r="F45" s="34">
        <v>6263325</v>
      </c>
      <c r="G45" s="34" t="str">
        <f t="shared" si="3"/>
        <v>62633251</v>
      </c>
      <c r="H45" s="31">
        <v>46023</v>
      </c>
      <c r="I45" s="30">
        <v>347</v>
      </c>
      <c r="J45" s="30">
        <v>1</v>
      </c>
      <c r="K45" s="30" t="s">
        <v>196</v>
      </c>
      <c r="L45" s="43" t="s">
        <v>200</v>
      </c>
      <c r="M45" s="28"/>
      <c r="N45" s="28"/>
      <c r="O45" s="28"/>
      <c r="P45" s="28"/>
      <c r="Q45" s="28"/>
    </row>
    <row r="46" spans="1:26" ht="15" customHeight="1">
      <c r="A46" s="29" t="s">
        <v>29</v>
      </c>
      <c r="B46" s="29">
        <v>16170994</v>
      </c>
      <c r="C46" s="29" t="s">
        <v>275</v>
      </c>
      <c r="D46" s="29" t="s">
        <v>274</v>
      </c>
      <c r="E46" s="29" t="str">
        <f t="shared" si="0"/>
        <v>LUCY SANTIAGO</v>
      </c>
      <c r="F46" s="34">
        <v>6263326</v>
      </c>
      <c r="G46" s="34" t="str">
        <f t="shared" si="3"/>
        <v>62633261</v>
      </c>
      <c r="H46" s="31">
        <v>46023</v>
      </c>
      <c r="I46" s="30">
        <v>347</v>
      </c>
      <c r="J46" s="30">
        <v>1</v>
      </c>
      <c r="K46" s="30" t="s">
        <v>196</v>
      </c>
      <c r="L46" s="43" t="s">
        <v>200</v>
      </c>
      <c r="M46" s="28"/>
      <c r="N46" s="28"/>
      <c r="O46" s="28"/>
      <c r="P46" s="28"/>
      <c r="Q46" s="28"/>
    </row>
    <row r="47" spans="1:26" ht="15" customHeight="1">
      <c r="A47" s="29" t="s">
        <v>44</v>
      </c>
      <c r="B47" s="29">
        <v>19491313</v>
      </c>
      <c r="C47" s="29" t="s">
        <v>202</v>
      </c>
      <c r="D47" s="29" t="s">
        <v>266</v>
      </c>
      <c r="E47" s="29" t="str">
        <f t="shared" si="0"/>
        <v>ROBERT KEVE</v>
      </c>
      <c r="F47" s="34">
        <v>6263721</v>
      </c>
      <c r="G47" s="34" t="str">
        <f t="shared" si="3"/>
        <v>62637211</v>
      </c>
      <c r="H47" s="31">
        <v>46023</v>
      </c>
      <c r="I47" s="30">
        <v>347</v>
      </c>
      <c r="J47" s="30">
        <v>1</v>
      </c>
      <c r="K47" s="30" t="s">
        <v>196</v>
      </c>
      <c r="L47" s="43" t="s">
        <v>200</v>
      </c>
    </row>
    <row r="48" spans="1:26" ht="15" customHeight="1">
      <c r="A48" s="29" t="s">
        <v>29</v>
      </c>
      <c r="B48" s="29">
        <v>16170994</v>
      </c>
      <c r="C48" s="29" t="s">
        <v>276</v>
      </c>
      <c r="D48" s="29" t="s">
        <v>258</v>
      </c>
      <c r="E48" s="29" t="str">
        <f t="shared" si="0"/>
        <v>MARILEE DULIN</v>
      </c>
      <c r="F48" s="34">
        <v>6264301</v>
      </c>
      <c r="G48" s="34" t="str">
        <f t="shared" si="3"/>
        <v>62643011</v>
      </c>
      <c r="H48" s="31">
        <v>46023</v>
      </c>
      <c r="I48" s="30">
        <v>347</v>
      </c>
      <c r="J48" s="30">
        <v>1</v>
      </c>
      <c r="K48" s="30" t="s">
        <v>196</v>
      </c>
      <c r="L48" s="43" t="s">
        <v>200</v>
      </c>
      <c r="M48" s="28"/>
      <c r="N48" s="28"/>
      <c r="O48" s="28"/>
      <c r="P48" s="28"/>
      <c r="Q48" s="28"/>
    </row>
    <row r="49" spans="1:26" s="40" customFormat="1" ht="15" customHeight="1">
      <c r="A49" s="29" t="s">
        <v>44</v>
      </c>
      <c r="B49" s="29">
        <v>19491313</v>
      </c>
      <c r="C49" s="29" t="s">
        <v>277</v>
      </c>
      <c r="D49" s="29" t="s">
        <v>278</v>
      </c>
      <c r="E49" s="29" t="str">
        <f t="shared" si="0"/>
        <v>ROBYN TEBINKA</v>
      </c>
      <c r="F49" s="34">
        <v>6267083</v>
      </c>
      <c r="G49" s="34" t="str">
        <f t="shared" si="3"/>
        <v>62670831</v>
      </c>
      <c r="H49" s="31">
        <v>46023</v>
      </c>
      <c r="I49" s="30">
        <v>347</v>
      </c>
      <c r="J49" s="30">
        <v>1</v>
      </c>
      <c r="K49" s="30" t="s">
        <v>196</v>
      </c>
      <c r="L49" s="43" t="s">
        <v>200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ht="15" customHeight="1">
      <c r="A50" s="29" t="s">
        <v>29</v>
      </c>
      <c r="B50" s="29">
        <v>16170994</v>
      </c>
      <c r="C50" s="29" t="s">
        <v>251</v>
      </c>
      <c r="D50" s="29" t="s">
        <v>279</v>
      </c>
      <c r="E50" s="29" t="str">
        <f t="shared" si="0"/>
        <v>SUSAN LANG</v>
      </c>
      <c r="F50" s="34">
        <v>6267559</v>
      </c>
      <c r="G50" s="34" t="str">
        <f t="shared" si="3"/>
        <v>62675591</v>
      </c>
      <c r="H50" s="31">
        <v>46023</v>
      </c>
      <c r="I50" s="30">
        <v>347</v>
      </c>
      <c r="J50" s="30">
        <v>1</v>
      </c>
      <c r="K50" s="30" t="s">
        <v>196</v>
      </c>
      <c r="L50" s="43" t="s">
        <v>200</v>
      </c>
      <c r="M50" s="28"/>
      <c r="N50" s="28"/>
      <c r="O50" s="28"/>
      <c r="P50" s="28"/>
    </row>
    <row r="51" spans="1:26" ht="15" customHeight="1">
      <c r="A51" s="29" t="s">
        <v>29</v>
      </c>
      <c r="B51" s="29">
        <v>16170994</v>
      </c>
      <c r="C51" s="29" t="s">
        <v>280</v>
      </c>
      <c r="D51" s="29" t="s">
        <v>281</v>
      </c>
      <c r="E51" s="29" t="str">
        <f t="shared" si="0"/>
        <v>JAMES SIBBIO</v>
      </c>
      <c r="F51" s="34">
        <v>6268132</v>
      </c>
      <c r="G51" s="34" t="str">
        <f t="shared" si="3"/>
        <v>62681321</v>
      </c>
      <c r="H51" s="31">
        <v>46023</v>
      </c>
      <c r="I51" s="30">
        <v>347</v>
      </c>
      <c r="J51" s="30">
        <v>1</v>
      </c>
      <c r="K51" s="30" t="s">
        <v>196</v>
      </c>
      <c r="L51" s="43" t="s">
        <v>200</v>
      </c>
      <c r="M51" s="28"/>
      <c r="N51" s="28"/>
      <c r="O51" s="28"/>
      <c r="P51" s="28"/>
      <c r="Q51" s="28"/>
    </row>
    <row r="52" spans="1:26" ht="15" customHeight="1">
      <c r="A52" s="29" t="s">
        <v>29</v>
      </c>
      <c r="B52" s="29">
        <v>16170994</v>
      </c>
      <c r="C52" s="29" t="s">
        <v>282</v>
      </c>
      <c r="D52" s="29" t="s">
        <v>283</v>
      </c>
      <c r="E52" s="29" t="str">
        <f t="shared" si="0"/>
        <v>E EVIN</v>
      </c>
      <c r="F52" s="34">
        <v>6268486</v>
      </c>
      <c r="G52" s="34" t="str">
        <f t="shared" si="3"/>
        <v>62684861</v>
      </c>
      <c r="H52" s="31">
        <v>46023</v>
      </c>
      <c r="I52" s="30">
        <v>347</v>
      </c>
      <c r="J52" s="30">
        <v>1</v>
      </c>
      <c r="K52" s="30" t="s">
        <v>196</v>
      </c>
      <c r="L52" s="43" t="s">
        <v>200</v>
      </c>
      <c r="M52" s="28"/>
      <c r="N52" s="28"/>
      <c r="O52" s="28"/>
      <c r="P52" s="28"/>
      <c r="Q52" s="28"/>
    </row>
    <row r="53" spans="1:26" ht="15" customHeight="1">
      <c r="A53" s="29" t="s">
        <v>44</v>
      </c>
      <c r="B53" s="29">
        <v>19491313</v>
      </c>
      <c r="C53" s="29" t="s">
        <v>284</v>
      </c>
      <c r="D53" s="29" t="s">
        <v>285</v>
      </c>
      <c r="E53" s="29" t="str">
        <f t="shared" si="0"/>
        <v>VINCENT SUSI</v>
      </c>
      <c r="F53" s="34">
        <v>6268636</v>
      </c>
      <c r="G53" s="34" t="str">
        <f t="shared" si="3"/>
        <v>62686361</v>
      </c>
      <c r="H53" s="31">
        <v>46023</v>
      </c>
      <c r="I53" s="30">
        <v>347</v>
      </c>
      <c r="J53" s="30">
        <v>1</v>
      </c>
      <c r="K53" s="30" t="s">
        <v>196</v>
      </c>
      <c r="L53" s="43" t="s">
        <v>200</v>
      </c>
    </row>
    <row r="54" spans="1:26" s="40" customFormat="1" ht="15" customHeight="1">
      <c r="A54" s="29" t="s">
        <v>29</v>
      </c>
      <c r="B54" s="29">
        <v>16170994</v>
      </c>
      <c r="C54" s="29" t="s">
        <v>218</v>
      </c>
      <c r="D54" s="29" t="s">
        <v>286</v>
      </c>
      <c r="E54" s="29" t="str">
        <f t="shared" si="0"/>
        <v>MARY DIEHL</v>
      </c>
      <c r="F54" s="34">
        <v>6269613</v>
      </c>
      <c r="G54" s="34" t="str">
        <f t="shared" si="3"/>
        <v>62696131</v>
      </c>
      <c r="H54" s="31">
        <v>46023</v>
      </c>
      <c r="I54" s="30">
        <v>347</v>
      </c>
      <c r="J54" s="30">
        <v>1</v>
      </c>
      <c r="K54" s="30" t="s">
        <v>196</v>
      </c>
      <c r="L54" s="43" t="s">
        <v>200</v>
      </c>
      <c r="M54" s="28"/>
      <c r="N54" s="28"/>
      <c r="O54" s="28"/>
      <c r="P54" s="28"/>
      <c r="Q54" s="28"/>
      <c r="R54"/>
      <c r="S54"/>
      <c r="T54"/>
      <c r="U54"/>
      <c r="V54"/>
      <c r="W54"/>
      <c r="X54"/>
      <c r="Y54"/>
      <c r="Z54"/>
    </row>
    <row r="55" spans="1:26" ht="15" customHeight="1">
      <c r="A55" s="29" t="s">
        <v>44</v>
      </c>
      <c r="B55" s="29">
        <v>19491313</v>
      </c>
      <c r="C55" s="29" t="s">
        <v>215</v>
      </c>
      <c r="D55" s="29" t="s">
        <v>203</v>
      </c>
      <c r="E55" s="29" t="str">
        <f t="shared" si="0"/>
        <v>KAREN SMITH</v>
      </c>
      <c r="F55" s="34">
        <v>6270228</v>
      </c>
      <c r="G55" s="34" t="str">
        <f t="shared" si="3"/>
        <v>62702281</v>
      </c>
      <c r="H55" s="31">
        <v>46023</v>
      </c>
      <c r="I55" s="30">
        <v>347</v>
      </c>
      <c r="J55" s="30">
        <v>1</v>
      </c>
      <c r="K55" s="30" t="s">
        <v>196</v>
      </c>
      <c r="L55" s="43" t="s">
        <v>200</v>
      </c>
    </row>
    <row r="56" spans="1:26" ht="15" customHeight="1">
      <c r="A56" s="29" t="s">
        <v>29</v>
      </c>
      <c r="B56" s="29">
        <v>16170994</v>
      </c>
      <c r="C56" s="29" t="s">
        <v>202</v>
      </c>
      <c r="D56" s="29" t="s">
        <v>287</v>
      </c>
      <c r="E56" s="29" t="str">
        <f t="shared" si="0"/>
        <v>ROBERT BISSLER</v>
      </c>
      <c r="F56" s="34">
        <v>6270840</v>
      </c>
      <c r="G56" s="34" t="str">
        <f t="shared" si="3"/>
        <v>62708401</v>
      </c>
      <c r="H56" s="31">
        <v>46023</v>
      </c>
      <c r="I56" s="30">
        <v>347</v>
      </c>
      <c r="J56" s="30">
        <v>1</v>
      </c>
      <c r="K56" s="30" t="s">
        <v>196</v>
      </c>
      <c r="L56" s="43" t="s">
        <v>200</v>
      </c>
    </row>
    <row r="57" spans="1:26" ht="15" customHeight="1">
      <c r="A57" s="29" t="s">
        <v>44</v>
      </c>
      <c r="B57" s="29">
        <v>19491313</v>
      </c>
      <c r="C57" s="29" t="s">
        <v>288</v>
      </c>
      <c r="D57" s="29" t="s">
        <v>289</v>
      </c>
      <c r="E57" s="29" t="str">
        <f t="shared" si="0"/>
        <v>MARVIN MCCREARY</v>
      </c>
      <c r="F57" s="34">
        <v>6274324</v>
      </c>
      <c r="G57" s="34" t="str">
        <f t="shared" si="3"/>
        <v>62743241</v>
      </c>
      <c r="H57" s="31">
        <v>46023</v>
      </c>
      <c r="I57" s="30">
        <v>347</v>
      </c>
      <c r="J57" s="30">
        <v>1</v>
      </c>
      <c r="K57" s="30" t="s">
        <v>196</v>
      </c>
      <c r="L57" s="43" t="s">
        <v>200</v>
      </c>
    </row>
    <row r="58" spans="1:26" ht="15" customHeight="1">
      <c r="A58" s="29" t="s">
        <v>44</v>
      </c>
      <c r="B58" s="29">
        <v>19491313</v>
      </c>
      <c r="C58" s="29" t="s">
        <v>290</v>
      </c>
      <c r="D58" s="29" t="s">
        <v>291</v>
      </c>
      <c r="E58" s="29" t="str">
        <f t="shared" si="0"/>
        <v>MARK COSMA</v>
      </c>
      <c r="F58" s="34">
        <v>6278829</v>
      </c>
      <c r="G58" s="34" t="str">
        <f t="shared" si="3"/>
        <v>62788291</v>
      </c>
      <c r="H58" s="31">
        <v>46023</v>
      </c>
      <c r="I58" s="30">
        <v>347</v>
      </c>
      <c r="J58" s="30">
        <v>1</v>
      </c>
      <c r="K58" s="30" t="s">
        <v>196</v>
      </c>
      <c r="L58" s="43" t="s">
        <v>200</v>
      </c>
    </row>
    <row r="60" spans="1:26" ht="15" customHeight="1">
      <c r="F60" s="28"/>
      <c r="G60" s="28"/>
      <c r="H60" s="28"/>
    </row>
    <row r="61" spans="1:26" ht="15" customHeight="1">
      <c r="F61" s="28"/>
      <c r="G61" s="28"/>
      <c r="H61" s="28"/>
      <c r="I61" s="28"/>
    </row>
    <row r="64" spans="1:26" ht="1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</row>
    <row r="65" spans="1:17" ht="1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</row>
    <row r="66" spans="1:17" ht="15" customHeight="1">
      <c r="A66" s="28"/>
      <c r="B66" s="28"/>
      <c r="C66" s="28"/>
      <c r="D66" s="28"/>
      <c r="E66" s="28"/>
      <c r="H66" s="28"/>
      <c r="I66" s="28"/>
      <c r="J66" s="28"/>
      <c r="K66" s="28"/>
      <c r="L66" s="28"/>
      <c r="M66" s="28"/>
      <c r="N66" s="28"/>
      <c r="O66" s="28"/>
      <c r="P66" s="28"/>
      <c r="Q66" s="28"/>
    </row>
    <row r="67" spans="1:17" ht="15" customHeight="1">
      <c r="A67" s="28"/>
      <c r="B67" s="28"/>
      <c r="C67" s="28"/>
      <c r="D67" s="28"/>
      <c r="E67" s="28"/>
      <c r="H67" s="28"/>
      <c r="I67" s="28"/>
      <c r="J67" s="28"/>
      <c r="K67" s="28"/>
      <c r="L67" s="28"/>
      <c r="M67" s="28"/>
      <c r="N67" s="28"/>
      <c r="O67" s="28"/>
      <c r="P67" s="28"/>
      <c r="Q67" s="28"/>
    </row>
    <row r="68" spans="1:17" ht="15" customHeight="1">
      <c r="A68" s="28"/>
      <c r="B68" s="28"/>
      <c r="C68" s="28"/>
      <c r="D68" s="28"/>
      <c r="E68" s="28"/>
      <c r="H68" s="28"/>
      <c r="I68" s="28"/>
      <c r="J68" s="28"/>
      <c r="K68" s="28"/>
      <c r="L68" s="28"/>
      <c r="M68" s="28"/>
      <c r="N68" s="28"/>
      <c r="O68" s="28"/>
      <c r="P68" s="28"/>
      <c r="Q68" s="28"/>
    </row>
    <row r="69" spans="1:17" ht="15" customHeight="1">
      <c r="A69" s="28"/>
      <c r="B69" s="28"/>
      <c r="C69" s="28"/>
      <c r="D69" s="28"/>
      <c r="E69" s="28"/>
      <c r="H69" s="28"/>
      <c r="I69" s="28"/>
      <c r="J69" s="28"/>
      <c r="K69" s="28"/>
      <c r="L69" s="28"/>
      <c r="M69" s="28"/>
      <c r="N69" s="28"/>
      <c r="O69" s="28"/>
      <c r="P69" s="28"/>
      <c r="Q69" s="28"/>
    </row>
    <row r="70" spans="1:17" ht="15" customHeight="1">
      <c r="A70" s="28"/>
      <c r="B70" s="28"/>
      <c r="C70" s="28"/>
      <c r="D70" s="28"/>
      <c r="E70" s="28"/>
      <c r="H70" s="28"/>
      <c r="I70" s="28"/>
      <c r="J70" s="28"/>
      <c r="K70" s="28"/>
      <c r="L70" s="28"/>
      <c r="M70" s="28"/>
      <c r="N70" s="28"/>
      <c r="O70" s="28"/>
      <c r="P70" s="28"/>
      <c r="Q70" s="28"/>
    </row>
    <row r="71" spans="1:17" ht="15" customHeight="1">
      <c r="A71" s="28"/>
      <c r="B71" s="28"/>
      <c r="C71" s="28"/>
      <c r="D71" s="28"/>
      <c r="E71" s="28"/>
      <c r="H71" s="28"/>
      <c r="I71" s="28"/>
      <c r="J71" s="28"/>
      <c r="K71" s="28"/>
      <c r="L71" s="28"/>
      <c r="M71" s="28"/>
      <c r="N71" s="28"/>
      <c r="O71" s="28"/>
      <c r="P71" s="28"/>
      <c r="Q71" s="28"/>
    </row>
    <row r="72" spans="1:17" ht="15" customHeight="1">
      <c r="A72" s="28"/>
      <c r="B72" s="28"/>
      <c r="C72" s="28"/>
      <c r="D72" s="28"/>
      <c r="E72" s="28"/>
      <c r="H72" s="28"/>
      <c r="I72" s="28"/>
      <c r="J72" s="28"/>
      <c r="K72" s="28"/>
      <c r="L72" s="28"/>
      <c r="M72" s="28"/>
      <c r="N72" s="28"/>
      <c r="O72" s="28"/>
      <c r="P72" s="28"/>
      <c r="Q72" s="28"/>
    </row>
    <row r="73" spans="1:17" ht="15" customHeight="1">
      <c r="A73" s="28"/>
      <c r="B73" s="28"/>
      <c r="C73" s="28"/>
      <c r="D73" s="28"/>
      <c r="E73" s="28"/>
      <c r="H73" s="28"/>
      <c r="I73" s="28"/>
      <c r="J73" s="28"/>
      <c r="K73" s="28"/>
      <c r="L73" s="28"/>
      <c r="M73" s="28"/>
      <c r="N73" s="28"/>
      <c r="O73" s="28"/>
      <c r="P73" s="28"/>
      <c r="Q73" s="28"/>
    </row>
    <row r="75" spans="1:17" ht="15" customHeight="1">
      <c r="A75" s="28"/>
      <c r="B75" s="28"/>
      <c r="C75" s="28"/>
      <c r="D75" s="28"/>
      <c r="E75" s="28"/>
      <c r="H75" s="28"/>
      <c r="I75" s="28"/>
      <c r="J75" s="28"/>
      <c r="K75" s="28"/>
      <c r="L75" s="28"/>
      <c r="M75" s="28"/>
      <c r="N75" s="28"/>
      <c r="O75" s="28"/>
      <c r="P75" s="28"/>
      <c r="Q75" s="28"/>
    </row>
    <row r="76" spans="1:17" ht="15" customHeight="1">
      <c r="A76" s="28"/>
      <c r="B76" s="28"/>
      <c r="C76" s="28"/>
      <c r="D76" s="28"/>
      <c r="E76" s="28"/>
      <c r="H76" s="28"/>
      <c r="I76" s="28"/>
      <c r="J76" s="28"/>
      <c r="K76" s="28"/>
      <c r="L76" s="28"/>
      <c r="M76" s="28"/>
      <c r="N76" s="28"/>
      <c r="O76" s="28"/>
      <c r="P76" s="28"/>
      <c r="Q76" s="28"/>
    </row>
    <row r="78" spans="1:17" ht="1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P78" s="28"/>
      <c r="Q78" s="28"/>
    </row>
    <row r="79" spans="1:17" ht="1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</row>
    <row r="81" spans="1:17" ht="15" customHeight="1">
      <c r="P81" s="28"/>
      <c r="Q81" s="28"/>
    </row>
    <row r="84" spans="1:17" ht="15" customHeight="1">
      <c r="F84" s="28"/>
      <c r="G84" s="28"/>
      <c r="H84" s="28"/>
    </row>
    <row r="85" spans="1:17" ht="15" customHeight="1">
      <c r="F85" s="28"/>
      <c r="G85" s="28"/>
      <c r="H85" s="28"/>
      <c r="I85" s="28"/>
    </row>
    <row r="88" spans="1:17" ht="1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</row>
    <row r="97" spans="1:17" ht="1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</row>
    <row r="98" spans="1:17" ht="1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</row>
    <row r="124" spans="1:17" ht="1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</row>
    <row r="125" spans="1:17" ht="1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</row>
    <row r="126" spans="1:17" ht="1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</row>
    <row r="127" spans="1:17" ht="1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 spans="1:17" ht="1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</row>
  </sheetData>
  <sortState xmlns:xlrd2="http://schemas.microsoft.com/office/spreadsheetml/2017/richdata2" ref="A2:Z58">
    <sortCondition ref="I2:I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Detailed Commission Statement</dc:title>
  <dc:creator>Crystal Decisions</dc:creator>
  <dc:description>Powered by Crystal</dc:description>
  <cp:lastModifiedBy>Loula Irene Cabel</cp:lastModifiedBy>
  <dcterms:created xsi:type="dcterms:W3CDTF">2026-02-13T16:47:24Z</dcterms:created>
  <dcterms:modified xsi:type="dcterms:W3CDTF">2026-02-17T20:57:22Z</dcterms:modified>
</cp:coreProperties>
</file>