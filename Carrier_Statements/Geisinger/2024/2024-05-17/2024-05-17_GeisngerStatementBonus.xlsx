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Geisgner/"/>
    </mc:Choice>
  </mc:AlternateContent>
  <xr:revisionPtr revIDLastSave="8" documentId="8_{18E50B95-A484-412B-B851-D32EB2AB84F7}" xr6:coauthVersionLast="47" xr6:coauthVersionMax="47" xr10:uidLastSave="{B5EEADB3-ED6E-47FA-8B63-7E92CE676A58}"/>
  <bookViews>
    <workbookView xWindow="28680" yWindow="-120" windowWidth="29040" windowHeight="15720" xr2:uid="{913AACFE-58D8-4C9D-A52F-4171423E0823}"/>
  </bookViews>
  <sheets>
    <sheet name="Commissions_Main Line Benefits,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5" i="1"/>
  <c r="F9" i="1"/>
  <c r="F3" i="1"/>
  <c r="F7" i="1"/>
  <c r="F14" i="1"/>
  <c r="F12" i="1"/>
  <c r="F6" i="1"/>
  <c r="F10" i="1"/>
  <c r="F4" i="1"/>
  <c r="F8" i="1"/>
  <c r="F2" i="1"/>
  <c r="F13" i="1"/>
</calcChain>
</file>

<file path=xl/sharedStrings.xml><?xml version="1.0" encoding="utf-8"?>
<sst xmlns="http://schemas.openxmlformats.org/spreadsheetml/2006/main" count="84" uniqueCount="38">
  <si>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</si>
  <si>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</si>
  <si>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</si>
  <si>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</si>
  <si>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</si>
  <si>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</si>
  <si>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</si>
  <si>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</si>
  <si>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</si>
  <si>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</si>
  <si>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</si>
  <si>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Lori</t>
  </si>
  <si>
    <t>Adam Richter</t>
  </si>
  <si>
    <t>Gregory Teipel</t>
  </si>
  <si>
    <t>B66548</t>
  </si>
  <si>
    <t>Virginia</t>
  </si>
  <si>
    <t>Hart</t>
  </si>
  <si>
    <t>Geisinger Health Plan U65</t>
  </si>
  <si>
    <t>GHP U65 2022-24 Year 2+ ST (ProRata: 1) Premium Period: Apr-24</t>
  </si>
  <si>
    <t>Scott Aguglia</t>
  </si>
  <si>
    <t>B67020</t>
  </si>
  <si>
    <t>Scott</t>
  </si>
  <si>
    <t>Benjamin</t>
  </si>
  <si>
    <t>B66308</t>
  </si>
  <si>
    <t>Kathy</t>
  </si>
  <si>
    <t>Bradley</t>
  </si>
  <si>
    <t>GHP U65 2022-24 Year 1 ST (ProRata: 1) Premium Period: Apr-24</t>
  </si>
  <si>
    <t>Peter Richter</t>
  </si>
  <si>
    <t>B24639</t>
  </si>
  <si>
    <t>Mark</t>
  </si>
  <si>
    <t>Lentes</t>
  </si>
  <si>
    <t>Patricia Long</t>
  </si>
  <si>
    <t>B29025</t>
  </si>
  <si>
    <t>Ida</t>
  </si>
  <si>
    <t>Howard</t>
  </si>
  <si>
    <t>Peluso</t>
  </si>
  <si>
    <t>GHP U65 2024 OR (ProRata: 1) Premium Period: Apr-24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</si>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</sst>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27D2-9EB9-4188-86F1-92ABBCB1A4FC}">
  <dimension ref="A1:L15"/>
  <sheetViews>
    <sheetView tabSelected="1" zoomScale="130" zoomScaleNormal="130" workbookViewId="0">
      <selection activeCell="B5" sqref="A5:XFD6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2.85546875" bestFit="1" customWidth="1"/>
    <col min="6" max="6" width="12.85546875" customWidth="1"/>
    <col min="7" max="7" width="17" customWidth="1"/>
    <col min="8" max="8" width="11.5703125" bestFit="1" customWidth="1"/>
    <col min="9" max="9" width="14.7109375" bestFit="1" customWidth="1"/>
    <col min="10" max="10" width="24" bestFit="1" customWidth="1"/>
    <col min="11" max="11" width="79.57031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F2" t="str">
        <f>CONCATENATE(D2," ",E2)</f>
        <v xml:space="preserve"> </v>
      </c>
      <c r="H2" s="1"/>
      <c r="I2" s="1"/>
      <c r="L2" s="2"/>
    </row>
    <row r="3" spans="1:12" x14ac:dyDescent="0.25">
      <c r="A3" t="s">
        <v>31</v>
      </c>
      <c r="B3" t="s">
        <v>32</v>
      </c>
      <c r="C3">
        <v>18794740</v>
      </c>
      <c r="D3" t="s">
        <v>33</v>
      </c>
      <c r="E3" t="s">
        <v>34</v>
      </c>
      <c r="F3" t="str">
        <f>CONCATENATE(D3," ",E3)</f>
        <v>Ida Howard</v>
      </c>
      <c r="G3">
        <v>20069611001</v>
      </c>
      <c r="H3" s="1">
        <v>45200</v>
      </c>
      <c r="I3" s="1">
        <v>45429</v>
      </c>
      <c r="J3" t="s">
        <v>17</v>
      </c>
      <c r="K3" t="s">
        <v>26</v>
      </c>
      <c r="L3" s="2">
        <v>20</v>
      </c>
    </row>
    <row r="4" spans="1:12" x14ac:dyDescent="0.25">
      <c r="A4" t="s">
        <v>31</v>
      </c>
      <c r="B4" t="s">
        <v>32</v>
      </c>
      <c r="C4">
        <v>18794740</v>
      </c>
      <c r="D4" t="s">
        <v>33</v>
      </c>
      <c r="E4" t="s">
        <v>34</v>
      </c>
      <c r="F4" t="str">
        <f>CONCATENATE(D4," ",E4)</f>
        <v>Ida Howard</v>
      </c>
      <c r="G4">
        <v>20069611001</v>
      </c>
      <c r="H4" s="1">
        <v>45200</v>
      </c>
      <c r="I4" s="1">
        <v>45429</v>
      </c>
      <c r="J4" t="s">
        <v>17</v>
      </c>
      <c r="K4" t="s">
        <v>36</v>
      </c>
      <c r="L4" s="2">
        <v>3</v>
      </c>
    </row>
    <row r="5" spans="1:12" x14ac:dyDescent="0.25">
      <c r="A5" t="s">
        <v>12</v>
      </c>
      <c r="B5" t="s">
        <v>23</v>
      </c>
      <c r="C5">
        <v>9079571</v>
      </c>
      <c r="D5" t="s">
        <v>24</v>
      </c>
      <c r="E5" t="s">
        <v>25</v>
      </c>
      <c r="F5" t="str">
        <f>CONCATENATE(D5," ",E5)</f>
        <v>Kathy Bradley</v>
      </c>
      <c r="G5">
        <v>20066182901</v>
      </c>
      <c r="H5" s="1">
        <v>45139</v>
      </c>
      <c r="I5" s="1">
        <v>45429</v>
      </c>
      <c r="J5" t="s">
        <v>17</v>
      </c>
      <c r="K5" t="s">
        <v>26</v>
      </c>
      <c r="L5" s="2">
        <v>20</v>
      </c>
    </row>
    <row r="6" spans="1:12" x14ac:dyDescent="0.25">
      <c r="A6" t="s">
        <v>12</v>
      </c>
      <c r="B6" t="s">
        <v>23</v>
      </c>
      <c r="C6">
        <v>9079571</v>
      </c>
      <c r="D6" t="s">
        <v>24</v>
      </c>
      <c r="E6" t="s">
        <v>25</v>
      </c>
      <c r="F6" t="str">
        <f>CONCATENATE(D6," ",E6)</f>
        <v>Kathy Bradley</v>
      </c>
      <c r="G6">
        <v>20066182901</v>
      </c>
      <c r="H6" s="1">
        <v>45139</v>
      </c>
      <c r="I6" s="1">
        <v>45429</v>
      </c>
      <c r="J6" t="s">
        <v>17</v>
      </c>
      <c r="K6" t="s">
        <v>36</v>
      </c>
      <c r="L6" s="2">
        <v>3</v>
      </c>
    </row>
    <row r="7" spans="1:12" x14ac:dyDescent="0.25">
      <c r="A7" t="s">
        <v>31</v>
      </c>
      <c r="B7" t="s">
        <v>32</v>
      </c>
      <c r="C7">
        <v>18794740</v>
      </c>
      <c r="D7" t="s">
        <v>11</v>
      </c>
      <c r="E7" t="s">
        <v>35</v>
      </c>
      <c r="F7" t="str">
        <f>CONCATENATE(D7," ",E7)</f>
        <v>Lori Peluso</v>
      </c>
      <c r="G7">
        <v>20074897401</v>
      </c>
      <c r="H7" s="1">
        <v>45292</v>
      </c>
      <c r="I7" s="1">
        <v>45429</v>
      </c>
      <c r="J7" t="s">
        <v>17</v>
      </c>
      <c r="K7" t="s">
        <v>26</v>
      </c>
      <c r="L7" s="2">
        <v>20</v>
      </c>
    </row>
    <row r="8" spans="1:12" x14ac:dyDescent="0.25">
      <c r="A8" t="s">
        <v>31</v>
      </c>
      <c r="B8" t="s">
        <v>32</v>
      </c>
      <c r="C8">
        <v>18794740</v>
      </c>
      <c r="D8" t="s">
        <v>11</v>
      </c>
      <c r="E8" t="s">
        <v>35</v>
      </c>
      <c r="F8" t="str">
        <f>CONCATENATE(D8," ",E8)</f>
        <v>Lori Peluso</v>
      </c>
      <c r="G8">
        <v>20074897401</v>
      </c>
      <c r="H8" s="1">
        <v>45292</v>
      </c>
      <c r="I8" s="1">
        <v>45429</v>
      </c>
      <c r="J8" t="s">
        <v>17</v>
      </c>
      <c r="K8" t="s">
        <v>36</v>
      </c>
      <c r="L8" s="2">
        <v>3</v>
      </c>
    </row>
    <row r="9" spans="1:12" x14ac:dyDescent="0.25">
      <c r="A9" t="s">
        <v>27</v>
      </c>
      <c r="B9" t="s">
        <v>28</v>
      </c>
      <c r="C9">
        <v>16509456</v>
      </c>
      <c r="D9" t="s">
        <v>29</v>
      </c>
      <c r="E9" t="s">
        <v>30</v>
      </c>
      <c r="F9" t="str">
        <f>CONCATENATE(D9," ",E9)</f>
        <v>Mark Lentes</v>
      </c>
      <c r="G9">
        <v>20039009601</v>
      </c>
      <c r="H9" s="1">
        <v>44531</v>
      </c>
      <c r="I9" s="1">
        <v>45429</v>
      </c>
      <c r="J9" t="s">
        <v>17</v>
      </c>
      <c r="K9" t="s">
        <v>18</v>
      </c>
      <c r="L9" s="2">
        <v>10</v>
      </c>
    </row>
    <row r="10" spans="1:12" x14ac:dyDescent="0.25">
      <c r="A10" t="s">
        <v>27</v>
      </c>
      <c r="B10" t="s">
        <v>28</v>
      </c>
      <c r="C10">
        <v>16509456</v>
      </c>
      <c r="D10" t="s">
        <v>29</v>
      </c>
      <c r="E10" t="s">
        <v>30</v>
      </c>
      <c r="F10" t="str">
        <f>CONCATENATE(D10," ",E10)</f>
        <v>Mark Lentes</v>
      </c>
      <c r="G10">
        <v>20039009601</v>
      </c>
      <c r="H10" s="1">
        <v>44531</v>
      </c>
      <c r="I10" s="1">
        <v>45429</v>
      </c>
      <c r="J10" t="s">
        <v>17</v>
      </c>
      <c r="K10" t="s">
        <v>36</v>
      </c>
      <c r="L10" s="2">
        <v>3</v>
      </c>
    </row>
    <row r="11" spans="1:12" x14ac:dyDescent="0.25">
      <c r="A11" t="s">
        <v>19</v>
      </c>
      <c r="B11" t="s">
        <v>20</v>
      </c>
      <c r="C11">
        <v>8971826</v>
      </c>
      <c r="D11" t="s">
        <v>21</v>
      </c>
      <c r="E11" t="s">
        <v>22</v>
      </c>
      <c r="F11" t="str">
        <f>CONCATENATE(D11," ",E11)</f>
        <v>Scott Benjamin</v>
      </c>
      <c r="G11">
        <v>20059179401</v>
      </c>
      <c r="H11" s="1">
        <v>44927</v>
      </c>
      <c r="I11" s="1">
        <v>45429</v>
      </c>
      <c r="J11" t="s">
        <v>17</v>
      </c>
      <c r="K11" t="s">
        <v>18</v>
      </c>
      <c r="L11" s="2">
        <v>10</v>
      </c>
    </row>
    <row r="12" spans="1:12" x14ac:dyDescent="0.25">
      <c r="A12" t="s">
        <v>19</v>
      </c>
      <c r="B12" t="s">
        <v>20</v>
      </c>
      <c r="C12">
        <v>8971826</v>
      </c>
      <c r="D12" t="s">
        <v>21</v>
      </c>
      <c r="E12" t="s">
        <v>22</v>
      </c>
      <c r="F12" t="str">
        <f>CONCATENATE(D12," ",E12)</f>
        <v>Scott Benjamin</v>
      </c>
      <c r="G12">
        <v>20059179401</v>
      </c>
      <c r="H12" s="1">
        <v>44927</v>
      </c>
      <c r="I12" s="1">
        <v>45429</v>
      </c>
      <c r="J12" t="s">
        <v>17</v>
      </c>
      <c r="K12" t="s">
        <v>36</v>
      </c>
      <c r="L12" s="2">
        <v>3</v>
      </c>
    </row>
    <row r="13" spans="1:12" x14ac:dyDescent="0.25">
      <c r="A13" t="s">
        <v>13</v>
      </c>
      <c r="B13" t="s">
        <v>14</v>
      </c>
      <c r="C13">
        <v>8307933</v>
      </c>
      <c r="D13" t="s">
        <v>15</v>
      </c>
      <c r="E13" t="s">
        <v>16</v>
      </c>
      <c r="F13" t="str">
        <f>CONCATENATE(D13," ",E13)</f>
        <v>Virginia Hart</v>
      </c>
      <c r="G13">
        <v>20039386701</v>
      </c>
      <c r="H13" s="1">
        <v>44562</v>
      </c>
      <c r="I13" s="1">
        <v>45429</v>
      </c>
      <c r="J13" t="s">
        <v>17</v>
      </c>
      <c r="K13" t="s">
        <v>18</v>
      </c>
      <c r="L13" s="2">
        <v>10</v>
      </c>
    </row>
    <row r="14" spans="1:12" x14ac:dyDescent="0.25">
      <c r="A14" t="s">
        <v>13</v>
      </c>
      <c r="B14" t="s">
        <v>14</v>
      </c>
      <c r="C14">
        <v>8307933</v>
      </c>
      <c r="D14" t="s">
        <v>15</v>
      </c>
      <c r="E14" t="s">
        <v>16</v>
      </c>
      <c r="F14" t="str">
        <f>CONCATENATE(D14," ",E14)</f>
        <v>Virginia Hart</v>
      </c>
      <c r="G14">
        <v>20039386701</v>
      </c>
      <c r="H14" s="1">
        <v>44562</v>
      </c>
      <c r="I14" s="1">
        <v>45429</v>
      </c>
      <c r="J14" t="s">
        <v>17</v>
      </c>
      <c r="K14" t="s">
        <v>36</v>
      </c>
      <c r="L14" s="2">
        <v>3</v>
      </c>
    </row>
    <row r="15" spans="1:12" x14ac:dyDescent="0.25">
      <c r="H15" s="1"/>
      <c r="I15" s="1"/>
      <c r="L15" s="2"/>
    </row>
  </sheetData>
  <sortState xmlns:xlrd2="http://schemas.microsoft.com/office/spreadsheetml/2017/richdata2" ref="A2:L14">
    <sortCondition ref="F2:F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2024-05-29T12:57:38Z</dcterms:created>
  <dcterms:modified xsi:type="dcterms:W3CDTF">2024-05-29T19:00:27Z</dcterms:modified>
</cp:coreProperties>
</file>