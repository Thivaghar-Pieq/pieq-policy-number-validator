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Geisinger/Geisinger 12-18-24/"/>
    </mc:Choice>
  </mc:AlternateContent>
  <xr:revisionPtr revIDLastSave="0" documentId="13_ncr:1_{E182710E-46CB-E24E-90A5-D33693677D3F}" xr6:coauthVersionLast="47" xr6:coauthVersionMax="47" xr10:uidLastSave="{00000000-0000-0000-0000-000000000000}"/>
  <bookViews>
    <workbookView minimized="1" xWindow="0" yWindow="500" windowWidth="19200" windowHeight="19360" activeTab="1" xr2:uid="{17565F1A-F452-2F45-8A44-27273189D8F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8" i="2"/>
  <c r="E5" i="2"/>
  <c r="E9" i="2"/>
  <c r="E10" i="2"/>
  <c r="E15" i="2"/>
  <c r="E11" i="2"/>
  <c r="E2" i="2"/>
  <c r="E12" i="2"/>
  <c r="E6" i="2"/>
  <c r="E13" i="2"/>
  <c r="E14" i="2"/>
  <c r="E7" i="2"/>
  <c r="E3" i="2"/>
  <c r="E16" i="2"/>
  <c r="E4" i="2"/>
  <c r="E8" i="2"/>
</calcChain>
</file>

<file path=xl/sharedStrings.xml><?xml version="1.0" encoding="utf-8"?>
<sst xmlns="http://schemas.openxmlformats.org/spreadsheetml/2006/main" count="181" uniqueCount="45">
  <si>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</si>
  <si>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</si>
  <si>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</si>
  <si>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</si>
  <si>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</si>
  <si>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</si>
  <si>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</si>
  <si>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</si>
  <si>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</si>
  <si>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</si>
  <si>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</si>
  <si>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</si>
  <si>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Dennis</t>
  </si>
  <si>
    <t>Brickley</t>
  </si>
  <si>
    <t>Geisinger Health Plan U65</t>
  </si>
  <si>
    <t>GHP U65 2024 OR (ProRata: 1) Premium Period: Nov-24</t>
  </si>
  <si>
    <t>Patricia Long</t>
  </si>
  <si>
    <t>B29025</t>
  </si>
  <si>
    <t>Ida</t>
  </si>
  <si>
    <t>Howard</t>
  </si>
  <si>
    <t>Adam Richter</t>
  </si>
  <si>
    <t>B66308</t>
  </si>
  <si>
    <t>Kathy</t>
  </si>
  <si>
    <t>Bradley</t>
  </si>
  <si>
    <t>Lori</t>
  </si>
  <si>
    <t>Peluso</t>
  </si>
  <si>
    <t>Carol Foley</t>
  </si>
  <si>
    <t>Luis</t>
  </si>
  <si>
    <t>Martinez</t>
  </si>
  <si>
    <t>Gregory Teipel</t>
  </si>
  <si>
    <t>B66548</t>
  </si>
  <si>
    <t>Virginia</t>
  </si>
  <si>
    <t>Hart</t>
  </si>
  <si>
    <t>William</t>
  </si>
  <si>
    <t>Bomboy Jr</t>
  </si>
  <si>
    <t>Debbie</t>
  </si>
  <si>
    <t>Dewald</t>
  </si>
  <si>
    <t>GHP U65 2024 OR (ProRata: 2) Premium Period: Nov-24</t>
  </si>
  <si>
    <t>William Schaeffer</t>
  </si>
  <si>
    <t>Buckley</t>
  </si>
  <si>
    <t>GHP U65 2024 OR (ProRata: 4) Premium Period: Nov-24</t>
  </si>
  <si>
    <t>GHP U65 2022-24 Year 2+ ST (ProRata: 1) Premium Period: Nov-24</t>
  </si>
  <si>
    <t>GHP U65 2022-24 Year 1 ST (ProRata: 1) Premium Period: Nov-24</t>
  </si>
  <si>
    <t>GHP U65 2022-24 Year 1 ST (ProRata: 4) Premium Period: Nov-24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</si>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</sst>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D588-9F34-4A48-B827-09A2C089EFAF}">
  <dimension ref="A1:K16"/>
  <sheetViews>
    <sheetView workbookViewId="0">
      <selection sqref="A1:XFD1048576"/>
    </sheetView>
  </sheetViews>
  <sheetFormatPr baseColWidth="10" defaultRowHeight="16" x14ac:dyDescent="0.2"/>
  <cols>
    <col min="2" max="2" width="10.83203125" style="2"/>
    <col min="6" max="6" width="12.1640625" bestFit="1" customWidth="1"/>
    <col min="9" max="9" width="22.33203125" bestFit="1" customWidth="1"/>
    <col min="10" max="10" width="54.83203125" bestFit="1" customWidth="1"/>
  </cols>
  <sheetData>
    <row r="1" spans="1:11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2">
        <v>17528908</v>
      </c>
      <c r="C2">
        <v>17528908</v>
      </c>
      <c r="D2" t="s">
        <v>12</v>
      </c>
      <c r="E2" t="s">
        <v>13</v>
      </c>
      <c r="F2">
        <v>20073239401</v>
      </c>
      <c r="G2" s="1">
        <v>45292</v>
      </c>
      <c r="H2" s="1">
        <v>45644</v>
      </c>
      <c r="I2" t="s">
        <v>14</v>
      </c>
      <c r="J2" t="s">
        <v>15</v>
      </c>
      <c r="K2">
        <v>3</v>
      </c>
    </row>
    <row r="3" spans="1:11" x14ac:dyDescent="0.2">
      <c r="A3" t="s">
        <v>16</v>
      </c>
      <c r="B3" s="2" t="s">
        <v>17</v>
      </c>
      <c r="C3">
        <v>18794740</v>
      </c>
      <c r="D3" t="s">
        <v>18</v>
      </c>
      <c r="E3" t="s">
        <v>19</v>
      </c>
      <c r="F3">
        <v>20069611001</v>
      </c>
      <c r="G3" s="1">
        <v>45200</v>
      </c>
      <c r="H3" s="1">
        <v>45644</v>
      </c>
      <c r="I3" t="s">
        <v>14</v>
      </c>
      <c r="J3" t="s">
        <v>15</v>
      </c>
      <c r="K3">
        <v>3</v>
      </c>
    </row>
    <row r="4" spans="1:11" x14ac:dyDescent="0.2">
      <c r="A4" t="s">
        <v>20</v>
      </c>
      <c r="B4" s="2" t="s">
        <v>21</v>
      </c>
      <c r="C4">
        <v>9079571</v>
      </c>
      <c r="D4" t="s">
        <v>22</v>
      </c>
      <c r="E4" t="s">
        <v>23</v>
      </c>
      <c r="F4">
        <v>20066182901</v>
      </c>
      <c r="G4" s="1">
        <v>45139</v>
      </c>
      <c r="H4" s="1">
        <v>45644</v>
      </c>
      <c r="I4" t="s">
        <v>14</v>
      </c>
      <c r="J4" t="s">
        <v>15</v>
      </c>
      <c r="K4">
        <v>3</v>
      </c>
    </row>
    <row r="5" spans="1:11" x14ac:dyDescent="0.2">
      <c r="A5" t="s">
        <v>16</v>
      </c>
      <c r="B5" s="2" t="s">
        <v>17</v>
      </c>
      <c r="C5">
        <v>18794740</v>
      </c>
      <c r="D5" t="s">
        <v>24</v>
      </c>
      <c r="E5" t="s">
        <v>25</v>
      </c>
      <c r="F5">
        <v>20074897401</v>
      </c>
      <c r="G5" s="1">
        <v>45292</v>
      </c>
      <c r="H5" s="1">
        <v>45644</v>
      </c>
      <c r="I5" t="s">
        <v>14</v>
      </c>
      <c r="J5" t="s">
        <v>15</v>
      </c>
      <c r="K5">
        <v>3</v>
      </c>
    </row>
    <row r="6" spans="1:11" x14ac:dyDescent="0.2">
      <c r="A6" t="s">
        <v>26</v>
      </c>
      <c r="C6">
        <v>17425766</v>
      </c>
      <c r="D6" t="s">
        <v>27</v>
      </c>
      <c r="E6" t="s">
        <v>28</v>
      </c>
      <c r="F6">
        <v>20028173801</v>
      </c>
      <c r="G6" s="1">
        <v>44044</v>
      </c>
      <c r="H6" s="1">
        <v>45644</v>
      </c>
      <c r="I6" t="s">
        <v>14</v>
      </c>
      <c r="J6" t="s">
        <v>15</v>
      </c>
      <c r="K6">
        <v>3</v>
      </c>
    </row>
    <row r="7" spans="1:11" x14ac:dyDescent="0.2">
      <c r="A7" t="s">
        <v>29</v>
      </c>
      <c r="B7" s="2" t="s">
        <v>30</v>
      </c>
      <c r="C7">
        <v>8307933</v>
      </c>
      <c r="D7" t="s">
        <v>31</v>
      </c>
      <c r="E7" t="s">
        <v>32</v>
      </c>
      <c r="F7">
        <v>20039386701</v>
      </c>
      <c r="G7" s="1">
        <v>44562</v>
      </c>
      <c r="H7" s="1">
        <v>45644</v>
      </c>
      <c r="I7" t="s">
        <v>14</v>
      </c>
      <c r="J7" t="s">
        <v>15</v>
      </c>
      <c r="K7">
        <v>3</v>
      </c>
    </row>
    <row r="8" spans="1:11" x14ac:dyDescent="0.2">
      <c r="A8" t="s">
        <v>26</v>
      </c>
      <c r="C8">
        <v>17425766</v>
      </c>
      <c r="D8" t="s">
        <v>33</v>
      </c>
      <c r="E8" t="s">
        <v>34</v>
      </c>
      <c r="F8">
        <v>20027778301</v>
      </c>
      <c r="G8" s="1">
        <v>44013</v>
      </c>
      <c r="H8" s="1">
        <v>45644</v>
      </c>
      <c r="I8" t="s">
        <v>14</v>
      </c>
      <c r="J8" t="s">
        <v>15</v>
      </c>
      <c r="K8">
        <v>3</v>
      </c>
    </row>
    <row r="9" spans="1:11" x14ac:dyDescent="0.2">
      <c r="A9" t="s">
        <v>26</v>
      </c>
      <c r="C9">
        <v>17425766</v>
      </c>
      <c r="D9" t="s">
        <v>35</v>
      </c>
      <c r="E9" t="s">
        <v>36</v>
      </c>
      <c r="F9">
        <v>20087098801</v>
      </c>
      <c r="G9" s="1">
        <v>45597</v>
      </c>
      <c r="H9" s="1">
        <v>45644</v>
      </c>
      <c r="I9" t="s">
        <v>14</v>
      </c>
      <c r="J9" t="s">
        <v>37</v>
      </c>
      <c r="K9">
        <v>6</v>
      </c>
    </row>
    <row r="10" spans="1:11" x14ac:dyDescent="0.2">
      <c r="A10" t="s">
        <v>38</v>
      </c>
      <c r="C10">
        <v>18010408</v>
      </c>
      <c r="D10" t="s">
        <v>33</v>
      </c>
      <c r="E10" t="s">
        <v>39</v>
      </c>
      <c r="F10">
        <v>20088090901</v>
      </c>
      <c r="G10" s="1">
        <v>45597</v>
      </c>
      <c r="H10" s="1">
        <v>45644</v>
      </c>
      <c r="I10" t="s">
        <v>14</v>
      </c>
      <c r="J10" t="s">
        <v>40</v>
      </c>
      <c r="K10">
        <v>12</v>
      </c>
    </row>
    <row r="11" spans="1:11" x14ac:dyDescent="0.2">
      <c r="A11" t="s">
        <v>20</v>
      </c>
      <c r="B11" s="2" t="s">
        <v>21</v>
      </c>
      <c r="C11">
        <v>9079571</v>
      </c>
      <c r="D11" t="s">
        <v>22</v>
      </c>
      <c r="E11" t="s">
        <v>23</v>
      </c>
      <c r="F11">
        <v>20066182901</v>
      </c>
      <c r="G11" s="1">
        <v>45139</v>
      </c>
      <c r="H11" s="1">
        <v>45644</v>
      </c>
      <c r="I11" t="s">
        <v>14</v>
      </c>
      <c r="J11" t="s">
        <v>41</v>
      </c>
      <c r="K11">
        <v>10</v>
      </c>
    </row>
    <row r="12" spans="1:11" x14ac:dyDescent="0.2">
      <c r="A12" t="s">
        <v>11</v>
      </c>
      <c r="B12" s="2">
        <v>17528908</v>
      </c>
      <c r="C12">
        <v>17528908</v>
      </c>
      <c r="D12" t="s">
        <v>12</v>
      </c>
      <c r="E12" t="s">
        <v>13</v>
      </c>
      <c r="F12">
        <v>20073239401</v>
      </c>
      <c r="G12" s="1">
        <v>45292</v>
      </c>
      <c r="H12" s="1">
        <v>45644</v>
      </c>
      <c r="I12" t="s">
        <v>14</v>
      </c>
      <c r="J12" t="s">
        <v>42</v>
      </c>
      <c r="K12">
        <v>20</v>
      </c>
    </row>
    <row r="13" spans="1:11" x14ac:dyDescent="0.2">
      <c r="A13" t="s">
        <v>29</v>
      </c>
      <c r="B13" s="2" t="s">
        <v>30</v>
      </c>
      <c r="C13">
        <v>8307933</v>
      </c>
      <c r="D13" t="s">
        <v>31</v>
      </c>
      <c r="E13" t="s">
        <v>32</v>
      </c>
      <c r="F13">
        <v>20039386701</v>
      </c>
      <c r="G13" s="1">
        <v>44562</v>
      </c>
      <c r="H13" s="1">
        <v>45644</v>
      </c>
      <c r="I13" t="s">
        <v>14</v>
      </c>
      <c r="J13" t="s">
        <v>41</v>
      </c>
      <c r="K13">
        <v>10</v>
      </c>
    </row>
    <row r="14" spans="1:11" x14ac:dyDescent="0.2">
      <c r="A14" t="s">
        <v>16</v>
      </c>
      <c r="B14" s="2" t="s">
        <v>17</v>
      </c>
      <c r="C14">
        <v>18794740</v>
      </c>
      <c r="D14" t="s">
        <v>18</v>
      </c>
      <c r="E14" t="s">
        <v>19</v>
      </c>
      <c r="F14">
        <v>20069611001</v>
      </c>
      <c r="G14" s="1">
        <v>45200</v>
      </c>
      <c r="H14" s="1">
        <v>45644</v>
      </c>
      <c r="I14" t="s">
        <v>14</v>
      </c>
      <c r="J14" t="s">
        <v>41</v>
      </c>
      <c r="K14">
        <v>10</v>
      </c>
    </row>
    <row r="15" spans="1:11" x14ac:dyDescent="0.2">
      <c r="A15" t="s">
        <v>16</v>
      </c>
      <c r="B15" s="2" t="s">
        <v>17</v>
      </c>
      <c r="C15">
        <v>18794740</v>
      </c>
      <c r="D15" t="s">
        <v>24</v>
      </c>
      <c r="E15" t="s">
        <v>25</v>
      </c>
      <c r="F15">
        <v>20074897401</v>
      </c>
      <c r="G15" s="1">
        <v>45292</v>
      </c>
      <c r="H15" s="1">
        <v>45644</v>
      </c>
      <c r="I15" t="s">
        <v>14</v>
      </c>
      <c r="J15" t="s">
        <v>42</v>
      </c>
      <c r="K15">
        <v>20</v>
      </c>
    </row>
    <row r="16" spans="1:11" x14ac:dyDescent="0.2">
      <c r="A16" t="s">
        <v>38</v>
      </c>
      <c r="C16">
        <v>18010408</v>
      </c>
      <c r="D16" t="s">
        <v>33</v>
      </c>
      <c r="E16" t="s">
        <v>39</v>
      </c>
      <c r="F16">
        <v>20088090901</v>
      </c>
      <c r="G16" s="1">
        <v>45597</v>
      </c>
      <c r="H16" s="1">
        <v>45644</v>
      </c>
      <c r="I16" t="s">
        <v>14</v>
      </c>
      <c r="J16" t="s">
        <v>43</v>
      </c>
      <c r="K16">
        <v>80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0BE1-7311-CB4C-9E67-ACF2505F3A21}">
  <dimension ref="A1:L16"/>
  <sheetViews>
    <sheetView tabSelected="1" topLeftCell="G1" workbookViewId="0">
      <selection activeCell="K24" sqref="K24"/>
    </sheetView>
  </sheetViews>
  <sheetFormatPr baseColWidth="10" defaultRowHeight="16" x14ac:dyDescent="0.2"/>
  <cols>
    <col min="1" max="1" width="15.33203125" bestFit="1" customWidth="1"/>
    <col min="5" max="6" width="12.1640625" bestFit="1" customWidth="1"/>
    <col min="7" max="7" width="13.1640625" bestFit="1" customWidth="1"/>
    <col min="10" max="10" width="22.33203125" bestFit="1" customWidth="1"/>
    <col min="11" max="11" width="54.83203125" bestFit="1" customWidth="1"/>
  </cols>
  <sheetData>
    <row r="1" spans="1:12" x14ac:dyDescent="0.2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17528908</v>
      </c>
      <c r="C2" t="s">
        <v>12</v>
      </c>
      <c r="D2" t="s">
        <v>13</v>
      </c>
      <c r="E2" t="str">
        <f>CONCATENATE(C2, " ",D2)</f>
        <v>Dennis Brickley</v>
      </c>
      <c r="F2">
        <v>20073239401</v>
      </c>
      <c r="G2">
        <v>20073239401</v>
      </c>
      <c r="H2" s="1">
        <v>45292</v>
      </c>
      <c r="I2" s="1">
        <v>45644</v>
      </c>
      <c r="J2" t="s">
        <v>14</v>
      </c>
      <c r="K2" t="s">
        <v>42</v>
      </c>
      <c r="L2">
        <v>20</v>
      </c>
    </row>
    <row r="3" spans="1:12" x14ac:dyDescent="0.2">
      <c r="A3" t="s">
        <v>16</v>
      </c>
      <c r="B3">
        <v>18794740</v>
      </c>
      <c r="C3" t="s">
        <v>24</v>
      </c>
      <c r="D3" t="s">
        <v>25</v>
      </c>
      <c r="E3" t="str">
        <f>CONCATENATE(C3, " ",D3)</f>
        <v>Lori Peluso</v>
      </c>
      <c r="F3">
        <v>20074897401</v>
      </c>
      <c r="G3">
        <v>20074897401</v>
      </c>
      <c r="H3" s="1">
        <v>45292</v>
      </c>
      <c r="I3" s="1">
        <v>45644</v>
      </c>
      <c r="J3" t="s">
        <v>14</v>
      </c>
      <c r="K3" t="s">
        <v>42</v>
      </c>
      <c r="L3">
        <v>20</v>
      </c>
    </row>
    <row r="4" spans="1:12" x14ac:dyDescent="0.2">
      <c r="A4" t="s">
        <v>38</v>
      </c>
      <c r="B4">
        <v>18010408</v>
      </c>
      <c r="C4" t="s">
        <v>33</v>
      </c>
      <c r="D4" t="s">
        <v>39</v>
      </c>
      <c r="E4" t="str">
        <f>CONCATENATE(C4, " ",D4)</f>
        <v>William Buckley</v>
      </c>
      <c r="F4">
        <v>20088090901</v>
      </c>
      <c r="G4">
        <v>20088090901</v>
      </c>
      <c r="H4" s="1">
        <v>45597</v>
      </c>
      <c r="I4" s="1">
        <v>45644</v>
      </c>
      <c r="J4" t="s">
        <v>14</v>
      </c>
      <c r="K4" t="s">
        <v>43</v>
      </c>
      <c r="L4">
        <v>80</v>
      </c>
    </row>
    <row r="5" spans="1:12" x14ac:dyDescent="0.2">
      <c r="A5" t="s">
        <v>20</v>
      </c>
      <c r="B5">
        <v>9079571</v>
      </c>
      <c r="C5" t="s">
        <v>22</v>
      </c>
      <c r="D5" t="s">
        <v>23</v>
      </c>
      <c r="E5" t="str">
        <f>CONCATENATE(C5, " ",D5)</f>
        <v>Kathy Bradley</v>
      </c>
      <c r="F5">
        <v>20066182901</v>
      </c>
      <c r="G5">
        <v>20066182901</v>
      </c>
      <c r="H5" s="1">
        <v>45139</v>
      </c>
      <c r="I5" s="1">
        <v>45644</v>
      </c>
      <c r="J5" t="s">
        <v>14</v>
      </c>
      <c r="K5" t="s">
        <v>41</v>
      </c>
      <c r="L5">
        <v>10</v>
      </c>
    </row>
    <row r="6" spans="1:12" x14ac:dyDescent="0.2">
      <c r="A6" t="s">
        <v>29</v>
      </c>
      <c r="B6">
        <v>8307933</v>
      </c>
      <c r="C6" t="s">
        <v>31</v>
      </c>
      <c r="D6" t="s">
        <v>32</v>
      </c>
      <c r="E6" t="str">
        <f>CONCATENATE(C6, " ",D6)</f>
        <v>Virginia Hart</v>
      </c>
      <c r="F6">
        <v>20039386701</v>
      </c>
      <c r="G6">
        <v>20039386701</v>
      </c>
      <c r="H6" s="1">
        <v>44562</v>
      </c>
      <c r="I6" s="1">
        <v>45644</v>
      </c>
      <c r="J6" t="s">
        <v>14</v>
      </c>
      <c r="K6" t="s">
        <v>41</v>
      </c>
      <c r="L6">
        <v>10</v>
      </c>
    </row>
    <row r="7" spans="1:12" x14ac:dyDescent="0.2">
      <c r="A7" t="s">
        <v>16</v>
      </c>
      <c r="B7">
        <v>18794740</v>
      </c>
      <c r="C7" t="s">
        <v>18</v>
      </c>
      <c r="D7" t="s">
        <v>19</v>
      </c>
      <c r="E7" t="str">
        <f>CONCATENATE(C7, " ",D7)</f>
        <v>Ida Howard</v>
      </c>
      <c r="F7">
        <v>20069611001</v>
      </c>
      <c r="G7">
        <v>20069611001</v>
      </c>
      <c r="H7" s="1">
        <v>45200</v>
      </c>
      <c r="I7" s="1">
        <v>45644</v>
      </c>
      <c r="J7" t="s">
        <v>14</v>
      </c>
      <c r="K7" t="s">
        <v>41</v>
      </c>
      <c r="L7">
        <v>10</v>
      </c>
    </row>
    <row r="8" spans="1:12" x14ac:dyDescent="0.2">
      <c r="A8" t="s">
        <v>20</v>
      </c>
      <c r="B8">
        <v>9079571</v>
      </c>
      <c r="C8" t="s">
        <v>22</v>
      </c>
      <c r="D8" t="s">
        <v>23</v>
      </c>
      <c r="E8" t="str">
        <f>CONCATENATE(C8, " ",D8)</f>
        <v>Kathy Bradley</v>
      </c>
      <c r="F8">
        <v>20066182901</v>
      </c>
      <c r="G8" t="str">
        <f>CONCATENATE(1,F8)</f>
        <v>120066182901</v>
      </c>
      <c r="H8" s="1">
        <v>45139</v>
      </c>
      <c r="I8" s="1">
        <v>45644</v>
      </c>
      <c r="J8" t="s">
        <v>14</v>
      </c>
      <c r="K8" t="s">
        <v>15</v>
      </c>
      <c r="L8">
        <v>3</v>
      </c>
    </row>
    <row r="9" spans="1:12" x14ac:dyDescent="0.2">
      <c r="A9" t="s">
        <v>26</v>
      </c>
      <c r="B9" t="s">
        <v>44</v>
      </c>
      <c r="C9" t="s">
        <v>27</v>
      </c>
      <c r="D9" t="s">
        <v>28</v>
      </c>
      <c r="E9" t="str">
        <f>CONCATENATE(C9, " ",D9)</f>
        <v>Luis Martinez</v>
      </c>
      <c r="F9">
        <v>20028173801</v>
      </c>
      <c r="G9" t="str">
        <f t="shared" ref="G9:G16" si="0">CONCATENATE(1,F9)</f>
        <v>120028173801</v>
      </c>
      <c r="H9" s="1">
        <v>44044</v>
      </c>
      <c r="I9" s="1">
        <v>45644</v>
      </c>
      <c r="J9" t="s">
        <v>14</v>
      </c>
      <c r="K9" t="s">
        <v>15</v>
      </c>
      <c r="L9">
        <v>3</v>
      </c>
    </row>
    <row r="10" spans="1:12" x14ac:dyDescent="0.2">
      <c r="A10" t="s">
        <v>26</v>
      </c>
      <c r="B10" t="s">
        <v>44</v>
      </c>
      <c r="C10" t="s">
        <v>33</v>
      </c>
      <c r="D10" t="s">
        <v>34</v>
      </c>
      <c r="E10" t="str">
        <f>CONCATENATE(C10, " ",D10)</f>
        <v>William Bomboy Jr</v>
      </c>
      <c r="F10">
        <v>20027778301</v>
      </c>
      <c r="G10" t="str">
        <f t="shared" si="0"/>
        <v>120027778301</v>
      </c>
      <c r="H10" s="1">
        <v>44013</v>
      </c>
      <c r="I10" s="1">
        <v>45644</v>
      </c>
      <c r="J10" t="s">
        <v>14</v>
      </c>
      <c r="K10" t="s">
        <v>15</v>
      </c>
      <c r="L10">
        <v>3</v>
      </c>
    </row>
    <row r="11" spans="1:12" x14ac:dyDescent="0.2">
      <c r="A11" t="s">
        <v>11</v>
      </c>
      <c r="B11">
        <v>17528908</v>
      </c>
      <c r="C11" t="s">
        <v>12</v>
      </c>
      <c r="D11" t="s">
        <v>13</v>
      </c>
      <c r="E11" t="str">
        <f>CONCATENATE(C11, " ",D11)</f>
        <v>Dennis Brickley</v>
      </c>
      <c r="F11">
        <v>20073239401</v>
      </c>
      <c r="G11" t="str">
        <f t="shared" si="0"/>
        <v>120073239401</v>
      </c>
      <c r="H11" s="1">
        <v>45292</v>
      </c>
      <c r="I11" s="1">
        <v>45644</v>
      </c>
      <c r="J11" t="s">
        <v>14</v>
      </c>
      <c r="K11" t="s">
        <v>15</v>
      </c>
      <c r="L11">
        <v>3</v>
      </c>
    </row>
    <row r="12" spans="1:12" x14ac:dyDescent="0.2">
      <c r="A12" t="s">
        <v>29</v>
      </c>
      <c r="B12">
        <v>8307933</v>
      </c>
      <c r="C12" t="s">
        <v>31</v>
      </c>
      <c r="D12" t="s">
        <v>32</v>
      </c>
      <c r="E12" t="str">
        <f>CONCATENATE(C12, " ",D12)</f>
        <v>Virginia Hart</v>
      </c>
      <c r="F12">
        <v>20039386701</v>
      </c>
      <c r="G12" t="str">
        <f t="shared" si="0"/>
        <v>120039386701</v>
      </c>
      <c r="H12" s="1">
        <v>44562</v>
      </c>
      <c r="I12" s="1">
        <v>45644</v>
      </c>
      <c r="J12" t="s">
        <v>14</v>
      </c>
      <c r="K12" t="s">
        <v>15</v>
      </c>
      <c r="L12">
        <v>3</v>
      </c>
    </row>
    <row r="13" spans="1:12" x14ac:dyDescent="0.2">
      <c r="A13" t="s">
        <v>16</v>
      </c>
      <c r="B13">
        <v>18794740</v>
      </c>
      <c r="C13" t="s">
        <v>18</v>
      </c>
      <c r="D13" t="s">
        <v>19</v>
      </c>
      <c r="E13" t="str">
        <f>CONCATENATE(C13, " ",D13)</f>
        <v>Ida Howard</v>
      </c>
      <c r="F13">
        <v>20069611001</v>
      </c>
      <c r="G13" t="str">
        <f t="shared" si="0"/>
        <v>120069611001</v>
      </c>
      <c r="H13" s="1">
        <v>45200</v>
      </c>
      <c r="I13" s="1">
        <v>45644</v>
      </c>
      <c r="J13" t="s">
        <v>14</v>
      </c>
      <c r="K13" t="s">
        <v>15</v>
      </c>
      <c r="L13">
        <v>3</v>
      </c>
    </row>
    <row r="14" spans="1:12" x14ac:dyDescent="0.2">
      <c r="A14" t="s">
        <v>16</v>
      </c>
      <c r="B14">
        <v>18794740</v>
      </c>
      <c r="C14" t="s">
        <v>24</v>
      </c>
      <c r="D14" t="s">
        <v>25</v>
      </c>
      <c r="E14" t="str">
        <f>CONCATENATE(C14, " ",D14)</f>
        <v>Lori Peluso</v>
      </c>
      <c r="F14">
        <v>20074897401</v>
      </c>
      <c r="G14" t="str">
        <f t="shared" si="0"/>
        <v>120074897401</v>
      </c>
      <c r="H14" s="1">
        <v>45292</v>
      </c>
      <c r="I14" s="1">
        <v>45644</v>
      </c>
      <c r="J14" t="s">
        <v>14</v>
      </c>
      <c r="K14" t="s">
        <v>15</v>
      </c>
      <c r="L14">
        <v>3</v>
      </c>
    </row>
    <row r="15" spans="1:12" x14ac:dyDescent="0.2">
      <c r="A15" t="s">
        <v>26</v>
      </c>
      <c r="B15">
        <v>17425766</v>
      </c>
      <c r="C15" t="s">
        <v>35</v>
      </c>
      <c r="D15" t="s">
        <v>36</v>
      </c>
      <c r="E15" t="str">
        <f>CONCATENATE(C15, " ",D15)</f>
        <v>Debbie Dewald</v>
      </c>
      <c r="F15">
        <v>20087098801</v>
      </c>
      <c r="G15" t="str">
        <f t="shared" si="0"/>
        <v>120087098801</v>
      </c>
      <c r="H15" s="1">
        <v>45597</v>
      </c>
      <c r="I15" s="1">
        <v>45644</v>
      </c>
      <c r="J15" t="s">
        <v>14</v>
      </c>
      <c r="K15" t="s">
        <v>37</v>
      </c>
      <c r="L15">
        <v>6</v>
      </c>
    </row>
    <row r="16" spans="1:12" x14ac:dyDescent="0.2">
      <c r="A16" t="s">
        <v>38</v>
      </c>
      <c r="B16">
        <v>18010408</v>
      </c>
      <c r="C16" t="s">
        <v>33</v>
      </c>
      <c r="D16" t="s">
        <v>39</v>
      </c>
      <c r="E16" t="str">
        <f>CONCATENATE(C16, " ",D16)</f>
        <v>William Buckley</v>
      </c>
      <c r="F16">
        <v>20088090901</v>
      </c>
      <c r="G16" t="str">
        <f t="shared" si="0"/>
        <v>120088090901</v>
      </c>
      <c r="H16" s="1">
        <v>45597</v>
      </c>
      <c r="I16" s="1">
        <v>45644</v>
      </c>
      <c r="J16" t="s">
        <v>14</v>
      </c>
      <c r="K16" t="s">
        <v>40</v>
      </c>
      <c r="L16">
        <v>12</v>
      </c>
    </row>
  </sheetData>
  <sortState xmlns:xlrd2="http://schemas.microsoft.com/office/spreadsheetml/2017/richdata2" ref="A2:M17">
    <sortCondition ref="K2:K1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2024-12-19T13:32:50Z</dcterms:created>
  <dcterms:modified xsi:type="dcterms:W3CDTF">2024-12-19T21:36:16Z</dcterms:modified>
</cp:coreProperties>
</file>