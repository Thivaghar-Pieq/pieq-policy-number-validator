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Geisinger/Geisinger 11-21-24/"/>
    </mc:Choice>
  </mc:AlternateContent>
  <xr:revisionPtr revIDLastSave="0" documentId="13_ncr:1_{1FD9FA6F-BD71-F943-9F25-4B2F7811097F}" xr6:coauthVersionLast="47" xr6:coauthVersionMax="47" xr10:uidLastSave="{00000000-0000-0000-0000-000000000000}"/>
  <bookViews>
    <workbookView xWindow="0" yWindow="500" windowWidth="19200" windowHeight="19340" activeTab="1" xr2:uid="{13DE888D-6A41-1049-B695-2003CDEBD8E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7" i="2"/>
  <c r="F3" i="2"/>
  <c r="F2" i="2"/>
  <c r="F7" i="2"/>
  <c r="F4" i="2"/>
  <c r="F5" i="2"/>
  <c r="F6" i="2"/>
  <c r="F8" i="2"/>
</calcChain>
</file>

<file path=xl/sharedStrings.xml><?xml version="1.0" encoding="utf-8"?>
<sst xmlns="http://schemas.openxmlformats.org/spreadsheetml/2006/main" count="150" uniqueCount="41">
  <si>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</si>
  <si>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</si>
  <si>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</si>
  <si>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</si>
  <si>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</si>
  <si>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</si>
  <si>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</si>
  <si>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</si>
  <si>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</si>
  <si>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</si>
  <si>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</si>
  <si>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</si>
  <si>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William</t>
  </si>
  <si>
    <t>Bomboy Jr</t>
  </si>
  <si>
    <t>Geisinger Health Plan U65</t>
  </si>
  <si>
    <t>GHP U65 2024 OR (ProRata: 1) Premium Period: 10/2024</t>
  </si>
  <si>
    <t>$3.00</t>
  </si>
  <si>
    <t>Luis</t>
  </si>
  <si>
    <t>Martinez</t>
  </si>
  <si>
    <t>Adam Richter</t>
  </si>
  <si>
    <t>B66308</t>
  </si>
  <si>
    <t>Kathy</t>
  </si>
  <si>
    <t>Bradley</t>
  </si>
  <si>
    <t>Gregory Teipel</t>
  </si>
  <si>
    <t>B66548</t>
  </si>
  <si>
    <t>Virginia</t>
  </si>
  <si>
    <t>Hart</t>
  </si>
  <si>
    <t>Patricia Long</t>
  </si>
  <si>
    <t>B29025</t>
  </si>
  <si>
    <t>Ida</t>
  </si>
  <si>
    <t>Howard</t>
  </si>
  <si>
    <t>Lori</t>
  </si>
  <si>
    <t>Peluso</t>
  </si>
  <si>
    <t>Deborah Inskipt</t>
  </si>
  <si>
    <t>Dennis</t>
  </si>
  <si>
    <t>Brickley</t>
  </si>
  <si>
    <t>GHP U65 2022-24 Year 2+ ST (ProRata: 1) Premium Period: 10/2024</t>
  </si>
  <si>
    <t>$10.00</t>
  </si>
  <si>
    <t>GHP U65 2022-24 Year 1 ST (ProRata: 1) Premium Period: 10/2024</t>
  </si>
  <si>
    <t>$20.00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</si>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</sst>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Fill="1"/>
    <xf numFmtId="14" fontId="0" fillId="0" borderId="0" xfId="0" applyNumberFormat="1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993C-D863-A644-9917-6EF61F983167}">
  <dimension ref="A1:K13"/>
  <sheetViews>
    <sheetView workbookViewId="0">
      <selection sqref="A1:XFD1048576"/>
    </sheetView>
  </sheetViews>
  <sheetFormatPr baseColWidth="10" defaultRowHeight="16" x14ac:dyDescent="0.2"/>
  <cols>
    <col min="9" max="9" width="22.33203125" bestFit="1" customWidth="1"/>
    <col min="11" max="11" width="10.83203125" style="2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</row>
    <row r="2" spans="1:11" x14ac:dyDescent="0.2">
      <c r="A2" t="s">
        <v>11</v>
      </c>
      <c r="C2">
        <v>17425766</v>
      </c>
      <c r="D2" t="s">
        <v>12</v>
      </c>
      <c r="E2" t="s">
        <v>13</v>
      </c>
      <c r="F2">
        <v>20027778301</v>
      </c>
      <c r="G2" s="1">
        <v>44013</v>
      </c>
      <c r="H2" s="1">
        <v>45617</v>
      </c>
      <c r="I2" t="s">
        <v>14</v>
      </c>
      <c r="J2" t="s">
        <v>15</v>
      </c>
      <c r="K2" s="2" t="s">
        <v>16</v>
      </c>
    </row>
    <row r="3" spans="1:11" x14ac:dyDescent="0.2">
      <c r="A3" t="s">
        <v>11</v>
      </c>
      <c r="C3">
        <v>17425766</v>
      </c>
      <c r="D3" t="s">
        <v>17</v>
      </c>
      <c r="E3" t="s">
        <v>18</v>
      </c>
      <c r="F3">
        <v>20028173801</v>
      </c>
      <c r="G3" s="1">
        <v>44044</v>
      </c>
      <c r="H3" s="1">
        <v>45617</v>
      </c>
      <c r="I3" t="s">
        <v>14</v>
      </c>
      <c r="J3" t="s">
        <v>15</v>
      </c>
      <c r="K3" s="2" t="s">
        <v>16</v>
      </c>
    </row>
    <row r="4" spans="1:11" x14ac:dyDescent="0.2">
      <c r="A4" t="s">
        <v>19</v>
      </c>
      <c r="B4" t="s">
        <v>20</v>
      </c>
      <c r="C4">
        <v>9079571</v>
      </c>
      <c r="D4" t="s">
        <v>21</v>
      </c>
      <c r="E4" t="s">
        <v>22</v>
      </c>
      <c r="F4">
        <v>20066182901</v>
      </c>
      <c r="G4" s="1">
        <v>45139</v>
      </c>
      <c r="H4" s="1">
        <v>45617</v>
      </c>
      <c r="I4" t="s">
        <v>14</v>
      </c>
      <c r="J4" t="s">
        <v>15</v>
      </c>
      <c r="K4" s="2" t="s">
        <v>16</v>
      </c>
    </row>
    <row r="5" spans="1:11" x14ac:dyDescent="0.2">
      <c r="A5" t="s">
        <v>23</v>
      </c>
      <c r="B5" t="s">
        <v>24</v>
      </c>
      <c r="C5">
        <v>8307933</v>
      </c>
      <c r="D5" t="s">
        <v>25</v>
      </c>
      <c r="E5" t="s">
        <v>26</v>
      </c>
      <c r="F5">
        <v>20039386701</v>
      </c>
      <c r="G5" s="1">
        <v>44562</v>
      </c>
      <c r="H5" s="1">
        <v>45617</v>
      </c>
      <c r="I5" t="s">
        <v>14</v>
      </c>
      <c r="J5" t="s">
        <v>15</v>
      </c>
      <c r="K5" s="2" t="s">
        <v>16</v>
      </c>
    </row>
    <row r="6" spans="1:11" x14ac:dyDescent="0.2">
      <c r="A6" t="s">
        <v>27</v>
      </c>
      <c r="B6" t="s">
        <v>28</v>
      </c>
      <c r="C6">
        <v>18794740</v>
      </c>
      <c r="D6" t="s">
        <v>29</v>
      </c>
      <c r="E6" t="s">
        <v>30</v>
      </c>
      <c r="F6">
        <v>20069611001</v>
      </c>
      <c r="G6" s="1">
        <v>45200</v>
      </c>
      <c r="H6" s="1">
        <v>45617</v>
      </c>
      <c r="I6" t="s">
        <v>14</v>
      </c>
      <c r="J6" t="s">
        <v>15</v>
      </c>
      <c r="K6" s="2" t="s">
        <v>16</v>
      </c>
    </row>
    <row r="7" spans="1:11" x14ac:dyDescent="0.2">
      <c r="A7" t="s">
        <v>27</v>
      </c>
      <c r="B7" t="s">
        <v>28</v>
      </c>
      <c r="C7">
        <v>18794740</v>
      </c>
      <c r="D7" t="s">
        <v>31</v>
      </c>
      <c r="E7" t="s">
        <v>32</v>
      </c>
      <c r="F7">
        <v>20074897401</v>
      </c>
      <c r="G7" s="1">
        <v>45292</v>
      </c>
      <c r="H7" s="1">
        <v>45617</v>
      </c>
      <c r="I7" t="s">
        <v>14</v>
      </c>
      <c r="J7" t="s">
        <v>15</v>
      </c>
      <c r="K7" s="2" t="s">
        <v>16</v>
      </c>
    </row>
    <row r="8" spans="1:11" x14ac:dyDescent="0.2">
      <c r="A8" t="s">
        <v>33</v>
      </c>
      <c r="B8">
        <v>17528908</v>
      </c>
      <c r="C8">
        <v>17528908</v>
      </c>
      <c r="D8" t="s">
        <v>34</v>
      </c>
      <c r="E8" t="s">
        <v>35</v>
      </c>
      <c r="F8">
        <v>20073239401</v>
      </c>
      <c r="G8" s="1">
        <v>45292</v>
      </c>
      <c r="H8" s="1">
        <v>45617</v>
      </c>
      <c r="I8" t="s">
        <v>14</v>
      </c>
      <c r="J8" t="s">
        <v>15</v>
      </c>
      <c r="K8" s="2" t="s">
        <v>16</v>
      </c>
    </row>
    <row r="9" spans="1:11" x14ac:dyDescent="0.2">
      <c r="A9" t="s">
        <v>19</v>
      </c>
      <c r="B9" t="s">
        <v>20</v>
      </c>
      <c r="C9">
        <v>9079571</v>
      </c>
      <c r="D9" t="s">
        <v>21</v>
      </c>
      <c r="E9" t="s">
        <v>22</v>
      </c>
      <c r="F9">
        <v>20066182901</v>
      </c>
      <c r="G9" s="1">
        <v>45139</v>
      </c>
      <c r="H9" s="1">
        <v>45617</v>
      </c>
      <c r="I9" t="s">
        <v>14</v>
      </c>
      <c r="J9" t="s">
        <v>36</v>
      </c>
      <c r="K9" s="2" t="s">
        <v>37</v>
      </c>
    </row>
    <row r="10" spans="1:11" x14ac:dyDescent="0.2">
      <c r="A10" t="s">
        <v>33</v>
      </c>
      <c r="B10">
        <v>17528908</v>
      </c>
      <c r="C10">
        <v>17528908</v>
      </c>
      <c r="D10" t="s">
        <v>34</v>
      </c>
      <c r="E10" t="s">
        <v>35</v>
      </c>
      <c r="F10">
        <v>20073239401</v>
      </c>
      <c r="G10" s="1">
        <v>45292</v>
      </c>
      <c r="H10" s="1">
        <v>45617</v>
      </c>
      <c r="I10" t="s">
        <v>14</v>
      </c>
      <c r="J10" t="s">
        <v>38</v>
      </c>
      <c r="K10" s="2" t="s">
        <v>39</v>
      </c>
    </row>
    <row r="11" spans="1:11" x14ac:dyDescent="0.2">
      <c r="A11" t="s">
        <v>23</v>
      </c>
      <c r="B11" t="s">
        <v>24</v>
      </c>
      <c r="C11">
        <v>8307933</v>
      </c>
      <c r="D11" t="s">
        <v>25</v>
      </c>
      <c r="E11" t="s">
        <v>26</v>
      </c>
      <c r="F11">
        <v>20039386701</v>
      </c>
      <c r="G11" s="1">
        <v>44562</v>
      </c>
      <c r="H11" s="1">
        <v>45617</v>
      </c>
      <c r="I11" t="s">
        <v>14</v>
      </c>
      <c r="J11" t="s">
        <v>36</v>
      </c>
      <c r="K11" s="2" t="s">
        <v>37</v>
      </c>
    </row>
    <row r="12" spans="1:11" x14ac:dyDescent="0.2">
      <c r="A12" t="s">
        <v>27</v>
      </c>
      <c r="B12" t="s">
        <v>28</v>
      </c>
      <c r="C12">
        <v>18794740</v>
      </c>
      <c r="D12" t="s">
        <v>29</v>
      </c>
      <c r="E12" t="s">
        <v>30</v>
      </c>
      <c r="F12">
        <v>20069611001</v>
      </c>
      <c r="G12" s="1">
        <v>45200</v>
      </c>
      <c r="H12" s="1">
        <v>45617</v>
      </c>
      <c r="I12" t="s">
        <v>14</v>
      </c>
      <c r="J12" t="s">
        <v>36</v>
      </c>
      <c r="K12" s="2" t="s">
        <v>37</v>
      </c>
    </row>
    <row r="13" spans="1:11" x14ac:dyDescent="0.2">
      <c r="A13" t="s">
        <v>27</v>
      </c>
      <c r="B13" t="s">
        <v>28</v>
      </c>
      <c r="C13">
        <v>18794740</v>
      </c>
      <c r="D13" t="s">
        <v>31</v>
      </c>
      <c r="E13" t="s">
        <v>32</v>
      </c>
      <c r="F13">
        <v>20074897401</v>
      </c>
      <c r="G13" s="1">
        <v>45292</v>
      </c>
      <c r="H13" s="1">
        <v>45617</v>
      </c>
      <c r="I13" t="s">
        <v>14</v>
      </c>
      <c r="J13" t="s">
        <v>38</v>
      </c>
      <c r="K13" s="2" t="s">
        <v>39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E804-CDF4-8543-9633-C85EAE0D5066}">
  <dimension ref="A1:O8"/>
  <sheetViews>
    <sheetView tabSelected="1" topLeftCell="I1" workbookViewId="0">
      <selection activeCell="O2" sqref="O2:O8"/>
    </sheetView>
  </sheetViews>
  <sheetFormatPr baseColWidth="10" defaultRowHeight="16" x14ac:dyDescent="0.2"/>
  <cols>
    <col min="1" max="1" width="13.83203125" bestFit="1" customWidth="1"/>
    <col min="6" max="7" width="12.1640625" bestFit="1" customWidth="1"/>
    <col min="8" max="8" width="13.1640625" bestFit="1" customWidth="1"/>
    <col min="11" max="11" width="22.33203125" bestFit="1" customWidth="1"/>
    <col min="12" max="12" width="55.6640625" bestFit="1" customWidth="1"/>
    <col min="13" max="13" width="10.83203125" style="2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s="2" t="s">
        <v>10</v>
      </c>
    </row>
    <row r="2" spans="1:15" x14ac:dyDescent="0.2">
      <c r="A2" s="3" t="s">
        <v>11</v>
      </c>
      <c r="B2" s="3"/>
      <c r="C2" s="3" t="s">
        <v>40</v>
      </c>
      <c r="D2" s="3" t="s">
        <v>12</v>
      </c>
      <c r="E2" s="3" t="s">
        <v>13</v>
      </c>
      <c r="F2" s="3" t="str">
        <f>CONCATENATE(D2, " ", E2)</f>
        <v>William Bomboy Jr</v>
      </c>
      <c r="G2" s="3">
        <v>20027778301</v>
      </c>
      <c r="H2" s="3" t="str">
        <f>CONCATENATE(1,G2)</f>
        <v>120027778301</v>
      </c>
      <c r="I2" s="4">
        <v>44013</v>
      </c>
      <c r="J2" s="4">
        <v>45617</v>
      </c>
      <c r="K2" s="3" t="s">
        <v>14</v>
      </c>
      <c r="L2" s="3" t="s">
        <v>15</v>
      </c>
      <c r="M2" s="5" t="s">
        <v>16</v>
      </c>
      <c r="N2" s="3"/>
      <c r="O2" s="3">
        <v>3</v>
      </c>
    </row>
    <row r="3" spans="1:15" x14ac:dyDescent="0.2">
      <c r="A3" t="s">
        <v>19</v>
      </c>
      <c r="B3" t="s">
        <v>20</v>
      </c>
      <c r="C3">
        <v>9079571</v>
      </c>
      <c r="D3" t="s">
        <v>21</v>
      </c>
      <c r="E3" t="s">
        <v>22</v>
      </c>
      <c r="F3" t="str">
        <f>CONCATENATE(D3, " ", E3)</f>
        <v>Kathy Bradley</v>
      </c>
      <c r="G3">
        <v>20066182901</v>
      </c>
      <c r="H3">
        <v>20066182901</v>
      </c>
      <c r="I3" s="1">
        <v>45139</v>
      </c>
      <c r="J3" s="1">
        <v>45617</v>
      </c>
      <c r="K3" t="s">
        <v>14</v>
      </c>
      <c r="L3" t="s">
        <v>36</v>
      </c>
      <c r="M3" s="2" t="s">
        <v>37</v>
      </c>
      <c r="O3">
        <v>13</v>
      </c>
    </row>
    <row r="4" spans="1:15" x14ac:dyDescent="0.2">
      <c r="A4" t="s">
        <v>33</v>
      </c>
      <c r="B4">
        <v>17528908</v>
      </c>
      <c r="C4">
        <v>17528908</v>
      </c>
      <c r="D4" t="s">
        <v>34</v>
      </c>
      <c r="E4" t="s">
        <v>35</v>
      </c>
      <c r="F4" t="str">
        <f>CONCATENATE(D4, " ", E4)</f>
        <v>Dennis Brickley</v>
      </c>
      <c r="G4">
        <v>20073239401</v>
      </c>
      <c r="H4">
        <v>20073239401</v>
      </c>
      <c r="I4" s="1">
        <v>45292</v>
      </c>
      <c r="J4" s="1">
        <v>45617</v>
      </c>
      <c r="K4" t="s">
        <v>14</v>
      </c>
      <c r="L4" t="s">
        <v>38</v>
      </c>
      <c r="M4" s="2" t="s">
        <v>39</v>
      </c>
      <c r="O4">
        <v>23</v>
      </c>
    </row>
    <row r="5" spans="1:15" s="3" customFormat="1" x14ac:dyDescent="0.2">
      <c r="A5" t="s">
        <v>23</v>
      </c>
      <c r="B5" t="s">
        <v>24</v>
      </c>
      <c r="C5">
        <v>8307933</v>
      </c>
      <c r="D5" t="s">
        <v>25</v>
      </c>
      <c r="E5" t="s">
        <v>26</v>
      </c>
      <c r="F5" t="str">
        <f>CONCATENATE(D5, " ", E5)</f>
        <v>Virginia Hart</v>
      </c>
      <c r="G5">
        <v>20039386701</v>
      </c>
      <c r="H5">
        <v>20039386701</v>
      </c>
      <c r="I5" s="1">
        <v>44562</v>
      </c>
      <c r="J5" s="1">
        <v>45617</v>
      </c>
      <c r="K5" t="s">
        <v>14</v>
      </c>
      <c r="L5" t="s">
        <v>36</v>
      </c>
      <c r="M5" s="2" t="s">
        <v>37</v>
      </c>
      <c r="N5"/>
      <c r="O5">
        <v>13</v>
      </c>
    </row>
    <row r="6" spans="1:15" s="3" customFormat="1" x14ac:dyDescent="0.2">
      <c r="A6" t="s">
        <v>27</v>
      </c>
      <c r="B6" t="s">
        <v>28</v>
      </c>
      <c r="C6">
        <v>18794740</v>
      </c>
      <c r="D6" t="s">
        <v>29</v>
      </c>
      <c r="E6" t="s">
        <v>30</v>
      </c>
      <c r="F6" t="str">
        <f>CONCATENATE(D6, " ", E6)</f>
        <v>Ida Howard</v>
      </c>
      <c r="G6">
        <v>20069611001</v>
      </c>
      <c r="H6">
        <v>20069611001</v>
      </c>
      <c r="I6" s="1">
        <v>45200</v>
      </c>
      <c r="J6" s="1">
        <v>45617</v>
      </c>
      <c r="K6" t="s">
        <v>14</v>
      </c>
      <c r="L6" t="s">
        <v>36</v>
      </c>
      <c r="M6" s="2" t="s">
        <v>37</v>
      </c>
      <c r="N6"/>
      <c r="O6">
        <v>13</v>
      </c>
    </row>
    <row r="7" spans="1:15" s="3" customFormat="1" x14ac:dyDescent="0.2">
      <c r="A7" s="3" t="s">
        <v>11</v>
      </c>
      <c r="C7" s="3" t="s">
        <v>40</v>
      </c>
      <c r="D7" s="3" t="s">
        <v>17</v>
      </c>
      <c r="E7" s="3" t="s">
        <v>18</v>
      </c>
      <c r="F7" s="3" t="str">
        <f>CONCATENATE(D7, " ", E7)</f>
        <v>Luis Martinez</v>
      </c>
      <c r="G7" s="3">
        <v>20028173801</v>
      </c>
      <c r="H7" s="3" t="str">
        <f>CONCATENATE(1,G7)</f>
        <v>120028173801</v>
      </c>
      <c r="I7" s="4">
        <v>44044</v>
      </c>
      <c r="J7" s="4">
        <v>45617</v>
      </c>
      <c r="K7" s="3" t="s">
        <v>14</v>
      </c>
      <c r="L7" s="3" t="s">
        <v>15</v>
      </c>
      <c r="M7" s="5" t="s">
        <v>16</v>
      </c>
      <c r="O7" s="3">
        <v>3</v>
      </c>
    </row>
    <row r="8" spans="1:15" s="3" customFormat="1" x14ac:dyDescent="0.2">
      <c r="A8" t="s">
        <v>27</v>
      </c>
      <c r="B8" t="s">
        <v>28</v>
      </c>
      <c r="C8">
        <v>18794740</v>
      </c>
      <c r="D8" t="s">
        <v>31</v>
      </c>
      <c r="E8" t="s">
        <v>32</v>
      </c>
      <c r="F8" t="str">
        <f>CONCATENATE(D8, " ", E8)</f>
        <v>Lori Peluso</v>
      </c>
      <c r="G8">
        <v>20074897401</v>
      </c>
      <c r="H8">
        <v>20074897401</v>
      </c>
      <c r="I8" s="1">
        <v>45292</v>
      </c>
      <c r="J8" s="1">
        <v>45617</v>
      </c>
      <c r="K8" t="s">
        <v>14</v>
      </c>
      <c r="L8" t="s">
        <v>38</v>
      </c>
      <c r="M8" s="2" t="s">
        <v>39</v>
      </c>
      <c r="N8"/>
      <c r="O8">
        <v>23</v>
      </c>
    </row>
  </sheetData>
  <sortState xmlns:xlrd2="http://schemas.microsoft.com/office/spreadsheetml/2017/richdata2" ref="A2:O8">
    <sortCondition ref="E2:E8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2024-11-22T14:05:49Z</dcterms:created>
  <dcterms:modified xsi:type="dcterms:W3CDTF">2024-11-22T21:27:05Z</dcterms:modified>
</cp:coreProperties>
</file>