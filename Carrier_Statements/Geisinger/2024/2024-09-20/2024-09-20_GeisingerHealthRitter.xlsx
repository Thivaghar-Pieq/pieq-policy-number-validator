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Geisinger 9-20-24\"/>
    </mc:Choice>
  </mc:AlternateContent>
  <xr:revisionPtr revIDLastSave="0" documentId="13_ncr:1_{4305DF35-5168-4A70-8BC1-2F276D09244D}" xr6:coauthVersionLast="47" xr6:coauthVersionMax="47" xr10:uidLastSave="{00000000-0000-0000-0000-000000000000}"/>
  <bookViews>
    <workbookView xWindow="-57720" yWindow="-120" windowWidth="29040" windowHeight="15720" activeTab="1" xr2:uid="{B957507F-C7FD-4720-BC5B-62FE0C1CC87E}"/>
  </bookViews>
  <sheets>
    <sheet name="Commissions_Main Line Benefits,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<sst xmlns="http://schemas.openxmlformats.org/spreadsheetml/2006/main" count="130" uniqueCount="36">
  <si>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</si>
  <si>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</si>
  <si>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</si>
  <si>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</si>
  <si>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</si>
  <si>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</si>
  <si>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</si>
  <si>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</si>
  <si>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</si>
  <si>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</si>
  <si>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</si>
  <si>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Dennis</t>
  </si>
  <si>
    <t>Brickley</t>
  </si>
  <si>
    <t>Geisinger Health Plan U65</t>
  </si>
  <si>
    <t>GHP U65 2024 OR (ProRata: 1) Premium Period: 8/1/2024</t>
  </si>
  <si>
    <t>Patricia Long</t>
  </si>
  <si>
    <t>Ida</t>
  </si>
  <si>
    <t>Howard</t>
  </si>
  <si>
    <t>Adam Richter</t>
  </si>
  <si>
    <t>Kathy</t>
  </si>
  <si>
    <t>Bradley</t>
  </si>
  <si>
    <t>Lori</t>
  </si>
  <si>
    <t>Peluso</t>
  </si>
  <si>
    <t>Carol Foley</t>
  </si>
  <si>
    <t>Luis</t>
  </si>
  <si>
    <t>Martinez</t>
  </si>
  <si>
    <t>Sher</t>
  </si>
  <si>
    <t>Rahman</t>
  </si>
  <si>
    <t>Gregory Teipel</t>
  </si>
  <si>
    <t>Virginia</t>
  </si>
  <si>
    <t>Hart</t>
  </si>
  <si>
    <t>William</t>
  </si>
  <si>
    <t>Bomboy Jr</t>
  </si>
  <si>
    <t>GHP U65 2022-24 Year 2+ ST (ProRata: 1) Premium Period: 8/1/2024</t>
  </si>
  <si>
    <t>GHP U65 2022-24 Year 1 ST (ProRata: 1) Premium Period: 8/1/2024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</si>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</sst>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01FD-EF7F-43DD-8260-11D8ADF046B8}">
  <dimension ref="A1:K14"/>
  <sheetViews>
    <sheetView workbookViewId="0">
      <selection activeCell="F1" sqref="F1:F1048576"/>
    </sheetView>
  </sheetViews>
  <sheetFormatPr defaultRowHeight="15" x14ac:dyDescent="0.25"/>
  <cols>
    <col min="1" max="1" width="18.28515625" bestFit="1" customWidth="1"/>
    <col min="2" max="2" width="10.28515625" bestFit="1" customWidth="1"/>
    <col min="3" max="3" width="10.5703125" bestFit="1" customWidth="1"/>
    <col min="4" max="4" width="12.85546875" bestFit="1" customWidth="1"/>
    <col min="5" max="5" width="15.5703125" customWidth="1"/>
    <col min="6" max="6" width="12" bestFit="1" customWidth="1"/>
    <col min="7" max="7" width="11.5703125" bestFit="1" customWidth="1"/>
    <col min="8" max="8" width="14.7109375" bestFit="1" customWidth="1"/>
    <col min="9" max="9" width="24" bestFit="1" customWidth="1"/>
    <col min="10" max="10" width="60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17528908</v>
      </c>
      <c r="C2" t="s">
        <v>11</v>
      </c>
      <c r="D2" t="s">
        <v>12</v>
      </c>
      <c r="E2" t="str">
        <f>CONCATENATE(C2, " ", D2)</f>
        <v>Dennis Brickley</v>
      </c>
      <c r="F2">
        <v>20073239401</v>
      </c>
      <c r="G2" s="1">
        <v>45292</v>
      </c>
      <c r="H2" s="1">
        <v>45555</v>
      </c>
      <c r="I2" t="s">
        <v>13</v>
      </c>
      <c r="J2" t="s">
        <v>14</v>
      </c>
      <c r="K2" s="2">
        <v>3</v>
      </c>
    </row>
    <row r="3" spans="1:11" x14ac:dyDescent="0.25">
      <c r="A3" t="s">
        <v>15</v>
      </c>
      <c r="B3">
        <v>18794740</v>
      </c>
      <c r="C3" t="s">
        <v>16</v>
      </c>
      <c r="D3" t="s">
        <v>17</v>
      </c>
      <c r="E3" t="str">
        <f t="shared" ref="E3:E14" si="0">CONCATENATE(C3, " ", D3)</f>
        <v>Ida Howard</v>
      </c>
      <c r="F3">
        <v>20069611001</v>
      </c>
      <c r="G3" s="1">
        <v>45200</v>
      </c>
      <c r="H3" s="1">
        <v>45555</v>
      </c>
      <c r="I3" t="s">
        <v>13</v>
      </c>
      <c r="J3" t="s">
        <v>14</v>
      </c>
      <c r="K3" s="2">
        <v>3</v>
      </c>
    </row>
    <row r="4" spans="1:11" x14ac:dyDescent="0.25">
      <c r="A4" t="s">
        <v>18</v>
      </c>
      <c r="B4">
        <v>9079571</v>
      </c>
      <c r="C4" t="s">
        <v>19</v>
      </c>
      <c r="D4" t="s">
        <v>20</v>
      </c>
      <c r="E4" t="str">
        <f t="shared" si="0"/>
        <v>Kathy Bradley</v>
      </c>
      <c r="F4">
        <v>20066182901</v>
      </c>
      <c r="G4" s="1">
        <v>45139</v>
      </c>
      <c r="H4" s="1">
        <v>45555</v>
      </c>
      <c r="I4" t="s">
        <v>13</v>
      </c>
      <c r="J4" t="s">
        <v>14</v>
      </c>
      <c r="K4" s="2">
        <v>3</v>
      </c>
    </row>
    <row r="5" spans="1:11" x14ac:dyDescent="0.25">
      <c r="A5" t="s">
        <v>15</v>
      </c>
      <c r="B5">
        <v>18794740</v>
      </c>
      <c r="C5" t="s">
        <v>21</v>
      </c>
      <c r="D5" t="s">
        <v>22</v>
      </c>
      <c r="E5" t="str">
        <f t="shared" si="0"/>
        <v>Lori Peluso</v>
      </c>
      <c r="F5">
        <v>20074897401</v>
      </c>
      <c r="G5" s="1">
        <v>45292</v>
      </c>
      <c r="H5" s="1">
        <v>45555</v>
      </c>
      <c r="I5" t="s">
        <v>13</v>
      </c>
      <c r="J5" t="s">
        <v>14</v>
      </c>
      <c r="K5" s="2">
        <v>3</v>
      </c>
    </row>
    <row r="6" spans="1:11" x14ac:dyDescent="0.25">
      <c r="A6" t="s">
        <v>23</v>
      </c>
      <c r="B6">
        <v>17425766</v>
      </c>
      <c r="C6" t="s">
        <v>24</v>
      </c>
      <c r="D6" t="s">
        <v>25</v>
      </c>
      <c r="E6" t="str">
        <f t="shared" si="0"/>
        <v>Luis Martinez</v>
      </c>
      <c r="F6">
        <v>20028173801</v>
      </c>
      <c r="G6" s="1">
        <v>44044</v>
      </c>
      <c r="H6" s="1">
        <v>45555</v>
      </c>
      <c r="I6" t="s">
        <v>13</v>
      </c>
      <c r="J6" t="s">
        <v>14</v>
      </c>
      <c r="K6" s="2">
        <v>3</v>
      </c>
    </row>
    <row r="7" spans="1:11" x14ac:dyDescent="0.25">
      <c r="A7" t="s">
        <v>23</v>
      </c>
      <c r="B7">
        <v>17425766</v>
      </c>
      <c r="C7" t="s">
        <v>26</v>
      </c>
      <c r="D7" t="s">
        <v>27</v>
      </c>
      <c r="E7" t="str">
        <f t="shared" si="0"/>
        <v>Sher Rahman</v>
      </c>
      <c r="F7">
        <v>20041728701</v>
      </c>
      <c r="G7" s="1">
        <v>44593</v>
      </c>
      <c r="H7" s="1">
        <v>45555</v>
      </c>
      <c r="I7" t="s">
        <v>13</v>
      </c>
      <c r="J7" t="s">
        <v>14</v>
      </c>
      <c r="K7" s="2">
        <v>3</v>
      </c>
    </row>
    <row r="8" spans="1:11" x14ac:dyDescent="0.25">
      <c r="A8" t="s">
        <v>28</v>
      </c>
      <c r="B8">
        <v>8307933</v>
      </c>
      <c r="C8" t="s">
        <v>29</v>
      </c>
      <c r="D8" t="s">
        <v>30</v>
      </c>
      <c r="E8" t="str">
        <f t="shared" si="0"/>
        <v>Virginia Hart</v>
      </c>
      <c r="F8">
        <v>20039386701</v>
      </c>
      <c r="G8" s="1">
        <v>44562</v>
      </c>
      <c r="H8" s="1">
        <v>45555</v>
      </c>
      <c r="I8" t="s">
        <v>13</v>
      </c>
      <c r="J8" t="s">
        <v>14</v>
      </c>
      <c r="K8" s="2">
        <v>3</v>
      </c>
    </row>
    <row r="9" spans="1:11" x14ac:dyDescent="0.25">
      <c r="A9" t="s">
        <v>23</v>
      </c>
      <c r="B9">
        <v>17425766</v>
      </c>
      <c r="C9" t="s">
        <v>31</v>
      </c>
      <c r="D9" t="s">
        <v>32</v>
      </c>
      <c r="E9" t="str">
        <f t="shared" si="0"/>
        <v>William Bomboy Jr</v>
      </c>
      <c r="F9">
        <v>20027778301</v>
      </c>
      <c r="G9" s="1">
        <v>44013</v>
      </c>
      <c r="H9" s="1">
        <v>45555</v>
      </c>
      <c r="I9" t="s">
        <v>13</v>
      </c>
      <c r="J9" t="s">
        <v>14</v>
      </c>
      <c r="K9" s="2">
        <v>3</v>
      </c>
    </row>
    <row r="10" spans="1:11" x14ac:dyDescent="0.25">
      <c r="A10" t="s">
        <v>18</v>
      </c>
      <c r="B10">
        <v>9079571</v>
      </c>
      <c r="C10" t="s">
        <v>19</v>
      </c>
      <c r="D10" t="s">
        <v>20</v>
      </c>
      <c r="E10" t="str">
        <f t="shared" si="0"/>
        <v>Kathy Bradley</v>
      </c>
      <c r="F10">
        <v>20066182901</v>
      </c>
      <c r="G10" s="1">
        <v>45139</v>
      </c>
      <c r="H10" s="1">
        <v>45555</v>
      </c>
      <c r="I10" t="s">
        <v>13</v>
      </c>
      <c r="J10" t="s">
        <v>33</v>
      </c>
      <c r="K10" s="2">
        <v>10</v>
      </c>
    </row>
    <row r="11" spans="1:11" x14ac:dyDescent="0.25">
      <c r="A11" t="s">
        <v>10</v>
      </c>
      <c r="B11">
        <v>17528908</v>
      </c>
      <c r="C11" t="s">
        <v>11</v>
      </c>
      <c r="D11" t="s">
        <v>12</v>
      </c>
      <c r="E11" t="str">
        <f t="shared" si="0"/>
        <v>Dennis Brickley</v>
      </c>
      <c r="F11">
        <v>20073239401</v>
      </c>
      <c r="G11" s="1">
        <v>45292</v>
      </c>
      <c r="H11" s="1">
        <v>45555</v>
      </c>
      <c r="I11" t="s">
        <v>13</v>
      </c>
      <c r="J11" t="s">
        <v>34</v>
      </c>
      <c r="K11" s="2">
        <v>20</v>
      </c>
    </row>
    <row r="12" spans="1:11" x14ac:dyDescent="0.25">
      <c r="A12" t="s">
        <v>28</v>
      </c>
      <c r="B12">
        <v>8307933</v>
      </c>
      <c r="C12" t="s">
        <v>29</v>
      </c>
      <c r="D12" t="s">
        <v>30</v>
      </c>
      <c r="E12" t="str">
        <f t="shared" si="0"/>
        <v>Virginia Hart</v>
      </c>
      <c r="F12">
        <v>20039386701</v>
      </c>
      <c r="G12" s="1">
        <v>44562</v>
      </c>
      <c r="H12" s="1">
        <v>45555</v>
      </c>
      <c r="I12" t="s">
        <v>13</v>
      </c>
      <c r="J12" t="s">
        <v>33</v>
      </c>
      <c r="K12" s="2">
        <v>10</v>
      </c>
    </row>
    <row r="13" spans="1:11" x14ac:dyDescent="0.25">
      <c r="A13" t="s">
        <v>15</v>
      </c>
      <c r="B13">
        <v>18794740</v>
      </c>
      <c r="C13" t="s">
        <v>16</v>
      </c>
      <c r="D13" t="s">
        <v>17</v>
      </c>
      <c r="E13" t="str">
        <f t="shared" si="0"/>
        <v>Ida Howard</v>
      </c>
      <c r="F13">
        <v>20069611001</v>
      </c>
      <c r="G13" s="1">
        <v>45200</v>
      </c>
      <c r="H13" s="1">
        <v>45555</v>
      </c>
      <c r="I13" t="s">
        <v>13</v>
      </c>
      <c r="J13" t="s">
        <v>34</v>
      </c>
      <c r="K13" s="2">
        <v>20</v>
      </c>
    </row>
    <row r="14" spans="1:11" x14ac:dyDescent="0.25">
      <c r="A14" t="s">
        <v>15</v>
      </c>
      <c r="B14">
        <v>18794740</v>
      </c>
      <c r="C14" t="s">
        <v>21</v>
      </c>
      <c r="D14" t="s">
        <v>22</v>
      </c>
      <c r="E14" t="str">
        <f t="shared" si="0"/>
        <v>Lori Peluso</v>
      </c>
      <c r="F14">
        <v>20074897401</v>
      </c>
      <c r="G14" s="1">
        <v>45292</v>
      </c>
      <c r="H14" s="1">
        <v>45555</v>
      </c>
      <c r="I14" t="s">
        <v>13</v>
      </c>
      <c r="J14" t="s">
        <v>34</v>
      </c>
      <c r="K14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1D66-6294-46C1-A774-C00E8EF90D1A}">
  <dimension ref="A1:K9"/>
  <sheetViews>
    <sheetView tabSelected="1" workbookViewId="0">
      <selection activeCell="F9" sqref="F9"/>
    </sheetView>
  </sheetViews>
  <sheetFormatPr defaultRowHeight="15" x14ac:dyDescent="0.25"/>
  <cols>
    <col min="1" max="1" width="18.28515625" bestFit="1" customWidth="1"/>
    <col min="2" max="2" width="10.28515625" bestFit="1" customWidth="1"/>
    <col min="3" max="3" width="10.5703125" bestFit="1" customWidth="1"/>
    <col min="4" max="4" width="12.85546875" bestFit="1" customWidth="1"/>
    <col min="5" max="5" width="15.5703125" customWidth="1"/>
    <col min="6" max="6" width="12" bestFit="1" customWidth="1"/>
    <col min="7" max="7" width="11.5703125" bestFit="1" customWidth="1"/>
    <col min="8" max="8" width="14.7109375" bestFit="1" customWidth="1"/>
    <col min="9" max="9" width="24" bestFit="1" customWidth="1"/>
    <col min="10" max="10" width="60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17528908</v>
      </c>
      <c r="C2" t="s">
        <v>11</v>
      </c>
      <c r="D2" t="s">
        <v>12</v>
      </c>
      <c r="E2" t="str">
        <f>CONCATENATE(C2, " ", D2)</f>
        <v>Dennis Brickley</v>
      </c>
      <c r="F2">
        <v>20073239401</v>
      </c>
      <c r="G2" s="1">
        <v>45292</v>
      </c>
      <c r="H2" s="1">
        <v>45555</v>
      </c>
      <c r="I2" t="s">
        <v>13</v>
      </c>
      <c r="J2" t="s">
        <v>14</v>
      </c>
      <c r="K2" s="2">
        <v>23</v>
      </c>
    </row>
    <row r="3" spans="1:11" x14ac:dyDescent="0.25">
      <c r="A3" t="s">
        <v>15</v>
      </c>
      <c r="B3">
        <v>18794740</v>
      </c>
      <c r="C3" t="s">
        <v>16</v>
      </c>
      <c r="D3" t="s">
        <v>17</v>
      </c>
      <c r="E3" t="str">
        <f>CONCATENATE(C3, " ", D3)</f>
        <v>Ida Howard</v>
      </c>
      <c r="F3" s="3">
        <v>20069611001</v>
      </c>
      <c r="G3" s="1">
        <v>45200</v>
      </c>
      <c r="H3" s="1">
        <v>45555</v>
      </c>
      <c r="I3" t="s">
        <v>13</v>
      </c>
      <c r="J3" t="s">
        <v>14</v>
      </c>
      <c r="K3" s="2">
        <v>23</v>
      </c>
    </row>
    <row r="4" spans="1:11" x14ac:dyDescent="0.25">
      <c r="A4" t="s">
        <v>18</v>
      </c>
      <c r="B4">
        <v>9079571</v>
      </c>
      <c r="C4" t="s">
        <v>19</v>
      </c>
      <c r="D4" t="s">
        <v>20</v>
      </c>
      <c r="E4" t="str">
        <f>CONCATENATE(C4, " ", D4)</f>
        <v>Kathy Bradley</v>
      </c>
      <c r="F4">
        <v>20066182901</v>
      </c>
      <c r="G4" s="1">
        <v>45139</v>
      </c>
      <c r="H4" s="1">
        <v>45555</v>
      </c>
      <c r="I4" t="s">
        <v>13</v>
      </c>
      <c r="J4" t="s">
        <v>14</v>
      </c>
      <c r="K4" s="2">
        <v>13</v>
      </c>
    </row>
    <row r="5" spans="1:11" x14ac:dyDescent="0.25">
      <c r="A5" t="s">
        <v>15</v>
      </c>
      <c r="B5">
        <v>18794740</v>
      </c>
      <c r="C5" t="s">
        <v>21</v>
      </c>
      <c r="D5" t="s">
        <v>22</v>
      </c>
      <c r="E5" t="str">
        <f>CONCATENATE(C5, " ", D5)</f>
        <v>Lori Peluso</v>
      </c>
      <c r="F5" s="3">
        <v>20074897401</v>
      </c>
      <c r="G5" s="1">
        <v>45292</v>
      </c>
      <c r="H5" s="1">
        <v>45555</v>
      </c>
      <c r="I5" t="s">
        <v>13</v>
      </c>
      <c r="J5" t="s">
        <v>14</v>
      </c>
      <c r="K5" s="2">
        <v>23</v>
      </c>
    </row>
    <row r="6" spans="1:11" x14ac:dyDescent="0.25">
      <c r="A6" t="s">
        <v>23</v>
      </c>
      <c r="B6">
        <v>17425766</v>
      </c>
      <c r="C6" t="s">
        <v>24</v>
      </c>
      <c r="D6" t="s">
        <v>25</v>
      </c>
      <c r="E6" t="str">
        <f>CONCATENATE(C6, " ", D6)</f>
        <v>Luis Martinez</v>
      </c>
      <c r="F6">
        <v>20028173801</v>
      </c>
      <c r="G6" s="1">
        <v>44044</v>
      </c>
      <c r="H6" s="1">
        <v>45555</v>
      </c>
      <c r="I6" t="s">
        <v>13</v>
      </c>
      <c r="J6" t="s">
        <v>14</v>
      </c>
      <c r="K6" s="2">
        <v>3</v>
      </c>
    </row>
    <row r="7" spans="1:11" x14ac:dyDescent="0.25">
      <c r="A7" t="s">
        <v>23</v>
      </c>
      <c r="B7">
        <v>17425766</v>
      </c>
      <c r="C7" t="s">
        <v>26</v>
      </c>
      <c r="D7" t="s">
        <v>27</v>
      </c>
      <c r="E7" t="str">
        <f>CONCATENATE(C7, " ", D7)</f>
        <v>Sher Rahman</v>
      </c>
      <c r="F7">
        <v>20041728701</v>
      </c>
      <c r="G7" s="1">
        <v>44593</v>
      </c>
      <c r="H7" s="1">
        <v>45555</v>
      </c>
      <c r="I7" t="s">
        <v>13</v>
      </c>
      <c r="J7" t="s">
        <v>14</v>
      </c>
      <c r="K7" s="2">
        <v>3</v>
      </c>
    </row>
    <row r="8" spans="1:11" x14ac:dyDescent="0.25">
      <c r="A8" t="s">
        <v>28</v>
      </c>
      <c r="B8">
        <v>8307933</v>
      </c>
      <c r="C8" t="s">
        <v>29</v>
      </c>
      <c r="D8" t="s">
        <v>30</v>
      </c>
      <c r="E8" t="str">
        <f>CONCATENATE(C8, " ", D8)</f>
        <v>Virginia Hart</v>
      </c>
      <c r="F8">
        <v>20039386701</v>
      </c>
      <c r="G8" s="1">
        <v>44562</v>
      </c>
      <c r="H8" s="1">
        <v>45555</v>
      </c>
      <c r="I8" t="s">
        <v>13</v>
      </c>
      <c r="J8" t="s">
        <v>14</v>
      </c>
      <c r="K8" s="2">
        <v>13</v>
      </c>
    </row>
    <row r="9" spans="1:11" x14ac:dyDescent="0.25">
      <c r="A9" t="s">
        <v>23</v>
      </c>
      <c r="B9">
        <v>17425766</v>
      </c>
      <c r="C9" t="s">
        <v>31</v>
      </c>
      <c r="D9" t="s">
        <v>32</v>
      </c>
      <c r="E9" t="str">
        <f>CONCATENATE(C9, " ", D9)</f>
        <v>William Bomboy Jr</v>
      </c>
      <c r="F9">
        <v>20027778301</v>
      </c>
      <c r="G9" s="1">
        <v>44013</v>
      </c>
      <c r="H9" s="1">
        <v>45555</v>
      </c>
      <c r="I9" t="s">
        <v>13</v>
      </c>
      <c r="J9" t="s">
        <v>14</v>
      </c>
      <c r="K9" s="2">
        <v>3</v>
      </c>
    </row>
  </sheetData>
  <sortState xmlns:xlrd2="http://schemas.microsoft.com/office/spreadsheetml/2017/richdata2" ref="A2:M9">
    <sortCondition ref="E2:E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ECA1-3B10-4367-AD0F-CEB30CC72CED}">
  <dimension ref="A1:D14"/>
  <sheetViews>
    <sheetView workbookViewId="0">
      <selection activeCell="D2" sqref="D2:D9"/>
    </sheetView>
  </sheetViews>
  <sheetFormatPr defaultRowHeight="15" x14ac:dyDescent="0.25"/>
  <cols>
    <col min="1" max="1" width="12" bestFit="1" customWidth="1"/>
    <col min="2" max="2" width="15.7109375" bestFit="1" customWidth="1"/>
    <col min="3" max="3" width="12" bestFit="1" customWidth="1"/>
    <col min="4" max="4" width="7.28515625" bestFit="1" customWidth="1"/>
  </cols>
  <sheetData>
    <row r="1" spans="1:4" x14ac:dyDescent="0.25">
      <c r="A1" t="s">
        <v>4</v>
      </c>
      <c r="B1" t="s">
        <v>9</v>
      </c>
      <c r="C1" t="s">
        <v>4</v>
      </c>
    </row>
    <row r="2" spans="1:4" x14ac:dyDescent="0.25">
      <c r="A2">
        <v>20073239401</v>
      </c>
      <c r="B2" s="2">
        <v>3</v>
      </c>
      <c r="C2">
        <v>20073239401</v>
      </c>
      <c r="D2" s="2">
        <v>23</v>
      </c>
    </row>
    <row r="3" spans="1:4" x14ac:dyDescent="0.25">
      <c r="A3">
        <v>20069611001</v>
      </c>
      <c r="B3" s="2">
        <v>3</v>
      </c>
      <c r="C3">
        <v>20069611001</v>
      </c>
      <c r="D3" s="2">
        <v>23</v>
      </c>
    </row>
    <row r="4" spans="1:4" x14ac:dyDescent="0.25">
      <c r="A4">
        <v>20066182901</v>
      </c>
      <c r="B4" s="2">
        <v>3</v>
      </c>
      <c r="C4">
        <v>20066182901</v>
      </c>
      <c r="D4" s="2">
        <v>13</v>
      </c>
    </row>
    <row r="5" spans="1:4" x14ac:dyDescent="0.25">
      <c r="A5">
        <v>20074897401</v>
      </c>
      <c r="B5" s="2">
        <v>3</v>
      </c>
      <c r="C5">
        <v>20074897401</v>
      </c>
      <c r="D5" s="2">
        <v>23</v>
      </c>
    </row>
    <row r="6" spans="1:4" x14ac:dyDescent="0.25">
      <c r="A6">
        <v>20028173801</v>
      </c>
      <c r="B6" s="2">
        <v>3</v>
      </c>
      <c r="C6">
        <v>20028173801</v>
      </c>
      <c r="D6" s="2">
        <v>3</v>
      </c>
    </row>
    <row r="7" spans="1:4" x14ac:dyDescent="0.25">
      <c r="A7">
        <v>20041728701</v>
      </c>
      <c r="B7" s="2">
        <v>3</v>
      </c>
      <c r="C7">
        <v>20041728701</v>
      </c>
      <c r="D7" s="2">
        <v>3</v>
      </c>
    </row>
    <row r="8" spans="1:4" x14ac:dyDescent="0.25">
      <c r="A8">
        <v>20039386701</v>
      </c>
      <c r="B8" s="2">
        <v>3</v>
      </c>
      <c r="C8">
        <v>20039386701</v>
      </c>
      <c r="D8" s="2">
        <v>13</v>
      </c>
    </row>
    <row r="9" spans="1:4" x14ac:dyDescent="0.25">
      <c r="A9">
        <v>20027778301</v>
      </c>
      <c r="B9" s="2">
        <v>3</v>
      </c>
      <c r="C9">
        <v>20027778301</v>
      </c>
      <c r="D9" s="2">
        <v>3</v>
      </c>
    </row>
    <row r="10" spans="1:4" x14ac:dyDescent="0.25">
      <c r="A10">
        <v>20066182901</v>
      </c>
      <c r="B10" s="2">
        <v>10</v>
      </c>
    </row>
    <row r="11" spans="1:4" x14ac:dyDescent="0.25">
      <c r="A11">
        <v>20073239401</v>
      </c>
      <c r="B11" s="2">
        <v>20</v>
      </c>
    </row>
    <row r="12" spans="1:4" x14ac:dyDescent="0.25">
      <c r="A12">
        <v>20039386701</v>
      </c>
      <c r="B12" s="2">
        <v>10</v>
      </c>
    </row>
    <row r="13" spans="1:4" x14ac:dyDescent="0.25">
      <c r="A13">
        <v>20069611001</v>
      </c>
      <c r="B13" s="2">
        <v>20</v>
      </c>
    </row>
    <row r="14" spans="1:4" x14ac:dyDescent="0.25">
      <c r="A14">
        <v>20074897401</v>
      </c>
      <c r="B14" s="2">
        <v>20</v>
      </c>
    </row>
  </sheetData>
  <dataConsolidate leftLabels="1">
    <dataRefs count="1">
      <dataRef ref="A1:B1048576" sheet="Sheet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2024-09-20T15:46:59Z</dcterms:created>
  <dcterms:modified xsi:type="dcterms:W3CDTF">2024-09-25T12:54:08Z</dcterms:modified>
</cp:coreProperties>
</file>