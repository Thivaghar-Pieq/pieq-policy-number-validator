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Geisinger 1-17-25\"/>
    </mc:Choice>
  </mc:AlternateContent>
  <xr:revisionPtr revIDLastSave="0" documentId="13_ncr:1_{3CA222D3-DAB5-4D34-8C81-CD81A2ED3BC2}" xr6:coauthVersionLast="47" xr6:coauthVersionMax="47" xr10:uidLastSave="{00000000-0000-0000-0000-000000000000}"/>
  <bookViews>
    <workbookView xWindow="-57720" yWindow="-45" windowWidth="29040" windowHeight="15720" activeTab="1" xr2:uid="{EB2A9ED6-0A59-5442-A6D6-360004D6E1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8" i="2"/>
  <c r="E5" i="2"/>
  <c r="E3" i="2"/>
  <c r="E2" i="2"/>
  <c r="E4" i="2"/>
  <c r="E6" i="2"/>
  <c r="E7" i="2"/>
  <c r="E12" i="2"/>
  <c r="E11" i="2"/>
  <c r="E10" i="2"/>
  <c r="E9" i="2"/>
  <c r="E7" i="1"/>
  <c r="E15" i="1"/>
  <c r="E16" i="1"/>
  <c r="E17" i="1"/>
  <c r="E8" i="1"/>
  <c r="E9" i="1"/>
  <c r="E10" i="1"/>
  <c r="E11" i="1"/>
  <c r="E12" i="1"/>
  <c r="E13" i="1"/>
  <c r="E14" i="1"/>
  <c r="E18" i="1"/>
  <c r="E2" i="1"/>
  <c r="E3" i="1"/>
  <c r="E4" i="1"/>
  <c r="E5" i="1"/>
  <c r="E6" i="1"/>
</calcChain>
</file>

<file path=xl/sharedStrings.xml><?xml version="1.0" encoding="utf-8"?>
<sst xmlns="http://schemas.openxmlformats.org/spreadsheetml/2006/main" count="185" uniqueCount="50">
  <si>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</si>
  <si>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</si>
  <si>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</si>
  <si>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</si>
  <si>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</si>
  <si>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</si>
  <si>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</si>
  <si>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</si>
  <si>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</si>
  <si>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</si>
  <si>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</si>
  <si>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Dennis</t>
  </si>
  <si>
    <t>Brickley</t>
  </si>
  <si>
    <t>Geisinger Health Plan U65</t>
  </si>
  <si>
    <t>GHP U65 2022-24 Year 1 ST (ProRata: 1) Premium Period: 12/2024</t>
  </si>
  <si>
    <t>Gregory Teipel</t>
  </si>
  <si>
    <t>Virginia</t>
  </si>
  <si>
    <t>Hart</t>
  </si>
  <si>
    <t>GHP U65 2022-24 Year 2+ ST (ProRata: 1) Premium Period: 12/2024</t>
  </si>
  <si>
    <t>Patricia Long</t>
  </si>
  <si>
    <t>Ida</t>
  </si>
  <si>
    <t>Howard</t>
  </si>
  <si>
    <t>Lori</t>
  </si>
  <si>
    <t>Peluso</t>
  </si>
  <si>
    <t>William Schaeffer</t>
  </si>
  <si>
    <t>William</t>
  </si>
  <si>
    <t>Buckley</t>
  </si>
  <si>
    <t>GHP U65 2022-24 Year 1 ST (ProRata: 4) Premium Period: 12/2024</t>
  </si>
  <si>
    <t>Debbie</t>
  </si>
  <si>
    <t>Dewald</t>
  </si>
  <si>
    <t>GHP U65 2024 OR (ProRata: 2) Premium Period: 12/2024</t>
  </si>
  <si>
    <t>GHP U65 2024 OR (ProRata: 1) Premium Period: 12/2024</t>
  </si>
  <si>
    <t>Luis</t>
  </si>
  <si>
    <t>Martinez</t>
  </si>
  <si>
    <t>Bomboy Jr</t>
  </si>
  <si>
    <t>GHP U65 2024 OR (ProRata: 4) Premium Period: 12/2024</t>
  </si>
  <si>
    <t>Alison Luse</t>
  </si>
  <si>
    <t>Connie</t>
  </si>
  <si>
    <t>Barger</t>
  </si>
  <si>
    <t>Geisinger Health Plan</t>
  </si>
  <si>
    <t>GHP 2018-2024 Renewal OR</t>
  </si>
  <si>
    <t>Margaret</t>
  </si>
  <si>
    <t>Stoner</t>
  </si>
  <si>
    <t>Max</t>
  </si>
  <si>
    <t>Weist</t>
  </si>
  <si>
    <t>Geisinger U65 override</t>
  </si>
  <si>
    <t>Main Line Benefits</t>
  </si>
  <si>
    <t>[PMPM=4]</t>
  </si>
  <si>
    <t>Geisinger MAPD OVR</t>
  </si>
  <si>
    <t>Geisinger U65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</si>
</sst>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Ebri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BB13-7AF9-E540-81DB-8E5218F56D1B}">
  <dimension ref="A1:L18"/>
  <sheetViews>
    <sheetView workbookViewId="0">
      <selection activeCell="C33" sqref="C33:C34"/>
    </sheetView>
  </sheetViews>
  <sheetFormatPr defaultColWidth="11" defaultRowHeight="15.75" x14ac:dyDescent="0.25"/>
  <cols>
    <col min="1" max="1" width="15.25" bestFit="1" customWidth="1"/>
    <col min="2" max="2" width="9.375" bestFit="1" customWidth="1"/>
    <col min="3" max="3" width="9.75" bestFit="1" customWidth="1"/>
    <col min="4" max="4" width="9.5" bestFit="1" customWidth="1"/>
    <col min="5" max="5" width="15.875" bestFit="1" customWidth="1"/>
    <col min="6" max="6" width="14.875" style="2" customWidth="1"/>
    <col min="7" max="7" width="10.875" bestFit="1" customWidth="1"/>
    <col min="8" max="8" width="13.625" bestFit="1" customWidth="1"/>
    <col min="9" max="9" width="22.125" bestFit="1" customWidth="1"/>
    <col min="10" max="10" width="55.625" bestFit="1" customWidth="1"/>
    <col min="11" max="11" width="14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25">
      <c r="A2" t="s">
        <v>36</v>
      </c>
      <c r="B2">
        <v>9254978</v>
      </c>
      <c r="C2" t="s">
        <v>37</v>
      </c>
      <c r="D2" t="s">
        <v>38</v>
      </c>
      <c r="E2" t="str">
        <f>CONCATENATE(C2, " ",D2)</f>
        <v>Connie Barger</v>
      </c>
      <c r="F2" s="2">
        <v>20088356201</v>
      </c>
      <c r="G2" s="1">
        <v>45658</v>
      </c>
      <c r="H2" s="1">
        <v>45674</v>
      </c>
      <c r="I2" t="s">
        <v>39</v>
      </c>
      <c r="J2" t="s">
        <v>40</v>
      </c>
      <c r="K2">
        <v>75</v>
      </c>
    </row>
    <row r="3" spans="1:12" x14ac:dyDescent="0.25">
      <c r="A3" t="s">
        <v>36</v>
      </c>
      <c r="B3">
        <v>9254978</v>
      </c>
      <c r="C3" t="s">
        <v>41</v>
      </c>
      <c r="D3" t="s">
        <v>42</v>
      </c>
      <c r="E3" t="str">
        <f>CONCATENATE(C3, " ",D3)</f>
        <v>Margaret Stoner</v>
      </c>
      <c r="F3" s="2">
        <v>20088358301</v>
      </c>
      <c r="G3" s="1">
        <v>45658</v>
      </c>
      <c r="H3" s="1">
        <v>45674</v>
      </c>
      <c r="I3" t="s">
        <v>39</v>
      </c>
      <c r="J3" t="s">
        <v>40</v>
      </c>
      <c r="K3">
        <v>75</v>
      </c>
    </row>
    <row r="4" spans="1:12" x14ac:dyDescent="0.25">
      <c r="A4" t="s">
        <v>36</v>
      </c>
      <c r="B4">
        <v>9254978</v>
      </c>
      <c r="C4" t="s">
        <v>43</v>
      </c>
      <c r="D4" t="s">
        <v>42</v>
      </c>
      <c r="E4" t="str">
        <f>CONCATENATE(C4, " ",D4)</f>
        <v>Max Stoner</v>
      </c>
      <c r="F4" s="2">
        <v>20088358501</v>
      </c>
      <c r="G4" s="1">
        <v>45658</v>
      </c>
      <c r="H4" s="1">
        <v>45674</v>
      </c>
      <c r="I4" t="s">
        <v>39</v>
      </c>
      <c r="J4" t="s">
        <v>40</v>
      </c>
      <c r="K4">
        <v>75</v>
      </c>
    </row>
    <row r="5" spans="1:12" x14ac:dyDescent="0.25">
      <c r="A5" t="s">
        <v>36</v>
      </c>
      <c r="B5">
        <v>9254978</v>
      </c>
      <c r="C5" t="s">
        <v>25</v>
      </c>
      <c r="D5" t="s">
        <v>44</v>
      </c>
      <c r="E5" t="str">
        <f>CONCATENATE(C5, " ",D5)</f>
        <v>William Weist</v>
      </c>
      <c r="F5" s="2">
        <v>20088846701</v>
      </c>
      <c r="G5" s="1">
        <v>45658</v>
      </c>
      <c r="H5" s="1">
        <v>45674</v>
      </c>
      <c r="I5" t="s">
        <v>39</v>
      </c>
      <c r="J5" t="s">
        <v>40</v>
      </c>
      <c r="K5">
        <v>75</v>
      </c>
    </row>
    <row r="6" spans="1:12" x14ac:dyDescent="0.25">
      <c r="A6" t="s">
        <v>10</v>
      </c>
      <c r="B6">
        <v>17528908</v>
      </c>
      <c r="C6" t="s">
        <v>11</v>
      </c>
      <c r="D6" t="s">
        <v>12</v>
      </c>
      <c r="E6" t="str">
        <f>CONCATENATE(C6, " ",D6)</f>
        <v>Dennis Brickley</v>
      </c>
      <c r="F6" s="2">
        <v>20073239401</v>
      </c>
      <c r="G6" s="1">
        <v>45292</v>
      </c>
      <c r="H6" s="1">
        <v>45674</v>
      </c>
      <c r="I6" t="s">
        <v>13</v>
      </c>
      <c r="J6" t="s">
        <v>14</v>
      </c>
      <c r="K6">
        <v>20</v>
      </c>
    </row>
    <row r="7" spans="1:12" x14ac:dyDescent="0.25">
      <c r="A7" t="s">
        <v>15</v>
      </c>
      <c r="B7">
        <v>8307933</v>
      </c>
      <c r="C7" t="s">
        <v>16</v>
      </c>
      <c r="D7" t="s">
        <v>17</v>
      </c>
      <c r="E7" t="str">
        <f>CONCATENATE(C7, " ",D7)</f>
        <v>Virginia Hart</v>
      </c>
      <c r="F7" s="2">
        <v>20039386701</v>
      </c>
      <c r="G7" s="1">
        <v>44562</v>
      </c>
      <c r="H7" s="1">
        <v>45674</v>
      </c>
      <c r="I7" t="s">
        <v>13</v>
      </c>
      <c r="J7" t="s">
        <v>18</v>
      </c>
      <c r="K7">
        <v>10</v>
      </c>
    </row>
    <row r="8" spans="1:12" x14ac:dyDescent="0.25">
      <c r="A8" t="s">
        <v>46</v>
      </c>
      <c r="B8">
        <v>20411454</v>
      </c>
      <c r="C8" t="s">
        <v>28</v>
      </c>
      <c r="D8" t="s">
        <v>29</v>
      </c>
      <c r="E8" t="str">
        <f>CONCATENATE(C8, " ",D8)</f>
        <v>Debbie Dewald</v>
      </c>
      <c r="F8" s="2">
        <v>120087098801</v>
      </c>
      <c r="G8" s="1">
        <v>45597</v>
      </c>
      <c r="H8" s="1">
        <v>45674</v>
      </c>
      <c r="I8" t="s">
        <v>13</v>
      </c>
      <c r="J8" t="s">
        <v>30</v>
      </c>
      <c r="K8">
        <v>6</v>
      </c>
      <c r="L8" t="s">
        <v>45</v>
      </c>
    </row>
    <row r="9" spans="1:12" x14ac:dyDescent="0.25">
      <c r="A9" t="s">
        <v>46</v>
      </c>
      <c r="B9">
        <v>20411454</v>
      </c>
      <c r="C9" t="s">
        <v>11</v>
      </c>
      <c r="D9" t="s">
        <v>12</v>
      </c>
      <c r="E9" t="str">
        <f>CONCATENATE(C9, " ",D9)</f>
        <v>Dennis Brickley</v>
      </c>
      <c r="F9" s="2">
        <v>120073239401</v>
      </c>
      <c r="G9" s="1">
        <v>45292</v>
      </c>
      <c r="H9" s="1">
        <v>45674</v>
      </c>
      <c r="I9" t="s">
        <v>13</v>
      </c>
      <c r="J9" t="s">
        <v>31</v>
      </c>
      <c r="K9">
        <v>3</v>
      </c>
      <c r="L9" t="s">
        <v>45</v>
      </c>
    </row>
    <row r="10" spans="1:12" x14ac:dyDescent="0.25">
      <c r="A10" t="s">
        <v>46</v>
      </c>
      <c r="B10">
        <v>20411454</v>
      </c>
      <c r="C10" t="s">
        <v>20</v>
      </c>
      <c r="D10" t="s">
        <v>21</v>
      </c>
      <c r="E10" t="str">
        <f>CONCATENATE(C10, " ",D10)</f>
        <v>Ida Howard</v>
      </c>
      <c r="F10" s="2">
        <v>120069611001</v>
      </c>
      <c r="G10" s="1">
        <v>45200</v>
      </c>
      <c r="H10" s="1">
        <v>45674</v>
      </c>
      <c r="I10" t="s">
        <v>13</v>
      </c>
      <c r="J10" t="s">
        <v>31</v>
      </c>
      <c r="K10">
        <v>3</v>
      </c>
      <c r="L10" t="s">
        <v>45</v>
      </c>
    </row>
    <row r="11" spans="1:12" x14ac:dyDescent="0.25">
      <c r="A11" t="s">
        <v>46</v>
      </c>
      <c r="B11">
        <v>20411454</v>
      </c>
      <c r="C11" t="s">
        <v>22</v>
      </c>
      <c r="D11" t="s">
        <v>23</v>
      </c>
      <c r="E11" t="str">
        <f>CONCATENATE(C11, " ",D11)</f>
        <v>Lori Peluso</v>
      </c>
      <c r="F11" s="2">
        <v>120074897401</v>
      </c>
      <c r="G11" s="1">
        <v>45292</v>
      </c>
      <c r="H11" s="1">
        <v>45674</v>
      </c>
      <c r="I11" t="s">
        <v>13</v>
      </c>
      <c r="J11" t="s">
        <v>31</v>
      </c>
      <c r="K11">
        <v>3</v>
      </c>
      <c r="L11" t="s">
        <v>45</v>
      </c>
    </row>
    <row r="12" spans="1:12" x14ac:dyDescent="0.25">
      <c r="A12" t="s">
        <v>46</v>
      </c>
      <c r="B12">
        <v>20411454</v>
      </c>
      <c r="C12" t="s">
        <v>32</v>
      </c>
      <c r="D12" t="s">
        <v>33</v>
      </c>
      <c r="E12" t="str">
        <f>CONCATENATE(C12, " ",D12)</f>
        <v>Luis Martinez</v>
      </c>
      <c r="F12" s="2">
        <v>120028173801</v>
      </c>
      <c r="G12" s="1">
        <v>44044</v>
      </c>
      <c r="H12" s="1">
        <v>45674</v>
      </c>
      <c r="I12" t="s">
        <v>13</v>
      </c>
      <c r="J12" t="s">
        <v>31</v>
      </c>
      <c r="K12">
        <v>3</v>
      </c>
      <c r="L12" t="s">
        <v>45</v>
      </c>
    </row>
    <row r="13" spans="1:12" x14ac:dyDescent="0.25">
      <c r="A13" t="s">
        <v>46</v>
      </c>
      <c r="B13">
        <v>20411454</v>
      </c>
      <c r="C13" t="s">
        <v>16</v>
      </c>
      <c r="D13" t="s">
        <v>17</v>
      </c>
      <c r="E13" t="str">
        <f>CONCATENATE(C13, " ",D13)</f>
        <v>Virginia Hart</v>
      </c>
      <c r="F13" s="2">
        <v>120039386701</v>
      </c>
      <c r="G13" s="1">
        <v>44562</v>
      </c>
      <c r="H13" s="1">
        <v>45674</v>
      </c>
      <c r="I13" t="s">
        <v>13</v>
      </c>
      <c r="J13" t="s">
        <v>31</v>
      </c>
      <c r="K13">
        <v>3</v>
      </c>
      <c r="L13" t="s">
        <v>45</v>
      </c>
    </row>
    <row r="14" spans="1:12" x14ac:dyDescent="0.25">
      <c r="A14" t="s">
        <v>46</v>
      </c>
      <c r="B14">
        <v>20411454</v>
      </c>
      <c r="C14" t="s">
        <v>25</v>
      </c>
      <c r="D14" t="s">
        <v>34</v>
      </c>
      <c r="E14" t="str">
        <f>CONCATENATE(C14, " ",D14)</f>
        <v>William Bomboy Jr</v>
      </c>
      <c r="F14" s="2">
        <v>120027778301</v>
      </c>
      <c r="G14" s="1">
        <v>44013</v>
      </c>
      <c r="H14" s="1">
        <v>45674</v>
      </c>
      <c r="I14" t="s">
        <v>13</v>
      </c>
      <c r="J14" t="s">
        <v>31</v>
      </c>
      <c r="K14">
        <v>3</v>
      </c>
      <c r="L14" t="s">
        <v>45</v>
      </c>
    </row>
    <row r="15" spans="1:12" x14ac:dyDescent="0.25">
      <c r="A15" t="s">
        <v>19</v>
      </c>
      <c r="B15">
        <v>18794740</v>
      </c>
      <c r="C15" t="s">
        <v>20</v>
      </c>
      <c r="D15" t="s">
        <v>21</v>
      </c>
      <c r="E15" t="str">
        <f>CONCATENATE(C15, " ",D15)</f>
        <v>Ida Howard</v>
      </c>
      <c r="F15" s="2">
        <v>20069611001</v>
      </c>
      <c r="G15" s="1">
        <v>45200</v>
      </c>
      <c r="H15" s="1">
        <v>45674</v>
      </c>
      <c r="I15" t="s">
        <v>13</v>
      </c>
      <c r="J15" t="s">
        <v>18</v>
      </c>
      <c r="K15">
        <v>10</v>
      </c>
    </row>
    <row r="16" spans="1:12" x14ac:dyDescent="0.25">
      <c r="A16" t="s">
        <v>19</v>
      </c>
      <c r="B16">
        <v>18794740</v>
      </c>
      <c r="C16" t="s">
        <v>22</v>
      </c>
      <c r="D16" t="s">
        <v>23</v>
      </c>
      <c r="E16" t="str">
        <f>CONCATENATE(C16, " ",D16)</f>
        <v>Lori Peluso</v>
      </c>
      <c r="F16" s="2">
        <v>20074897401</v>
      </c>
      <c r="G16" s="1">
        <v>45292</v>
      </c>
      <c r="H16" s="1">
        <v>45674</v>
      </c>
      <c r="I16" t="s">
        <v>13</v>
      </c>
      <c r="J16" t="s">
        <v>14</v>
      </c>
      <c r="K16">
        <v>20</v>
      </c>
    </row>
    <row r="17" spans="1:11" x14ac:dyDescent="0.25">
      <c r="A17" t="s">
        <v>24</v>
      </c>
      <c r="B17">
        <v>18010408</v>
      </c>
      <c r="C17" t="s">
        <v>25</v>
      </c>
      <c r="D17" t="s">
        <v>26</v>
      </c>
      <c r="E17" t="str">
        <f>CONCATENATE(C17, " ",D17)</f>
        <v>William Buckley</v>
      </c>
      <c r="F17" s="2">
        <v>20088090901</v>
      </c>
      <c r="G17" s="1">
        <v>45597</v>
      </c>
      <c r="H17" s="1">
        <v>45674</v>
      </c>
      <c r="I17" t="s">
        <v>13</v>
      </c>
      <c r="J17" t="s">
        <v>27</v>
      </c>
      <c r="K17">
        <v>80</v>
      </c>
    </row>
    <row r="18" spans="1:11" x14ac:dyDescent="0.25">
      <c r="A18" t="s">
        <v>24</v>
      </c>
      <c r="B18">
        <v>18010408</v>
      </c>
      <c r="C18" t="s">
        <v>25</v>
      </c>
      <c r="D18" t="s">
        <v>26</v>
      </c>
      <c r="E18" t="str">
        <f>CONCATENATE(C18, " ",D18)</f>
        <v>William Buckley</v>
      </c>
      <c r="F18" s="2">
        <v>20088090901</v>
      </c>
      <c r="G18" s="1">
        <v>45597</v>
      </c>
      <c r="H18" s="1">
        <v>45674</v>
      </c>
      <c r="I18" t="s">
        <v>13</v>
      </c>
      <c r="J18" t="s">
        <v>35</v>
      </c>
      <c r="K18">
        <v>12</v>
      </c>
    </row>
  </sheetData>
  <sortState xmlns:xlrd2="http://schemas.microsoft.com/office/spreadsheetml/2017/richdata2" ref="A2:L18">
    <sortCondition ref="A2:A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58B2-32A9-4DFA-BE23-A02E84A8915F}">
  <dimension ref="A1:M13"/>
  <sheetViews>
    <sheetView tabSelected="1" workbookViewId="0">
      <selection activeCell="G2" sqref="G2:G13"/>
    </sheetView>
  </sheetViews>
  <sheetFormatPr defaultColWidth="11" defaultRowHeight="15.75" x14ac:dyDescent="0.25"/>
  <cols>
    <col min="1" max="1" width="15.25" bestFit="1" customWidth="1"/>
    <col min="2" max="2" width="9.375" bestFit="1" customWidth="1"/>
    <col min="3" max="3" width="9.75" bestFit="1" customWidth="1"/>
    <col min="4" max="4" width="9.5" bestFit="1" customWidth="1"/>
    <col min="5" max="5" width="15.875" bestFit="1" customWidth="1"/>
    <col min="6" max="6" width="14.875" style="2" customWidth="1"/>
    <col min="7" max="7" width="10.875" bestFit="1" customWidth="1"/>
    <col min="8" max="8" width="13.625" bestFit="1" customWidth="1"/>
    <col min="9" max="9" width="22.125" bestFit="1" customWidth="1"/>
    <col min="10" max="10" width="55.625" bestFit="1" customWidth="1"/>
    <col min="11" max="11" width="14.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3" x14ac:dyDescent="0.25">
      <c r="A2" t="s">
        <v>46</v>
      </c>
      <c r="B2">
        <v>20411454</v>
      </c>
      <c r="C2" t="s">
        <v>32</v>
      </c>
      <c r="D2" t="s">
        <v>33</v>
      </c>
      <c r="E2" t="str">
        <f>CONCATENATE(C2, " ",D2)</f>
        <v>Luis Martinez</v>
      </c>
      <c r="F2" s="2">
        <v>120028173801</v>
      </c>
      <c r="G2" s="1">
        <v>44044</v>
      </c>
      <c r="H2" s="1">
        <v>45674</v>
      </c>
      <c r="I2" t="s">
        <v>13</v>
      </c>
      <c r="J2" t="s">
        <v>31</v>
      </c>
      <c r="K2">
        <v>3</v>
      </c>
      <c r="L2" t="s">
        <v>45</v>
      </c>
    </row>
    <row r="3" spans="1:13" x14ac:dyDescent="0.25">
      <c r="A3" t="s">
        <v>46</v>
      </c>
      <c r="B3">
        <v>20411454</v>
      </c>
      <c r="C3" t="s">
        <v>25</v>
      </c>
      <c r="D3" t="s">
        <v>34</v>
      </c>
      <c r="E3" t="str">
        <f>CONCATENATE(C3, " ",D3)</f>
        <v>William Bomboy Jr</v>
      </c>
      <c r="F3" s="2">
        <v>120027778301</v>
      </c>
      <c r="G3" s="1">
        <v>44013</v>
      </c>
      <c r="H3" s="1">
        <v>45674</v>
      </c>
      <c r="I3" t="s">
        <v>13</v>
      </c>
      <c r="J3" t="s">
        <v>31</v>
      </c>
      <c r="K3">
        <v>3</v>
      </c>
      <c r="L3" t="s">
        <v>45</v>
      </c>
    </row>
    <row r="4" spans="1:13" x14ac:dyDescent="0.25">
      <c r="A4" t="s">
        <v>46</v>
      </c>
      <c r="B4">
        <v>20411454</v>
      </c>
      <c r="C4" t="s">
        <v>28</v>
      </c>
      <c r="D4" t="s">
        <v>29</v>
      </c>
      <c r="E4" t="str">
        <f>CONCATENATE(C4, " ",D4)</f>
        <v>Debbie Dewald</v>
      </c>
      <c r="F4" s="2">
        <v>120087098801</v>
      </c>
      <c r="G4" s="1">
        <v>45597</v>
      </c>
      <c r="H4" s="1">
        <v>45674</v>
      </c>
      <c r="I4" t="s">
        <v>13</v>
      </c>
      <c r="J4" t="s">
        <v>30</v>
      </c>
      <c r="K4">
        <v>6</v>
      </c>
      <c r="L4" t="s">
        <v>45</v>
      </c>
    </row>
    <row r="5" spans="1:13" x14ac:dyDescent="0.25">
      <c r="A5" t="s">
        <v>19</v>
      </c>
      <c r="B5">
        <v>18794740</v>
      </c>
      <c r="C5" t="s">
        <v>20</v>
      </c>
      <c r="D5" t="s">
        <v>21</v>
      </c>
      <c r="E5" t="str">
        <f>CONCATENATE(C5, " ",D5)</f>
        <v>Ida Howard</v>
      </c>
      <c r="F5" s="2">
        <v>20069611001</v>
      </c>
      <c r="G5" s="1">
        <v>45200</v>
      </c>
      <c r="H5" s="1">
        <v>45674</v>
      </c>
      <c r="I5" t="s">
        <v>13</v>
      </c>
      <c r="J5" t="s">
        <v>18</v>
      </c>
      <c r="K5">
        <v>13</v>
      </c>
      <c r="L5" t="s">
        <v>49</v>
      </c>
    </row>
    <row r="6" spans="1:13" x14ac:dyDescent="0.25">
      <c r="A6" t="s">
        <v>15</v>
      </c>
      <c r="B6">
        <v>8307933</v>
      </c>
      <c r="C6" t="s">
        <v>16</v>
      </c>
      <c r="D6" t="s">
        <v>17</v>
      </c>
      <c r="E6" t="str">
        <f>CONCATENATE(C6, " ",D6)</f>
        <v>Virginia Hart</v>
      </c>
      <c r="F6" s="2">
        <v>20039386701</v>
      </c>
      <c r="G6" s="1">
        <v>44562</v>
      </c>
      <c r="H6" s="1">
        <v>45674</v>
      </c>
      <c r="I6" t="s">
        <v>13</v>
      </c>
      <c r="J6" t="s">
        <v>18</v>
      </c>
      <c r="K6">
        <v>13</v>
      </c>
      <c r="L6" t="s">
        <v>49</v>
      </c>
    </row>
    <row r="7" spans="1:13" x14ac:dyDescent="0.25">
      <c r="A7" t="s">
        <v>10</v>
      </c>
      <c r="B7">
        <v>17528908</v>
      </c>
      <c r="C7" t="s">
        <v>11</v>
      </c>
      <c r="D7" t="s">
        <v>12</v>
      </c>
      <c r="E7" t="str">
        <f>CONCATENATE(C7, " ",D7)</f>
        <v>Dennis Brickley</v>
      </c>
      <c r="F7" s="2">
        <v>20073239401</v>
      </c>
      <c r="G7" s="1">
        <v>45292</v>
      </c>
      <c r="H7" s="1">
        <v>45674</v>
      </c>
      <c r="I7" t="s">
        <v>13</v>
      </c>
      <c r="J7" t="s">
        <v>14</v>
      </c>
      <c r="K7">
        <v>23</v>
      </c>
      <c r="L7" t="s">
        <v>49</v>
      </c>
    </row>
    <row r="8" spans="1:13" x14ac:dyDescent="0.25">
      <c r="A8" t="s">
        <v>19</v>
      </c>
      <c r="B8">
        <v>18794740</v>
      </c>
      <c r="C8" t="s">
        <v>22</v>
      </c>
      <c r="D8" t="s">
        <v>23</v>
      </c>
      <c r="E8" t="str">
        <f>CONCATENATE(C8, " ",D8)</f>
        <v>Lori Peluso</v>
      </c>
      <c r="F8" s="2">
        <v>20074897401</v>
      </c>
      <c r="G8" s="1">
        <v>45292</v>
      </c>
      <c r="H8" s="1">
        <v>45674</v>
      </c>
      <c r="I8" t="s">
        <v>13</v>
      </c>
      <c r="J8" t="s">
        <v>14</v>
      </c>
      <c r="K8">
        <v>23</v>
      </c>
      <c r="L8" t="s">
        <v>49</v>
      </c>
    </row>
    <row r="9" spans="1:13" x14ac:dyDescent="0.25">
      <c r="A9" t="s">
        <v>46</v>
      </c>
      <c r="B9">
        <v>20411454</v>
      </c>
      <c r="C9" t="s">
        <v>37</v>
      </c>
      <c r="D9" t="s">
        <v>38</v>
      </c>
      <c r="E9" t="str">
        <f>CONCATENATE(C9, " ",D9)</f>
        <v>Connie Barger</v>
      </c>
      <c r="F9" s="2">
        <v>20088356201</v>
      </c>
      <c r="G9" s="1">
        <v>45658</v>
      </c>
      <c r="H9" s="1">
        <v>45674</v>
      </c>
      <c r="I9" t="s">
        <v>39</v>
      </c>
      <c r="J9" t="s">
        <v>40</v>
      </c>
      <c r="K9">
        <v>75</v>
      </c>
      <c r="L9" t="s">
        <v>48</v>
      </c>
    </row>
    <row r="10" spans="1:13" x14ac:dyDescent="0.25">
      <c r="A10" t="s">
        <v>46</v>
      </c>
      <c r="B10">
        <v>20411454</v>
      </c>
      <c r="C10" t="s">
        <v>41</v>
      </c>
      <c r="D10" t="s">
        <v>42</v>
      </c>
      <c r="E10" t="str">
        <f>CONCATENATE(C10, " ",D10)</f>
        <v>Margaret Stoner</v>
      </c>
      <c r="F10" s="2">
        <v>20088358301</v>
      </c>
      <c r="G10" s="1">
        <v>45658</v>
      </c>
      <c r="H10" s="1">
        <v>45674</v>
      </c>
      <c r="I10" t="s">
        <v>39</v>
      </c>
      <c r="J10" t="s">
        <v>40</v>
      </c>
      <c r="K10">
        <v>75</v>
      </c>
      <c r="L10" t="s">
        <v>48</v>
      </c>
    </row>
    <row r="11" spans="1:13" x14ac:dyDescent="0.25">
      <c r="A11" t="s">
        <v>46</v>
      </c>
      <c r="B11">
        <v>20411454</v>
      </c>
      <c r="C11" t="s">
        <v>43</v>
      </c>
      <c r="D11" t="s">
        <v>42</v>
      </c>
      <c r="E11" t="str">
        <f>CONCATENATE(C11, " ",D11)</f>
        <v>Max Stoner</v>
      </c>
      <c r="F11" s="2">
        <v>20088358501</v>
      </c>
      <c r="G11" s="1">
        <v>45658</v>
      </c>
      <c r="H11" s="1">
        <v>45674</v>
      </c>
      <c r="I11" t="s">
        <v>39</v>
      </c>
      <c r="J11" t="s">
        <v>40</v>
      </c>
      <c r="K11">
        <v>75</v>
      </c>
      <c r="L11" t="s">
        <v>48</v>
      </c>
    </row>
    <row r="12" spans="1:13" x14ac:dyDescent="0.25">
      <c r="A12" t="s">
        <v>46</v>
      </c>
      <c r="B12">
        <v>20411454</v>
      </c>
      <c r="C12" t="s">
        <v>25</v>
      </c>
      <c r="D12" t="s">
        <v>44</v>
      </c>
      <c r="E12" t="str">
        <f>CONCATENATE(C12, " ",D12)</f>
        <v>William Weist</v>
      </c>
      <c r="F12" s="2">
        <v>20088846701</v>
      </c>
      <c r="G12" s="1">
        <v>45658</v>
      </c>
      <c r="H12" s="1">
        <v>45674</v>
      </c>
      <c r="I12" t="s">
        <v>39</v>
      </c>
      <c r="J12" t="s">
        <v>40</v>
      </c>
      <c r="K12">
        <v>75</v>
      </c>
      <c r="L12" t="s">
        <v>48</v>
      </c>
    </row>
    <row r="13" spans="1:13" ht="17.25" x14ac:dyDescent="0.3">
      <c r="A13" t="s">
        <v>24</v>
      </c>
      <c r="B13">
        <v>18010408</v>
      </c>
      <c r="C13" t="s">
        <v>25</v>
      </c>
      <c r="D13" t="s">
        <v>26</v>
      </c>
      <c r="E13" t="str">
        <f>CONCATENATE(C13, " ",D13)</f>
        <v>William Buckley</v>
      </c>
      <c r="F13" s="2">
        <v>20088090901</v>
      </c>
      <c r="G13" s="1">
        <v>45597</v>
      </c>
      <c r="H13" s="1">
        <v>45674</v>
      </c>
      <c r="I13" t="s">
        <v>13</v>
      </c>
      <c r="J13" t="s">
        <v>35</v>
      </c>
      <c r="K13">
        <v>92</v>
      </c>
      <c r="L13" t="s">
        <v>49</v>
      </c>
      <c r="M13" s="3" t="s">
        <v>47</v>
      </c>
    </row>
  </sheetData>
  <sortState xmlns:xlrd2="http://schemas.microsoft.com/office/spreadsheetml/2017/richdata2" ref="A2:M13">
    <sortCondition ref="K2:K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2025-01-17T18:16:45Z</dcterms:created>
  <dcterms:modified xsi:type="dcterms:W3CDTF">2025-01-22T16:42:05Z</dcterms:modified>
</cp:coreProperties>
</file>