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2025\2-21-25\"/>
    </mc:Choice>
  </mc:AlternateContent>
  <xr:revisionPtr revIDLastSave="0" documentId="13_ncr:9_{F5FD3594-938A-4D66-84C1-5D7C34F14045}" xr6:coauthVersionLast="47" xr6:coauthVersionMax="47" xr10:uidLastSave="{00000000-0000-0000-0000-000000000000}"/>
  <bookViews>
    <workbookView xWindow="-120" yWindow="-120" windowWidth="29040" windowHeight="16440" xr2:uid="{A314494A-E42D-4DCF-BA30-7818B25B22FB}"/>
  </bookViews>
  <sheets>
    <sheet name="Commissions_Main Line Benefits,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<sst xmlns="http://schemas.openxmlformats.org/spreadsheetml/2006/main" count="175" uniqueCount="49">
  <si>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</si>
  <si>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</si>
  <si>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</si>
  <si>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</si>
  <si>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</si>
  <si>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</si>
  <si>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</si>
  <si>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</si>
  <si>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</si>
  <si>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</si>
  <si>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</si>
  <si>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</si>
  <si>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Debbie</t>
  </si>
  <si>
    <t>Dewald</t>
  </si>
  <si>
    <t>Geisinger Health Plan U65</t>
  </si>
  <si>
    <t>GHP U65 2024-2025 OR (ProRata: 2) Premium Period: 01/2025</t>
  </si>
  <si>
    <t>Deborah Inskipt</t>
  </si>
  <si>
    <t>Dennis</t>
  </si>
  <si>
    <t>Brickley</t>
  </si>
  <si>
    <t>GHP U65 2024-2025 OR (ProRata: 1) Premium Period: 01/2025</t>
  </si>
  <si>
    <t>Luis</t>
  </si>
  <si>
    <t>Martinez</t>
  </si>
  <si>
    <t>William</t>
  </si>
  <si>
    <t>Bomboy Jr</t>
  </si>
  <si>
    <t>William Schaeffer</t>
  </si>
  <si>
    <t>Buckley</t>
  </si>
  <si>
    <t>GHP U65 2024-2025 OR (ProRata: 4) Premium Period: 01/2025</t>
  </si>
  <si>
    <t>Scott Aguglia</t>
  </si>
  <si>
    <t>B67020</t>
  </si>
  <si>
    <t>John</t>
  </si>
  <si>
    <t>Rundle</t>
  </si>
  <si>
    <t>Wyatt</t>
  </si>
  <si>
    <t>Furman</t>
  </si>
  <si>
    <t>Donald</t>
  </si>
  <si>
    <t>Caples</t>
  </si>
  <si>
    <t>Jan</t>
  </si>
  <si>
    <t>Rodriguez</t>
  </si>
  <si>
    <t>Roy</t>
  </si>
  <si>
    <t>Rapp</t>
  </si>
  <si>
    <t>GHP U65 2022-25 Year 2+ ST (ProRata: 1) Premium Period: 01/2025</t>
  </si>
  <si>
    <t>GHP U65 2022-25 Year 1 ST (ProRata: 4) Premium Period: 01/2025</t>
  </si>
  <si>
    <t>GHP U65 2022-25 Year 1 ST (ProRata: 1) Premium Period: 01/2025</t>
  </si>
  <si>
    <t>Bomboy</t>
  </si>
  <si>
    <t>[PMPM=2]</t>
  </si>
  <si>
    <t>[PMPM=4]</t>
  </si>
  <si>
    <t>Geisinger U65</t>
  </si>
  <si>
    <t>Geisinger U65 override</t>
  </si>
  <si>
    <t>Main Line Benefits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</si>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</sst>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NumberFormat="1"/>
    <xf numFmtId="1" fontId="0" fillId="0" borderId="0" xfId="0" applyNumberFormat="1"/>
    <xf numFmtId="1" fontId="0" fillId="33" borderId="0" xfId="0" applyNumberFormat="1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1FA8-1DC5-4B46-80E2-5145462C9AF3}">
  <dimension ref="A1:K427"/>
  <sheetViews>
    <sheetView tabSelected="1" workbookViewId="0">
      <selection sqref="A1:XFD1048576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2.85546875" bestFit="1" customWidth="1"/>
    <col min="6" max="6" width="21.14062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70.140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>
        <v>20087098801</v>
      </c>
      <c r="G2" s="1">
        <v>45597</v>
      </c>
      <c r="H2" s="1">
        <v>45709</v>
      </c>
      <c r="I2" t="s">
        <v>14</v>
      </c>
      <c r="J2" t="s">
        <v>15</v>
      </c>
      <c r="K2" s="2">
        <v>6</v>
      </c>
    </row>
    <row r="3" spans="1:11" x14ac:dyDescent="0.25">
      <c r="A3" t="s">
        <v>16</v>
      </c>
      <c r="B3">
        <v>17528908</v>
      </c>
      <c r="C3">
        <v>17528908</v>
      </c>
      <c r="D3" t="s">
        <v>17</v>
      </c>
      <c r="E3" t="s">
        <v>18</v>
      </c>
      <c r="F3">
        <v>20073239401</v>
      </c>
      <c r="G3" s="1">
        <v>45292</v>
      </c>
      <c r="H3" s="1">
        <v>45709</v>
      </c>
      <c r="I3" t="s">
        <v>14</v>
      </c>
      <c r="J3" t="s">
        <v>19</v>
      </c>
      <c r="K3" s="2">
        <v>3</v>
      </c>
    </row>
    <row r="4" spans="1:11" x14ac:dyDescent="0.25">
      <c r="A4" t="s">
        <v>11</v>
      </c>
      <c r="C4">
        <v>17425766</v>
      </c>
      <c r="D4" t="s">
        <v>20</v>
      </c>
      <c r="E4" t="s">
        <v>21</v>
      </c>
      <c r="F4">
        <v>20028173801</v>
      </c>
      <c r="G4" s="1">
        <v>44044</v>
      </c>
      <c r="H4" s="1">
        <v>45709</v>
      </c>
      <c r="I4" t="s">
        <v>14</v>
      </c>
      <c r="J4" t="s">
        <v>19</v>
      </c>
      <c r="K4" s="2">
        <v>3</v>
      </c>
    </row>
    <row r="5" spans="1:11" x14ac:dyDescent="0.25">
      <c r="A5" t="s">
        <v>11</v>
      </c>
      <c r="C5">
        <v>17425766</v>
      </c>
      <c r="D5" t="s">
        <v>22</v>
      </c>
      <c r="E5" t="s">
        <v>23</v>
      </c>
      <c r="F5">
        <v>20027778301</v>
      </c>
      <c r="G5" s="1">
        <v>44013</v>
      </c>
      <c r="H5" s="1">
        <v>45709</v>
      </c>
      <c r="I5" t="s">
        <v>14</v>
      </c>
      <c r="J5" t="s">
        <v>19</v>
      </c>
      <c r="K5" s="2">
        <v>3</v>
      </c>
    </row>
    <row r="6" spans="1:11" x14ac:dyDescent="0.25">
      <c r="A6" t="s">
        <v>24</v>
      </c>
      <c r="C6">
        <v>18010408</v>
      </c>
      <c r="D6" t="s">
        <v>22</v>
      </c>
      <c r="E6" t="s">
        <v>25</v>
      </c>
      <c r="F6">
        <v>20088090901</v>
      </c>
      <c r="G6" s="1">
        <v>45597</v>
      </c>
      <c r="H6" s="1">
        <v>45709</v>
      </c>
      <c r="I6" t="s">
        <v>14</v>
      </c>
      <c r="J6" t="s">
        <v>26</v>
      </c>
      <c r="K6" s="2">
        <v>12</v>
      </c>
    </row>
    <row r="7" spans="1:11" x14ac:dyDescent="0.25">
      <c r="A7" t="s">
        <v>27</v>
      </c>
      <c r="B7" t="s">
        <v>28</v>
      </c>
      <c r="C7">
        <v>8971826</v>
      </c>
      <c r="D7" t="s">
        <v>29</v>
      </c>
      <c r="E7" t="s">
        <v>30</v>
      </c>
      <c r="F7">
        <v>20068280401</v>
      </c>
      <c r="G7" s="1">
        <v>45170</v>
      </c>
      <c r="H7" s="1">
        <v>45709</v>
      </c>
      <c r="I7" t="s">
        <v>14</v>
      </c>
      <c r="J7" t="s">
        <v>19</v>
      </c>
      <c r="K7" s="2">
        <v>3</v>
      </c>
    </row>
    <row r="8" spans="1:11" x14ac:dyDescent="0.25">
      <c r="A8" t="s">
        <v>24</v>
      </c>
      <c r="C8">
        <v>18010408</v>
      </c>
      <c r="D8" t="s">
        <v>31</v>
      </c>
      <c r="E8" t="s">
        <v>32</v>
      </c>
      <c r="F8">
        <v>20032293001</v>
      </c>
      <c r="G8" s="1">
        <v>44197</v>
      </c>
      <c r="H8" s="1">
        <v>45709</v>
      </c>
      <c r="I8" t="s">
        <v>14</v>
      </c>
      <c r="J8" t="s">
        <v>19</v>
      </c>
      <c r="K8" s="2">
        <v>3</v>
      </c>
    </row>
    <row r="9" spans="1:11" x14ac:dyDescent="0.25">
      <c r="A9" t="s">
        <v>24</v>
      </c>
      <c r="C9">
        <v>18010408</v>
      </c>
      <c r="D9" t="s">
        <v>33</v>
      </c>
      <c r="E9" t="s">
        <v>34</v>
      </c>
      <c r="F9">
        <v>20033010701</v>
      </c>
      <c r="G9" s="1">
        <v>44228</v>
      </c>
      <c r="H9" s="1">
        <v>45709</v>
      </c>
      <c r="I9" t="s">
        <v>14</v>
      </c>
      <c r="J9" t="s">
        <v>15</v>
      </c>
      <c r="K9" s="2">
        <v>6</v>
      </c>
    </row>
    <row r="10" spans="1:11" x14ac:dyDescent="0.25">
      <c r="A10" t="s">
        <v>24</v>
      </c>
      <c r="C10">
        <v>18010408</v>
      </c>
      <c r="D10" t="s">
        <v>35</v>
      </c>
      <c r="E10" t="s">
        <v>36</v>
      </c>
      <c r="F10">
        <v>20056813601</v>
      </c>
      <c r="G10" s="1">
        <v>44866</v>
      </c>
      <c r="H10" s="1">
        <v>45709</v>
      </c>
      <c r="I10" t="s">
        <v>14</v>
      </c>
      <c r="J10" t="s">
        <v>19</v>
      </c>
      <c r="K10" s="2">
        <v>3</v>
      </c>
    </row>
    <row r="11" spans="1:11" x14ac:dyDescent="0.25">
      <c r="A11" t="s">
        <v>24</v>
      </c>
      <c r="C11">
        <v>18010408</v>
      </c>
      <c r="D11" t="s">
        <v>37</v>
      </c>
      <c r="E11" t="s">
        <v>38</v>
      </c>
      <c r="F11">
        <v>20091153901</v>
      </c>
      <c r="G11" s="1">
        <v>45658</v>
      </c>
      <c r="H11" s="1">
        <v>45709</v>
      </c>
      <c r="I11" t="s">
        <v>14</v>
      </c>
      <c r="J11" t="s">
        <v>26</v>
      </c>
      <c r="K11" s="2">
        <v>12</v>
      </c>
    </row>
    <row r="12" spans="1:11" x14ac:dyDescent="0.25">
      <c r="A12" t="s">
        <v>16</v>
      </c>
      <c r="B12">
        <v>17528908</v>
      </c>
      <c r="C12">
        <v>17528908</v>
      </c>
      <c r="D12" t="s">
        <v>17</v>
      </c>
      <c r="E12" t="s">
        <v>18</v>
      </c>
      <c r="F12">
        <v>20073239401</v>
      </c>
      <c r="G12" s="1">
        <v>45292</v>
      </c>
      <c r="H12" s="1">
        <v>45709</v>
      </c>
      <c r="I12" t="s">
        <v>14</v>
      </c>
      <c r="J12" t="s">
        <v>39</v>
      </c>
      <c r="K12" s="2">
        <v>10</v>
      </c>
    </row>
    <row r="13" spans="1:11" x14ac:dyDescent="0.25">
      <c r="A13" t="s">
        <v>24</v>
      </c>
      <c r="C13">
        <v>18010408</v>
      </c>
      <c r="D13" t="s">
        <v>22</v>
      </c>
      <c r="E13" t="s">
        <v>25</v>
      </c>
      <c r="F13">
        <v>20088090901</v>
      </c>
      <c r="G13" s="1">
        <v>45597</v>
      </c>
      <c r="H13" s="1">
        <v>45709</v>
      </c>
      <c r="I13" t="s">
        <v>14</v>
      </c>
      <c r="J13" t="s">
        <v>40</v>
      </c>
      <c r="K13" s="2">
        <v>80</v>
      </c>
    </row>
    <row r="14" spans="1:11" x14ac:dyDescent="0.25">
      <c r="A14" t="s">
        <v>27</v>
      </c>
      <c r="B14" t="s">
        <v>28</v>
      </c>
      <c r="C14">
        <v>8971826</v>
      </c>
      <c r="D14" t="s">
        <v>29</v>
      </c>
      <c r="E14" t="s">
        <v>30</v>
      </c>
      <c r="F14">
        <v>20068280401</v>
      </c>
      <c r="G14" s="1">
        <v>45170</v>
      </c>
      <c r="H14" s="1">
        <v>45709</v>
      </c>
      <c r="I14" t="s">
        <v>14</v>
      </c>
      <c r="J14" t="s">
        <v>39</v>
      </c>
      <c r="K14" s="2">
        <v>10</v>
      </c>
    </row>
    <row r="15" spans="1:11" x14ac:dyDescent="0.25">
      <c r="A15" t="s">
        <v>24</v>
      </c>
      <c r="C15">
        <v>18010408</v>
      </c>
      <c r="D15" t="s">
        <v>31</v>
      </c>
      <c r="E15" t="s">
        <v>32</v>
      </c>
      <c r="F15">
        <v>20032293001</v>
      </c>
      <c r="G15" s="1">
        <v>44197</v>
      </c>
      <c r="H15" s="1">
        <v>45709</v>
      </c>
      <c r="I15" t="s">
        <v>14</v>
      </c>
      <c r="J15" t="s">
        <v>39</v>
      </c>
      <c r="K15" s="2">
        <v>10</v>
      </c>
    </row>
    <row r="16" spans="1:11" x14ac:dyDescent="0.25">
      <c r="A16" t="s">
        <v>24</v>
      </c>
      <c r="C16">
        <v>18010408</v>
      </c>
      <c r="D16" t="s">
        <v>33</v>
      </c>
      <c r="E16" t="s">
        <v>34</v>
      </c>
      <c r="F16">
        <v>20033010701</v>
      </c>
      <c r="G16" s="1">
        <v>44228</v>
      </c>
      <c r="H16" s="1">
        <v>45709</v>
      </c>
      <c r="I16" t="s">
        <v>14</v>
      </c>
      <c r="J16" t="s">
        <v>41</v>
      </c>
      <c r="K16" s="2">
        <v>20</v>
      </c>
    </row>
    <row r="17" spans="1:11" x14ac:dyDescent="0.25">
      <c r="A17" t="s">
        <v>24</v>
      </c>
      <c r="C17">
        <v>18010408</v>
      </c>
      <c r="D17" t="s">
        <v>35</v>
      </c>
      <c r="E17" t="s">
        <v>36</v>
      </c>
      <c r="F17">
        <v>20056813601</v>
      </c>
      <c r="G17" s="1">
        <v>44866</v>
      </c>
      <c r="H17" s="1">
        <v>45709</v>
      </c>
      <c r="I17" t="s">
        <v>14</v>
      </c>
      <c r="J17" t="s">
        <v>39</v>
      </c>
      <c r="K17" s="2">
        <v>10</v>
      </c>
    </row>
    <row r="18" spans="1:11" x14ac:dyDescent="0.25">
      <c r="A18" t="s">
        <v>24</v>
      </c>
      <c r="C18">
        <v>18010408</v>
      </c>
      <c r="D18" t="s">
        <v>37</v>
      </c>
      <c r="E18" t="s">
        <v>38</v>
      </c>
      <c r="F18">
        <v>20091153901</v>
      </c>
      <c r="G18" s="1">
        <v>45658</v>
      </c>
      <c r="H18" s="1">
        <v>45709</v>
      </c>
      <c r="I18" t="s">
        <v>14</v>
      </c>
      <c r="J18" t="s">
        <v>40</v>
      </c>
      <c r="K18" s="2">
        <v>80</v>
      </c>
    </row>
    <row r="19" spans="1:11" x14ac:dyDescent="0.25">
      <c r="G19" s="1"/>
      <c r="H19" s="1"/>
      <c r="K19" s="2"/>
    </row>
    <row r="20" spans="1:11" x14ac:dyDescent="0.25">
      <c r="G20" s="1"/>
      <c r="H20" s="1"/>
      <c r="K20" s="2"/>
    </row>
    <row r="367" spans="7:11" x14ac:dyDescent="0.25">
      <c r="G367" s="1"/>
      <c r="H367" s="1"/>
      <c r="K367" s="2"/>
    </row>
    <row r="368" spans="7:11" x14ac:dyDescent="0.25">
      <c r="G368" s="1"/>
      <c r="H368" s="1"/>
      <c r="K368" s="2"/>
    </row>
    <row r="375" spans="7:11" x14ac:dyDescent="0.25">
      <c r="G375" s="1"/>
      <c r="H375" s="1"/>
      <c r="K375" s="2"/>
    </row>
    <row r="376" spans="7:11" x14ac:dyDescent="0.25">
      <c r="G376" s="1"/>
      <c r="H376" s="1"/>
      <c r="K376" s="2"/>
    </row>
    <row r="380" spans="7:11" x14ac:dyDescent="0.25">
      <c r="G380" s="1"/>
      <c r="H380" s="1"/>
      <c r="K380" s="2"/>
    </row>
    <row r="381" spans="7:11" x14ac:dyDescent="0.25">
      <c r="G381" s="1"/>
      <c r="H381" s="1"/>
      <c r="K381" s="2"/>
    </row>
    <row r="426" spans="7:11" x14ac:dyDescent="0.25">
      <c r="G426" s="1"/>
      <c r="H426" s="1"/>
      <c r="K426" s="2"/>
    </row>
    <row r="427" spans="7:11" x14ac:dyDescent="0.25">
      <c r="G427" s="1"/>
      <c r="H427" s="1"/>
      <c r="K4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ECBB-BCD9-41D1-9CDB-DDE64370DC76}">
  <dimension ref="A1:O420"/>
  <sheetViews>
    <sheetView topLeftCell="E9" workbookViewId="0">
      <selection activeCell="N2" sqref="N2:N9"/>
    </sheetView>
  </sheetViews>
  <sheetFormatPr defaultRowHeight="15" x14ac:dyDescent="0.25"/>
  <cols>
    <col min="1" max="1" width="19.85546875" bestFit="1" customWidth="1"/>
    <col min="2" max="2" width="15.42578125" style="9" bestFit="1" customWidth="1"/>
    <col min="3" max="3" width="10.7109375" bestFit="1" customWidth="1"/>
    <col min="4" max="4" width="13.28515625" bestFit="1" customWidth="1"/>
    <col min="5" max="5" width="12.85546875" bestFit="1" customWidth="1"/>
    <col min="6" max="6" width="15.7109375" bestFit="1" customWidth="1"/>
    <col min="7" max="7" width="23.140625" customWidth="1"/>
    <col min="8" max="8" width="11.85546875" bestFit="1" customWidth="1"/>
    <col min="9" max="9" width="14.7109375" bestFit="1" customWidth="1"/>
    <col min="10" max="10" width="24.85546875" bestFit="1" customWidth="1"/>
    <col min="11" max="11" width="70.140625" bestFit="1" customWidth="1"/>
    <col min="12" max="12" width="15.7109375" bestFit="1" customWidth="1"/>
  </cols>
  <sheetData>
    <row r="1" spans="1:15" x14ac:dyDescent="0.25">
      <c r="A1" t="s">
        <v>0</v>
      </c>
      <c r="B1" s="9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25">
      <c r="A2" t="s">
        <v>47</v>
      </c>
      <c r="B2" s="9">
        <v>20411454</v>
      </c>
      <c r="C2">
        <v>17425766</v>
      </c>
      <c r="D2" t="s">
        <v>22</v>
      </c>
      <c r="E2" t="s">
        <v>42</v>
      </c>
      <c r="F2" t="str">
        <f>CONCATENATE(D2, " ",E2)</f>
        <v>William Bomboy</v>
      </c>
      <c r="G2" s="7">
        <v>120027778301</v>
      </c>
      <c r="H2" s="1">
        <v>44013</v>
      </c>
      <c r="I2" s="1">
        <v>45709</v>
      </c>
      <c r="J2" t="s">
        <v>14</v>
      </c>
      <c r="K2" t="s">
        <v>19</v>
      </c>
      <c r="L2" s="2">
        <v>3</v>
      </c>
      <c r="M2">
        <v>3</v>
      </c>
      <c r="O2" t="s">
        <v>46</v>
      </c>
    </row>
    <row r="3" spans="1:15" s="3" customFormat="1" x14ac:dyDescent="0.25">
      <c r="A3" s="3" t="s">
        <v>16</v>
      </c>
      <c r="B3" s="10">
        <v>17528908</v>
      </c>
      <c r="C3" s="3">
        <v>17528908</v>
      </c>
      <c r="D3" s="3" t="s">
        <v>17</v>
      </c>
      <c r="E3" s="3" t="s">
        <v>18</v>
      </c>
      <c r="F3" t="str">
        <f t="shared" ref="F3:F11" si="0">CONCATENATE(D3, " ",E3)</f>
        <v>Dennis Brickley</v>
      </c>
      <c r="G3" s="8">
        <v>20073239401</v>
      </c>
      <c r="H3" s="4">
        <v>45292</v>
      </c>
      <c r="I3" s="4">
        <v>45709</v>
      </c>
      <c r="J3" s="3" t="s">
        <v>14</v>
      </c>
      <c r="K3" s="3" t="s">
        <v>39</v>
      </c>
      <c r="L3" s="5">
        <v>10</v>
      </c>
      <c r="M3" s="3">
        <v>13</v>
      </c>
      <c r="O3" s="3" t="s">
        <v>45</v>
      </c>
    </row>
    <row r="4" spans="1:15" s="3" customFormat="1" x14ac:dyDescent="0.25">
      <c r="A4" s="3" t="s">
        <v>24</v>
      </c>
      <c r="B4" s="10">
        <v>18010408</v>
      </c>
      <c r="C4" s="3">
        <v>18010408</v>
      </c>
      <c r="D4" s="3" t="s">
        <v>22</v>
      </c>
      <c r="E4" s="3" t="s">
        <v>25</v>
      </c>
      <c r="F4" t="str">
        <f t="shared" si="0"/>
        <v>William Buckley</v>
      </c>
      <c r="G4" s="8">
        <v>20088090901</v>
      </c>
      <c r="H4" s="4">
        <v>45597</v>
      </c>
      <c r="I4" s="4">
        <v>45709</v>
      </c>
      <c r="J4" s="3" t="s">
        <v>14</v>
      </c>
      <c r="K4" s="3" t="s">
        <v>40</v>
      </c>
      <c r="L4" s="5">
        <v>80</v>
      </c>
      <c r="M4" s="3">
        <v>92</v>
      </c>
      <c r="N4" s="3" t="s">
        <v>44</v>
      </c>
      <c r="O4" s="3" t="s">
        <v>45</v>
      </c>
    </row>
    <row r="5" spans="1:15" s="3" customFormat="1" x14ac:dyDescent="0.25">
      <c r="A5" s="3" t="s">
        <v>24</v>
      </c>
      <c r="B5" s="10" t="s">
        <v>48</v>
      </c>
      <c r="C5" s="3">
        <v>18010408</v>
      </c>
      <c r="D5" s="3" t="s">
        <v>33</v>
      </c>
      <c r="E5" s="3" t="s">
        <v>34</v>
      </c>
      <c r="F5" t="str">
        <f t="shared" si="0"/>
        <v>Donald Caples</v>
      </c>
      <c r="G5" s="8">
        <v>20033010701</v>
      </c>
      <c r="H5" s="4">
        <v>44228</v>
      </c>
      <c r="I5" s="4">
        <v>45709</v>
      </c>
      <c r="J5" s="3" t="s">
        <v>14</v>
      </c>
      <c r="K5" s="3" t="s">
        <v>41</v>
      </c>
      <c r="L5" s="5">
        <v>20</v>
      </c>
      <c r="M5" s="3">
        <v>26</v>
      </c>
      <c r="N5" s="3" t="s">
        <v>43</v>
      </c>
      <c r="O5" s="3" t="s">
        <v>45</v>
      </c>
    </row>
    <row r="6" spans="1:15" x14ac:dyDescent="0.25">
      <c r="A6" t="s">
        <v>47</v>
      </c>
      <c r="B6" s="9">
        <v>20411454</v>
      </c>
      <c r="C6">
        <v>17425766</v>
      </c>
      <c r="D6" t="s">
        <v>12</v>
      </c>
      <c r="E6" t="s">
        <v>13</v>
      </c>
      <c r="F6" t="str">
        <f t="shared" si="0"/>
        <v>Debbie Dewald</v>
      </c>
      <c r="G6" s="7">
        <v>120087098801</v>
      </c>
      <c r="H6" s="1">
        <v>45597</v>
      </c>
      <c r="I6" s="1">
        <v>45709</v>
      </c>
      <c r="J6" t="s">
        <v>14</v>
      </c>
      <c r="K6" t="s">
        <v>15</v>
      </c>
      <c r="L6" s="2">
        <v>6</v>
      </c>
      <c r="M6">
        <v>6</v>
      </c>
      <c r="O6" t="s">
        <v>46</v>
      </c>
    </row>
    <row r="7" spans="1:15" s="3" customFormat="1" x14ac:dyDescent="0.25">
      <c r="A7" s="3" t="s">
        <v>24</v>
      </c>
      <c r="B7" s="10" t="s">
        <v>48</v>
      </c>
      <c r="C7" s="3">
        <v>18010408</v>
      </c>
      <c r="D7" s="3" t="s">
        <v>31</v>
      </c>
      <c r="E7" s="3" t="s">
        <v>32</v>
      </c>
      <c r="F7" t="str">
        <f t="shared" si="0"/>
        <v>Wyatt Furman</v>
      </c>
      <c r="G7" s="8">
        <v>20032293001</v>
      </c>
      <c r="H7" s="4">
        <v>44197</v>
      </c>
      <c r="I7" s="4">
        <v>45709</v>
      </c>
      <c r="J7" s="3" t="s">
        <v>14</v>
      </c>
      <c r="K7" s="3" t="s">
        <v>39</v>
      </c>
      <c r="L7" s="5">
        <v>10</v>
      </c>
      <c r="M7" s="3">
        <v>13</v>
      </c>
      <c r="O7" s="3" t="s">
        <v>45</v>
      </c>
    </row>
    <row r="8" spans="1:15" x14ac:dyDescent="0.25">
      <c r="A8" t="s">
        <v>47</v>
      </c>
      <c r="B8" s="9">
        <v>20411454</v>
      </c>
      <c r="C8">
        <v>17425766</v>
      </c>
      <c r="D8" t="s">
        <v>20</v>
      </c>
      <c r="E8" t="s">
        <v>21</v>
      </c>
      <c r="F8" t="str">
        <f t="shared" si="0"/>
        <v>Luis Martinez</v>
      </c>
      <c r="G8" s="7">
        <v>120028173801</v>
      </c>
      <c r="H8" s="1">
        <v>44044</v>
      </c>
      <c r="I8" s="1">
        <v>45709</v>
      </c>
      <c r="J8" t="s">
        <v>14</v>
      </c>
      <c r="K8" t="s">
        <v>19</v>
      </c>
      <c r="L8" s="2">
        <v>3</v>
      </c>
      <c r="M8" s="3">
        <v>3</v>
      </c>
      <c r="O8" t="s">
        <v>46</v>
      </c>
    </row>
    <row r="9" spans="1:15" s="3" customFormat="1" x14ac:dyDescent="0.25">
      <c r="A9" s="3" t="s">
        <v>24</v>
      </c>
      <c r="B9" s="10">
        <v>18010408</v>
      </c>
      <c r="C9" s="3">
        <v>18010408</v>
      </c>
      <c r="D9" s="3" t="s">
        <v>37</v>
      </c>
      <c r="E9" s="3" t="s">
        <v>38</v>
      </c>
      <c r="F9" t="str">
        <f t="shared" si="0"/>
        <v>Roy Rapp</v>
      </c>
      <c r="G9" s="8">
        <v>20091153901</v>
      </c>
      <c r="H9" s="4">
        <v>45658</v>
      </c>
      <c r="I9" s="4">
        <v>45709</v>
      </c>
      <c r="J9" s="3" t="s">
        <v>14</v>
      </c>
      <c r="K9" s="3" t="s">
        <v>40</v>
      </c>
      <c r="L9" s="5">
        <v>80</v>
      </c>
      <c r="M9" s="3">
        <v>92</v>
      </c>
      <c r="N9" s="3" t="s">
        <v>44</v>
      </c>
      <c r="O9" s="3" t="s">
        <v>45</v>
      </c>
    </row>
    <row r="10" spans="1:15" s="3" customFormat="1" x14ac:dyDescent="0.25">
      <c r="A10" s="3" t="s">
        <v>24</v>
      </c>
      <c r="B10" s="10" t="s">
        <v>48</v>
      </c>
      <c r="C10" s="3">
        <v>18010408</v>
      </c>
      <c r="D10" s="3" t="s">
        <v>35</v>
      </c>
      <c r="E10" s="3" t="s">
        <v>36</v>
      </c>
      <c r="F10" t="str">
        <f t="shared" si="0"/>
        <v>Jan Rodriguez</v>
      </c>
      <c r="G10" s="8">
        <v>20056813601</v>
      </c>
      <c r="H10" s="4">
        <v>44866</v>
      </c>
      <c r="I10" s="4">
        <v>45709</v>
      </c>
      <c r="J10" s="3" t="s">
        <v>14</v>
      </c>
      <c r="K10" s="3" t="s">
        <v>39</v>
      </c>
      <c r="L10" s="5">
        <v>10</v>
      </c>
      <c r="M10" s="3">
        <v>13</v>
      </c>
      <c r="O10" s="3" t="s">
        <v>45</v>
      </c>
    </row>
    <row r="11" spans="1:15" s="3" customFormat="1" x14ac:dyDescent="0.25">
      <c r="A11" s="3" t="s">
        <v>27</v>
      </c>
      <c r="B11" s="10">
        <v>8971826</v>
      </c>
      <c r="C11" s="3">
        <v>8971826</v>
      </c>
      <c r="D11" s="3" t="s">
        <v>29</v>
      </c>
      <c r="E11" s="3" t="s">
        <v>30</v>
      </c>
      <c r="F11" t="str">
        <f t="shared" si="0"/>
        <v>John Rundle</v>
      </c>
      <c r="G11" s="8">
        <v>20068280401</v>
      </c>
      <c r="H11" s="4">
        <v>45170</v>
      </c>
      <c r="I11" s="4">
        <v>45709</v>
      </c>
      <c r="J11" s="3" t="s">
        <v>14</v>
      </c>
      <c r="K11" s="3" t="s">
        <v>39</v>
      </c>
      <c r="L11" s="5">
        <v>10</v>
      </c>
      <c r="M11" s="3">
        <v>13</v>
      </c>
      <c r="O11" s="3" t="s">
        <v>45</v>
      </c>
    </row>
    <row r="12" spans="1:15" x14ac:dyDescent="0.25">
      <c r="G12" s="6"/>
      <c r="H12" s="1"/>
      <c r="I12" s="1"/>
      <c r="L12" s="2"/>
    </row>
    <row r="13" spans="1:15" x14ac:dyDescent="0.25">
      <c r="H13" s="1"/>
      <c r="I13" s="1"/>
      <c r="L13" s="2"/>
    </row>
    <row r="360" spans="8:12" x14ac:dyDescent="0.25">
      <c r="H360" s="1"/>
      <c r="I360" s="1"/>
      <c r="L360" s="2"/>
    </row>
    <row r="361" spans="8:12" x14ac:dyDescent="0.25">
      <c r="H361" s="1"/>
      <c r="I361" s="1"/>
      <c r="L361" s="2"/>
    </row>
    <row r="368" spans="8:12" x14ac:dyDescent="0.25">
      <c r="H368" s="1"/>
      <c r="I368" s="1"/>
      <c r="L368" s="2"/>
    </row>
    <row r="369" spans="8:12" x14ac:dyDescent="0.25">
      <c r="H369" s="1"/>
      <c r="I369" s="1"/>
      <c r="L369" s="2"/>
    </row>
    <row r="373" spans="8:12" x14ac:dyDescent="0.25">
      <c r="H373" s="1"/>
      <c r="I373" s="1"/>
      <c r="L373" s="2"/>
    </row>
    <row r="374" spans="8:12" x14ac:dyDescent="0.25">
      <c r="H374" s="1"/>
      <c r="I374" s="1"/>
      <c r="L374" s="2"/>
    </row>
    <row r="419" spans="8:12" x14ac:dyDescent="0.25">
      <c r="H419" s="1"/>
      <c r="I419" s="1"/>
      <c r="L419" s="2"/>
    </row>
    <row r="420" spans="8:12" x14ac:dyDescent="0.25">
      <c r="H420" s="1"/>
      <c r="I420" s="1"/>
      <c r="L420" s="2"/>
    </row>
  </sheetData>
  <sortState xmlns:xlrd2="http://schemas.microsoft.com/office/spreadsheetml/2017/richdata2" ref="A2:L11">
    <sortCondition ref="E2:E1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2025-02-21T16:12:34Z</dcterms:created>
  <dcterms:modified xsi:type="dcterms:W3CDTF">2025-02-21T18:56:21Z</dcterms:modified>
</cp:coreProperties>
</file>