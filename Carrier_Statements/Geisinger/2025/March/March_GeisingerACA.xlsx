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\2025\Geisinger 3-14-25\"/>
    </mc:Choice>
  </mc:AlternateContent>
  <xr:revisionPtr revIDLastSave="0" documentId="13_ncr:1_{9EAA8455-CE19-46D3-887E-DC059110F687}" xr6:coauthVersionLast="47" xr6:coauthVersionMax="47" xr10:uidLastSave="{00000000-0000-0000-0000-000000000000}"/>
  <bookViews>
    <workbookView xWindow="28680" yWindow="-120" windowWidth="29040" windowHeight="16440" activeTab="1" xr2:uid="{8CABE6FC-65E0-46C6-ABFA-4D742A5D3A31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19" i="2"/>
  <c r="E16" i="2"/>
  <c r="E24" i="2"/>
  <c r="E8" i="2"/>
  <c r="E12" i="2"/>
  <c r="E14" i="2"/>
  <c r="E7" i="2"/>
  <c r="E10" i="2"/>
  <c r="E5" i="2"/>
  <c r="E20" i="2"/>
  <c r="E17" i="2"/>
  <c r="E22" i="2"/>
  <c r="E4" i="2"/>
  <c r="E15" i="2"/>
  <c r="E25" i="2"/>
  <c r="E9" i="2"/>
  <c r="E13" i="2"/>
  <c r="E11" i="2"/>
  <c r="E21" i="2"/>
  <c r="E18" i="2"/>
  <c r="E23" i="2"/>
  <c r="E6" i="2"/>
  <c r="G16" i="2"/>
  <c r="G24" i="2"/>
  <c r="G8" i="2"/>
  <c r="G12" i="2"/>
  <c r="G14" i="2"/>
  <c r="G7" i="2"/>
  <c r="G10" i="2"/>
  <c r="G5" i="2"/>
  <c r="G20" i="2"/>
  <c r="G17" i="2"/>
  <c r="G22" i="2"/>
  <c r="G4" i="2"/>
  <c r="G19" i="2"/>
</calcChain>
</file>

<file path=xl/sharedStrings.xml><?xml version="1.0" encoding="utf-8"?>
<sst xmlns="http://schemas.openxmlformats.org/spreadsheetml/2006/main" count="366" uniqueCount="68">
  <si>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</si>
  <si>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</si>
  <si>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</si>
  <si>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</si>
  <si>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</si>
  <si>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</si>
  <si>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</si>
  <si>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</si>
  <si>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</si>
  <si>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</si>
  <si>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</si>
  <si>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</si>
  <si>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Andrew</t>
  </si>
  <si>
    <t>Jackson</t>
  </si>
  <si>
    <t>Geisinger Health Plan U65</t>
  </si>
  <si>
    <t>GHP U65 2022-25 Year 2+ ST (ProRata: 1) Premium Period: 1/1/2025</t>
  </si>
  <si>
    <t>William Schaeffer</t>
  </si>
  <si>
    <t>Wyatt</t>
  </si>
  <si>
    <t>Furman</t>
  </si>
  <si>
    <t>GHP U65 2022-25 Year 2+ ST (ProRata: 1) Premium Period: 2/1/2025</t>
  </si>
  <si>
    <t>Donald</t>
  </si>
  <si>
    <t>Caples</t>
  </si>
  <si>
    <t>GHP U65 2022-25 Year 1 ST (ProRata: 1) Premium Period: 2/1/2025</t>
  </si>
  <si>
    <t>Jan</t>
  </si>
  <si>
    <t>Rodriguez</t>
  </si>
  <si>
    <t>Scott Aguglia</t>
  </si>
  <si>
    <t>B67020</t>
  </si>
  <si>
    <t>John</t>
  </si>
  <si>
    <t>Rundle</t>
  </si>
  <si>
    <t>Deborah Inskipt</t>
  </si>
  <si>
    <t>Dennis</t>
  </si>
  <si>
    <t>Brickley</t>
  </si>
  <si>
    <t>Drucilla</t>
  </si>
  <si>
    <t>Brannock</t>
  </si>
  <si>
    <t>GHP U65 2022-25 Year 1 ST (ProRata: 1) Premium Period: 1/1/2025</t>
  </si>
  <si>
    <t>William</t>
  </si>
  <si>
    <t>Buckley</t>
  </si>
  <si>
    <t>GHP U65 2022-25 Year 1 ST (ProRata: 4) Premium Period: 2/1/2025</t>
  </si>
  <si>
    <t>Roy</t>
  </si>
  <si>
    <t>Rapp</t>
  </si>
  <si>
    <t>Kratzer</t>
  </si>
  <si>
    <t>Dawn</t>
  </si>
  <si>
    <t>Wilson</t>
  </si>
  <si>
    <t>GHP U65 2022-25 Year 1 ST (ProRata: 2) Premium Period: 2/1/2025</t>
  </si>
  <si>
    <t>Carol Foley</t>
  </si>
  <si>
    <t>Bomboy Jr</t>
  </si>
  <si>
    <t>GHP U65 2024-2025 OR (ProRata: 1) Premium Period: 2/1/2025</t>
  </si>
  <si>
    <t>Luis</t>
  </si>
  <si>
    <t>Martinez</t>
  </si>
  <si>
    <t>GHP U65 2024-2025 OR (ProRata: 2) Premium Period: 2/1/2025</t>
  </si>
  <si>
    <t>GHP U65 2024-2025 OR (ProRata: 1) Premium Period: 1/1/2025</t>
  </si>
  <si>
    <t>Debbie</t>
  </si>
  <si>
    <t>Dewald</t>
  </si>
  <si>
    <t>GHP U65 2024-2025 OR (ProRata: 4) Premium Period: 2/1/2025</t>
  </si>
  <si>
    <t>Main Line Benefits</t>
  </si>
  <si>
    <t>Geisinger U65 override</t>
  </si>
  <si>
    <t>Geisinger U65</t>
  </si>
  <si>
    <t>[PMPM=2]</t>
  </si>
  <si>
    <t>[PMPM=4]</t>
  </si>
  <si>
    <t>18010408street</t>
  </si>
  <si>
    <t>GHP U65 2022-25 Year 2+ ST (ProRata</t>
  </si>
  <si>
    <t xml:space="preserve"> 1) Premium Period</t>
  </si>
  <si>
    <t xml:space="preserve"> 2/1/2025</t>
  </si>
  <si>
    <t xml:space="preserve"> 1/1/2025</t>
  </si>
  <si>
    <t>GHP U65 2022-25 Year 1 ST (ProRata</t>
  </si>
  <si>
    <t xml:space="preserve"> 2) Premium Period</t>
  </si>
  <si>
    <t>GHP U65 2024-2025 OR (ProRata</t>
  </si>
  <si>
    <t xml:space="preserve"> 4) Premium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</si>
</sst>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060D-D795-46C9-BD39-CB7E26DA7F21}">
  <dimension ref="A1:K25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15278437</v>
      </c>
      <c r="C2">
        <v>15278437</v>
      </c>
      <c r="D2" t="s">
        <v>12</v>
      </c>
      <c r="E2" t="s">
        <v>13</v>
      </c>
      <c r="F2">
        <v>20014783801</v>
      </c>
      <c r="G2" s="1">
        <v>45658</v>
      </c>
      <c r="H2" s="1">
        <v>45730</v>
      </c>
      <c r="I2" t="s">
        <v>14</v>
      </c>
      <c r="J2" t="s">
        <v>15</v>
      </c>
      <c r="K2" s="2">
        <v>10</v>
      </c>
    </row>
    <row r="3" spans="1:11" x14ac:dyDescent="0.25">
      <c r="A3" t="s">
        <v>16</v>
      </c>
      <c r="C3">
        <v>18010408</v>
      </c>
      <c r="D3" t="s">
        <v>17</v>
      </c>
      <c r="E3" t="s">
        <v>18</v>
      </c>
      <c r="F3">
        <v>20032293001</v>
      </c>
      <c r="G3" s="1">
        <v>44197</v>
      </c>
      <c r="H3" s="1">
        <v>45730</v>
      </c>
      <c r="I3" t="s">
        <v>14</v>
      </c>
      <c r="J3" t="s">
        <v>19</v>
      </c>
      <c r="K3" s="2">
        <v>10</v>
      </c>
    </row>
    <row r="4" spans="1:11" x14ac:dyDescent="0.25">
      <c r="A4" t="s">
        <v>16</v>
      </c>
      <c r="C4">
        <v>18010408</v>
      </c>
      <c r="D4" t="s">
        <v>20</v>
      </c>
      <c r="E4" t="s">
        <v>21</v>
      </c>
      <c r="F4">
        <v>20033010701</v>
      </c>
      <c r="G4" s="1">
        <v>44228</v>
      </c>
      <c r="H4" s="1">
        <v>45730</v>
      </c>
      <c r="I4" t="s">
        <v>14</v>
      </c>
      <c r="J4" t="s">
        <v>22</v>
      </c>
      <c r="K4" s="2">
        <v>20</v>
      </c>
    </row>
    <row r="5" spans="1:11" x14ac:dyDescent="0.25">
      <c r="A5" t="s">
        <v>16</v>
      </c>
      <c r="C5">
        <v>18010408</v>
      </c>
      <c r="D5" t="s">
        <v>23</v>
      </c>
      <c r="E5" t="s">
        <v>24</v>
      </c>
      <c r="F5">
        <v>20056813601</v>
      </c>
      <c r="G5" s="1">
        <v>44866</v>
      </c>
      <c r="H5" s="1">
        <v>45730</v>
      </c>
      <c r="I5" t="s">
        <v>14</v>
      </c>
      <c r="J5" t="s">
        <v>19</v>
      </c>
      <c r="K5" s="2">
        <v>10</v>
      </c>
    </row>
    <row r="6" spans="1:11" x14ac:dyDescent="0.25">
      <c r="A6" t="s">
        <v>25</v>
      </c>
      <c r="B6" t="s">
        <v>26</v>
      </c>
      <c r="C6">
        <v>8971826</v>
      </c>
      <c r="D6" t="s">
        <v>27</v>
      </c>
      <c r="E6" t="s">
        <v>28</v>
      </c>
      <c r="F6">
        <v>20068280401</v>
      </c>
      <c r="G6" s="1">
        <v>45170</v>
      </c>
      <c r="H6" s="1">
        <v>45730</v>
      </c>
      <c r="I6" t="s">
        <v>14</v>
      </c>
      <c r="J6" t="s">
        <v>19</v>
      </c>
      <c r="K6" s="2">
        <v>10</v>
      </c>
    </row>
    <row r="7" spans="1:11" x14ac:dyDescent="0.25">
      <c r="A7" t="s">
        <v>29</v>
      </c>
      <c r="B7">
        <v>17528908</v>
      </c>
      <c r="C7">
        <v>17528908</v>
      </c>
      <c r="D7" t="s">
        <v>30</v>
      </c>
      <c r="E7" t="s">
        <v>31</v>
      </c>
      <c r="F7">
        <v>20073239401</v>
      </c>
      <c r="G7" s="1">
        <v>45292</v>
      </c>
      <c r="H7" s="1">
        <v>45730</v>
      </c>
      <c r="I7" t="s">
        <v>14</v>
      </c>
      <c r="J7" t="s">
        <v>19</v>
      </c>
      <c r="K7" s="2">
        <v>10</v>
      </c>
    </row>
    <row r="8" spans="1:11" x14ac:dyDescent="0.25">
      <c r="A8" t="s">
        <v>16</v>
      </c>
      <c r="C8">
        <v>18010408</v>
      </c>
      <c r="D8" t="s">
        <v>32</v>
      </c>
      <c r="E8" t="s">
        <v>33</v>
      </c>
      <c r="F8">
        <v>20085008401</v>
      </c>
      <c r="G8" s="1">
        <v>45658</v>
      </c>
      <c r="H8" s="1">
        <v>45730</v>
      </c>
      <c r="I8" t="s">
        <v>14</v>
      </c>
      <c r="J8" t="s">
        <v>34</v>
      </c>
      <c r="K8" s="2">
        <v>20</v>
      </c>
    </row>
    <row r="9" spans="1:11" x14ac:dyDescent="0.25">
      <c r="A9" t="s">
        <v>16</v>
      </c>
      <c r="C9">
        <v>18010408</v>
      </c>
      <c r="D9" t="s">
        <v>35</v>
      </c>
      <c r="E9" t="s">
        <v>36</v>
      </c>
      <c r="F9">
        <v>20088090901</v>
      </c>
      <c r="G9" s="1">
        <v>45597</v>
      </c>
      <c r="H9" s="1">
        <v>45730</v>
      </c>
      <c r="I9" t="s">
        <v>14</v>
      </c>
      <c r="J9" t="s">
        <v>37</v>
      </c>
      <c r="K9" s="2">
        <v>80</v>
      </c>
    </row>
    <row r="10" spans="1:11" x14ac:dyDescent="0.25">
      <c r="A10" t="s">
        <v>16</v>
      </c>
      <c r="C10">
        <v>18010408</v>
      </c>
      <c r="D10" t="s">
        <v>38</v>
      </c>
      <c r="E10" t="s">
        <v>39</v>
      </c>
      <c r="F10">
        <v>20091153901</v>
      </c>
      <c r="G10" s="1">
        <v>45658</v>
      </c>
      <c r="H10" s="1">
        <v>45730</v>
      </c>
      <c r="I10" t="s">
        <v>14</v>
      </c>
      <c r="J10" t="s">
        <v>37</v>
      </c>
      <c r="K10" s="2">
        <v>80</v>
      </c>
    </row>
    <row r="11" spans="1:11" x14ac:dyDescent="0.25">
      <c r="A11" t="s">
        <v>16</v>
      </c>
      <c r="C11">
        <v>18010408</v>
      </c>
      <c r="D11" t="s">
        <v>35</v>
      </c>
      <c r="E11" t="s">
        <v>40</v>
      </c>
      <c r="F11">
        <v>20092339801</v>
      </c>
      <c r="G11" s="1">
        <v>45689</v>
      </c>
      <c r="H11" s="1">
        <v>45730</v>
      </c>
      <c r="I11" t="s">
        <v>14</v>
      </c>
      <c r="J11" t="s">
        <v>22</v>
      </c>
      <c r="K11" s="2">
        <v>20</v>
      </c>
    </row>
    <row r="12" spans="1:11" x14ac:dyDescent="0.25">
      <c r="A12" t="s">
        <v>11</v>
      </c>
      <c r="B12">
        <v>15278437</v>
      </c>
      <c r="C12">
        <v>15278437</v>
      </c>
      <c r="D12" t="s">
        <v>41</v>
      </c>
      <c r="E12" t="s">
        <v>42</v>
      </c>
      <c r="F12">
        <v>20092470201</v>
      </c>
      <c r="G12" s="1">
        <v>45689</v>
      </c>
      <c r="H12" s="1">
        <v>45730</v>
      </c>
      <c r="I12" t="s">
        <v>14</v>
      </c>
      <c r="J12" t="s">
        <v>43</v>
      </c>
      <c r="K12" s="2">
        <v>40</v>
      </c>
    </row>
    <row r="13" spans="1:11" x14ac:dyDescent="0.25">
      <c r="A13" t="s">
        <v>44</v>
      </c>
      <c r="C13">
        <v>17425766</v>
      </c>
      <c r="D13" t="s">
        <v>35</v>
      </c>
      <c r="E13" t="s">
        <v>45</v>
      </c>
      <c r="F13">
        <v>20027778301</v>
      </c>
      <c r="G13" s="1">
        <v>44013</v>
      </c>
      <c r="H13" s="1">
        <v>45730</v>
      </c>
      <c r="I13" t="s">
        <v>14</v>
      </c>
      <c r="J13" t="s">
        <v>46</v>
      </c>
      <c r="K13" s="2">
        <v>3</v>
      </c>
    </row>
    <row r="14" spans="1:11" x14ac:dyDescent="0.25">
      <c r="A14" t="s">
        <v>44</v>
      </c>
      <c r="C14">
        <v>17425766</v>
      </c>
      <c r="D14" t="s">
        <v>47</v>
      </c>
      <c r="E14" t="s">
        <v>48</v>
      </c>
      <c r="F14">
        <v>20028173801</v>
      </c>
      <c r="G14" s="1">
        <v>44044</v>
      </c>
      <c r="H14" s="1">
        <v>45730</v>
      </c>
      <c r="I14" t="s">
        <v>14</v>
      </c>
      <c r="J14" t="s">
        <v>46</v>
      </c>
      <c r="K14" s="2">
        <v>3</v>
      </c>
    </row>
    <row r="15" spans="1:11" x14ac:dyDescent="0.25">
      <c r="A15" t="s">
        <v>16</v>
      </c>
      <c r="C15">
        <v>18010408</v>
      </c>
      <c r="D15" t="s">
        <v>17</v>
      </c>
      <c r="E15" t="s">
        <v>18</v>
      </c>
      <c r="F15">
        <v>20032293001</v>
      </c>
      <c r="G15" s="1">
        <v>44197</v>
      </c>
      <c r="H15" s="1">
        <v>45730</v>
      </c>
      <c r="I15" t="s">
        <v>14</v>
      </c>
      <c r="J15" t="s">
        <v>46</v>
      </c>
      <c r="K15" s="2">
        <v>3</v>
      </c>
    </row>
    <row r="16" spans="1:11" x14ac:dyDescent="0.25">
      <c r="A16" t="s">
        <v>16</v>
      </c>
      <c r="C16">
        <v>18010408</v>
      </c>
      <c r="D16" t="s">
        <v>20</v>
      </c>
      <c r="E16" t="s">
        <v>21</v>
      </c>
      <c r="F16">
        <v>20033010701</v>
      </c>
      <c r="G16" s="1">
        <v>44228</v>
      </c>
      <c r="H16" s="1">
        <v>45730</v>
      </c>
      <c r="I16" t="s">
        <v>14</v>
      </c>
      <c r="J16" t="s">
        <v>49</v>
      </c>
      <c r="K16" s="2">
        <v>6</v>
      </c>
    </row>
    <row r="17" spans="1:11" x14ac:dyDescent="0.25">
      <c r="A17" t="s">
        <v>16</v>
      </c>
      <c r="C17">
        <v>18010408</v>
      </c>
      <c r="D17" t="s">
        <v>23</v>
      </c>
      <c r="E17" t="s">
        <v>24</v>
      </c>
      <c r="F17">
        <v>20056813601</v>
      </c>
      <c r="G17" s="1">
        <v>44866</v>
      </c>
      <c r="H17" s="1">
        <v>45730</v>
      </c>
      <c r="I17" t="s">
        <v>14</v>
      </c>
      <c r="J17" t="s">
        <v>46</v>
      </c>
      <c r="K17" s="2">
        <v>3</v>
      </c>
    </row>
    <row r="18" spans="1:11" x14ac:dyDescent="0.25">
      <c r="A18" t="s">
        <v>25</v>
      </c>
      <c r="B18" t="s">
        <v>26</v>
      </c>
      <c r="C18">
        <v>8971826</v>
      </c>
      <c r="D18" t="s">
        <v>27</v>
      </c>
      <c r="E18" t="s">
        <v>28</v>
      </c>
      <c r="F18">
        <v>20068280401</v>
      </c>
      <c r="G18" s="1">
        <v>45170</v>
      </c>
      <c r="H18" s="1">
        <v>45730</v>
      </c>
      <c r="I18" t="s">
        <v>14</v>
      </c>
      <c r="J18" t="s">
        <v>46</v>
      </c>
      <c r="K18" s="2">
        <v>3</v>
      </c>
    </row>
    <row r="19" spans="1:11" x14ac:dyDescent="0.25">
      <c r="A19" t="s">
        <v>29</v>
      </c>
      <c r="B19">
        <v>17528908</v>
      </c>
      <c r="C19">
        <v>17528908</v>
      </c>
      <c r="D19" t="s">
        <v>30</v>
      </c>
      <c r="E19" t="s">
        <v>31</v>
      </c>
      <c r="F19">
        <v>20073239401</v>
      </c>
      <c r="G19" s="1">
        <v>45292</v>
      </c>
      <c r="H19" s="1">
        <v>45730</v>
      </c>
      <c r="I19" t="s">
        <v>14</v>
      </c>
      <c r="J19" t="s">
        <v>46</v>
      </c>
      <c r="K19" s="2">
        <v>3</v>
      </c>
    </row>
    <row r="20" spans="1:11" x14ac:dyDescent="0.25">
      <c r="A20" t="s">
        <v>16</v>
      </c>
      <c r="C20">
        <v>18010408</v>
      </c>
      <c r="D20" t="s">
        <v>32</v>
      </c>
      <c r="E20" t="s">
        <v>33</v>
      </c>
      <c r="F20">
        <v>20085008401</v>
      </c>
      <c r="G20" s="1">
        <v>45658</v>
      </c>
      <c r="H20" s="1">
        <v>45730</v>
      </c>
      <c r="I20" t="s">
        <v>14</v>
      </c>
      <c r="J20" t="s">
        <v>50</v>
      </c>
      <c r="K20" s="2">
        <v>3</v>
      </c>
    </row>
    <row r="21" spans="1:11" x14ac:dyDescent="0.25">
      <c r="A21" t="s">
        <v>44</v>
      </c>
      <c r="C21">
        <v>17425766</v>
      </c>
      <c r="D21" t="s">
        <v>51</v>
      </c>
      <c r="E21" t="s">
        <v>52</v>
      </c>
      <c r="F21">
        <v>20087098801</v>
      </c>
      <c r="G21" s="1">
        <v>45597</v>
      </c>
      <c r="H21" s="1">
        <v>45730</v>
      </c>
      <c r="I21" t="s">
        <v>14</v>
      </c>
      <c r="J21" t="s">
        <v>49</v>
      </c>
      <c r="K21" s="2">
        <v>6</v>
      </c>
    </row>
    <row r="22" spans="1:11" x14ac:dyDescent="0.25">
      <c r="A22" t="s">
        <v>16</v>
      </c>
      <c r="C22">
        <v>18010408</v>
      </c>
      <c r="D22" t="s">
        <v>35</v>
      </c>
      <c r="E22" t="s">
        <v>36</v>
      </c>
      <c r="F22">
        <v>20088090901</v>
      </c>
      <c r="G22" s="1">
        <v>45597</v>
      </c>
      <c r="H22" s="1">
        <v>45730</v>
      </c>
      <c r="I22" t="s">
        <v>14</v>
      </c>
      <c r="J22" t="s">
        <v>53</v>
      </c>
      <c r="K22" s="2">
        <v>12</v>
      </c>
    </row>
    <row r="23" spans="1:11" x14ac:dyDescent="0.25">
      <c r="A23" t="s">
        <v>16</v>
      </c>
      <c r="C23">
        <v>18010408</v>
      </c>
      <c r="D23" t="s">
        <v>38</v>
      </c>
      <c r="E23" t="s">
        <v>39</v>
      </c>
      <c r="F23">
        <v>20091153901</v>
      </c>
      <c r="G23" s="1">
        <v>45658</v>
      </c>
      <c r="H23" s="1">
        <v>45730</v>
      </c>
      <c r="I23" t="s">
        <v>14</v>
      </c>
      <c r="J23" t="s">
        <v>53</v>
      </c>
      <c r="K23" s="2">
        <v>12</v>
      </c>
    </row>
    <row r="24" spans="1:11" x14ac:dyDescent="0.25">
      <c r="A24" t="s">
        <v>16</v>
      </c>
      <c r="C24">
        <v>18010408</v>
      </c>
      <c r="D24" t="s">
        <v>35</v>
      </c>
      <c r="E24" t="s">
        <v>40</v>
      </c>
      <c r="F24">
        <v>20092339801</v>
      </c>
      <c r="G24" s="1">
        <v>45689</v>
      </c>
      <c r="H24" s="1">
        <v>45730</v>
      </c>
      <c r="I24" t="s">
        <v>14</v>
      </c>
      <c r="J24" t="s">
        <v>46</v>
      </c>
      <c r="K24" s="2">
        <v>3</v>
      </c>
    </row>
    <row r="25" spans="1:11" x14ac:dyDescent="0.25">
      <c r="A25" t="s">
        <v>11</v>
      </c>
      <c r="B25">
        <v>15278437</v>
      </c>
      <c r="C25">
        <v>15278437</v>
      </c>
      <c r="D25" t="s">
        <v>41</v>
      </c>
      <c r="E25" t="s">
        <v>42</v>
      </c>
      <c r="F25">
        <v>20092470201</v>
      </c>
      <c r="G25" s="1">
        <v>45689</v>
      </c>
      <c r="H25" s="1">
        <v>45730</v>
      </c>
      <c r="I25" t="s">
        <v>14</v>
      </c>
      <c r="J25" t="s">
        <v>49</v>
      </c>
      <c r="K25" s="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B37E-7A10-4AA9-9107-B813450EC3C7}">
  <dimension ref="A1:N25"/>
  <sheetViews>
    <sheetView tabSelected="1" workbookViewId="0">
      <selection activeCell="D2" sqref="D2"/>
    </sheetView>
  </sheetViews>
  <sheetFormatPr defaultRowHeight="15" x14ac:dyDescent="0.25"/>
  <cols>
    <col min="1" max="1" width="16.85546875" bestFit="1" customWidth="1"/>
    <col min="2" max="2" width="10.7109375" bestFit="1" customWidth="1"/>
    <col min="3" max="3" width="10.5703125" bestFit="1" customWidth="1"/>
    <col min="4" max="4" width="10.140625" bestFit="1" customWidth="1"/>
    <col min="5" max="5" width="14.7109375" bestFit="1" customWidth="1"/>
    <col min="6" max="6" width="12" bestFit="1" customWidth="1"/>
    <col min="7" max="7" width="13.140625" bestFit="1" customWidth="1"/>
    <col min="8" max="8" width="11.85546875" bestFit="1" customWidth="1"/>
    <col min="9" max="9" width="14.7109375" bestFit="1" customWidth="1"/>
    <col min="10" max="10" width="24.140625" bestFit="1" customWidth="1"/>
    <col min="11" max="11" width="60.7109375" bestFit="1" customWidth="1"/>
    <col min="12" max="12" width="15.7109375" bestFit="1" customWidth="1"/>
    <col min="13" max="13" width="21.5703125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x14ac:dyDescent="0.25">
      <c r="A2" t="s">
        <v>11</v>
      </c>
      <c r="B2">
        <v>15278437</v>
      </c>
      <c r="C2" t="s">
        <v>12</v>
      </c>
      <c r="D2" t="s">
        <v>13</v>
      </c>
      <c r="E2" t="str">
        <f>CONCATENATE(C2, " ", D2)</f>
        <v>Andrew Jackson</v>
      </c>
      <c r="F2">
        <v>20014783801</v>
      </c>
      <c r="G2">
        <v>20014783801</v>
      </c>
      <c r="H2" s="1">
        <v>44927</v>
      </c>
      <c r="I2" s="1">
        <v>45730</v>
      </c>
      <c r="J2" t="s">
        <v>14</v>
      </c>
      <c r="K2" t="s">
        <v>15</v>
      </c>
      <c r="L2" s="2">
        <v>10</v>
      </c>
      <c r="M2" t="s">
        <v>56</v>
      </c>
    </row>
    <row r="3" spans="1:14" x14ac:dyDescent="0.25">
      <c r="A3" t="s">
        <v>11</v>
      </c>
      <c r="B3">
        <v>15278437</v>
      </c>
      <c r="C3" t="s">
        <v>41</v>
      </c>
      <c r="D3" t="s">
        <v>42</v>
      </c>
      <c r="E3" t="str">
        <f>CONCATENATE(C3, " ", D3)</f>
        <v>Dawn Wilson</v>
      </c>
      <c r="F3">
        <v>20092470201</v>
      </c>
      <c r="G3">
        <v>20092470201</v>
      </c>
      <c r="H3" s="1">
        <v>45689</v>
      </c>
      <c r="I3" s="1">
        <v>45730</v>
      </c>
      <c r="J3" t="s">
        <v>14</v>
      </c>
      <c r="K3" t="s">
        <v>43</v>
      </c>
      <c r="L3" s="2">
        <v>40</v>
      </c>
      <c r="M3" t="s">
        <v>56</v>
      </c>
      <c r="N3" t="s">
        <v>57</v>
      </c>
    </row>
    <row r="4" spans="1:14" x14ac:dyDescent="0.25">
      <c r="A4" t="s">
        <v>54</v>
      </c>
      <c r="B4">
        <v>20411454</v>
      </c>
      <c r="C4" t="s">
        <v>41</v>
      </c>
      <c r="D4" t="s">
        <v>42</v>
      </c>
      <c r="E4" t="str">
        <f>CONCATENATE(C4, " ", D4)</f>
        <v>Dawn Wilson</v>
      </c>
      <c r="F4">
        <v>20092470201</v>
      </c>
      <c r="G4" t="str">
        <f>CONCATENATE(1,F4)</f>
        <v>120092470201</v>
      </c>
      <c r="H4" s="1">
        <v>45689</v>
      </c>
      <c r="I4" s="1">
        <v>45730</v>
      </c>
      <c r="J4" t="s">
        <v>14</v>
      </c>
      <c r="K4" t="s">
        <v>49</v>
      </c>
      <c r="L4" s="2">
        <v>6</v>
      </c>
      <c r="M4" t="s">
        <v>55</v>
      </c>
    </row>
    <row r="5" spans="1:14" x14ac:dyDescent="0.25">
      <c r="A5" t="s">
        <v>54</v>
      </c>
      <c r="B5">
        <v>20411454</v>
      </c>
      <c r="C5" t="s">
        <v>51</v>
      </c>
      <c r="D5" t="s">
        <v>52</v>
      </c>
      <c r="E5" t="str">
        <f>CONCATENATE(C5, " ", D5)</f>
        <v>Debbie Dewald</v>
      </c>
      <c r="F5">
        <v>20087098801</v>
      </c>
      <c r="G5" t="str">
        <f>CONCATENATE(1,F5)</f>
        <v>120087098801</v>
      </c>
      <c r="H5" s="1">
        <v>45597</v>
      </c>
      <c r="I5" s="1">
        <v>45730</v>
      </c>
      <c r="J5" t="s">
        <v>14</v>
      </c>
      <c r="K5" t="s">
        <v>49</v>
      </c>
      <c r="L5" s="2">
        <v>6</v>
      </c>
      <c r="M5" t="s">
        <v>55</v>
      </c>
    </row>
    <row r="6" spans="1:14" x14ac:dyDescent="0.25">
      <c r="A6" t="s">
        <v>29</v>
      </c>
      <c r="B6">
        <v>17528908</v>
      </c>
      <c r="C6" t="s">
        <v>30</v>
      </c>
      <c r="D6" t="s">
        <v>31</v>
      </c>
      <c r="E6" t="str">
        <f>CONCATENATE(C6, " ", D6)</f>
        <v>Dennis Brickley</v>
      </c>
      <c r="F6">
        <v>20073239401</v>
      </c>
      <c r="G6">
        <v>20073239401</v>
      </c>
      <c r="H6" s="1">
        <v>45292</v>
      </c>
      <c r="I6" s="1">
        <v>45730</v>
      </c>
      <c r="J6" t="s">
        <v>14</v>
      </c>
      <c r="K6" t="s">
        <v>19</v>
      </c>
      <c r="L6" s="2">
        <v>10</v>
      </c>
      <c r="M6" t="s">
        <v>56</v>
      </c>
    </row>
    <row r="7" spans="1:14" x14ac:dyDescent="0.25">
      <c r="A7" t="s">
        <v>54</v>
      </c>
      <c r="B7">
        <v>20411454</v>
      </c>
      <c r="C7" t="s">
        <v>30</v>
      </c>
      <c r="D7" t="s">
        <v>31</v>
      </c>
      <c r="E7" t="str">
        <f>CONCATENATE(C7, " ", D7)</f>
        <v>Dennis Brickley</v>
      </c>
      <c r="F7">
        <v>20073239401</v>
      </c>
      <c r="G7" t="str">
        <f>CONCATENATE(1,F7)</f>
        <v>120073239401</v>
      </c>
      <c r="H7" s="1">
        <v>45292</v>
      </c>
      <c r="I7" s="1">
        <v>45730</v>
      </c>
      <c r="J7" t="s">
        <v>14</v>
      </c>
      <c r="K7" t="s">
        <v>46</v>
      </c>
      <c r="L7" s="2">
        <v>3</v>
      </c>
      <c r="M7" t="s">
        <v>55</v>
      </c>
    </row>
    <row r="8" spans="1:14" x14ac:dyDescent="0.25">
      <c r="A8" t="s">
        <v>54</v>
      </c>
      <c r="B8">
        <v>20411454</v>
      </c>
      <c r="C8" t="s">
        <v>20</v>
      </c>
      <c r="D8" t="s">
        <v>21</v>
      </c>
      <c r="E8" t="str">
        <f>CONCATENATE(C8, " ", D8)</f>
        <v>Donald Caples</v>
      </c>
      <c r="F8">
        <v>20033010701</v>
      </c>
      <c r="G8" t="str">
        <f>CONCATENATE(1,F8)</f>
        <v>120033010701</v>
      </c>
      <c r="H8" s="1">
        <v>44228</v>
      </c>
      <c r="I8" s="1">
        <v>45730</v>
      </c>
      <c r="J8" t="s">
        <v>14</v>
      </c>
      <c r="K8" t="s">
        <v>49</v>
      </c>
      <c r="L8" s="2">
        <v>6</v>
      </c>
      <c r="M8" t="s">
        <v>55</v>
      </c>
    </row>
    <row r="9" spans="1:14" x14ac:dyDescent="0.25">
      <c r="A9" t="s">
        <v>16</v>
      </c>
      <c r="B9" t="s">
        <v>59</v>
      </c>
      <c r="C9" t="s">
        <v>20</v>
      </c>
      <c r="D9" t="s">
        <v>21</v>
      </c>
      <c r="E9" t="str">
        <f>CONCATENATE(C9, " ", D9)</f>
        <v>Donald Caples</v>
      </c>
      <c r="F9">
        <v>20033010701</v>
      </c>
      <c r="G9">
        <v>20033010701</v>
      </c>
      <c r="H9" s="1">
        <v>44228</v>
      </c>
      <c r="I9" s="1">
        <v>45730</v>
      </c>
      <c r="J9" t="s">
        <v>14</v>
      </c>
      <c r="K9" t="s">
        <v>22</v>
      </c>
      <c r="L9" s="2">
        <v>20</v>
      </c>
      <c r="M9" t="s">
        <v>56</v>
      </c>
      <c r="N9" t="s">
        <v>57</v>
      </c>
    </row>
    <row r="10" spans="1:14" x14ac:dyDescent="0.25">
      <c r="A10" t="s">
        <v>54</v>
      </c>
      <c r="B10">
        <v>20411454</v>
      </c>
      <c r="C10" t="s">
        <v>32</v>
      </c>
      <c r="D10" t="s">
        <v>33</v>
      </c>
      <c r="E10" t="str">
        <f>CONCATENATE(C10, " ", D10)</f>
        <v>Drucilla Brannock</v>
      </c>
      <c r="F10">
        <v>20085008401</v>
      </c>
      <c r="G10" t="str">
        <f>CONCATENATE(1,F10)</f>
        <v>120085008401</v>
      </c>
      <c r="H10" s="1">
        <v>45658</v>
      </c>
      <c r="I10" s="1">
        <v>45730</v>
      </c>
      <c r="J10" t="s">
        <v>14</v>
      </c>
      <c r="K10" t="s">
        <v>50</v>
      </c>
      <c r="L10" s="2">
        <v>3</v>
      </c>
      <c r="M10" t="s">
        <v>55</v>
      </c>
    </row>
    <row r="11" spans="1:14" x14ac:dyDescent="0.25">
      <c r="A11" t="s">
        <v>16</v>
      </c>
      <c r="B11">
        <v>18010408</v>
      </c>
      <c r="C11" t="s">
        <v>32</v>
      </c>
      <c r="D11" t="s">
        <v>33</v>
      </c>
      <c r="E11" t="str">
        <f>CONCATENATE(C11, " ", D11)</f>
        <v>Drucilla Brannock</v>
      </c>
      <c r="F11">
        <v>20085008401</v>
      </c>
      <c r="G11">
        <v>20085008401</v>
      </c>
      <c r="H11" s="1">
        <v>45658</v>
      </c>
      <c r="I11" s="1">
        <v>45730</v>
      </c>
      <c r="J11" t="s">
        <v>14</v>
      </c>
      <c r="K11" t="s">
        <v>34</v>
      </c>
      <c r="L11" s="2">
        <v>20</v>
      </c>
      <c r="M11" t="s">
        <v>56</v>
      </c>
    </row>
    <row r="12" spans="1:14" x14ac:dyDescent="0.25">
      <c r="A12" t="s">
        <v>54</v>
      </c>
      <c r="B12">
        <v>20411454</v>
      </c>
      <c r="C12" t="s">
        <v>23</v>
      </c>
      <c r="D12" t="s">
        <v>24</v>
      </c>
      <c r="E12" t="str">
        <f>CONCATENATE(C12, " ", D12)</f>
        <v>Jan Rodriguez</v>
      </c>
      <c r="F12">
        <v>20056813601</v>
      </c>
      <c r="G12" t="str">
        <f>CONCATENATE(1,F12)</f>
        <v>120056813601</v>
      </c>
      <c r="H12" s="1">
        <v>44866</v>
      </c>
      <c r="I12" s="1">
        <v>45730</v>
      </c>
      <c r="J12" t="s">
        <v>14</v>
      </c>
      <c r="K12" t="s">
        <v>46</v>
      </c>
      <c r="L12" s="2">
        <v>3</v>
      </c>
      <c r="M12" t="s">
        <v>55</v>
      </c>
    </row>
    <row r="13" spans="1:14" x14ac:dyDescent="0.25">
      <c r="A13" t="s">
        <v>16</v>
      </c>
      <c r="B13" t="s">
        <v>59</v>
      </c>
      <c r="C13" t="s">
        <v>23</v>
      </c>
      <c r="D13" t="s">
        <v>24</v>
      </c>
      <c r="E13" t="str">
        <f>CONCATENATE(C13, " ", D13)</f>
        <v>Jan Rodriguez</v>
      </c>
      <c r="F13">
        <v>20056813601</v>
      </c>
      <c r="G13">
        <v>20056813601</v>
      </c>
      <c r="H13" s="1">
        <v>44866</v>
      </c>
      <c r="I13" s="1">
        <v>45730</v>
      </c>
      <c r="J13" t="s">
        <v>14</v>
      </c>
      <c r="K13" t="s">
        <v>19</v>
      </c>
      <c r="L13" s="2">
        <v>10</v>
      </c>
      <c r="M13" t="s">
        <v>56</v>
      </c>
    </row>
    <row r="14" spans="1:14" x14ac:dyDescent="0.25">
      <c r="A14" t="s">
        <v>54</v>
      </c>
      <c r="B14">
        <v>20411454</v>
      </c>
      <c r="C14" t="s">
        <v>27</v>
      </c>
      <c r="D14" t="s">
        <v>28</v>
      </c>
      <c r="E14" t="str">
        <f>CONCATENATE(C14, " ", D14)</f>
        <v>John Rundle</v>
      </c>
      <c r="F14">
        <v>20068280401</v>
      </c>
      <c r="G14" t="str">
        <f>CONCATENATE(1,F14)</f>
        <v>120068280401</v>
      </c>
      <c r="H14" s="1">
        <v>45170</v>
      </c>
      <c r="I14" s="1">
        <v>45730</v>
      </c>
      <c r="J14" t="s">
        <v>14</v>
      </c>
      <c r="K14" t="s">
        <v>46</v>
      </c>
      <c r="L14" s="2">
        <v>3</v>
      </c>
      <c r="M14" t="s">
        <v>55</v>
      </c>
    </row>
    <row r="15" spans="1:14" x14ac:dyDescent="0.25">
      <c r="A15" t="s">
        <v>25</v>
      </c>
      <c r="B15">
        <v>8971826</v>
      </c>
      <c r="C15" t="s">
        <v>27</v>
      </c>
      <c r="D15" t="s">
        <v>28</v>
      </c>
      <c r="E15" t="str">
        <f>CONCATENATE(C15, " ", D15)</f>
        <v>John Rundle</v>
      </c>
      <c r="F15">
        <v>20068280401</v>
      </c>
      <c r="G15">
        <v>20068280401</v>
      </c>
      <c r="H15" s="1">
        <v>45170</v>
      </c>
      <c r="I15" s="1">
        <v>45730</v>
      </c>
      <c r="J15" t="s">
        <v>14</v>
      </c>
      <c r="K15" t="s">
        <v>19</v>
      </c>
      <c r="L15" s="2">
        <v>10</v>
      </c>
      <c r="M15" t="s">
        <v>56</v>
      </c>
    </row>
    <row r="16" spans="1:14" x14ac:dyDescent="0.25">
      <c r="A16" t="s">
        <v>54</v>
      </c>
      <c r="B16">
        <v>20411454</v>
      </c>
      <c r="C16" t="s">
        <v>47</v>
      </c>
      <c r="D16" t="s">
        <v>48</v>
      </c>
      <c r="E16" t="str">
        <f>CONCATENATE(C16, " ", D16)</f>
        <v>Luis Martinez</v>
      </c>
      <c r="F16">
        <v>20028173801</v>
      </c>
      <c r="G16" t="str">
        <f>CONCATENATE(1,F16)</f>
        <v>120028173801</v>
      </c>
      <c r="H16" s="1">
        <v>44044</v>
      </c>
      <c r="I16" s="1">
        <v>45730</v>
      </c>
      <c r="J16" t="s">
        <v>14</v>
      </c>
      <c r="K16" t="s">
        <v>46</v>
      </c>
      <c r="L16" s="2">
        <v>3</v>
      </c>
      <c r="M16" t="s">
        <v>55</v>
      </c>
    </row>
    <row r="17" spans="1:14" x14ac:dyDescent="0.25">
      <c r="A17" t="s">
        <v>54</v>
      </c>
      <c r="B17">
        <v>20411454</v>
      </c>
      <c r="C17" t="s">
        <v>38</v>
      </c>
      <c r="D17" t="s">
        <v>39</v>
      </c>
      <c r="E17" t="str">
        <f>CONCATENATE(C17, " ", D17)</f>
        <v>Roy Rapp</v>
      </c>
      <c r="F17">
        <v>20091153901</v>
      </c>
      <c r="G17" t="str">
        <f>CONCATENATE(1,F17)</f>
        <v>120091153901</v>
      </c>
      <c r="H17" s="1">
        <v>45658</v>
      </c>
      <c r="I17" s="1">
        <v>45730</v>
      </c>
      <c r="J17" t="s">
        <v>14</v>
      </c>
      <c r="K17" t="s">
        <v>53</v>
      </c>
      <c r="L17" s="2">
        <v>12</v>
      </c>
      <c r="M17" t="s">
        <v>55</v>
      </c>
    </row>
    <row r="18" spans="1:14" x14ac:dyDescent="0.25">
      <c r="A18" t="s">
        <v>16</v>
      </c>
      <c r="B18">
        <v>18010408</v>
      </c>
      <c r="C18" t="s">
        <v>38</v>
      </c>
      <c r="D18" t="s">
        <v>39</v>
      </c>
      <c r="E18" t="str">
        <f>CONCATENATE(C18, " ", D18)</f>
        <v>Roy Rapp</v>
      </c>
      <c r="F18">
        <v>20091153901</v>
      </c>
      <c r="G18">
        <v>20091153901</v>
      </c>
      <c r="H18" s="1">
        <v>45658</v>
      </c>
      <c r="I18" s="1">
        <v>45730</v>
      </c>
      <c r="J18" t="s">
        <v>14</v>
      </c>
      <c r="K18" t="s">
        <v>37</v>
      </c>
      <c r="L18" s="2">
        <v>80</v>
      </c>
      <c r="M18" t="s">
        <v>56</v>
      </c>
      <c r="N18" t="s">
        <v>58</v>
      </c>
    </row>
    <row r="19" spans="1:14" x14ac:dyDescent="0.25">
      <c r="A19" t="s">
        <v>54</v>
      </c>
      <c r="B19">
        <v>20411454</v>
      </c>
      <c r="C19" t="s">
        <v>35</v>
      </c>
      <c r="D19" t="s">
        <v>45</v>
      </c>
      <c r="E19" t="str">
        <f>CONCATENATE(C19, " ", D19)</f>
        <v>William Bomboy Jr</v>
      </c>
      <c r="F19">
        <v>20027778301</v>
      </c>
      <c r="G19" t="str">
        <f>CONCATENATE(1,F19)</f>
        <v>120027778301</v>
      </c>
      <c r="H19" s="1">
        <v>44013</v>
      </c>
      <c r="I19" s="1">
        <v>45730</v>
      </c>
      <c r="J19" t="s">
        <v>14</v>
      </c>
      <c r="K19" t="s">
        <v>46</v>
      </c>
      <c r="L19" s="2">
        <v>3</v>
      </c>
      <c r="M19" t="s">
        <v>55</v>
      </c>
    </row>
    <row r="20" spans="1:14" x14ac:dyDescent="0.25">
      <c r="A20" t="s">
        <v>54</v>
      </c>
      <c r="B20">
        <v>20411454</v>
      </c>
      <c r="C20" t="s">
        <v>35</v>
      </c>
      <c r="D20" t="s">
        <v>36</v>
      </c>
      <c r="E20" t="str">
        <f>CONCATENATE(C20, " ", D20)</f>
        <v>William Buckley</v>
      </c>
      <c r="F20">
        <v>20088090901</v>
      </c>
      <c r="G20" t="str">
        <f>CONCATENATE(1,F20)</f>
        <v>120088090901</v>
      </c>
      <c r="H20" s="1">
        <v>45597</v>
      </c>
      <c r="I20" s="1">
        <v>45730</v>
      </c>
      <c r="J20" t="s">
        <v>14</v>
      </c>
      <c r="K20" t="s">
        <v>53</v>
      </c>
      <c r="L20" s="2">
        <v>12</v>
      </c>
      <c r="M20" t="s">
        <v>55</v>
      </c>
    </row>
    <row r="21" spans="1:14" x14ac:dyDescent="0.25">
      <c r="A21" t="s">
        <v>16</v>
      </c>
      <c r="B21">
        <v>18010408</v>
      </c>
      <c r="C21" t="s">
        <v>35</v>
      </c>
      <c r="D21" t="s">
        <v>36</v>
      </c>
      <c r="E21" t="str">
        <f>CONCATENATE(C21, " ", D21)</f>
        <v>William Buckley</v>
      </c>
      <c r="F21">
        <v>20088090901</v>
      </c>
      <c r="G21">
        <v>20088090901</v>
      </c>
      <c r="H21" s="1">
        <v>45597</v>
      </c>
      <c r="I21" s="1">
        <v>45730</v>
      </c>
      <c r="J21" t="s">
        <v>14</v>
      </c>
      <c r="K21" t="s">
        <v>37</v>
      </c>
      <c r="L21" s="2">
        <v>80</v>
      </c>
      <c r="M21" t="s">
        <v>56</v>
      </c>
      <c r="N21" t="s">
        <v>58</v>
      </c>
    </row>
    <row r="22" spans="1:14" x14ac:dyDescent="0.25">
      <c r="A22" t="s">
        <v>54</v>
      </c>
      <c r="B22">
        <v>20411454</v>
      </c>
      <c r="C22" t="s">
        <v>35</v>
      </c>
      <c r="D22" t="s">
        <v>40</v>
      </c>
      <c r="E22" t="str">
        <f>CONCATENATE(C22, " ", D22)</f>
        <v>William Kratzer</v>
      </c>
      <c r="F22">
        <v>20092339801</v>
      </c>
      <c r="G22" t="str">
        <f>CONCATENATE(1,F22)</f>
        <v>120092339801</v>
      </c>
      <c r="H22" s="1">
        <v>45689</v>
      </c>
      <c r="I22" s="1">
        <v>45730</v>
      </c>
      <c r="J22" t="s">
        <v>14</v>
      </c>
      <c r="K22" t="s">
        <v>46</v>
      </c>
      <c r="L22" s="2">
        <v>3</v>
      </c>
      <c r="M22" t="s">
        <v>55</v>
      </c>
    </row>
    <row r="23" spans="1:14" x14ac:dyDescent="0.25">
      <c r="A23" t="s">
        <v>16</v>
      </c>
      <c r="B23">
        <v>18010408</v>
      </c>
      <c r="C23" t="s">
        <v>35</v>
      </c>
      <c r="D23" t="s">
        <v>40</v>
      </c>
      <c r="E23" t="str">
        <f>CONCATENATE(C23, " ", D23)</f>
        <v>William Kratzer</v>
      </c>
      <c r="F23">
        <v>20092339801</v>
      </c>
      <c r="G23">
        <v>20092339801</v>
      </c>
      <c r="H23" s="1">
        <v>45689</v>
      </c>
      <c r="I23" s="1">
        <v>45730</v>
      </c>
      <c r="J23" t="s">
        <v>14</v>
      </c>
      <c r="K23" t="s">
        <v>22</v>
      </c>
      <c r="L23" s="2">
        <v>20</v>
      </c>
      <c r="M23" t="s">
        <v>56</v>
      </c>
    </row>
    <row r="24" spans="1:14" x14ac:dyDescent="0.25">
      <c r="A24" t="s">
        <v>54</v>
      </c>
      <c r="B24">
        <v>20411454</v>
      </c>
      <c r="C24" t="s">
        <v>17</v>
      </c>
      <c r="D24" t="s">
        <v>18</v>
      </c>
      <c r="E24" t="str">
        <f>CONCATENATE(C24, " ", D24)</f>
        <v>Wyatt Furman</v>
      </c>
      <c r="F24">
        <v>20032293001</v>
      </c>
      <c r="G24" t="str">
        <f>CONCATENATE(1,F24)</f>
        <v>120032293001</v>
      </c>
      <c r="H24" s="1">
        <v>44197</v>
      </c>
      <c r="I24" s="1">
        <v>45730</v>
      </c>
      <c r="J24" t="s">
        <v>14</v>
      </c>
      <c r="K24" t="s">
        <v>46</v>
      </c>
      <c r="L24" s="2">
        <v>3</v>
      </c>
      <c r="M24" t="s">
        <v>55</v>
      </c>
    </row>
    <row r="25" spans="1:14" x14ac:dyDescent="0.25">
      <c r="A25" t="s">
        <v>16</v>
      </c>
      <c r="B25" t="s">
        <v>59</v>
      </c>
      <c r="C25" t="s">
        <v>17</v>
      </c>
      <c r="D25" t="s">
        <v>18</v>
      </c>
      <c r="E25" t="str">
        <f>CONCATENATE(C25, " ", D25)</f>
        <v>Wyatt Furman</v>
      </c>
      <c r="F25">
        <v>20032293001</v>
      </c>
      <c r="G25">
        <v>20032293001</v>
      </c>
      <c r="H25" s="1">
        <v>44197</v>
      </c>
      <c r="I25" s="1">
        <v>45730</v>
      </c>
      <c r="J25" t="s">
        <v>14</v>
      </c>
      <c r="K25" t="s">
        <v>19</v>
      </c>
      <c r="L25" s="2">
        <v>10</v>
      </c>
      <c r="M25" t="s">
        <v>56</v>
      </c>
    </row>
  </sheetData>
  <sortState xmlns:xlrd2="http://schemas.microsoft.com/office/spreadsheetml/2017/richdata2" ref="A2:N25">
    <sortCondition ref="E2:E25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EF2B-D81C-4958-8FAA-2A3EE68785E4}">
  <dimension ref="A1:C24"/>
  <sheetViews>
    <sheetView workbookViewId="0">
      <selection activeCell="C1" sqref="C1:C24"/>
    </sheetView>
  </sheetViews>
  <sheetFormatPr defaultRowHeight="15" x14ac:dyDescent="0.25"/>
  <sheetData>
    <row r="1" spans="1:3" x14ac:dyDescent="0.25">
      <c r="A1" t="s">
        <v>60</v>
      </c>
      <c r="B1" t="s">
        <v>61</v>
      </c>
      <c r="C1" t="s">
        <v>62</v>
      </c>
    </row>
    <row r="2" spans="1:3" x14ac:dyDescent="0.25">
      <c r="A2" t="s">
        <v>60</v>
      </c>
      <c r="B2" t="s">
        <v>61</v>
      </c>
      <c r="C2" t="s">
        <v>63</v>
      </c>
    </row>
    <row r="3" spans="1:3" x14ac:dyDescent="0.25">
      <c r="A3" t="s">
        <v>64</v>
      </c>
      <c r="B3" t="s">
        <v>65</v>
      </c>
      <c r="C3" t="s">
        <v>62</v>
      </c>
    </row>
    <row r="4" spans="1:3" x14ac:dyDescent="0.25">
      <c r="A4" t="s">
        <v>66</v>
      </c>
      <c r="B4" t="s">
        <v>61</v>
      </c>
      <c r="C4" t="s">
        <v>62</v>
      </c>
    </row>
    <row r="5" spans="1:3" x14ac:dyDescent="0.25">
      <c r="A5" t="s">
        <v>66</v>
      </c>
      <c r="B5" t="s">
        <v>61</v>
      </c>
      <c r="C5" t="s">
        <v>62</v>
      </c>
    </row>
    <row r="6" spans="1:3" x14ac:dyDescent="0.25">
      <c r="A6" t="s">
        <v>66</v>
      </c>
      <c r="B6" t="s">
        <v>61</v>
      </c>
      <c r="C6" t="s">
        <v>62</v>
      </c>
    </row>
    <row r="7" spans="1:3" x14ac:dyDescent="0.25">
      <c r="A7" t="s">
        <v>66</v>
      </c>
      <c r="B7" t="s">
        <v>65</v>
      </c>
      <c r="C7" t="s">
        <v>62</v>
      </c>
    </row>
    <row r="8" spans="1:3" x14ac:dyDescent="0.25">
      <c r="A8" t="s">
        <v>66</v>
      </c>
      <c r="B8" t="s">
        <v>61</v>
      </c>
      <c r="C8" t="s">
        <v>62</v>
      </c>
    </row>
    <row r="9" spans="1:3" x14ac:dyDescent="0.25">
      <c r="A9" t="s">
        <v>66</v>
      </c>
      <c r="B9" t="s">
        <v>61</v>
      </c>
      <c r="C9" t="s">
        <v>62</v>
      </c>
    </row>
    <row r="10" spans="1:3" x14ac:dyDescent="0.25">
      <c r="A10" t="s">
        <v>66</v>
      </c>
      <c r="B10" t="s">
        <v>61</v>
      </c>
      <c r="C10" t="s">
        <v>62</v>
      </c>
    </row>
    <row r="11" spans="1:3" x14ac:dyDescent="0.25">
      <c r="A11" t="s">
        <v>66</v>
      </c>
      <c r="B11" t="s">
        <v>61</v>
      </c>
      <c r="C11" t="s">
        <v>63</v>
      </c>
    </row>
    <row r="12" spans="1:3" x14ac:dyDescent="0.25">
      <c r="A12" t="s">
        <v>66</v>
      </c>
      <c r="B12" t="s">
        <v>65</v>
      </c>
      <c r="C12" t="s">
        <v>62</v>
      </c>
    </row>
    <row r="13" spans="1:3" x14ac:dyDescent="0.25">
      <c r="A13" t="s">
        <v>66</v>
      </c>
      <c r="B13" t="s">
        <v>67</v>
      </c>
      <c r="C13" t="s">
        <v>62</v>
      </c>
    </row>
    <row r="14" spans="1:3" x14ac:dyDescent="0.25">
      <c r="A14" t="s">
        <v>66</v>
      </c>
      <c r="B14" t="s">
        <v>67</v>
      </c>
      <c r="C14" t="s">
        <v>62</v>
      </c>
    </row>
    <row r="15" spans="1:3" x14ac:dyDescent="0.25">
      <c r="A15" t="s">
        <v>66</v>
      </c>
      <c r="B15" t="s">
        <v>61</v>
      </c>
      <c r="C15" t="s">
        <v>62</v>
      </c>
    </row>
    <row r="16" spans="1:3" x14ac:dyDescent="0.25">
      <c r="A16" t="s">
        <v>66</v>
      </c>
      <c r="B16" t="s">
        <v>65</v>
      </c>
      <c r="C16" t="s">
        <v>62</v>
      </c>
    </row>
    <row r="17" spans="1:3" x14ac:dyDescent="0.25">
      <c r="A17" t="s">
        <v>60</v>
      </c>
      <c r="B17" t="s">
        <v>61</v>
      </c>
      <c r="C17" t="s">
        <v>62</v>
      </c>
    </row>
    <row r="18" spans="1:3" x14ac:dyDescent="0.25">
      <c r="A18" t="s">
        <v>60</v>
      </c>
      <c r="B18" t="s">
        <v>61</v>
      </c>
      <c r="C18" t="s">
        <v>62</v>
      </c>
    </row>
    <row r="19" spans="1:3" x14ac:dyDescent="0.25">
      <c r="A19" t="s">
        <v>64</v>
      </c>
      <c r="B19" t="s">
        <v>61</v>
      </c>
      <c r="C19" t="s">
        <v>62</v>
      </c>
    </row>
    <row r="20" spans="1:3" x14ac:dyDescent="0.25">
      <c r="A20" t="s">
        <v>60</v>
      </c>
      <c r="B20" t="s">
        <v>61</v>
      </c>
      <c r="C20" t="s">
        <v>62</v>
      </c>
    </row>
    <row r="21" spans="1:3" x14ac:dyDescent="0.25">
      <c r="A21" t="s">
        <v>64</v>
      </c>
      <c r="B21" t="s">
        <v>61</v>
      </c>
      <c r="C21" t="s">
        <v>63</v>
      </c>
    </row>
    <row r="22" spans="1:3" x14ac:dyDescent="0.25">
      <c r="A22" t="s">
        <v>64</v>
      </c>
      <c r="B22" t="s">
        <v>67</v>
      </c>
      <c r="C22" t="s">
        <v>62</v>
      </c>
    </row>
    <row r="23" spans="1:3" x14ac:dyDescent="0.25">
      <c r="A23" t="s">
        <v>64</v>
      </c>
      <c r="B23" t="s">
        <v>67</v>
      </c>
      <c r="C23" t="s">
        <v>62</v>
      </c>
    </row>
    <row r="24" spans="1:3" x14ac:dyDescent="0.25">
      <c r="A24" t="s">
        <v>64</v>
      </c>
      <c r="B24" t="s">
        <v>61</v>
      </c>
      <c r="C2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2025-03-14T20:17:50Z</dcterms:created>
  <dcterms:modified xsi:type="dcterms:W3CDTF">2025-03-17T18:26:23Z</dcterms:modified>
</cp:coreProperties>
</file>