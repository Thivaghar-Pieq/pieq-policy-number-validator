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2025\Geisinger Ritter 4-17-25\"/>
    </mc:Choice>
  </mc:AlternateContent>
  <xr:revisionPtr revIDLastSave="0" documentId="13_ncr:1_{83E9613C-F83E-444E-9682-552EF2C889AB}" xr6:coauthVersionLast="47" xr6:coauthVersionMax="47" xr10:uidLastSave="{00000000-0000-0000-0000-000000000000}"/>
  <bookViews>
    <workbookView xWindow="28680" yWindow="-120" windowWidth="29040" windowHeight="16440" activeTab="1" xr2:uid="{34C7AEB2-EDC3-4CC7-BC58-AD4B724526F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</calcChain>
</file>

<file path=xl/sharedStrings.xml><?xml version="1.0" encoding="utf-8"?>
<sst xmlns="http://schemas.openxmlformats.org/spreadsheetml/2006/main" count="261" uniqueCount="53">
  <si>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</si>
  <si>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</si>
  <si>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</si>
  <si>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</si>
  <si>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</si>
  <si>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</si>
  <si>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</si>
  <si>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</si>
  <si>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</si>
  <si>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</si>
  <si>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</si>
  <si>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</si>
  <si>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Dawn</t>
  </si>
  <si>
    <t>Wilson</t>
  </si>
  <si>
    <t>Geisinger Health Plan U65</t>
  </si>
  <si>
    <t>GHP U65 2024-2025 OR (ProRata: 2) Premium Period: 03/2025</t>
  </si>
  <si>
    <t>Carol Foley</t>
  </si>
  <si>
    <t>Debbie</t>
  </si>
  <si>
    <t>Dewald</t>
  </si>
  <si>
    <t>Deborah Inskipt</t>
  </si>
  <si>
    <t>Dennis</t>
  </si>
  <si>
    <t>Brickley</t>
  </si>
  <si>
    <t>GHP U65 2024-2025 OR (ProRata: 1) Premium Period: 03/2025</t>
  </si>
  <si>
    <t>William Schaeffer</t>
  </si>
  <si>
    <t>Donald</t>
  </si>
  <si>
    <t>Caples</t>
  </si>
  <si>
    <t>Jan</t>
  </si>
  <si>
    <t>Rodriguez</t>
  </si>
  <si>
    <t>Scott Aguglia</t>
  </si>
  <si>
    <t>B67020</t>
  </si>
  <si>
    <t>John</t>
  </si>
  <si>
    <t>Rundle</t>
  </si>
  <si>
    <t>Luis</t>
  </si>
  <si>
    <t>Martinez</t>
  </si>
  <si>
    <t>Roy</t>
  </si>
  <si>
    <t>Rapp</t>
  </si>
  <si>
    <t>GHP U65 2024-2025 OR (ProRata: 4) Premium Period: 03/2025</t>
  </si>
  <si>
    <t>William</t>
  </si>
  <si>
    <t>Buckley</t>
  </si>
  <si>
    <t>Kratzer</t>
  </si>
  <si>
    <t>Bomboy Jr</t>
  </si>
  <si>
    <t>Wyatt</t>
  </si>
  <si>
    <t>Furman</t>
  </si>
  <si>
    <t>GHP U65 2022-25 Year 1 ST (ProRata: 2) Premium Period: 03/2025</t>
  </si>
  <si>
    <t>GHP U65 2022-25 Year 2+ ST (ProRata: 1) Premium Period: 03/2025</t>
  </si>
  <si>
    <t>GHP U65 2022-25 Year 1 ST (ProRata: 1) Premium Period: 03/2025</t>
  </si>
  <si>
    <t>GHP U65 2022-25 Year 1 ST (ProRata: 4) Premium Period: 03/2025</t>
  </si>
  <si>
    <t>Main Line Benefits</t>
  </si>
  <si>
    <t>Geisinger U65 override</t>
  </si>
  <si>
    <t>Geisinger U65</t>
  </si>
  <si>
    <t>[PMPM=2]</t>
  </si>
  <si>
    <t>[PMPM=4]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</si>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</sst>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4366-4D66-4A65-A35C-336FC32F3A04}">
  <dimension ref="A1:K23"/>
  <sheetViews>
    <sheetView workbookViewId="0">
      <selection sqref="A1:XFD1048576"/>
    </sheetView>
  </sheetViews>
  <sheetFormatPr defaultRowHeight="15" x14ac:dyDescent="0.25"/>
  <cols>
    <col min="1" max="1" width="16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2" bestFit="1" customWidth="1"/>
    <col min="7" max="7" width="11.5703125" bestFit="1" customWidth="1"/>
    <col min="8" max="8" width="14.7109375" bestFit="1" customWidth="1"/>
    <col min="9" max="9" width="24" bestFit="1" customWidth="1"/>
    <col min="10" max="10" width="59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15278437</v>
      </c>
      <c r="C2">
        <v>15278437</v>
      </c>
      <c r="D2" t="s">
        <v>12</v>
      </c>
      <c r="E2" t="s">
        <v>13</v>
      </c>
      <c r="F2">
        <v>20092470201</v>
      </c>
      <c r="G2" s="1">
        <v>45689</v>
      </c>
      <c r="H2" s="1">
        <v>45764</v>
      </c>
      <c r="I2" t="s">
        <v>14</v>
      </c>
      <c r="J2" t="s">
        <v>15</v>
      </c>
      <c r="K2" s="2">
        <v>6</v>
      </c>
    </row>
    <row r="3" spans="1:11" x14ac:dyDescent="0.25">
      <c r="A3" t="s">
        <v>16</v>
      </c>
      <c r="C3">
        <v>17425766</v>
      </c>
      <c r="D3" t="s">
        <v>17</v>
      </c>
      <c r="E3" t="s">
        <v>18</v>
      </c>
      <c r="F3">
        <v>20087098801</v>
      </c>
      <c r="G3" s="1">
        <v>45597</v>
      </c>
      <c r="H3" s="1">
        <v>45764</v>
      </c>
      <c r="I3" t="s">
        <v>14</v>
      </c>
      <c r="J3" t="s">
        <v>15</v>
      </c>
      <c r="K3" s="2">
        <v>6</v>
      </c>
    </row>
    <row r="4" spans="1:11" x14ac:dyDescent="0.25">
      <c r="A4" t="s">
        <v>19</v>
      </c>
      <c r="B4">
        <v>17528908</v>
      </c>
      <c r="C4">
        <v>17528908</v>
      </c>
      <c r="D4" t="s">
        <v>20</v>
      </c>
      <c r="E4" t="s">
        <v>21</v>
      </c>
      <c r="F4">
        <v>20073239401</v>
      </c>
      <c r="G4" s="1">
        <v>45292</v>
      </c>
      <c r="H4" s="1">
        <v>45764</v>
      </c>
      <c r="I4" t="s">
        <v>14</v>
      </c>
      <c r="J4" t="s">
        <v>22</v>
      </c>
      <c r="K4" s="2">
        <v>3</v>
      </c>
    </row>
    <row r="5" spans="1:11" x14ac:dyDescent="0.25">
      <c r="A5" t="s">
        <v>23</v>
      </c>
      <c r="C5">
        <v>18010408</v>
      </c>
      <c r="D5" t="s">
        <v>24</v>
      </c>
      <c r="E5" t="s">
        <v>25</v>
      </c>
      <c r="F5">
        <v>20033010701</v>
      </c>
      <c r="G5" s="1">
        <v>44228</v>
      </c>
      <c r="H5" s="1">
        <v>45764</v>
      </c>
      <c r="I5" t="s">
        <v>14</v>
      </c>
      <c r="J5" t="s">
        <v>15</v>
      </c>
      <c r="K5" s="2">
        <v>6</v>
      </c>
    </row>
    <row r="6" spans="1:11" x14ac:dyDescent="0.25">
      <c r="A6" t="s">
        <v>23</v>
      </c>
      <c r="C6">
        <v>18010408</v>
      </c>
      <c r="D6" t="s">
        <v>26</v>
      </c>
      <c r="E6" t="s">
        <v>27</v>
      </c>
      <c r="F6">
        <v>20056813601</v>
      </c>
      <c r="G6" s="1">
        <v>44866</v>
      </c>
      <c r="H6" s="1">
        <v>45764</v>
      </c>
      <c r="I6" t="s">
        <v>14</v>
      </c>
      <c r="J6" t="s">
        <v>22</v>
      </c>
      <c r="K6" s="2">
        <v>3</v>
      </c>
    </row>
    <row r="7" spans="1:11" x14ac:dyDescent="0.25">
      <c r="A7" t="s">
        <v>28</v>
      </c>
      <c r="B7" t="s">
        <v>29</v>
      </c>
      <c r="C7">
        <v>8971826</v>
      </c>
      <c r="D7" t="s">
        <v>30</v>
      </c>
      <c r="E7" t="s">
        <v>31</v>
      </c>
      <c r="F7">
        <v>20068280401</v>
      </c>
      <c r="G7" s="1">
        <v>45170</v>
      </c>
      <c r="H7" s="1">
        <v>45764</v>
      </c>
      <c r="I7" t="s">
        <v>14</v>
      </c>
      <c r="J7" t="s">
        <v>22</v>
      </c>
      <c r="K7" s="2">
        <v>3</v>
      </c>
    </row>
    <row r="8" spans="1:11" x14ac:dyDescent="0.25">
      <c r="A8" t="s">
        <v>16</v>
      </c>
      <c r="C8">
        <v>17425766</v>
      </c>
      <c r="D8" t="s">
        <v>32</v>
      </c>
      <c r="E8" t="s">
        <v>33</v>
      </c>
      <c r="F8">
        <v>20028173801</v>
      </c>
      <c r="G8" s="1">
        <v>44044</v>
      </c>
      <c r="H8" s="1">
        <v>45764</v>
      </c>
      <c r="I8" t="s">
        <v>14</v>
      </c>
      <c r="J8" t="s">
        <v>22</v>
      </c>
      <c r="K8" s="2">
        <v>3</v>
      </c>
    </row>
    <row r="9" spans="1:11" x14ac:dyDescent="0.25">
      <c r="A9" t="s">
        <v>23</v>
      </c>
      <c r="C9">
        <v>18010408</v>
      </c>
      <c r="D9" t="s">
        <v>34</v>
      </c>
      <c r="E9" t="s">
        <v>35</v>
      </c>
      <c r="F9">
        <v>20091153901</v>
      </c>
      <c r="G9" s="1">
        <v>45658</v>
      </c>
      <c r="H9" s="1">
        <v>45764</v>
      </c>
      <c r="I9" t="s">
        <v>14</v>
      </c>
      <c r="J9" t="s">
        <v>36</v>
      </c>
      <c r="K9" s="2">
        <v>12</v>
      </c>
    </row>
    <row r="10" spans="1:11" x14ac:dyDescent="0.25">
      <c r="A10" t="s">
        <v>23</v>
      </c>
      <c r="C10">
        <v>18010408</v>
      </c>
      <c r="D10" t="s">
        <v>37</v>
      </c>
      <c r="E10" t="s">
        <v>38</v>
      </c>
      <c r="F10">
        <v>20088090901</v>
      </c>
      <c r="G10" s="1">
        <v>45597</v>
      </c>
      <c r="H10" s="1">
        <v>45764</v>
      </c>
      <c r="I10" t="s">
        <v>14</v>
      </c>
      <c r="J10" t="s">
        <v>36</v>
      </c>
      <c r="K10" s="2">
        <v>12</v>
      </c>
    </row>
    <row r="11" spans="1:11" x14ac:dyDescent="0.25">
      <c r="A11" t="s">
        <v>23</v>
      </c>
      <c r="C11">
        <v>18010408</v>
      </c>
      <c r="D11" t="s">
        <v>37</v>
      </c>
      <c r="E11" t="s">
        <v>39</v>
      </c>
      <c r="F11">
        <v>20092339801</v>
      </c>
      <c r="G11" s="1">
        <v>45689</v>
      </c>
      <c r="H11" s="1">
        <v>45764</v>
      </c>
      <c r="I11" t="s">
        <v>14</v>
      </c>
      <c r="J11" t="s">
        <v>22</v>
      </c>
      <c r="K11" s="2">
        <v>3</v>
      </c>
    </row>
    <row r="12" spans="1:11" x14ac:dyDescent="0.25">
      <c r="A12" t="s">
        <v>16</v>
      </c>
      <c r="C12">
        <v>17425766</v>
      </c>
      <c r="D12" t="s">
        <v>37</v>
      </c>
      <c r="E12" t="s">
        <v>40</v>
      </c>
      <c r="F12">
        <v>20027778301</v>
      </c>
      <c r="G12" s="1">
        <v>44013</v>
      </c>
      <c r="H12" s="1">
        <v>45764</v>
      </c>
      <c r="I12" t="s">
        <v>14</v>
      </c>
      <c r="J12" t="s">
        <v>22</v>
      </c>
      <c r="K12" s="2">
        <v>3</v>
      </c>
    </row>
    <row r="13" spans="1:11" x14ac:dyDescent="0.25">
      <c r="A13" t="s">
        <v>23</v>
      </c>
      <c r="C13">
        <v>18010408</v>
      </c>
      <c r="D13" t="s">
        <v>41</v>
      </c>
      <c r="E13" t="s">
        <v>42</v>
      </c>
      <c r="F13">
        <v>20032293001</v>
      </c>
      <c r="G13" s="1">
        <v>44197</v>
      </c>
      <c r="H13" s="1">
        <v>45764</v>
      </c>
      <c r="I13" t="s">
        <v>14</v>
      </c>
      <c r="J13" t="s">
        <v>22</v>
      </c>
      <c r="K13" s="2">
        <v>3</v>
      </c>
    </row>
    <row r="14" spans="1:11" x14ac:dyDescent="0.25">
      <c r="A14" t="s">
        <v>11</v>
      </c>
      <c r="B14">
        <v>15278437</v>
      </c>
      <c r="C14">
        <v>15278437</v>
      </c>
      <c r="D14" t="s">
        <v>12</v>
      </c>
      <c r="E14" t="s">
        <v>13</v>
      </c>
      <c r="F14">
        <v>20092470201</v>
      </c>
      <c r="G14" s="1">
        <v>45689</v>
      </c>
      <c r="H14" s="1">
        <v>45764</v>
      </c>
      <c r="I14" t="s">
        <v>14</v>
      </c>
      <c r="J14" t="s">
        <v>43</v>
      </c>
      <c r="K14" s="2">
        <v>40</v>
      </c>
    </row>
    <row r="15" spans="1:11" x14ac:dyDescent="0.25">
      <c r="A15" t="s">
        <v>19</v>
      </c>
      <c r="B15">
        <v>17528908</v>
      </c>
      <c r="C15">
        <v>17528908</v>
      </c>
      <c r="D15" t="s">
        <v>20</v>
      </c>
      <c r="E15" t="s">
        <v>21</v>
      </c>
      <c r="F15">
        <v>20073239401</v>
      </c>
      <c r="G15" s="1">
        <v>45292</v>
      </c>
      <c r="H15" s="1">
        <v>45764</v>
      </c>
      <c r="I15" t="s">
        <v>14</v>
      </c>
      <c r="J15" t="s">
        <v>44</v>
      </c>
      <c r="K15" s="2">
        <v>10</v>
      </c>
    </row>
    <row r="16" spans="1:11" x14ac:dyDescent="0.25">
      <c r="A16" t="s">
        <v>23</v>
      </c>
      <c r="C16">
        <v>18010408</v>
      </c>
      <c r="D16" t="s">
        <v>24</v>
      </c>
      <c r="E16" t="s">
        <v>25</v>
      </c>
      <c r="F16">
        <v>20033010701</v>
      </c>
      <c r="G16" s="1">
        <v>44228</v>
      </c>
      <c r="H16" s="1">
        <v>45764</v>
      </c>
      <c r="I16" t="s">
        <v>14</v>
      </c>
      <c r="J16" t="s">
        <v>45</v>
      </c>
      <c r="K16" s="2">
        <v>20</v>
      </c>
    </row>
    <row r="17" spans="1:11" x14ac:dyDescent="0.25">
      <c r="A17" t="s">
        <v>23</v>
      </c>
      <c r="C17">
        <v>18010408</v>
      </c>
      <c r="D17" t="s">
        <v>26</v>
      </c>
      <c r="E17" t="s">
        <v>27</v>
      </c>
      <c r="F17">
        <v>20056813601</v>
      </c>
      <c r="G17" s="1">
        <v>44866</v>
      </c>
      <c r="H17" s="1">
        <v>45764</v>
      </c>
      <c r="I17" t="s">
        <v>14</v>
      </c>
      <c r="J17" t="s">
        <v>44</v>
      </c>
      <c r="K17" s="2">
        <v>10</v>
      </c>
    </row>
    <row r="18" spans="1:11" x14ac:dyDescent="0.25">
      <c r="A18" t="s">
        <v>28</v>
      </c>
      <c r="B18" t="s">
        <v>29</v>
      </c>
      <c r="C18">
        <v>8971826</v>
      </c>
      <c r="D18" t="s">
        <v>30</v>
      </c>
      <c r="E18" t="s">
        <v>31</v>
      </c>
      <c r="F18">
        <v>20068280401</v>
      </c>
      <c r="G18" s="1">
        <v>45170</v>
      </c>
      <c r="H18" s="1">
        <v>45764</v>
      </c>
      <c r="I18" t="s">
        <v>14</v>
      </c>
      <c r="J18" t="s">
        <v>44</v>
      </c>
      <c r="K18" s="2">
        <v>10</v>
      </c>
    </row>
    <row r="19" spans="1:11" x14ac:dyDescent="0.25">
      <c r="A19" t="s">
        <v>23</v>
      </c>
      <c r="C19">
        <v>18010408</v>
      </c>
      <c r="D19" t="s">
        <v>34</v>
      </c>
      <c r="E19" t="s">
        <v>35</v>
      </c>
      <c r="F19">
        <v>20091153901</v>
      </c>
      <c r="G19" s="1">
        <v>45658</v>
      </c>
      <c r="H19" s="1">
        <v>45764</v>
      </c>
      <c r="I19" t="s">
        <v>14</v>
      </c>
      <c r="J19" t="s">
        <v>46</v>
      </c>
      <c r="K19" s="2">
        <v>80</v>
      </c>
    </row>
    <row r="20" spans="1:11" x14ac:dyDescent="0.25">
      <c r="A20" t="s">
        <v>23</v>
      </c>
      <c r="C20">
        <v>18010408</v>
      </c>
      <c r="D20" t="s">
        <v>37</v>
      </c>
      <c r="E20" t="s">
        <v>38</v>
      </c>
      <c r="F20">
        <v>20088090901</v>
      </c>
      <c r="G20" s="1">
        <v>45597</v>
      </c>
      <c r="H20" s="1">
        <v>45764</v>
      </c>
      <c r="I20" t="s">
        <v>14</v>
      </c>
      <c r="J20" t="s">
        <v>46</v>
      </c>
      <c r="K20" s="2">
        <v>80</v>
      </c>
    </row>
    <row r="21" spans="1:11" x14ac:dyDescent="0.25">
      <c r="A21" t="s">
        <v>23</v>
      </c>
      <c r="C21">
        <v>18010408</v>
      </c>
      <c r="D21" t="s">
        <v>37</v>
      </c>
      <c r="E21" t="s">
        <v>39</v>
      </c>
      <c r="F21">
        <v>20092339801</v>
      </c>
      <c r="G21" s="1">
        <v>45689</v>
      </c>
      <c r="H21" s="1">
        <v>45764</v>
      </c>
      <c r="I21" t="s">
        <v>14</v>
      </c>
      <c r="J21" t="s">
        <v>45</v>
      </c>
      <c r="K21" s="2">
        <v>20</v>
      </c>
    </row>
    <row r="22" spans="1:11" x14ac:dyDescent="0.25">
      <c r="A22" t="s">
        <v>23</v>
      </c>
      <c r="C22">
        <v>18010408</v>
      </c>
      <c r="D22" t="s">
        <v>41</v>
      </c>
      <c r="E22" t="s">
        <v>42</v>
      </c>
      <c r="F22">
        <v>20032293001</v>
      </c>
      <c r="G22" s="1">
        <v>44197</v>
      </c>
      <c r="H22" s="1">
        <v>45764</v>
      </c>
      <c r="I22" t="s">
        <v>14</v>
      </c>
      <c r="J22" t="s">
        <v>44</v>
      </c>
      <c r="K22" s="2">
        <v>10</v>
      </c>
    </row>
    <row r="23" spans="1:11" x14ac:dyDescent="0.25">
      <c r="K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150A-A1FE-4DD9-AA58-B8C0ED4B4A16}">
  <dimension ref="A1:N23"/>
  <sheetViews>
    <sheetView tabSelected="1" workbookViewId="0">
      <selection activeCell="N2" sqref="N2:N22"/>
    </sheetView>
  </sheetViews>
  <sheetFormatPr defaultRowHeight="15" x14ac:dyDescent="0.25"/>
  <cols>
    <col min="1" max="1" width="16.5703125" bestFit="1" customWidth="1"/>
    <col min="2" max="2" width="10.28515625" bestFit="1" customWidth="1"/>
    <col min="3" max="3" width="10.5703125" bestFit="1" customWidth="1"/>
    <col min="4" max="4" width="10.28515625" bestFit="1" customWidth="1"/>
    <col min="5" max="5" width="12.5703125" bestFit="1" customWidth="1"/>
    <col min="6" max="6" width="12" bestFit="1" customWidth="1"/>
    <col min="7" max="7" width="13.140625" bestFit="1" customWidth="1"/>
    <col min="8" max="8" width="11.5703125" bestFit="1" customWidth="1"/>
    <col min="9" max="9" width="14.7109375" bestFit="1" customWidth="1"/>
    <col min="10" max="10" width="24" bestFit="1" customWidth="1"/>
    <col min="11" max="11" width="59.5703125" bestFit="1" customWidth="1"/>
    <col min="12" max="12" width="15.7109375" bestFit="1" customWidth="1"/>
    <col min="13" max="13" width="20.855468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47</v>
      </c>
      <c r="B2">
        <v>20411454</v>
      </c>
      <c r="C2" t="s">
        <v>12</v>
      </c>
      <c r="D2" t="s">
        <v>13</v>
      </c>
      <c r="E2" t="str">
        <f>CONCATENATE(C2, " ",D2)</f>
        <v>Dawn Wilson</v>
      </c>
      <c r="F2">
        <v>20092470201</v>
      </c>
      <c r="G2" t="str">
        <f>CONCATENATE(1,F2)</f>
        <v>120092470201</v>
      </c>
      <c r="H2" s="1">
        <v>45689</v>
      </c>
      <c r="I2" s="1">
        <v>45764</v>
      </c>
      <c r="J2" t="s">
        <v>14</v>
      </c>
      <c r="K2" t="s">
        <v>15</v>
      </c>
      <c r="L2" s="2">
        <v>6</v>
      </c>
      <c r="M2" t="s">
        <v>48</v>
      </c>
    </row>
    <row r="3" spans="1:14" x14ac:dyDescent="0.25">
      <c r="A3" t="s">
        <v>47</v>
      </c>
      <c r="B3">
        <v>20411454</v>
      </c>
      <c r="C3" t="s">
        <v>17</v>
      </c>
      <c r="D3" t="s">
        <v>18</v>
      </c>
      <c r="E3" t="str">
        <f t="shared" ref="E3:E22" si="0">CONCATENATE(C3, " ",D3)</f>
        <v>Debbie Dewald</v>
      </c>
      <c r="F3">
        <v>20087098801</v>
      </c>
      <c r="G3" t="str">
        <f t="shared" ref="G3:G13" si="1">CONCATENATE(1,F3)</f>
        <v>120087098801</v>
      </c>
      <c r="H3" s="1">
        <v>45597</v>
      </c>
      <c r="I3" s="1">
        <v>45764</v>
      </c>
      <c r="J3" t="s">
        <v>14</v>
      </c>
      <c r="K3" t="s">
        <v>15</v>
      </c>
      <c r="L3" s="2">
        <v>6</v>
      </c>
      <c r="M3" t="s">
        <v>48</v>
      </c>
    </row>
    <row r="4" spans="1:14" x14ac:dyDescent="0.25">
      <c r="A4" t="s">
        <v>47</v>
      </c>
      <c r="B4">
        <v>20411454</v>
      </c>
      <c r="C4" t="s">
        <v>20</v>
      </c>
      <c r="D4" t="s">
        <v>21</v>
      </c>
      <c r="E4" t="str">
        <f t="shared" si="0"/>
        <v>Dennis Brickley</v>
      </c>
      <c r="F4">
        <v>20073239401</v>
      </c>
      <c r="G4" t="str">
        <f t="shared" si="1"/>
        <v>120073239401</v>
      </c>
      <c r="H4" s="1">
        <v>45292</v>
      </c>
      <c r="I4" s="1">
        <v>45764</v>
      </c>
      <c r="J4" t="s">
        <v>14</v>
      </c>
      <c r="K4" t="s">
        <v>22</v>
      </c>
      <c r="L4" s="2">
        <v>3</v>
      </c>
      <c r="M4" t="s">
        <v>48</v>
      </c>
    </row>
    <row r="5" spans="1:14" x14ac:dyDescent="0.25">
      <c r="A5" t="s">
        <v>47</v>
      </c>
      <c r="B5">
        <v>20411454</v>
      </c>
      <c r="C5" t="s">
        <v>24</v>
      </c>
      <c r="D5" t="s">
        <v>25</v>
      </c>
      <c r="E5" t="str">
        <f t="shared" si="0"/>
        <v>Donald Caples</v>
      </c>
      <c r="F5">
        <v>20033010701</v>
      </c>
      <c r="G5" t="str">
        <f t="shared" si="1"/>
        <v>120033010701</v>
      </c>
      <c r="H5" s="1">
        <v>44228</v>
      </c>
      <c r="I5" s="1">
        <v>45764</v>
      </c>
      <c r="J5" t="s">
        <v>14</v>
      </c>
      <c r="K5" t="s">
        <v>15</v>
      </c>
      <c r="L5" s="2">
        <v>6</v>
      </c>
      <c r="M5" t="s">
        <v>48</v>
      </c>
    </row>
    <row r="6" spans="1:14" x14ac:dyDescent="0.25">
      <c r="A6" t="s">
        <v>47</v>
      </c>
      <c r="B6">
        <v>20411454</v>
      </c>
      <c r="C6" t="s">
        <v>26</v>
      </c>
      <c r="D6" t="s">
        <v>27</v>
      </c>
      <c r="E6" t="str">
        <f t="shared" si="0"/>
        <v>Jan Rodriguez</v>
      </c>
      <c r="F6">
        <v>20056813601</v>
      </c>
      <c r="G6" t="str">
        <f t="shared" si="1"/>
        <v>120056813601</v>
      </c>
      <c r="H6" s="1">
        <v>44866</v>
      </c>
      <c r="I6" s="1">
        <v>45764</v>
      </c>
      <c r="J6" t="s">
        <v>14</v>
      </c>
      <c r="K6" t="s">
        <v>22</v>
      </c>
      <c r="L6" s="2">
        <v>3</v>
      </c>
      <c r="M6" t="s">
        <v>48</v>
      </c>
    </row>
    <row r="7" spans="1:14" x14ac:dyDescent="0.25">
      <c r="A7" t="s">
        <v>47</v>
      </c>
      <c r="B7">
        <v>20411454</v>
      </c>
      <c r="C7" t="s">
        <v>30</v>
      </c>
      <c r="D7" t="s">
        <v>31</v>
      </c>
      <c r="E7" t="str">
        <f t="shared" si="0"/>
        <v>John Rundle</v>
      </c>
      <c r="F7">
        <v>20068280401</v>
      </c>
      <c r="G7" t="str">
        <f t="shared" si="1"/>
        <v>120068280401</v>
      </c>
      <c r="H7" s="1">
        <v>45170</v>
      </c>
      <c r="I7" s="1">
        <v>45764</v>
      </c>
      <c r="J7" t="s">
        <v>14</v>
      </c>
      <c r="K7" t="s">
        <v>22</v>
      </c>
      <c r="L7" s="2">
        <v>3</v>
      </c>
      <c r="M7" t="s">
        <v>48</v>
      </c>
    </row>
    <row r="8" spans="1:14" x14ac:dyDescent="0.25">
      <c r="A8" t="s">
        <v>47</v>
      </c>
      <c r="B8">
        <v>20411454</v>
      </c>
      <c r="C8" t="s">
        <v>32</v>
      </c>
      <c r="D8" t="s">
        <v>33</v>
      </c>
      <c r="E8" t="str">
        <f t="shared" si="0"/>
        <v>Luis Martinez</v>
      </c>
      <c r="F8">
        <v>20028173801</v>
      </c>
      <c r="G8" t="str">
        <f t="shared" si="1"/>
        <v>120028173801</v>
      </c>
      <c r="H8" s="1">
        <v>44044</v>
      </c>
      <c r="I8" s="1">
        <v>45764</v>
      </c>
      <c r="J8" t="s">
        <v>14</v>
      </c>
      <c r="K8" t="s">
        <v>22</v>
      </c>
      <c r="L8" s="2">
        <v>3</v>
      </c>
      <c r="M8" t="s">
        <v>48</v>
      </c>
    </row>
    <row r="9" spans="1:14" x14ac:dyDescent="0.25">
      <c r="A9" t="s">
        <v>47</v>
      </c>
      <c r="B9">
        <v>20411454</v>
      </c>
      <c r="C9" t="s">
        <v>34</v>
      </c>
      <c r="D9" t="s">
        <v>35</v>
      </c>
      <c r="E9" t="str">
        <f t="shared" si="0"/>
        <v>Roy Rapp</v>
      </c>
      <c r="F9">
        <v>20091153901</v>
      </c>
      <c r="G9" t="str">
        <f t="shared" si="1"/>
        <v>120091153901</v>
      </c>
      <c r="H9" s="1">
        <v>45658</v>
      </c>
      <c r="I9" s="1">
        <v>45764</v>
      </c>
      <c r="J9" t="s">
        <v>14</v>
      </c>
      <c r="K9" t="s">
        <v>36</v>
      </c>
      <c r="L9" s="2">
        <v>12</v>
      </c>
      <c r="M9" t="s">
        <v>48</v>
      </c>
    </row>
    <row r="10" spans="1:14" x14ac:dyDescent="0.25">
      <c r="A10" t="s">
        <v>47</v>
      </c>
      <c r="B10">
        <v>20411454</v>
      </c>
      <c r="C10" t="s">
        <v>37</v>
      </c>
      <c r="D10" t="s">
        <v>38</v>
      </c>
      <c r="E10" t="str">
        <f t="shared" si="0"/>
        <v>William Buckley</v>
      </c>
      <c r="F10">
        <v>20088090901</v>
      </c>
      <c r="G10" t="str">
        <f t="shared" si="1"/>
        <v>120088090901</v>
      </c>
      <c r="H10" s="1">
        <v>45597</v>
      </c>
      <c r="I10" s="1">
        <v>45764</v>
      </c>
      <c r="J10" t="s">
        <v>14</v>
      </c>
      <c r="K10" t="s">
        <v>36</v>
      </c>
      <c r="L10" s="2">
        <v>12</v>
      </c>
      <c r="M10" t="s">
        <v>48</v>
      </c>
    </row>
    <row r="11" spans="1:14" x14ac:dyDescent="0.25">
      <c r="A11" t="s">
        <v>47</v>
      </c>
      <c r="B11">
        <v>20411454</v>
      </c>
      <c r="C11" t="s">
        <v>37</v>
      </c>
      <c r="D11" t="s">
        <v>39</v>
      </c>
      <c r="E11" t="str">
        <f t="shared" si="0"/>
        <v>William Kratzer</v>
      </c>
      <c r="F11">
        <v>20092339801</v>
      </c>
      <c r="G11" t="str">
        <f t="shared" si="1"/>
        <v>120092339801</v>
      </c>
      <c r="H11" s="1">
        <v>45689</v>
      </c>
      <c r="I11" s="1">
        <v>45764</v>
      </c>
      <c r="J11" t="s">
        <v>14</v>
      </c>
      <c r="K11" t="s">
        <v>22</v>
      </c>
      <c r="L11" s="2">
        <v>3</v>
      </c>
      <c r="M11" t="s">
        <v>48</v>
      </c>
    </row>
    <row r="12" spans="1:14" x14ac:dyDescent="0.25">
      <c r="A12" t="s">
        <v>47</v>
      </c>
      <c r="B12">
        <v>20411454</v>
      </c>
      <c r="C12" t="s">
        <v>37</v>
      </c>
      <c r="D12" t="s">
        <v>40</v>
      </c>
      <c r="E12" t="str">
        <f t="shared" si="0"/>
        <v>William Bomboy Jr</v>
      </c>
      <c r="F12">
        <v>20027778301</v>
      </c>
      <c r="G12" t="str">
        <f t="shared" si="1"/>
        <v>120027778301</v>
      </c>
      <c r="H12" s="1">
        <v>44013</v>
      </c>
      <c r="I12" s="1">
        <v>45764</v>
      </c>
      <c r="J12" t="s">
        <v>14</v>
      </c>
      <c r="K12" t="s">
        <v>22</v>
      </c>
      <c r="L12" s="2">
        <v>3</v>
      </c>
      <c r="M12" t="s">
        <v>48</v>
      </c>
    </row>
    <row r="13" spans="1:14" x14ac:dyDescent="0.25">
      <c r="A13" t="s">
        <v>47</v>
      </c>
      <c r="B13">
        <v>20411454</v>
      </c>
      <c r="C13" t="s">
        <v>41</v>
      </c>
      <c r="D13" t="s">
        <v>42</v>
      </c>
      <c r="E13" t="str">
        <f t="shared" si="0"/>
        <v>Wyatt Furman</v>
      </c>
      <c r="F13">
        <v>20032293001</v>
      </c>
      <c r="G13" t="str">
        <f t="shared" si="1"/>
        <v>120032293001</v>
      </c>
      <c r="H13" s="1">
        <v>44197</v>
      </c>
      <c r="I13" s="1">
        <v>45764</v>
      </c>
      <c r="J13" t="s">
        <v>14</v>
      </c>
      <c r="K13" t="s">
        <v>22</v>
      </c>
      <c r="L13" s="2">
        <v>3</v>
      </c>
      <c r="M13" t="s">
        <v>48</v>
      </c>
    </row>
    <row r="14" spans="1:14" x14ac:dyDescent="0.25">
      <c r="A14" t="s">
        <v>11</v>
      </c>
      <c r="B14">
        <v>15278437</v>
      </c>
      <c r="C14" t="s">
        <v>12</v>
      </c>
      <c r="D14" t="s">
        <v>13</v>
      </c>
      <c r="E14" t="str">
        <f t="shared" si="0"/>
        <v>Dawn Wilson</v>
      </c>
      <c r="F14">
        <v>20092470201</v>
      </c>
      <c r="G14">
        <v>20092470201</v>
      </c>
      <c r="H14" s="1">
        <v>45689</v>
      </c>
      <c r="I14" s="1">
        <v>45764</v>
      </c>
      <c r="J14" t="s">
        <v>14</v>
      </c>
      <c r="K14" t="s">
        <v>43</v>
      </c>
      <c r="L14" s="2">
        <v>40</v>
      </c>
      <c r="M14" t="s">
        <v>49</v>
      </c>
      <c r="N14" t="s">
        <v>50</v>
      </c>
    </row>
    <row r="15" spans="1:14" x14ac:dyDescent="0.25">
      <c r="A15" t="s">
        <v>19</v>
      </c>
      <c r="B15">
        <v>17528908</v>
      </c>
      <c r="C15" t="s">
        <v>20</v>
      </c>
      <c r="D15" t="s">
        <v>21</v>
      </c>
      <c r="E15" t="str">
        <f t="shared" si="0"/>
        <v>Dennis Brickley</v>
      </c>
      <c r="F15">
        <v>20073239401</v>
      </c>
      <c r="G15">
        <v>20073239401</v>
      </c>
      <c r="H15" s="1">
        <v>45292</v>
      </c>
      <c r="I15" s="1">
        <v>45764</v>
      </c>
      <c r="J15" t="s">
        <v>14</v>
      </c>
      <c r="K15" t="s">
        <v>44</v>
      </c>
      <c r="L15" s="2">
        <v>10</v>
      </c>
      <c r="M15" t="s">
        <v>49</v>
      </c>
    </row>
    <row r="16" spans="1:14" x14ac:dyDescent="0.25">
      <c r="A16" t="s">
        <v>23</v>
      </c>
      <c r="B16" t="s">
        <v>52</v>
      </c>
      <c r="C16" t="s">
        <v>24</v>
      </c>
      <c r="D16" t="s">
        <v>25</v>
      </c>
      <c r="E16" t="str">
        <f t="shared" si="0"/>
        <v>Donald Caples</v>
      </c>
      <c r="F16">
        <v>20033010701</v>
      </c>
      <c r="G16">
        <v>20033010701</v>
      </c>
      <c r="H16" s="1">
        <v>44228</v>
      </c>
      <c r="I16" s="1">
        <v>45764</v>
      </c>
      <c r="J16" t="s">
        <v>14</v>
      </c>
      <c r="K16" t="s">
        <v>45</v>
      </c>
      <c r="L16" s="2">
        <v>20</v>
      </c>
      <c r="M16" t="s">
        <v>49</v>
      </c>
      <c r="N16" t="s">
        <v>50</v>
      </c>
    </row>
    <row r="17" spans="1:14" x14ac:dyDescent="0.25">
      <c r="A17" t="s">
        <v>23</v>
      </c>
      <c r="B17" t="s">
        <v>52</v>
      </c>
      <c r="C17" t="s">
        <v>26</v>
      </c>
      <c r="D17" t="s">
        <v>27</v>
      </c>
      <c r="E17" t="str">
        <f t="shared" si="0"/>
        <v>Jan Rodriguez</v>
      </c>
      <c r="F17">
        <v>20056813601</v>
      </c>
      <c r="G17">
        <v>20056813601</v>
      </c>
      <c r="H17" s="1">
        <v>44866</v>
      </c>
      <c r="I17" s="1">
        <v>45764</v>
      </c>
      <c r="J17" t="s">
        <v>14</v>
      </c>
      <c r="K17" t="s">
        <v>44</v>
      </c>
      <c r="L17" s="2">
        <v>10</v>
      </c>
      <c r="M17" t="s">
        <v>49</v>
      </c>
    </row>
    <row r="18" spans="1:14" x14ac:dyDescent="0.25">
      <c r="A18" t="s">
        <v>28</v>
      </c>
      <c r="B18">
        <v>8971826</v>
      </c>
      <c r="C18" t="s">
        <v>30</v>
      </c>
      <c r="D18" t="s">
        <v>31</v>
      </c>
      <c r="E18" t="str">
        <f t="shared" si="0"/>
        <v>John Rundle</v>
      </c>
      <c r="F18">
        <v>20068280401</v>
      </c>
      <c r="G18">
        <v>20068280401</v>
      </c>
      <c r="H18" s="1">
        <v>45170</v>
      </c>
      <c r="I18" s="1">
        <v>45764</v>
      </c>
      <c r="J18" t="s">
        <v>14</v>
      </c>
      <c r="K18" t="s">
        <v>44</v>
      </c>
      <c r="L18" s="2">
        <v>10</v>
      </c>
      <c r="M18" t="s">
        <v>49</v>
      </c>
    </row>
    <row r="19" spans="1:14" x14ac:dyDescent="0.25">
      <c r="A19" t="s">
        <v>23</v>
      </c>
      <c r="B19">
        <v>18010408</v>
      </c>
      <c r="C19" t="s">
        <v>34</v>
      </c>
      <c r="D19" t="s">
        <v>35</v>
      </c>
      <c r="E19" t="str">
        <f t="shared" si="0"/>
        <v>Roy Rapp</v>
      </c>
      <c r="F19">
        <v>20091153901</v>
      </c>
      <c r="G19">
        <v>20091153901</v>
      </c>
      <c r="H19" s="1">
        <v>45658</v>
      </c>
      <c r="I19" s="1">
        <v>45764</v>
      </c>
      <c r="J19" t="s">
        <v>14</v>
      </c>
      <c r="K19" t="s">
        <v>46</v>
      </c>
      <c r="L19" s="2">
        <v>80</v>
      </c>
      <c r="M19" t="s">
        <v>49</v>
      </c>
      <c r="N19" t="s">
        <v>51</v>
      </c>
    </row>
    <row r="20" spans="1:14" x14ac:dyDescent="0.25">
      <c r="A20" t="s">
        <v>23</v>
      </c>
      <c r="B20">
        <v>18010408</v>
      </c>
      <c r="C20" t="s">
        <v>37</v>
      </c>
      <c r="D20" t="s">
        <v>38</v>
      </c>
      <c r="E20" t="str">
        <f t="shared" si="0"/>
        <v>William Buckley</v>
      </c>
      <c r="F20">
        <v>20088090901</v>
      </c>
      <c r="G20">
        <v>20088090901</v>
      </c>
      <c r="H20" s="1">
        <v>45597</v>
      </c>
      <c r="I20" s="1">
        <v>45764</v>
      </c>
      <c r="J20" t="s">
        <v>14</v>
      </c>
      <c r="K20" t="s">
        <v>46</v>
      </c>
      <c r="L20" s="2">
        <v>80</v>
      </c>
      <c r="M20" t="s">
        <v>49</v>
      </c>
      <c r="N20" t="s">
        <v>51</v>
      </c>
    </row>
    <row r="21" spans="1:14" x14ac:dyDescent="0.25">
      <c r="A21" t="s">
        <v>23</v>
      </c>
      <c r="B21">
        <v>18010408</v>
      </c>
      <c r="C21" t="s">
        <v>37</v>
      </c>
      <c r="D21" t="s">
        <v>39</v>
      </c>
      <c r="E21" t="str">
        <f t="shared" si="0"/>
        <v>William Kratzer</v>
      </c>
      <c r="F21">
        <v>20092339801</v>
      </c>
      <c r="G21">
        <v>20092339801</v>
      </c>
      <c r="H21" s="1">
        <v>45689</v>
      </c>
      <c r="I21" s="1">
        <v>45764</v>
      </c>
      <c r="J21" t="s">
        <v>14</v>
      </c>
      <c r="K21" t="s">
        <v>45</v>
      </c>
      <c r="L21" s="2">
        <v>20</v>
      </c>
      <c r="M21" t="s">
        <v>49</v>
      </c>
    </row>
    <row r="22" spans="1:14" x14ac:dyDescent="0.25">
      <c r="A22" t="s">
        <v>23</v>
      </c>
      <c r="B22" t="s">
        <v>52</v>
      </c>
      <c r="C22" t="s">
        <v>41</v>
      </c>
      <c r="D22" t="s">
        <v>42</v>
      </c>
      <c r="E22" t="str">
        <f t="shared" si="0"/>
        <v>Wyatt Furman</v>
      </c>
      <c r="F22">
        <v>20032293001</v>
      </c>
      <c r="G22">
        <v>20032293001</v>
      </c>
      <c r="H22" s="1">
        <v>44197</v>
      </c>
      <c r="I22" s="1">
        <v>45764</v>
      </c>
      <c r="J22" t="s">
        <v>14</v>
      </c>
      <c r="K22" t="s">
        <v>44</v>
      </c>
      <c r="L22" s="2">
        <v>10</v>
      </c>
      <c r="M22" t="s">
        <v>49</v>
      </c>
    </row>
    <row r="23" spans="1:14" x14ac:dyDescent="0.25">
      <c r="L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2025-04-17T21:59:13Z</dcterms:created>
  <dcterms:modified xsi:type="dcterms:W3CDTF">2025-04-22T19:31:29Z</dcterms:modified>
</cp:coreProperties>
</file>