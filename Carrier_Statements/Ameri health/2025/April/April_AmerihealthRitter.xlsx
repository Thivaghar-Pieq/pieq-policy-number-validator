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2025\amerihealth 4-17-25 ritter\"/>
    </mc:Choice>
  </mc:AlternateContent>
  <xr:revisionPtr revIDLastSave="0" documentId="13_ncr:1_{A52ECB35-341B-442E-B6E4-1D80CF17A155}" xr6:coauthVersionLast="47" xr6:coauthVersionMax="47" xr10:uidLastSave="{00000000-0000-0000-0000-000000000000}"/>
  <bookViews>
    <workbookView xWindow="28680" yWindow="-120" windowWidth="29040" windowHeight="16440" activeTab="1" xr2:uid="{0182E9B3-3198-48DC-A43E-58AC156E116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2" i="2"/>
  <c r="F3" i="2"/>
  <c r="F4" i="2"/>
  <c r="F5" i="2"/>
  <c r="F6" i="2"/>
  <c r="F7" i="2"/>
  <c r="F8" i="2"/>
  <c r="F9" i="2"/>
  <c r="F10" i="2"/>
  <c r="F2" i="2"/>
  <c r="K11" i="1"/>
</calcChain>
</file>

<file path=xl/sharedStrings.xml><?xml version="1.0" encoding="utf-8"?>
<sst xmlns="http://schemas.openxmlformats.org/spreadsheetml/2006/main" count="121" uniqueCount="31">
  <si>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</si>
  <si>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</si>
  <si>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</si>
  <si>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</si>
  <si>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</si>
  <si>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</si>
  <si>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</si>
  <si>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</si>
  <si>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</si>
  <si>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</si>
  <si>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</si>
  <si>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Amerihealth Caritas U65 2025 DE, NC, SC (ProRata: -1) Premium Period: 2/1/2025</t>
  </si>
  <si>
    <t>Amerihealth Caritas Next U65</t>
  </si>
  <si>
    <t>Dalessandro</t>
  </si>
  <si>
    <t>Aiden</t>
  </si>
  <si>
    <t>Adam Richter</t>
  </si>
  <si>
    <t>Amerihealth Caritas U65 2025 DE, NC, SC (ProRata: -1) Premium Period: 1/1/2025</t>
  </si>
  <si>
    <t>Amerihealth Caritas U65 2025 DE, NC, SC (ProRata: 1) Premium Period: 3/1/2025</t>
  </si>
  <si>
    <t>Lopez</t>
  </si>
  <si>
    <t>Joy</t>
  </si>
  <si>
    <t>Gregory Teipel</t>
  </si>
  <si>
    <t>Albert</t>
  </si>
  <si>
    <t>Jones</t>
  </si>
  <si>
    <t>Thomas</t>
  </si>
  <si>
    <t>Abigail</t>
  </si>
  <si>
    <t>Monica</t>
  </si>
  <si>
    <t>Hocherl</t>
  </si>
  <si>
    <t>Michael</t>
  </si>
  <si>
    <t>Keicher</t>
  </si>
  <si>
    <t>Stephen</t>
  </si>
  <si>
    <t>Amerihealth DE,NC,SC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</si>
</sst>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9F47-E90F-432A-9306-29CA3DDBAACC}">
  <dimension ref="A1:K11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</v>
      </c>
      <c r="C2">
        <v>8307933</v>
      </c>
      <c r="D2" t="s">
        <v>29</v>
      </c>
      <c r="E2" t="s">
        <v>28</v>
      </c>
      <c r="F2">
        <v>67009353500</v>
      </c>
      <c r="G2" s="2">
        <v>45658</v>
      </c>
      <c r="H2" s="2">
        <v>45764</v>
      </c>
      <c r="I2" t="s">
        <v>12</v>
      </c>
      <c r="J2" t="s">
        <v>17</v>
      </c>
      <c r="K2" s="1">
        <v>28</v>
      </c>
    </row>
    <row r="3" spans="1:11" x14ac:dyDescent="0.25">
      <c r="A3" t="s">
        <v>20</v>
      </c>
      <c r="C3">
        <v>8307933</v>
      </c>
      <c r="D3" t="s">
        <v>27</v>
      </c>
      <c r="E3" t="s">
        <v>26</v>
      </c>
      <c r="F3">
        <v>67000928300</v>
      </c>
      <c r="G3" s="2">
        <v>45658</v>
      </c>
      <c r="H3" s="2">
        <v>45764</v>
      </c>
      <c r="I3" t="s">
        <v>12</v>
      </c>
      <c r="J3" t="s">
        <v>17</v>
      </c>
      <c r="K3" s="1">
        <v>28</v>
      </c>
    </row>
    <row r="4" spans="1:11" x14ac:dyDescent="0.25">
      <c r="A4" t="s">
        <v>15</v>
      </c>
      <c r="C4">
        <v>9079571</v>
      </c>
      <c r="D4" t="s">
        <v>25</v>
      </c>
      <c r="E4" t="s">
        <v>22</v>
      </c>
      <c r="F4">
        <v>67006441701</v>
      </c>
      <c r="G4" s="2">
        <v>45658</v>
      </c>
      <c r="H4" s="2">
        <v>45764</v>
      </c>
      <c r="I4" t="s">
        <v>12</v>
      </c>
      <c r="J4" t="s">
        <v>17</v>
      </c>
      <c r="K4" s="1">
        <v>28</v>
      </c>
    </row>
    <row r="5" spans="1:11" x14ac:dyDescent="0.25">
      <c r="A5" t="s">
        <v>20</v>
      </c>
      <c r="C5">
        <v>8307933</v>
      </c>
      <c r="D5" t="s">
        <v>24</v>
      </c>
      <c r="E5" t="s">
        <v>18</v>
      </c>
      <c r="F5">
        <v>67010500000</v>
      </c>
      <c r="G5" s="2">
        <v>45658</v>
      </c>
      <c r="H5" s="2">
        <v>45764</v>
      </c>
      <c r="I5" t="s">
        <v>12</v>
      </c>
      <c r="J5" t="s">
        <v>17</v>
      </c>
      <c r="K5" s="1">
        <v>28</v>
      </c>
    </row>
    <row r="6" spans="1:11" x14ac:dyDescent="0.25">
      <c r="A6" t="s">
        <v>15</v>
      </c>
      <c r="C6">
        <v>9079571</v>
      </c>
      <c r="D6" t="s">
        <v>23</v>
      </c>
      <c r="E6" t="s">
        <v>22</v>
      </c>
      <c r="F6">
        <v>67006441700</v>
      </c>
      <c r="G6" s="2">
        <v>45658</v>
      </c>
      <c r="H6" s="2">
        <v>45764</v>
      </c>
      <c r="I6" t="s">
        <v>12</v>
      </c>
      <c r="J6" t="s">
        <v>17</v>
      </c>
      <c r="K6" s="1">
        <v>28</v>
      </c>
    </row>
    <row r="7" spans="1:11" x14ac:dyDescent="0.25">
      <c r="A7" t="s">
        <v>20</v>
      </c>
      <c r="C7">
        <v>8307933</v>
      </c>
      <c r="D7" t="s">
        <v>21</v>
      </c>
      <c r="E7" t="s">
        <v>18</v>
      </c>
      <c r="F7">
        <v>67010497001</v>
      </c>
      <c r="G7" s="2">
        <v>45658</v>
      </c>
      <c r="H7" s="2">
        <v>45764</v>
      </c>
      <c r="I7" t="s">
        <v>12</v>
      </c>
      <c r="J7" t="s">
        <v>17</v>
      </c>
      <c r="K7" s="1">
        <v>28</v>
      </c>
    </row>
    <row r="8" spans="1:11" x14ac:dyDescent="0.25">
      <c r="A8" t="s">
        <v>20</v>
      </c>
      <c r="C8">
        <v>8307933</v>
      </c>
      <c r="D8" t="s">
        <v>19</v>
      </c>
      <c r="E8" t="s">
        <v>18</v>
      </c>
      <c r="F8">
        <v>67010497000</v>
      </c>
      <c r="G8" s="2">
        <v>45658</v>
      </c>
      <c r="H8" s="2">
        <v>45764</v>
      </c>
      <c r="I8" t="s">
        <v>12</v>
      </c>
      <c r="J8" t="s">
        <v>17</v>
      </c>
      <c r="K8" s="1">
        <v>28</v>
      </c>
    </row>
    <row r="9" spans="1:11" x14ac:dyDescent="0.25">
      <c r="A9" t="s">
        <v>15</v>
      </c>
      <c r="C9">
        <v>9079571</v>
      </c>
      <c r="D9" t="s">
        <v>14</v>
      </c>
      <c r="E9" t="s">
        <v>13</v>
      </c>
      <c r="F9">
        <v>67006730301</v>
      </c>
      <c r="G9" s="2">
        <v>45658</v>
      </c>
      <c r="H9" s="2">
        <v>45764</v>
      </c>
      <c r="I9" t="s">
        <v>12</v>
      </c>
      <c r="J9" t="s">
        <v>16</v>
      </c>
      <c r="K9" s="1">
        <v>-28</v>
      </c>
    </row>
    <row r="10" spans="1:11" x14ac:dyDescent="0.25">
      <c r="A10" t="s">
        <v>15</v>
      </c>
      <c r="C10">
        <v>9079571</v>
      </c>
      <c r="D10" t="s">
        <v>14</v>
      </c>
      <c r="E10" t="s">
        <v>13</v>
      </c>
      <c r="F10">
        <v>67006730301</v>
      </c>
      <c r="G10" s="2">
        <v>45658</v>
      </c>
      <c r="H10" s="2">
        <v>45764</v>
      </c>
      <c r="I10" t="s">
        <v>12</v>
      </c>
      <c r="J10" t="s">
        <v>11</v>
      </c>
      <c r="K10" s="1">
        <v>-28</v>
      </c>
    </row>
    <row r="11" spans="1:11" x14ac:dyDescent="0.25">
      <c r="K11" s="1">
        <f>SUM(K2:K10)</f>
        <v>140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415A-F132-449E-A008-AF75030629E7}">
  <dimension ref="A1:N11"/>
  <sheetViews>
    <sheetView tabSelected="1" workbookViewId="0">
      <selection activeCell="M2" sqref="M2:M10"/>
    </sheetView>
  </sheetViews>
  <sheetFormatPr defaultRowHeight="15" x14ac:dyDescent="0.25"/>
  <cols>
    <col min="1" max="1" width="13.5703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2.28515625" bestFit="1" customWidth="1"/>
    <col min="6" max="6" width="18" bestFit="1" customWidth="1"/>
    <col min="7" max="7" width="12" bestFit="1" customWidth="1"/>
    <col min="8" max="8" width="13.140625" bestFit="1" customWidth="1"/>
    <col min="9" max="9" width="11.5703125" bestFit="1" customWidth="1"/>
    <col min="10" max="10" width="14.7109375" bestFit="1" customWidth="1"/>
    <col min="11" max="11" width="27" bestFit="1" customWidth="1"/>
    <col min="12" max="12" width="72.7109375" bestFit="1" customWidth="1"/>
    <col min="13" max="13" width="1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4" x14ac:dyDescent="0.25">
      <c r="A2" t="s">
        <v>20</v>
      </c>
      <c r="B2">
        <v>8307933</v>
      </c>
      <c r="C2">
        <v>8307933</v>
      </c>
      <c r="D2" t="s">
        <v>29</v>
      </c>
      <c r="E2" t="s">
        <v>28</v>
      </c>
      <c r="F2" t="str">
        <f>CONCATENATE(D2, " ", E2)</f>
        <v>Stephen Keicher</v>
      </c>
      <c r="G2">
        <v>67009353500</v>
      </c>
      <c r="H2" t="str">
        <f>CONCATENATE(G2,3)</f>
        <v>670093535003</v>
      </c>
      <c r="I2" s="2">
        <v>45658</v>
      </c>
      <c r="J2" s="2">
        <v>45764</v>
      </c>
      <c r="K2" t="s">
        <v>12</v>
      </c>
      <c r="L2" t="s">
        <v>17</v>
      </c>
      <c r="M2" s="1">
        <v>28</v>
      </c>
      <c r="N2" t="s">
        <v>30</v>
      </c>
    </row>
    <row r="3" spans="1:14" x14ac:dyDescent="0.25">
      <c r="A3" t="s">
        <v>20</v>
      </c>
      <c r="B3">
        <v>8307933</v>
      </c>
      <c r="C3">
        <v>8307933</v>
      </c>
      <c r="D3" t="s">
        <v>27</v>
      </c>
      <c r="E3" t="s">
        <v>26</v>
      </c>
      <c r="F3" t="str">
        <f t="shared" ref="F3:F10" si="0">CONCATENATE(D3, " ", E3)</f>
        <v>Michael Hocherl</v>
      </c>
      <c r="G3">
        <v>67000928300</v>
      </c>
      <c r="H3" t="str">
        <f t="shared" ref="H3:H10" si="1">CONCATENATE(G3,3)</f>
        <v>670009283003</v>
      </c>
      <c r="I3" s="2">
        <v>45658</v>
      </c>
      <c r="J3" s="2">
        <v>45764</v>
      </c>
      <c r="K3" t="s">
        <v>12</v>
      </c>
      <c r="L3" t="s">
        <v>17</v>
      </c>
      <c r="M3" s="1">
        <v>28</v>
      </c>
      <c r="N3" t="s">
        <v>30</v>
      </c>
    </row>
    <row r="4" spans="1:14" x14ac:dyDescent="0.25">
      <c r="A4" t="s">
        <v>15</v>
      </c>
      <c r="B4">
        <v>9079571</v>
      </c>
      <c r="C4">
        <v>9079571</v>
      </c>
      <c r="D4" t="s">
        <v>25</v>
      </c>
      <c r="E4" t="s">
        <v>22</v>
      </c>
      <c r="F4" t="str">
        <f t="shared" si="0"/>
        <v>Monica Jones</v>
      </c>
      <c r="G4">
        <v>67006441701</v>
      </c>
      <c r="H4" t="str">
        <f t="shared" si="1"/>
        <v>670064417013</v>
      </c>
      <c r="I4" s="2">
        <v>45658</v>
      </c>
      <c r="J4" s="2">
        <v>45764</v>
      </c>
      <c r="K4" t="s">
        <v>12</v>
      </c>
      <c r="L4" t="s">
        <v>17</v>
      </c>
      <c r="M4" s="1">
        <v>28</v>
      </c>
      <c r="N4" t="s">
        <v>30</v>
      </c>
    </row>
    <row r="5" spans="1:14" x14ac:dyDescent="0.25">
      <c r="A5" t="s">
        <v>20</v>
      </c>
      <c r="B5">
        <v>8307933</v>
      </c>
      <c r="C5">
        <v>8307933</v>
      </c>
      <c r="D5" t="s">
        <v>24</v>
      </c>
      <c r="E5" t="s">
        <v>18</v>
      </c>
      <c r="F5" t="str">
        <f t="shared" si="0"/>
        <v>Abigail Lopez</v>
      </c>
      <c r="G5">
        <v>67010500000</v>
      </c>
      <c r="H5" t="str">
        <f t="shared" si="1"/>
        <v>670105000003</v>
      </c>
      <c r="I5" s="2">
        <v>45658</v>
      </c>
      <c r="J5" s="2">
        <v>45764</v>
      </c>
      <c r="K5" t="s">
        <v>12</v>
      </c>
      <c r="L5" t="s">
        <v>17</v>
      </c>
      <c r="M5" s="1">
        <v>28</v>
      </c>
      <c r="N5" t="s">
        <v>30</v>
      </c>
    </row>
    <row r="6" spans="1:14" x14ac:dyDescent="0.25">
      <c r="A6" t="s">
        <v>15</v>
      </c>
      <c r="B6">
        <v>9079571</v>
      </c>
      <c r="C6">
        <v>9079571</v>
      </c>
      <c r="D6" t="s">
        <v>23</v>
      </c>
      <c r="E6" t="s">
        <v>22</v>
      </c>
      <c r="F6" t="str">
        <f t="shared" si="0"/>
        <v>Thomas Jones</v>
      </c>
      <c r="G6">
        <v>67006441700</v>
      </c>
      <c r="H6" t="str">
        <f t="shared" si="1"/>
        <v>670064417003</v>
      </c>
      <c r="I6" s="2">
        <v>45658</v>
      </c>
      <c r="J6" s="2">
        <v>45764</v>
      </c>
      <c r="K6" t="s">
        <v>12</v>
      </c>
      <c r="L6" t="s">
        <v>17</v>
      </c>
      <c r="M6" s="1">
        <v>28</v>
      </c>
      <c r="N6" t="s">
        <v>30</v>
      </c>
    </row>
    <row r="7" spans="1:14" x14ac:dyDescent="0.25">
      <c r="A7" t="s">
        <v>20</v>
      </c>
      <c r="B7">
        <v>8307933</v>
      </c>
      <c r="C7">
        <v>8307933</v>
      </c>
      <c r="D7" t="s">
        <v>21</v>
      </c>
      <c r="E7" t="s">
        <v>18</v>
      </c>
      <c r="F7" t="str">
        <f t="shared" si="0"/>
        <v>Albert Lopez</v>
      </c>
      <c r="G7">
        <v>67010497001</v>
      </c>
      <c r="H7" t="str">
        <f t="shared" si="1"/>
        <v>670104970013</v>
      </c>
      <c r="I7" s="2">
        <v>45658</v>
      </c>
      <c r="J7" s="2">
        <v>45764</v>
      </c>
      <c r="K7" t="s">
        <v>12</v>
      </c>
      <c r="L7" t="s">
        <v>17</v>
      </c>
      <c r="M7" s="1">
        <v>28</v>
      </c>
      <c r="N7" t="s">
        <v>30</v>
      </c>
    </row>
    <row r="8" spans="1:14" x14ac:dyDescent="0.25">
      <c r="A8" t="s">
        <v>20</v>
      </c>
      <c r="B8">
        <v>8307933</v>
      </c>
      <c r="C8">
        <v>8307933</v>
      </c>
      <c r="D8" t="s">
        <v>19</v>
      </c>
      <c r="E8" t="s">
        <v>18</v>
      </c>
      <c r="F8" t="str">
        <f t="shared" si="0"/>
        <v>Joy Lopez</v>
      </c>
      <c r="G8">
        <v>67010497000</v>
      </c>
      <c r="H8" t="str">
        <f t="shared" si="1"/>
        <v>670104970003</v>
      </c>
      <c r="I8" s="2">
        <v>45658</v>
      </c>
      <c r="J8" s="2">
        <v>45764</v>
      </c>
      <c r="K8" t="s">
        <v>12</v>
      </c>
      <c r="L8" t="s">
        <v>17</v>
      </c>
      <c r="M8" s="1">
        <v>28</v>
      </c>
      <c r="N8" t="s">
        <v>30</v>
      </c>
    </row>
    <row r="9" spans="1:14" x14ac:dyDescent="0.25">
      <c r="A9" t="s">
        <v>15</v>
      </c>
      <c r="B9">
        <v>9079571</v>
      </c>
      <c r="C9">
        <v>9079571</v>
      </c>
      <c r="D9" t="s">
        <v>14</v>
      </c>
      <c r="E9" t="s">
        <v>13</v>
      </c>
      <c r="F9" t="str">
        <f t="shared" si="0"/>
        <v>Aiden Dalessandro</v>
      </c>
      <c r="G9">
        <v>67006730301</v>
      </c>
      <c r="H9" t="str">
        <f t="shared" si="1"/>
        <v>670067303013</v>
      </c>
      <c r="I9" s="2">
        <v>45658</v>
      </c>
      <c r="J9" s="2">
        <v>45764</v>
      </c>
      <c r="K9" t="s">
        <v>12</v>
      </c>
      <c r="L9" t="s">
        <v>16</v>
      </c>
      <c r="M9" s="1">
        <v>-28</v>
      </c>
      <c r="N9" t="s">
        <v>30</v>
      </c>
    </row>
    <row r="10" spans="1:14" x14ac:dyDescent="0.25">
      <c r="A10" t="s">
        <v>15</v>
      </c>
      <c r="B10">
        <v>9079571</v>
      </c>
      <c r="C10">
        <v>9079571</v>
      </c>
      <c r="D10" t="s">
        <v>14</v>
      </c>
      <c r="E10" t="s">
        <v>13</v>
      </c>
      <c r="F10" t="str">
        <f t="shared" si="0"/>
        <v>Aiden Dalessandro</v>
      </c>
      <c r="G10">
        <v>67006730301</v>
      </c>
      <c r="H10" t="str">
        <f t="shared" si="1"/>
        <v>670067303013</v>
      </c>
      <c r="I10" s="2">
        <v>45658</v>
      </c>
      <c r="J10" s="2">
        <v>45764</v>
      </c>
      <c r="K10" t="s">
        <v>12</v>
      </c>
      <c r="L10" t="s">
        <v>11</v>
      </c>
      <c r="M10" s="1">
        <v>-28</v>
      </c>
      <c r="N10" t="s">
        <v>30</v>
      </c>
    </row>
    <row r="11" spans="1:14" x14ac:dyDescent="0.25">
      <c r="M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2025-04-17T21:59:29Z</dcterms:created>
  <dcterms:modified xsi:type="dcterms:W3CDTF">2025-04-22T18:49:51Z</dcterms:modified>
</cp:coreProperties>
</file>